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2" activeTab="8"/>
  </bookViews>
  <sheets>
    <sheet name="Лист1" sheetId="1" state="hidden" r:id="rId2"/>
    <sheet name="Лист2" sheetId="2" state="hidden" r:id="rId3"/>
    <sheet name="БОВ (1)" sheetId="3" state="visible" r:id="rId4"/>
    <sheet name="БОВ (2)" sheetId="4" state="visible" r:id="rId5"/>
    <sheet name="БОВ (3)" sheetId="5" state="visible" r:id="rId6"/>
    <sheet name="Лист3" sheetId="6" state="hidden" r:id="rId7"/>
    <sheet name="БГ" sheetId="7" state="visible" r:id="rId8"/>
    <sheet name="БГ-С" sheetId="8" state="visible" r:id="rId9"/>
    <sheet name="БВ" sheetId="9" state="visible" r:id="rId10"/>
    <sheet name="ОЛ" sheetId="10" state="visible" r:id="rId11"/>
    <sheet name="ОЛ (2)" sheetId="11" state="visible" r:id="rId12"/>
    <sheet name="ОЛ (3)" sheetId="12" state="visible" r:id="rId13"/>
    <sheet name="ОЛ(4)" sheetId="13" state="visible" r:id="rId14"/>
  </sheets>
  <definedNames>
    <definedName function="false" hidden="false" localSheetId="9" name="_xlnm.Print_Area" vbProcedure="false">ОЛ!$A$1:$AH$56</definedName>
    <definedName function="false" hidden="false" localSheetId="10" name="_xlnm.Print_Area" vbProcedure="false">'ОЛ (2)'!$A$1:$AH$55</definedName>
    <definedName function="false" hidden="false" localSheetId="11" name="_xlnm.Print_Area" vbProcedure="false">'ОЛ (3)'!$A$1:$AH$57</definedName>
    <definedName function="false" hidden="false" localSheetId="12" name="_xlnm.Print_Area" vbProcedure="false">'ОЛ(4)'!$A$1:$AE$66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<sst xmlns="http://schemas.openxmlformats.org/spreadsheetml/2006/main" count="2585" uniqueCount="389">
  <si>
    <t xml:space="preserve">Блок</t>
  </si>
  <si>
    <t xml:space="preserve">БВ</t>
  </si>
  <si>
    <t xml:space="preserve">БОВ</t>
  </si>
  <si>
    <t xml:space="preserve">БГ</t>
  </si>
  <si>
    <t xml:space="preserve">БОВГ</t>
  </si>
  <si>
    <t xml:space="preserve">Нагрузка</t>
  </si>
  <si>
    <t xml:space="preserve">xx</t>
  </si>
  <si>
    <t xml:space="preserve">РП</t>
  </si>
  <si>
    <t xml:space="preserve">Рх</t>
  </si>
  <si>
    <t xml:space="preserve">хП</t>
  </si>
  <si>
    <t xml:space="preserve">С</t>
  </si>
  <si>
    <t xml:space="preserve">Т</t>
  </si>
  <si>
    <t xml:space="preserve">Т-2(50%)</t>
  </si>
  <si>
    <t xml:space="preserve">Т-2(75%)</t>
  </si>
  <si>
    <t xml:space="preserve">Т-2(100%)</t>
  </si>
  <si>
    <t xml:space="preserve">П</t>
  </si>
  <si>
    <t xml:space="preserve">0,10</t>
  </si>
  <si>
    <t xml:space="preserve">0,20</t>
  </si>
  <si>
    <t xml:space="preserve">0,30</t>
  </si>
  <si>
    <t xml:space="preserve">0,04</t>
  </si>
  <si>
    <t xml:space="preserve">0,05</t>
  </si>
  <si>
    <t xml:space="preserve">0,06</t>
  </si>
  <si>
    <t xml:space="preserve">0,07</t>
  </si>
  <si>
    <t xml:space="preserve">0,08</t>
  </si>
  <si>
    <t xml:space="preserve">0,09</t>
  </si>
  <si>
    <t xml:space="preserve">1,0</t>
  </si>
  <si>
    <t xml:space="preserve">2,0</t>
  </si>
  <si>
    <t xml:space="preserve">3,0</t>
  </si>
  <si>
    <t xml:space="preserve">4,0</t>
  </si>
  <si>
    <t xml:space="preserve">БОВ-1</t>
  </si>
  <si>
    <t xml:space="preserve">Диаметр трубопровода</t>
  </si>
  <si>
    <t xml:space="preserve">Клапан</t>
  </si>
  <si>
    <t xml:space="preserve">Насос</t>
  </si>
  <si>
    <t xml:space="preserve">TOP-SD</t>
  </si>
  <si>
    <t xml:space="preserve">Yonos MAXO-D</t>
  </si>
  <si>
    <t xml:space="preserve">Stratos-D</t>
  </si>
  <si>
    <t xml:space="preserve">Теплообменник</t>
  </si>
  <si>
    <t xml:space="preserve">Х1</t>
  </si>
  <si>
    <t xml:space="preserve">Х2</t>
  </si>
  <si>
    <t xml:space="preserve">Х3</t>
  </si>
  <si>
    <t xml:space="preserve">Х4</t>
  </si>
  <si>
    <t xml:space="preserve">Х5</t>
  </si>
  <si>
    <t xml:space="preserve">Х6</t>
  </si>
  <si>
    <t xml:space="preserve">Х7</t>
  </si>
  <si>
    <t xml:space="preserve">Х8</t>
  </si>
  <si>
    <t xml:space="preserve">Х9</t>
  </si>
  <si>
    <t xml:space="preserve">Х10</t>
  </si>
  <si>
    <t xml:space="preserve">Х11</t>
  </si>
  <si>
    <t xml:space="preserve">D1</t>
  </si>
  <si>
    <t xml:space="preserve">l</t>
  </si>
  <si>
    <t xml:space="preserve">h</t>
  </si>
  <si>
    <t xml:space="preserve">D2</t>
  </si>
  <si>
    <t xml:space="preserve">Dп</t>
  </si>
  <si>
    <t xml:space="preserve">IMI Hydronic</t>
  </si>
  <si>
    <t xml:space="preserve">Siemens</t>
  </si>
  <si>
    <t xml:space="preserve">Danfoss</t>
  </si>
  <si>
    <t xml:space="preserve">Gнас</t>
  </si>
  <si>
    <t xml:space="preserve">150-75</t>
  </si>
  <si>
    <t xml:space="preserve">130-75</t>
  </si>
  <si>
    <t xml:space="preserve">115-75</t>
  </si>
  <si>
    <t xml:space="preserve">105-75</t>
  </si>
  <si>
    <t xml:space="preserve">№</t>
  </si>
  <si>
    <t xml:space="preserve">Схема</t>
  </si>
  <si>
    <t xml:space="preserve">Ду</t>
  </si>
  <si>
    <t xml:space="preserve"> Kv</t>
  </si>
  <si>
    <t xml:space="preserve">Производитель</t>
  </si>
  <si>
    <t xml:space="preserve">Тип насоса</t>
  </si>
  <si>
    <t xml:space="preserve">Тип ТО</t>
  </si>
  <si>
    <t xml:space="preserve">Контролл.</t>
  </si>
  <si>
    <t xml:space="preserve">ША</t>
  </si>
  <si>
    <t xml:space="preserve">Q</t>
  </si>
  <si>
    <t xml:space="preserve">Гкал/ч</t>
  </si>
  <si>
    <t xml:space="preserve">G1</t>
  </si>
  <si>
    <t xml:space="preserve">ΔPкл</t>
  </si>
  <si>
    <t xml:space="preserve">TOP-SD 32/10 3~</t>
  </si>
  <si>
    <t xml:space="preserve">Yonos MAXO-D 32/0,5-11</t>
  </si>
  <si>
    <t xml:space="preserve">Stratos-D 32/1-12</t>
  </si>
  <si>
    <t xml:space="preserve">НН08</t>
  </si>
  <si>
    <t xml:space="preserve">1</t>
  </si>
  <si>
    <t xml:space="preserve">Зависимая</t>
  </si>
  <si>
    <t xml:space="preserve">01</t>
  </si>
  <si>
    <t xml:space="preserve">0</t>
  </si>
  <si>
    <t xml:space="preserve">отсутствует</t>
  </si>
  <si>
    <t xml:space="preserve">Segnetics</t>
  </si>
  <si>
    <t xml:space="preserve">отдельный</t>
  </si>
  <si>
    <t xml:space="preserve">Т1</t>
  </si>
  <si>
    <r>
      <rPr>
        <sz val="11"/>
        <color rgb="FF000000"/>
        <rFont val="Calibri"/>
        <family val="2"/>
        <charset val="204"/>
      </rPr>
      <t xml:space="preserve">°</t>
    </r>
    <r>
      <rPr>
        <sz val="11"/>
        <color rgb="FF000000"/>
        <rFont val="Calibri"/>
        <family val="2"/>
        <charset val="1"/>
      </rPr>
      <t xml:space="preserve">С</t>
    </r>
  </si>
  <si>
    <t xml:space="preserve">Kvрасч</t>
  </si>
  <si>
    <t xml:space="preserve">TOP-SD 40/10 3~</t>
  </si>
  <si>
    <t xml:space="preserve">Yonos MAXO-D 40/0,5-12</t>
  </si>
  <si>
    <t xml:space="preserve">Stratos-D 40/1-12</t>
  </si>
  <si>
    <t xml:space="preserve">НН14</t>
  </si>
  <si>
    <t xml:space="preserve">НН19</t>
  </si>
  <si>
    <t xml:space="preserve">НН20</t>
  </si>
  <si>
    <t xml:space="preserve">2</t>
  </si>
  <si>
    <t xml:space="preserve">Независимая</t>
  </si>
  <si>
    <t xml:space="preserve">02</t>
  </si>
  <si>
    <t xml:space="preserve">Учтен в БОВ-1</t>
  </si>
  <si>
    <t xml:space="preserve">Т2</t>
  </si>
  <si>
    <t xml:space="preserve">dкл</t>
  </si>
  <si>
    <t xml:space="preserve">TOP-SD 50/10 3~</t>
  </si>
  <si>
    <t xml:space="preserve">Yonos MAXO-D 50/0,5-12</t>
  </si>
  <si>
    <t xml:space="preserve">Stratos-D 50/1-12</t>
  </si>
  <si>
    <t xml:space="preserve">03</t>
  </si>
  <si>
    <t xml:space="preserve">3</t>
  </si>
  <si>
    <t xml:space="preserve">Т11</t>
  </si>
  <si>
    <t xml:space="preserve">Kv</t>
  </si>
  <si>
    <t xml:space="preserve">TOP-SD 40/15 3~</t>
  </si>
  <si>
    <t xml:space="preserve">Yonos MAXO-D 40/0,5-16</t>
  </si>
  <si>
    <t xml:space="preserve">Stratos-D 40/1-16</t>
  </si>
  <si>
    <t xml:space="preserve">04</t>
  </si>
  <si>
    <t xml:space="preserve">Т21</t>
  </si>
  <si>
    <t xml:space="preserve">TOP-SD 50/15 3~</t>
  </si>
  <si>
    <t xml:space="preserve">Yonos MAXO-D 50/0,5-16</t>
  </si>
  <si>
    <t xml:space="preserve">Stratos-D 50/1-16</t>
  </si>
  <si>
    <t xml:space="preserve">05</t>
  </si>
  <si>
    <t xml:space="preserve">4</t>
  </si>
  <si>
    <t xml:space="preserve">Р1</t>
  </si>
  <si>
    <t xml:space="preserve">м.в.ст.</t>
  </si>
  <si>
    <t xml:space="preserve">TOP-SD 65/15 3~</t>
  </si>
  <si>
    <t xml:space="preserve">Yonos MAXO-D 65/0,5-16</t>
  </si>
  <si>
    <t xml:space="preserve">Stratos-D 65/1-12</t>
  </si>
  <si>
    <t xml:space="preserve">НН47</t>
  </si>
  <si>
    <t xml:space="preserve">06</t>
  </si>
  <si>
    <t xml:space="preserve">5</t>
  </si>
  <si>
    <t xml:space="preserve">Р2</t>
  </si>
  <si>
    <t xml:space="preserve">TOP-SD 80/15 3~</t>
  </si>
  <si>
    <t xml:space="preserve">Yonos MAXO-D 80/0,5-12</t>
  </si>
  <si>
    <t xml:space="preserve">Stratos-D 80/1-12</t>
  </si>
  <si>
    <t xml:space="preserve">НН62</t>
  </si>
  <si>
    <t xml:space="preserve">07</t>
  </si>
  <si>
    <t xml:space="preserve">6</t>
  </si>
  <si>
    <t xml:space="preserve">Δpсов</t>
  </si>
  <si>
    <t xml:space="preserve">G2</t>
  </si>
  <si>
    <t xml:space="preserve">TOP-SD 80/20 3~</t>
  </si>
  <si>
    <t xml:space="preserve">DPL 80/115-2,2/2</t>
  </si>
  <si>
    <t xml:space="preserve">08</t>
  </si>
  <si>
    <t xml:space="preserve">ΔPтс</t>
  </si>
  <si>
    <t xml:space="preserve">09</t>
  </si>
  <si>
    <t xml:space="preserve">DPL 100/175-3/4</t>
  </si>
  <si>
    <t xml:space="preserve">10</t>
  </si>
  <si>
    <t xml:space="preserve">11</t>
  </si>
  <si>
    <t xml:space="preserve">12</t>
  </si>
  <si>
    <t xml:space="preserve">Контр.</t>
  </si>
  <si>
    <t xml:space="preserve">Gп</t>
  </si>
  <si>
    <t xml:space="preserve">13</t>
  </si>
  <si>
    <t xml:space="preserve">14</t>
  </si>
  <si>
    <t xml:space="preserve">Система</t>
  </si>
  <si>
    <t xml:space="preserve">15</t>
  </si>
  <si>
    <t xml:space="preserve">16</t>
  </si>
  <si>
    <t xml:space="preserve">g</t>
  </si>
  <si>
    <t xml:space="preserve">17</t>
  </si>
  <si>
    <t xml:space="preserve">kэ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</si>
  <si>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</si>
  <si>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</si>
  <si>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</si>
  <si>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</si>
  <si>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</si>
  <si>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</si>
  <si>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БОВ-2</t>
  </si>
  <si>
    <t xml:space="preserve">БОВ-3</t>
  </si>
  <si>
    <t xml:space="preserve">Т1/Т2</t>
  </si>
  <si>
    <t xml:space="preserve">Т11/Т21</t>
  </si>
  <si>
    <t xml:space="preserve">Рама ТО</t>
  </si>
  <si>
    <t xml:space="preserve">-</t>
  </si>
  <si>
    <t xml:space="preserve">.</t>
  </si>
  <si>
    <t xml:space="preserve">Yonos-MAXO-D</t>
  </si>
  <si>
    <t xml:space="preserve">на блоке</t>
  </si>
  <si>
    <t xml:space="preserve">Насос Wilo</t>
  </si>
  <si>
    <t xml:space="preserve">Счетчик ХВС</t>
  </si>
  <si>
    <t xml:space="preserve">Х12</t>
  </si>
  <si>
    <t xml:space="preserve">Х13</t>
  </si>
  <si>
    <t xml:space="preserve">Х14</t>
  </si>
  <si>
    <t xml:space="preserve">D3</t>
  </si>
  <si>
    <t xml:space="preserve">D4</t>
  </si>
  <si>
    <t xml:space="preserve">"Пульсар" 15</t>
  </si>
  <si>
    <t xml:space="preserve">НН08-16/1</t>
  </si>
  <si>
    <t xml:space="preserve">Т2'</t>
  </si>
  <si>
    <t xml:space="preserve">Т3</t>
  </si>
  <si>
    <t xml:space="preserve">Т4</t>
  </si>
  <si>
    <t xml:space="preserve">Счетчик</t>
  </si>
  <si>
    <t xml:space="preserve">Stratos-Z 25/1-8</t>
  </si>
  <si>
    <t xml:space="preserve"> Yonos MAXO-Z 25/0,5-7 </t>
  </si>
  <si>
    <t xml:space="preserve">"Пульсар" 20</t>
  </si>
  <si>
    <t xml:space="preserve">НН19-16/1</t>
  </si>
  <si>
    <t xml:space="preserve">Параллельная</t>
  </si>
  <si>
    <t xml:space="preserve">Stratos-Z 32/1-12</t>
  </si>
  <si>
    <t xml:space="preserve"> Yonos MAXO-Z 25/0,5-10</t>
  </si>
  <si>
    <t xml:space="preserve">"Пульсар" М 25</t>
  </si>
  <si>
    <t xml:space="preserve">НН19-16/2</t>
  </si>
  <si>
    <t xml:space="preserve">Смешанная</t>
  </si>
  <si>
    <t xml:space="preserve">Yonos MAXO-Z</t>
  </si>
  <si>
    <t xml:space="preserve"> Yonos MAXO-Z 30/0,5-12</t>
  </si>
  <si>
    <t xml:space="preserve">"Пульсар" М 32</t>
  </si>
  <si>
    <t xml:space="preserve">НН19-16/3</t>
  </si>
  <si>
    <t xml:space="preserve">Stratos-Z</t>
  </si>
  <si>
    <t xml:space="preserve">НН08-16/2</t>
  </si>
  <si>
    <t xml:space="preserve">Stratos-Z 40/1-12</t>
  </si>
  <si>
    <t xml:space="preserve"> Yonos MAXO-Z 40/0,5-12</t>
  </si>
  <si>
    <t xml:space="preserve">"Пульсар" М 40</t>
  </si>
  <si>
    <t xml:space="preserve">НН19-16/4</t>
  </si>
  <si>
    <t xml:space="preserve">НН14-16/1</t>
  </si>
  <si>
    <t xml:space="preserve">В1</t>
  </si>
  <si>
    <t xml:space="preserve">"Пульсар" Т 50</t>
  </si>
  <si>
    <t xml:space="preserve">НН14-16/2</t>
  </si>
  <si>
    <t xml:space="preserve">G3</t>
  </si>
  <si>
    <t xml:space="preserve">НН19-16/5</t>
  </si>
  <si>
    <t xml:space="preserve">НН21-16/2</t>
  </si>
  <si>
    <t xml:space="preserve">G4</t>
  </si>
  <si>
    <t xml:space="preserve">НН21-16/3</t>
  </si>
  <si>
    <t xml:space="preserve">НН47-16/2</t>
  </si>
  <si>
    <t xml:space="preserve">НН41-16/1</t>
  </si>
  <si>
    <t xml:space="preserve">НН41-16/2</t>
  </si>
  <si>
    <t xml:space="preserve">НН41-16/3</t>
  </si>
  <si>
    <t xml:space="preserve">БГ-С</t>
  </si>
  <si>
    <t xml:space="preserve">D2'</t>
  </si>
  <si>
    <t xml:space="preserve">QГВС</t>
  </si>
  <si>
    <t xml:space="preserve">G Т2'</t>
  </si>
  <si>
    <t xml:space="preserve">Тип</t>
  </si>
  <si>
    <t xml:space="preserve">G2'</t>
  </si>
  <si>
    <t xml:space="preserve">Клапан балансир</t>
  </si>
  <si>
    <t xml:space="preserve">Расходомеры</t>
  </si>
  <si>
    <t xml:space="preserve">D94</t>
  </si>
  <si>
    <t xml:space="preserve">Вогез</t>
  </si>
  <si>
    <t xml:space="preserve">РС20-6</t>
  </si>
  <si>
    <t xml:space="preserve">Т94</t>
  </si>
  <si>
    <t xml:space="preserve">Расход. Т1</t>
  </si>
  <si>
    <t xml:space="preserve">Расход. Т94</t>
  </si>
  <si>
    <t xml:space="preserve">Балансир</t>
  </si>
  <si>
    <t xml:space="preserve">15-1,6</t>
  </si>
  <si>
    <t xml:space="preserve">15-4,0</t>
  </si>
  <si>
    <t xml:space="preserve">ΔPклБ</t>
  </si>
  <si>
    <t xml:space="preserve">РС20-12</t>
  </si>
  <si>
    <t xml:space="preserve">2-хтрубная</t>
  </si>
  <si>
    <t xml:space="preserve">Отсутствует</t>
  </si>
  <si>
    <t xml:space="preserve">15-2,5</t>
  </si>
  <si>
    <t xml:space="preserve">20-6,3</t>
  </si>
  <si>
    <t xml:space="preserve">РС32-30</t>
  </si>
  <si>
    <t xml:space="preserve">3-хтрубная</t>
  </si>
  <si>
    <t xml:space="preserve">20-4,0</t>
  </si>
  <si>
    <t xml:space="preserve">25-8,0</t>
  </si>
  <si>
    <t xml:space="preserve">РС50-36</t>
  </si>
  <si>
    <t xml:space="preserve">КБЧ</t>
  </si>
  <si>
    <t xml:space="preserve">20-6,3,0</t>
  </si>
  <si>
    <t xml:space="preserve">32-16,0</t>
  </si>
  <si>
    <t xml:space="preserve">РС50-72</t>
  </si>
  <si>
    <t xml:space="preserve">25-10,0</t>
  </si>
  <si>
    <t xml:space="preserve">40-20,0</t>
  </si>
  <si>
    <t xml:space="preserve">РС65-60</t>
  </si>
  <si>
    <t xml:space="preserve">50-32,0</t>
  </si>
  <si>
    <t xml:space="preserve">РС80-90</t>
  </si>
  <si>
    <t xml:space="preserve">dклБ</t>
  </si>
  <si>
    <t xml:space="preserve">40-25,0</t>
  </si>
  <si>
    <t xml:space="preserve">65-50,0</t>
  </si>
  <si>
    <t xml:space="preserve">РС100-280</t>
  </si>
  <si>
    <t xml:space="preserve">7</t>
  </si>
  <si>
    <t xml:space="preserve">80-80,0</t>
  </si>
  <si>
    <t xml:space="preserve">РС150-630</t>
  </si>
  <si>
    <t xml:space="preserve">8</t>
  </si>
  <si>
    <t xml:space="preserve">65-40,0</t>
  </si>
  <si>
    <t xml:space="preserve">100-125,0</t>
  </si>
  <si>
    <t xml:space="preserve">9</t>
  </si>
  <si>
    <t xml:space="preserve">80-63,0</t>
  </si>
  <si>
    <t xml:space="preserve">125-160,0</t>
  </si>
  <si>
    <t xml:space="preserve">100-100,0</t>
  </si>
  <si>
    <t xml:space="preserve">Нету</t>
  </si>
  <si>
    <t xml:space="preserve">150-200,0</t>
  </si>
  <si>
    <t xml:space="preserve">150-250,0</t>
  </si>
  <si>
    <t xml:space="preserve">150-280,0</t>
  </si>
  <si>
    <t xml:space="preserve">Организация</t>
  </si>
  <si>
    <t xml:space="preserve">ИНН</t>
  </si>
  <si>
    <t xml:space="preserve">Контактное лицо</t>
  </si>
  <si>
    <t xml:space="preserve">Должность</t>
  </si>
  <si>
    <t xml:space="preserve">Контактный телефон</t>
  </si>
  <si>
    <t xml:space="preserve">Дата заполнения</t>
  </si>
  <si>
    <t xml:space="preserve">Объект</t>
  </si>
  <si>
    <t xml:space="preserve">Размеры помещения</t>
  </si>
  <si>
    <t xml:space="preserve">Длина</t>
  </si>
  <si>
    <t xml:space="preserve">Ширина</t>
  </si>
  <si>
    <t xml:space="preserve">Высота</t>
  </si>
  <si>
    <t xml:space="preserve">Блок Ввода
"БВ"</t>
  </si>
  <si>
    <t xml:space="preserve">Наличие блока</t>
  </si>
  <si>
    <t xml:space="preserve">Температура</t>
  </si>
  <si>
    <t xml:space="preserve">Давление</t>
  </si>
  <si>
    <t xml:space="preserve">есть</t>
  </si>
  <si>
    <t xml:space="preserve">Автоматически</t>
  </si>
  <si>
    <r>
      <rPr>
        <sz val="11"/>
        <color rgb="FF000000"/>
        <rFont val="Calibri"/>
        <family val="2"/>
        <charset val="1"/>
      </rPr>
      <t xml:space="preserve">Т1, </t>
    </r>
    <r>
      <rPr>
        <sz val="11"/>
        <color rgb="FF000000"/>
        <rFont val="Calibri"/>
        <family val="2"/>
        <charset val="204"/>
      </rPr>
      <t xml:space="preserve">°С</t>
    </r>
  </si>
  <si>
    <r>
      <rPr>
        <sz val="11"/>
        <color rgb="FF000000"/>
        <rFont val="Calibri"/>
        <family val="2"/>
        <charset val="1"/>
      </rPr>
      <t xml:space="preserve">Т2, </t>
    </r>
    <r>
      <rPr>
        <sz val="11"/>
        <color rgb="FF000000"/>
        <rFont val="Calibri"/>
        <family val="2"/>
        <charset val="204"/>
      </rPr>
      <t xml:space="preserve">°С</t>
    </r>
  </si>
  <si>
    <t xml:space="preserve">Р1, МПа</t>
  </si>
  <si>
    <t xml:space="preserve">Р2, МПа</t>
  </si>
  <si>
    <t xml:space="preserve">нет</t>
  </si>
  <si>
    <t xml:space="preserve">В ручную</t>
  </si>
  <si>
    <t xml:space="preserve">ккал/ч</t>
  </si>
  <si>
    <t xml:space="preserve">сумма()</t>
  </si>
  <si>
    <t xml:space="preserve">МВт</t>
  </si>
  <si>
    <t xml:space="preserve">Вт</t>
  </si>
  <si>
    <t xml:space="preserve">Теплосчетчик</t>
  </si>
  <si>
    <t xml:space="preserve">Подпитка</t>
  </si>
  <si>
    <t xml:space="preserve">Наличие выступов, колонн</t>
  </si>
  <si>
    <t xml:space="preserve">Регулятор перепада давления</t>
  </si>
  <si>
    <t xml:space="preserve">Узел учета</t>
  </si>
  <si>
    <t xml:space="preserve">бар</t>
  </si>
  <si>
    <t xml:space="preserve">Т1 (под)</t>
  </si>
  <si>
    <t xml:space="preserve">Т2 (обр)</t>
  </si>
  <si>
    <t xml:space="preserve">МПа</t>
  </si>
  <si>
    <t xml:space="preserve">Вручную</t>
  </si>
  <si>
    <t xml:space="preserve">°С</t>
  </si>
  <si>
    <t xml:space="preserve">м</t>
  </si>
  <si>
    <t xml:space="preserve">Высота здания</t>
  </si>
  <si>
    <t xml:space="preserve">Р1 (под)</t>
  </si>
  <si>
    <t xml:space="preserve">Р2 (обр)</t>
  </si>
  <si>
    <t xml:space="preserve">Блок Отопления/ Вентиляции "БОВ" №1</t>
  </si>
  <si>
    <t xml:space="preserve">Отопление</t>
  </si>
  <si>
    <t xml:space="preserve">Зависимое</t>
  </si>
  <si>
    <t xml:space="preserve">Т11 (под)</t>
  </si>
  <si>
    <t xml:space="preserve">Т21 (обр)</t>
  </si>
  <si>
    <t xml:space="preserve">Вентиляция</t>
  </si>
  <si>
    <t xml:space="preserve">Независимое</t>
  </si>
  <si>
    <t xml:space="preserve">Сопротивление системы</t>
  </si>
  <si>
    <t xml:space="preserve">1х100%</t>
  </si>
  <si>
    <t xml:space="preserve">2х50%</t>
  </si>
  <si>
    <t xml:space="preserve">2х75%</t>
  </si>
  <si>
    <t xml:space="preserve">2х100%</t>
  </si>
  <si>
    <t xml:space="preserve">Отопелние</t>
  </si>
  <si>
    <t xml:space="preserve">Контроллер</t>
  </si>
  <si>
    <t xml:space="preserve">     TOP-SD</t>
  </si>
  <si>
    <t xml:space="preserve">Signetics</t>
  </si>
  <si>
    <t xml:space="preserve">Схема присоединения</t>
  </si>
  <si>
    <t xml:space="preserve">       Yonos-Maxo-D</t>
  </si>
  <si>
    <t xml:space="preserve">Зависима</t>
  </si>
  <si>
    <t xml:space="preserve">      Stratos-D</t>
  </si>
  <si>
    <t xml:space="preserve">Шкаф автоматики</t>
  </si>
  <si>
    <t xml:space="preserve">Резерв ТО оборудования</t>
  </si>
  <si>
    <t xml:space="preserve">Отдельный</t>
  </si>
  <si>
    <t xml:space="preserve">Учтен в БОВ №1</t>
  </si>
  <si>
    <t xml:space="preserve">Блок Отопления/ Вентиляции "БОВ" №2</t>
  </si>
  <si>
    <t xml:space="preserve">Блок Отопления/ Вентиляции "БОВ" №3</t>
  </si>
  <si>
    <t xml:space="preserve">Теплосеть</t>
  </si>
  <si>
    <t xml:space="preserve">Потери давления</t>
  </si>
  <si>
    <t xml:space="preserve">Т12</t>
  </si>
  <si>
    <t xml:space="preserve">Т22</t>
  </si>
  <si>
    <t xml:space="preserve">Т13</t>
  </si>
  <si>
    <t xml:space="preserve">Т23</t>
  </si>
  <si>
    <t xml:space="preserve">Технология</t>
  </si>
  <si>
    <t xml:space="preserve">ГВС</t>
  </si>
  <si>
    <t xml:space="preserve">Давление ХВС</t>
  </si>
  <si>
    <t xml:space="preserve">Блок ввода
БВ</t>
  </si>
  <si>
    <t xml:space="preserve">Регулятор давления</t>
  </si>
  <si>
    <t xml:space="preserve">Ограничение расхода</t>
  </si>
  <si>
    <t xml:space="preserve">Есть</t>
  </si>
  <si>
    <t xml:space="preserve">kod1</t>
  </si>
  <si>
    <t xml:space="preserve">kod2</t>
  </si>
  <si>
    <t xml:space="preserve">kod3</t>
  </si>
  <si>
    <t xml:space="preserve">kod4</t>
  </si>
  <si>
    <t xml:space="preserve">Нет</t>
  </si>
  <si>
    <t xml:space="preserve">ADL</t>
  </si>
  <si>
    <t xml:space="preserve">Блок отоп./ 
вент. БОВ-1</t>
  </si>
  <si>
    <t xml:space="preserve">Клапан регулир-ий</t>
  </si>
  <si>
    <t xml:space="preserve">Шкаф авт-ки</t>
  </si>
  <si>
    <t xml:space="preserve">Блок отоп./ 
вент. БОВ-2</t>
  </si>
  <si>
    <t xml:space="preserve">Блок отоп./ 
вент. БОВ-3</t>
  </si>
  <si>
    <t xml:space="preserve">Блок ГВС
БГВ</t>
  </si>
  <si>
    <t xml:space="preserve">kod5</t>
  </si>
  <si>
    <t xml:space="preserve">kod6</t>
  </si>
  <si>
    <t xml:space="preserve">kod7</t>
  </si>
  <si>
    <t xml:space="preserve">Принудит. Смеш.</t>
  </si>
  <si>
    <t xml:space="preserve">БГВ</t>
  </si>
  <si>
    <t xml:space="preserve">Принуд. Паралл.</t>
  </si>
  <si>
    <t xml:space="preserve">Прямого действия</t>
  </si>
  <si>
    <t xml:space="preserve">Блок подпитки
БП-1</t>
  </si>
  <si>
    <t xml:space="preserve">Насосная станция</t>
  </si>
  <si>
    <t xml:space="preserve">Повысит. Насос</t>
  </si>
  <si>
    <t xml:space="preserve">Клапан солиноид.</t>
  </si>
  <si>
    <t xml:space="preserve">Расш. Бак</t>
  </si>
  <si>
    <t xml:space="preserve">MHIL</t>
  </si>
  <si>
    <t xml:space="preserve">Tork</t>
  </si>
  <si>
    <t xml:space="preserve">Wester</t>
  </si>
  <si>
    <t xml:space="preserve">Принудит. Да</t>
  </si>
  <si>
    <t xml:space="preserve">MHI</t>
  </si>
  <si>
    <t xml:space="preserve">Flamco</t>
  </si>
  <si>
    <t xml:space="preserve">БП-1</t>
  </si>
  <si>
    <t xml:space="preserve">Принуд. Нет</t>
  </si>
  <si>
    <t xml:space="preserve">Helix</t>
  </si>
  <si>
    <t xml:space="preserve">Reflex</t>
  </si>
  <si>
    <t xml:space="preserve">Блок подпитки
БП-2</t>
  </si>
  <si>
    <t xml:space="preserve">БП-2</t>
  </si>
  <si>
    <t xml:space="preserve">Блок подпитки
БП-3</t>
  </si>
  <si>
    <t xml:space="preserve">БП-3</t>
  </si>
  <si>
    <t xml:space="preserve">Дополнительная информация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</si>
</sst>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"/>
    <numFmt numFmtId="167" formatCode="_-* #,##0.00_р_._-;\-* #,##0.00_р_._-;_-* \-??_р_._-;_-@_-"/>
    <numFmt numFmtId="168" formatCode="@"/>
  </numFmts>
  <fonts count="9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000000"/>
      <name val="Symbol"/>
      <family val="1"/>
      <charset val="2"/>
    </font>
    <font>
      <sz val="11"/>
      <color rgb="FF000000"/>
      <name val="Calibri"/>
      <family val="2"/>
      <charset val="204"/>
    </font>
    <font>
      <sz val="8"/>
      <color rgb="FF000000"/>
      <name val="Segoe UI"/>
      <family val="0"/>
      <charset val="1"/>
    </font>
    <font>
      <sz val="9"/>
      <color rgb="FF000000"/>
      <name val="Calibri"/>
      <family val="2"/>
      <charset val="1"/>
    </font>
    <font>
      <sz val="9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B7DEE8"/>
        <bgColor rgb="FF99CCFF"/>
      </patternFill>
    </fill>
    <fill>
      <patternFill patternType="solid">
        <fgColor rgb="FFC3D69B"/>
        <bgColor rgb="FFB7DEE8"/>
      </patternFill>
    </fill>
    <fill>
      <patternFill patternType="solid">
        <fgColor rgb="FFF2F2F2"/>
        <bgColor rgb="FFFFFFCC"/>
      </patternFill>
    </fill>
  </fills>
  <borders count="52">
    <border diagonalUp="false" diagonalDown="false">
      <left/>
      <right/>
      <top/>
      <bottom/>
      <diagonal/>
    </border>
    <border diagonalUp="false" diagonalDown="true">
      <left style="medium"/>
      <right/>
      <top style="medium"/>
      <bottom/>
      <diagonal style="thin"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true">
      <left/>
      <right style="medium"/>
      <top/>
      <bottom style="medium"/>
      <diagonal style="thin"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RowHeight="15" zeroHeight="false" outlineLevelRow="0" outlineLevelCol="0"/>
  <cols>
    <col collapsed="false" customWidth="true" hidden="false" outlineLevel="0" max="2" min="1" style="1" width="9.14"/>
    <col collapsed="false" customWidth="true" hidden="false" outlineLevel="0" max="6" min="3" style="1" width="12.86"/>
    <col collapsed="false" customWidth="true" hidden="false" outlineLevel="0" max="8" min="7" style="1" width="12.71"/>
    <col collapsed="false" customWidth="true" hidden="false" outlineLevel="0" max="11" min="9" style="1" width="19"/>
    <col collapsed="false" customWidth="true" hidden="false" outlineLevel="0" max="12" min="12" style="1" width="12.42"/>
    <col collapsed="false" customWidth="true" hidden="false" outlineLevel="0" max="14" min="13" style="1" width="16.71"/>
    <col collapsed="false" customWidth="true" hidden="false" outlineLevel="0" max="15" min="15" style="1" width="13.01"/>
    <col collapsed="false" customWidth="true" hidden="false" outlineLevel="0" max="16" min="16" style="1" width="18.85"/>
    <col collapsed="false" customWidth="true" hidden="false" outlineLevel="0" max="17" min="17" style="1" width="18.71"/>
    <col collapsed="false" customWidth="true" hidden="false" outlineLevel="0" max="1025" min="18" style="1" width="9.14"/>
  </cols>
  <sheetData>
    <row r="1" customFormat="false" ht="15.75" hidden="false" customHeight="false" outlineLevel="0" collapsed="false">
      <c r="A1" s="2"/>
      <c r="B1" s="3" t="s">
        <v>0</v>
      </c>
      <c r="C1" s="4" t="s">
        <v>1</v>
      </c>
      <c r="D1" s="4"/>
      <c r="E1" s="4"/>
      <c r="F1" s="4"/>
      <c r="G1" s="4" t="s">
        <v>2</v>
      </c>
      <c r="H1" s="4"/>
      <c r="I1" s="4"/>
      <c r="J1" s="4"/>
      <c r="K1" s="4"/>
      <c r="L1" s="5" t="s">
        <v>3</v>
      </c>
      <c r="M1" s="5"/>
      <c r="N1" s="5"/>
      <c r="O1" s="4" t="s">
        <v>4</v>
      </c>
      <c r="P1" s="4"/>
      <c r="Q1" s="4"/>
    </row>
    <row r="2" customFormat="false" ht="15.75" hidden="false" customHeight="false" outlineLevel="0" collapsed="false">
      <c r="A2" s="6" t="s">
        <v>5</v>
      </c>
      <c r="B2" s="7"/>
      <c r="C2" s="4" t="s">
        <v>6</v>
      </c>
      <c r="D2" s="4" t="s">
        <v>7</v>
      </c>
      <c r="E2" s="4" t="s">
        <v>8</v>
      </c>
      <c r="F2" s="8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/>
      <c r="M2" s="4" t="s">
        <v>10</v>
      </c>
      <c r="N2" s="5" t="s">
        <v>15</v>
      </c>
      <c r="O2" s="4"/>
      <c r="P2" s="4" t="s">
        <v>10</v>
      </c>
      <c r="Q2" s="4" t="s">
        <v>15</v>
      </c>
    </row>
    <row r="3" customFormat="false" ht="15" hidden="false" customHeight="false" outlineLevel="0" collapsed="false">
      <c r="A3" s="9" t="n">
        <v>0.05</v>
      </c>
      <c r="B3" s="9"/>
      <c r="C3" s="10" t="str">
        <f aca="false">$C$1&amp;"-"&amp;$A3&amp;"-"&amp;C$2</f>
        <v>БВ-0,05-xx</v>
      </c>
      <c r="D3" s="11" t="str">
        <f aca="false">$C$1&amp;"-"&amp;$A3&amp;"-"&amp;D$2</f>
        <v>БВ-0,05-РП</v>
      </c>
      <c r="E3" s="11" t="str">
        <f aca="false">$C$1&amp;"-"&amp;$A3&amp;"-"&amp;E$2</f>
        <v>БВ-0,05-Рх</v>
      </c>
      <c r="F3" s="12" t="str">
        <f aca="false">$C$1&amp;"-"&amp;$A3&amp;"-"&amp;F$2</f>
        <v>БВ-0,05-хП</v>
      </c>
      <c r="G3" s="9" t="str">
        <f aca="false">$G$1&amp;"-"&amp;$A3&amp;"-"&amp;G$2</f>
        <v>БОВ-0,05-С</v>
      </c>
      <c r="H3" s="9" t="str">
        <f aca="false">$G$1&amp;"-"&amp;$A3&amp;"-"&amp;H$2</f>
        <v>БОВ-0,05-Т</v>
      </c>
      <c r="I3" s="9" t="str">
        <f aca="false">$G$1&amp;"-"&amp;$A3&amp;"-"&amp;I$2</f>
        <v>БОВ-0,05-Т-2(50%)</v>
      </c>
      <c r="J3" s="9" t="str">
        <f aca="false">$G$1&amp;"-"&amp;$A3&amp;"-"&amp;J$2</f>
        <v>БОВ-0,05-Т-2(75%)</v>
      </c>
      <c r="K3" s="9" t="str">
        <f aca="false">$G$1&amp;"-"&amp;$A3&amp;"-"&amp;K$2</f>
        <v>БОВ-0,05-Т-2(100%)</v>
      </c>
      <c r="L3" s="12" t="str">
        <f aca="false">$L$1&amp;"-"&amp;$A3</f>
        <v>БГ-0,05</v>
      </c>
      <c r="M3" s="13" t="str">
        <f aca="false">$L$1&amp;"-"&amp;M$2&amp;"-"&amp;$A3&amp;"/"&amp;$A3</f>
        <v>БГ-С-0,05/0,05</v>
      </c>
      <c r="N3" s="13" t="str">
        <f aca="false">$L$1&amp;"-"&amp;N$2&amp;"-"&amp;$A3&amp;"/"&amp;$A3</f>
        <v>БГ-П-0,05/0,05</v>
      </c>
      <c r="O3" s="14" t="str">
        <f aca="false">$O$1&amp;"-"&amp;$A3</f>
        <v>БОВГ-0,05</v>
      </c>
      <c r="P3" s="14" t="str">
        <f aca="false">$O$1&amp;"-"&amp;P$2&amp;"-"&amp;$A3&amp;"/"&amp;$A3</f>
        <v>БОВГ-С-0,05/0,05</v>
      </c>
      <c r="Q3" s="14" t="str">
        <f aca="false">$O$1&amp;"-"&amp;Q$2&amp;"-"&amp;$A3&amp;"/"&amp;$A3</f>
        <v>БОВГ-П-0,05/0,05</v>
      </c>
    </row>
    <row r="4" customFormat="false" ht="15" hidden="false" customHeight="false" outlineLevel="0" collapsed="false">
      <c r="A4" s="15" t="n">
        <v>0.06</v>
      </c>
      <c r="B4" s="15"/>
      <c r="C4" s="10" t="str">
        <f aca="false">$C$1&amp;"-"&amp;$A4&amp;"-"&amp;C$2</f>
        <v>БВ-0,06-xx</v>
      </c>
      <c r="D4" s="10" t="str">
        <f aca="false">$C$1&amp;"-"&amp;$A4&amp;"-"&amp;D$2</f>
        <v>БВ-0,06-РП</v>
      </c>
      <c r="E4" s="10" t="str">
        <f aca="false">$C$1&amp;"-"&amp;$A4&amp;"-"&amp;E$2</f>
        <v>БВ-0,06-Рх</v>
      </c>
      <c r="F4" s="13" t="str">
        <f aca="false">$C$1&amp;"-"&amp;$A4&amp;"-"&amp;F$2</f>
        <v>БВ-0,06-хП</v>
      </c>
      <c r="G4" s="16" t="str">
        <f aca="false">$G$1&amp;"-"&amp;$A4&amp;"-"&amp;G$2</f>
        <v>БОВ-0,06-С</v>
      </c>
      <c r="H4" s="13" t="str">
        <f aca="false">$G$1&amp;"-"&amp;$A4&amp;"-"&amp;H$2</f>
        <v>БОВ-0,06-Т</v>
      </c>
      <c r="I4" s="13" t="str">
        <f aca="false">$G$1&amp;"-"&amp;$A4&amp;"-"&amp;I$2</f>
        <v>БОВ-0,06-Т-2(50%)</v>
      </c>
      <c r="J4" s="13" t="str">
        <f aca="false">$G$1&amp;"-"&amp;$A4&amp;"-"&amp;J$2</f>
        <v>БОВ-0,06-Т-2(75%)</v>
      </c>
      <c r="K4" s="13" t="str">
        <f aca="false">$G$1&amp;"-"&amp;$A4&amp;"-"&amp;K$2</f>
        <v>БОВ-0,06-Т-2(100%)</v>
      </c>
      <c r="L4" s="13" t="str">
        <f aca="false">$L$1&amp;"-"&amp;$A4</f>
        <v>БГ-0,06</v>
      </c>
      <c r="M4" s="13" t="str">
        <f aca="false">$L$1&amp;"-"&amp;M$2&amp;"-"&amp;$A4&amp;"/"&amp;$A4</f>
        <v>БГ-С-0,06/0,06</v>
      </c>
      <c r="N4" s="13" t="str">
        <f aca="false">$L$1&amp;"-"&amp;N$2&amp;"-"&amp;$A4&amp;"/"&amp;$A4</f>
        <v>БГ-П-0,06/0,06</v>
      </c>
      <c r="O4" s="13" t="str">
        <f aca="false">$O$1&amp;"-"&amp;$A4</f>
        <v>БОВГ-0,06</v>
      </c>
      <c r="P4" s="13" t="str">
        <f aca="false">$O$1&amp;"-"&amp;P$2&amp;"-"&amp;$A4&amp;"/"&amp;$A4</f>
        <v>БОВГ-С-0,06/0,06</v>
      </c>
      <c r="Q4" s="13" t="str">
        <f aca="false">$O$1&amp;"-"&amp;Q$2&amp;"-"&amp;$A4&amp;"/"&amp;$A4</f>
        <v>БОВГ-П-0,06/0,06</v>
      </c>
    </row>
    <row r="5" customFormat="false" ht="15" hidden="false" customHeight="false" outlineLevel="0" collapsed="false">
      <c r="A5" s="15" t="n">
        <v>0.07</v>
      </c>
      <c r="B5" s="15"/>
      <c r="C5" s="10" t="str">
        <f aca="false">$C$1&amp;"-"&amp;$A5&amp;"-"&amp;C$2</f>
        <v>БВ-0,07-xx</v>
      </c>
      <c r="D5" s="10" t="str">
        <f aca="false">$C$1&amp;"-"&amp;$A5&amp;"-"&amp;D$2</f>
        <v>БВ-0,07-РП</v>
      </c>
      <c r="E5" s="10" t="str">
        <f aca="false">$C$1&amp;"-"&amp;$A5&amp;"-"&amp;E$2</f>
        <v>БВ-0,07-Рх</v>
      </c>
      <c r="F5" s="14" t="str">
        <f aca="false">$C$1&amp;"-"&amp;$A5&amp;"-"&amp;F$2</f>
        <v>БВ-0,07-хП</v>
      </c>
      <c r="G5" s="16" t="str">
        <f aca="false">$G$1&amp;"-"&amp;$A5&amp;"-"&amp;G$2</f>
        <v>БОВ-0,07-С</v>
      </c>
      <c r="H5" s="13" t="str">
        <f aca="false">$G$1&amp;"-"&amp;$A5&amp;"-"&amp;H$2</f>
        <v>БОВ-0,07-Т</v>
      </c>
      <c r="I5" s="13" t="str">
        <f aca="false">$G$1&amp;"-"&amp;$A5&amp;"-"&amp;I$2</f>
        <v>БОВ-0,07-Т-2(50%)</v>
      </c>
      <c r="J5" s="13" t="str">
        <f aca="false">$G$1&amp;"-"&amp;$A5&amp;"-"&amp;J$2</f>
        <v>БОВ-0,07-Т-2(75%)</v>
      </c>
      <c r="K5" s="13" t="str">
        <f aca="false">$G$1&amp;"-"&amp;$A5&amp;"-"&amp;K$2</f>
        <v>БОВ-0,07-Т-2(100%)</v>
      </c>
      <c r="L5" s="13" t="str">
        <f aca="false">$L$1&amp;"-"&amp;$A5</f>
        <v>БГ-0,07</v>
      </c>
      <c r="M5" s="13" t="str">
        <f aca="false">$L$1&amp;"-"&amp;M$2&amp;"-"&amp;$A5&amp;"/"&amp;$A5</f>
        <v>БГ-С-0,07/0,07</v>
      </c>
      <c r="N5" s="13" t="str">
        <f aca="false">$L$1&amp;"-"&amp;N$2&amp;"-"&amp;$A5&amp;"/"&amp;$A5</f>
        <v>БГ-П-0,07/0,07</v>
      </c>
      <c r="O5" s="13" t="str">
        <f aca="false">$O$1&amp;"-"&amp;$A5</f>
        <v>БОВГ-0,07</v>
      </c>
      <c r="P5" s="13" t="str">
        <f aca="false">$O$1&amp;"-"&amp;P$2&amp;"-"&amp;$A5&amp;"/"&amp;$A5</f>
        <v>БОВГ-С-0,07/0,07</v>
      </c>
      <c r="Q5" s="13" t="str">
        <f aca="false">$O$1&amp;"-"&amp;Q$2&amp;"-"&amp;$A5&amp;"/"&amp;$A5</f>
        <v>БОВГ-П-0,07/0,07</v>
      </c>
    </row>
    <row r="6" customFormat="false" ht="15" hidden="false" customHeight="false" outlineLevel="0" collapsed="false">
      <c r="A6" s="15" t="n">
        <v>0.08</v>
      </c>
      <c r="B6" s="15"/>
      <c r="C6" s="10" t="str">
        <f aca="false">$C$1&amp;"-"&amp;$A6&amp;"-"&amp;C$2</f>
        <v>БВ-0,08-xx</v>
      </c>
      <c r="D6" s="10" t="str">
        <f aca="false">$C$1&amp;"-"&amp;$A6&amp;"-"&amp;D$2</f>
        <v>БВ-0,08-РП</v>
      </c>
      <c r="E6" s="10" t="str">
        <f aca="false">$C$1&amp;"-"&amp;$A6&amp;"-"&amp;E$2</f>
        <v>БВ-0,08-Рх</v>
      </c>
      <c r="F6" s="14" t="str">
        <f aca="false">$C$1&amp;"-"&amp;$A6&amp;"-"&amp;F$2</f>
        <v>БВ-0,08-хП</v>
      </c>
      <c r="G6" s="16" t="str">
        <f aca="false">$G$1&amp;"-"&amp;$A6&amp;"-"&amp;G$2</f>
        <v>БОВ-0,08-С</v>
      </c>
      <c r="H6" s="13" t="str">
        <f aca="false">$G$1&amp;"-"&amp;$A6&amp;"-"&amp;H$2</f>
        <v>БОВ-0,08-Т</v>
      </c>
      <c r="I6" s="13" t="str">
        <f aca="false">$G$1&amp;"-"&amp;$A6&amp;"-"&amp;I$2</f>
        <v>БОВ-0,08-Т-2(50%)</v>
      </c>
      <c r="J6" s="13" t="str">
        <f aca="false">$G$1&amp;"-"&amp;$A6&amp;"-"&amp;J$2</f>
        <v>БОВ-0,08-Т-2(75%)</v>
      </c>
      <c r="K6" s="13" t="str">
        <f aca="false">$G$1&amp;"-"&amp;$A6&amp;"-"&amp;K$2</f>
        <v>БОВ-0,08-Т-2(100%)</v>
      </c>
      <c r="L6" s="13" t="str">
        <f aca="false">$L$1&amp;"-"&amp;$A6</f>
        <v>БГ-0,08</v>
      </c>
      <c r="M6" s="13" t="str">
        <f aca="false">$L$1&amp;"-"&amp;M$2&amp;"-"&amp;$A6&amp;"/"&amp;$A6</f>
        <v>БГ-С-0,08/0,08</v>
      </c>
      <c r="N6" s="13" t="str">
        <f aca="false">$L$1&amp;"-"&amp;N$2&amp;"-"&amp;$A6&amp;"/"&amp;$A6</f>
        <v>БГ-П-0,08/0,08</v>
      </c>
      <c r="O6" s="13" t="str">
        <f aca="false">$O$1&amp;"-"&amp;$A6</f>
        <v>БОВГ-0,08</v>
      </c>
      <c r="P6" s="13" t="str">
        <f aca="false">$O$1&amp;"-"&amp;P$2&amp;"-"&amp;$A6&amp;"/"&amp;$A6</f>
        <v>БОВГ-С-0,08/0,08</v>
      </c>
      <c r="Q6" s="13" t="str">
        <f aca="false">$O$1&amp;"-"&amp;Q$2&amp;"-"&amp;$A6&amp;"/"&amp;$A6</f>
        <v>БОВГ-П-0,08/0,08</v>
      </c>
    </row>
    <row r="7" customFormat="false" ht="15" hidden="false" customHeight="false" outlineLevel="0" collapsed="false">
      <c r="A7" s="15" t="n">
        <v>0.09</v>
      </c>
      <c r="B7" s="15"/>
      <c r="C7" s="10" t="str">
        <f aca="false">$C$1&amp;"-"&amp;$A7&amp;"-"&amp;C$2</f>
        <v>БВ-0,09-xx</v>
      </c>
      <c r="D7" s="10" t="str">
        <f aca="false">$C$1&amp;"-"&amp;$A7&amp;"-"&amp;D$2</f>
        <v>БВ-0,09-РП</v>
      </c>
      <c r="E7" s="10" t="str">
        <f aca="false">$C$1&amp;"-"&amp;$A7&amp;"-"&amp;E$2</f>
        <v>БВ-0,09-Рх</v>
      </c>
      <c r="F7" s="14" t="str">
        <f aca="false">$C$1&amp;"-"&amp;$A7&amp;"-"&amp;F$2</f>
        <v>БВ-0,09-хП</v>
      </c>
      <c r="G7" s="16" t="str">
        <f aca="false">$G$1&amp;"-"&amp;$A7&amp;"-"&amp;G$2</f>
        <v>БОВ-0,09-С</v>
      </c>
      <c r="H7" s="13" t="str">
        <f aca="false">$G$1&amp;"-"&amp;$A7&amp;"-"&amp;H$2</f>
        <v>БОВ-0,09-Т</v>
      </c>
      <c r="I7" s="13" t="str">
        <f aca="false">$G$1&amp;"-"&amp;$A7&amp;"-"&amp;I$2</f>
        <v>БОВ-0,09-Т-2(50%)</v>
      </c>
      <c r="J7" s="13" t="str">
        <f aca="false">$G$1&amp;"-"&amp;$A7&amp;"-"&amp;J$2</f>
        <v>БОВ-0,09-Т-2(75%)</v>
      </c>
      <c r="K7" s="13" t="str">
        <f aca="false">$G$1&amp;"-"&amp;$A7&amp;"-"&amp;K$2</f>
        <v>БОВ-0,09-Т-2(100%)</v>
      </c>
      <c r="L7" s="13" t="str">
        <f aca="false">$L$1&amp;"-"&amp;$A7</f>
        <v>БГ-0,09</v>
      </c>
      <c r="M7" s="13" t="str">
        <f aca="false">$L$1&amp;"-"&amp;M$2&amp;"-"&amp;$A7&amp;"/"&amp;$A7</f>
        <v>БГ-С-0,09/0,09</v>
      </c>
      <c r="N7" s="13" t="str">
        <f aca="false">$L$1&amp;"-"&amp;N$2&amp;"-"&amp;$A7&amp;"/"&amp;$A7</f>
        <v>БГ-П-0,09/0,09</v>
      </c>
      <c r="O7" s="13" t="str">
        <f aca="false">$O$1&amp;"-"&amp;$A7</f>
        <v>БОВГ-0,09</v>
      </c>
      <c r="P7" s="13" t="str">
        <f aca="false">$O$1&amp;"-"&amp;P$2&amp;"-"&amp;$A7&amp;"/"&amp;$A7</f>
        <v>БОВГ-С-0,09/0,09</v>
      </c>
      <c r="Q7" s="13" t="str">
        <f aca="false">$O$1&amp;"-"&amp;Q$2&amp;"-"&amp;$A7&amp;"/"&amp;$A7</f>
        <v>БОВГ-П-0,09/0,09</v>
      </c>
    </row>
    <row r="8" customFormat="false" ht="15" hidden="false" customHeight="false" outlineLevel="0" collapsed="false">
      <c r="A8" s="17" t="s">
        <v>16</v>
      </c>
      <c r="B8" s="17"/>
      <c r="C8" s="10" t="str">
        <f aca="false">$C$1&amp;"-"&amp;$A8&amp;"-"&amp;C$2</f>
        <v>БВ-0,10-xx</v>
      </c>
      <c r="D8" s="10" t="str">
        <f aca="false">$C$1&amp;"-"&amp;$A8&amp;"-"&amp;D$2</f>
        <v>БВ-0,10-РП</v>
      </c>
      <c r="E8" s="10" t="str">
        <f aca="false">$C$1&amp;"-"&amp;$A8&amp;"-"&amp;E$2</f>
        <v>БВ-0,10-Рх</v>
      </c>
      <c r="F8" s="14" t="str">
        <f aca="false">$C$1&amp;"-"&amp;$A8&amp;"-"&amp;F$2</f>
        <v>БВ-0,10-хП</v>
      </c>
      <c r="G8" s="16" t="str">
        <f aca="false">$G$1&amp;"-"&amp;$A8&amp;"-"&amp;G$2</f>
        <v>БОВ-0,10-С</v>
      </c>
      <c r="H8" s="13" t="str">
        <f aca="false">$G$1&amp;"-"&amp;$A8&amp;"-"&amp;H$2</f>
        <v>БОВ-0,10-Т</v>
      </c>
      <c r="I8" s="13" t="str">
        <f aca="false">$G$1&amp;"-"&amp;$A8&amp;"-"&amp;I$2</f>
        <v>БОВ-0,10-Т-2(50%)</v>
      </c>
      <c r="J8" s="13" t="str">
        <f aca="false">$G$1&amp;"-"&amp;$A8&amp;"-"&amp;J$2</f>
        <v>БОВ-0,10-Т-2(75%)</v>
      </c>
      <c r="K8" s="13" t="str">
        <f aca="false">$G$1&amp;"-"&amp;$A8&amp;"-"&amp;K$2</f>
        <v>БОВ-0,10-Т-2(100%)</v>
      </c>
      <c r="L8" s="13" t="str">
        <f aca="false">$L$1&amp;"-"&amp;$A8</f>
        <v>БГ-0,10</v>
      </c>
      <c r="M8" s="13" t="str">
        <f aca="false">$L$1&amp;"-"&amp;M$2&amp;"-"&amp;$A8&amp;"/"&amp;$A8</f>
        <v>БГ-С-0,10/0,10</v>
      </c>
      <c r="N8" s="13" t="str">
        <f aca="false">$L$1&amp;"-"&amp;N$2&amp;"-"&amp;$A8&amp;"/"&amp;$A8</f>
        <v>БГ-П-0,10/0,10</v>
      </c>
      <c r="O8" s="13" t="str">
        <f aca="false">$O$1&amp;"-"&amp;$A8</f>
        <v>БОВГ-0,10</v>
      </c>
      <c r="P8" s="13" t="str">
        <f aca="false">$O$1&amp;"-"&amp;P$2&amp;"-"&amp;$A8&amp;"/"&amp;$A8</f>
        <v>БОВГ-С-0,10/0,10</v>
      </c>
      <c r="Q8" s="13" t="str">
        <f aca="false">$O$1&amp;"-"&amp;Q$2&amp;"-"&amp;$A8&amp;"/"&amp;$A8</f>
        <v>БОВГ-П-0,10/0,10</v>
      </c>
    </row>
    <row r="9" customFormat="false" ht="15" hidden="false" customHeight="false" outlineLevel="0" collapsed="false">
      <c r="A9" s="17" t="n">
        <v>0.15</v>
      </c>
      <c r="B9" s="17"/>
      <c r="C9" s="10" t="str">
        <f aca="false">$C$1&amp;"-"&amp;$A9&amp;"-"&amp;C$2</f>
        <v>БВ-0,15-xx</v>
      </c>
      <c r="D9" s="10" t="str">
        <f aca="false">$C$1&amp;"-"&amp;$A9&amp;"-"&amp;D$2</f>
        <v>БВ-0,15-РП</v>
      </c>
      <c r="E9" s="10" t="str">
        <f aca="false">$C$1&amp;"-"&amp;$A9&amp;"-"&amp;E$2</f>
        <v>БВ-0,15-Рх</v>
      </c>
      <c r="F9" s="14" t="str">
        <f aca="false">$C$1&amp;"-"&amp;$A9&amp;"-"&amp;F$2</f>
        <v>БВ-0,15-хП</v>
      </c>
      <c r="G9" s="16" t="str">
        <f aca="false">$G$1&amp;"-"&amp;$A9&amp;"-"&amp;G$2</f>
        <v>БОВ-0,15-С</v>
      </c>
      <c r="H9" s="13" t="str">
        <f aca="false">$G$1&amp;"-"&amp;$A9&amp;"-"&amp;H$2</f>
        <v>БОВ-0,15-Т</v>
      </c>
      <c r="I9" s="13" t="str">
        <f aca="false">$G$1&amp;"-"&amp;$A9&amp;"-"&amp;I$2</f>
        <v>БОВ-0,15-Т-2(50%)</v>
      </c>
      <c r="J9" s="13" t="str">
        <f aca="false">$G$1&amp;"-"&amp;$A9&amp;"-"&amp;J$2</f>
        <v>БОВ-0,15-Т-2(75%)</v>
      </c>
      <c r="K9" s="13" t="str">
        <f aca="false">$G$1&amp;"-"&amp;$A9&amp;"-"&amp;K$2</f>
        <v>БОВ-0,15-Т-2(100%)</v>
      </c>
      <c r="L9" s="13" t="str">
        <f aca="false">$L$1&amp;"-"&amp;$A9</f>
        <v>БГ-0,15</v>
      </c>
      <c r="M9" s="13" t="str">
        <f aca="false">$L$1&amp;"-"&amp;M$2&amp;"-"&amp;$A9&amp;"/"&amp;$A9</f>
        <v>БГ-С-0,15/0,15</v>
      </c>
      <c r="N9" s="13" t="str">
        <f aca="false">$L$1&amp;"-"&amp;N$2&amp;"-"&amp;$A9&amp;"/"&amp;$A9</f>
        <v>БГ-П-0,15/0,15</v>
      </c>
      <c r="O9" s="13" t="str">
        <f aca="false">$O$1&amp;"-"&amp;$A9</f>
        <v>БОВГ-0,15</v>
      </c>
      <c r="P9" s="13" t="str">
        <f aca="false">$O$1&amp;"-"&amp;P$2&amp;"-"&amp;$A9&amp;"/"&amp;$A9</f>
        <v>БОВГ-С-0,15/0,15</v>
      </c>
      <c r="Q9" s="13" t="str">
        <f aca="false">$O$1&amp;"-"&amp;Q$2&amp;"-"&amp;$A9&amp;"/"&amp;$A9</f>
        <v>БОВГ-П-0,15/0,15</v>
      </c>
    </row>
    <row r="10" customFormat="false" ht="15" hidden="false" customHeight="false" outlineLevel="0" collapsed="false">
      <c r="A10" s="17" t="s">
        <v>17</v>
      </c>
      <c r="B10" s="17"/>
      <c r="C10" s="10" t="str">
        <f aca="false">$C$1&amp;"-"&amp;$A10&amp;"-"&amp;C$2</f>
        <v>БВ-0,20-xx</v>
      </c>
      <c r="D10" s="10" t="str">
        <f aca="false">$C$1&amp;"-"&amp;$A10&amp;"-"&amp;D$2</f>
        <v>БВ-0,20-РП</v>
      </c>
      <c r="E10" s="10" t="str">
        <f aca="false">$C$1&amp;"-"&amp;$A10&amp;"-"&amp;E$2</f>
        <v>БВ-0,20-Рх</v>
      </c>
      <c r="F10" s="14" t="str">
        <f aca="false">$C$1&amp;"-"&amp;$A10&amp;"-"&amp;F$2</f>
        <v>БВ-0,20-хП</v>
      </c>
      <c r="G10" s="16" t="str">
        <f aca="false">$G$1&amp;"-"&amp;$A10&amp;"-"&amp;G$2</f>
        <v>БОВ-0,20-С</v>
      </c>
      <c r="H10" s="13" t="str">
        <f aca="false">$G$1&amp;"-"&amp;$A10&amp;"-"&amp;H$2</f>
        <v>БОВ-0,20-Т</v>
      </c>
      <c r="I10" s="13" t="str">
        <f aca="false">$G$1&amp;"-"&amp;$A10&amp;"-"&amp;I$2</f>
        <v>БОВ-0,20-Т-2(50%)</v>
      </c>
      <c r="J10" s="13" t="str">
        <f aca="false">$G$1&amp;"-"&amp;$A10&amp;"-"&amp;J$2</f>
        <v>БОВ-0,20-Т-2(75%)</v>
      </c>
      <c r="K10" s="13" t="str">
        <f aca="false">$G$1&amp;"-"&amp;$A10&amp;"-"&amp;K$2</f>
        <v>БОВ-0,20-Т-2(100%)</v>
      </c>
      <c r="L10" s="13" t="str">
        <f aca="false">$L$1&amp;"-"&amp;$A10</f>
        <v>БГ-0,20</v>
      </c>
      <c r="M10" s="13" t="str">
        <f aca="false">$L$1&amp;"-"&amp;M$2&amp;"-"&amp;$A10&amp;"/"&amp;$A10</f>
        <v>БГ-С-0,20/0,20</v>
      </c>
      <c r="N10" s="13" t="str">
        <f aca="false">$L$1&amp;"-"&amp;N$2&amp;"-"&amp;$A10&amp;"/"&amp;$A10</f>
        <v>БГ-П-0,20/0,20</v>
      </c>
      <c r="O10" s="13" t="str">
        <f aca="false">$O$1&amp;"-"&amp;$A10</f>
        <v>БОВГ-0,20</v>
      </c>
      <c r="P10" s="13" t="str">
        <f aca="false">$O$1&amp;"-"&amp;P$2&amp;"-"&amp;$A10&amp;"/"&amp;$A10</f>
        <v>БОВГ-С-0,20/0,20</v>
      </c>
      <c r="Q10" s="13" t="str">
        <f aca="false">$O$1&amp;"-"&amp;Q$2&amp;"-"&amp;$A10&amp;"/"&amp;$A10</f>
        <v>БОВГ-П-0,20/0,20</v>
      </c>
    </row>
    <row r="11" customFormat="false" ht="15" hidden="false" customHeight="false" outlineLevel="0" collapsed="false">
      <c r="A11" s="17" t="n">
        <v>0.25</v>
      </c>
      <c r="B11" s="17"/>
      <c r="C11" s="10" t="str">
        <f aca="false">$C$1&amp;"-"&amp;$A11&amp;"-"&amp;C$2</f>
        <v>БВ-0,25-xx</v>
      </c>
      <c r="D11" s="10" t="str">
        <f aca="false">$C$1&amp;"-"&amp;$A11&amp;"-"&amp;D$2</f>
        <v>БВ-0,25-РП</v>
      </c>
      <c r="E11" s="10" t="str">
        <f aca="false">$C$1&amp;"-"&amp;$A11&amp;"-"&amp;E$2</f>
        <v>БВ-0,25-Рх</v>
      </c>
      <c r="F11" s="14" t="str">
        <f aca="false">$C$1&amp;"-"&amp;$A11&amp;"-"&amp;F$2</f>
        <v>БВ-0,25-хП</v>
      </c>
      <c r="G11" s="16" t="str">
        <f aca="false">$G$1&amp;"-"&amp;$A11&amp;"-"&amp;G$2</f>
        <v>БОВ-0,25-С</v>
      </c>
      <c r="H11" s="13" t="str">
        <f aca="false">$G$1&amp;"-"&amp;$A11&amp;"-"&amp;H$2</f>
        <v>БОВ-0,25-Т</v>
      </c>
      <c r="I11" s="13" t="str">
        <f aca="false">$G$1&amp;"-"&amp;$A11&amp;"-"&amp;I$2</f>
        <v>БОВ-0,25-Т-2(50%)</v>
      </c>
      <c r="J11" s="13" t="str">
        <f aca="false">$G$1&amp;"-"&amp;$A11&amp;"-"&amp;J$2</f>
        <v>БОВ-0,25-Т-2(75%)</v>
      </c>
      <c r="K11" s="13" t="str">
        <f aca="false">$G$1&amp;"-"&amp;$A11&amp;"-"&amp;K$2</f>
        <v>БОВ-0,25-Т-2(100%)</v>
      </c>
      <c r="L11" s="13" t="str">
        <f aca="false">$L$1&amp;"-"&amp;$A11</f>
        <v>БГ-0,25</v>
      </c>
      <c r="M11" s="13" t="str">
        <f aca="false">$L$1&amp;"-"&amp;M$2&amp;"-"&amp;$A11&amp;"/"&amp;$A11</f>
        <v>БГ-С-0,25/0,25</v>
      </c>
      <c r="N11" s="13" t="str">
        <f aca="false">$L$1&amp;"-"&amp;N$2&amp;"-"&amp;$A11&amp;"/"&amp;$A11</f>
        <v>БГ-П-0,25/0,25</v>
      </c>
      <c r="O11" s="13" t="str">
        <f aca="false">$O$1&amp;"-"&amp;$A11</f>
        <v>БОВГ-0,25</v>
      </c>
      <c r="P11" s="13" t="str">
        <f aca="false">$O$1&amp;"-"&amp;P$2&amp;"-"&amp;$A11&amp;"/"&amp;$A11</f>
        <v>БОВГ-С-0,25/0,25</v>
      </c>
      <c r="Q11" s="13" t="str">
        <f aca="false">$O$1&amp;"-"&amp;Q$2&amp;"-"&amp;$A11&amp;"/"&amp;$A11</f>
        <v>БОВГ-П-0,25/0,25</v>
      </c>
    </row>
    <row r="12" customFormat="false" ht="15" hidden="false" customHeight="false" outlineLevel="0" collapsed="false">
      <c r="A12" s="17" t="s">
        <v>18</v>
      </c>
      <c r="B12" s="17"/>
      <c r="C12" s="10" t="str">
        <f aca="false">$C$1&amp;"-"&amp;$A12&amp;"-"&amp;C$2</f>
        <v>БВ-0,30-xx</v>
      </c>
      <c r="D12" s="10" t="str">
        <f aca="false">$C$1&amp;"-"&amp;$A12&amp;"-"&amp;D$2</f>
        <v>БВ-0,30-РП</v>
      </c>
      <c r="E12" s="10" t="str">
        <f aca="false">$C$1&amp;"-"&amp;$A12&amp;"-"&amp;E$2</f>
        <v>БВ-0,30-Рх</v>
      </c>
      <c r="F12" s="14" t="str">
        <f aca="false">$C$1&amp;"-"&amp;$A12&amp;"-"&amp;F$2</f>
        <v>БВ-0,30-хП</v>
      </c>
      <c r="G12" s="16" t="str">
        <f aca="false">$G$1&amp;"-"&amp;$A12&amp;"-"&amp;G$2</f>
        <v>БОВ-0,30-С</v>
      </c>
      <c r="H12" s="13" t="str">
        <f aca="false">$G$1&amp;"-"&amp;$A12&amp;"-"&amp;H$2</f>
        <v>БОВ-0,30-Т</v>
      </c>
      <c r="I12" s="13" t="str">
        <f aca="false">$G$1&amp;"-"&amp;$A12&amp;"-"&amp;I$2</f>
        <v>БОВ-0,30-Т-2(50%)</v>
      </c>
      <c r="J12" s="13" t="str">
        <f aca="false">$G$1&amp;"-"&amp;$A12&amp;"-"&amp;J$2</f>
        <v>БОВ-0,30-Т-2(75%)</v>
      </c>
      <c r="K12" s="13" t="str">
        <f aca="false">$G$1&amp;"-"&amp;$A12&amp;"-"&amp;K$2</f>
        <v>БОВ-0,30-Т-2(100%)</v>
      </c>
      <c r="L12" s="13" t="str">
        <f aca="false">$L$1&amp;"-"&amp;$A12</f>
        <v>БГ-0,30</v>
      </c>
      <c r="M12" s="13" t="str">
        <f aca="false">$L$1&amp;"-"&amp;M$2&amp;"-"&amp;$A12&amp;"/"&amp;$A12</f>
        <v>БГ-С-0,30/0,30</v>
      </c>
      <c r="N12" s="13" t="str">
        <f aca="false">$L$1&amp;"-"&amp;N$2&amp;"-"&amp;$A12&amp;"/"&amp;$A12</f>
        <v>БГ-П-0,30/0,30</v>
      </c>
      <c r="O12" s="13" t="str">
        <f aca="false">$O$1&amp;"-"&amp;$A12</f>
        <v>БОВГ-0,30</v>
      </c>
      <c r="P12" s="13" t="str">
        <f aca="false">$O$1&amp;"-"&amp;P$2&amp;"-"&amp;$A12&amp;"/"&amp;$A12</f>
        <v>БОВГ-С-0,30/0,30</v>
      </c>
      <c r="Q12" s="13" t="str">
        <f aca="false">$O$1&amp;"-"&amp;Q$2&amp;"-"&amp;$A12&amp;"/"&amp;$A12</f>
        <v>БОВГ-П-0,30/0,30</v>
      </c>
    </row>
    <row r="13" customFormat="false" ht="15" hidden="false" customHeight="false" outlineLevel="0" collapsed="false">
      <c r="A13" s="17" t="n">
        <v>0.35</v>
      </c>
      <c r="B13" s="17"/>
      <c r="C13" s="10" t="str">
        <f aca="false">$C$1&amp;"-"&amp;$A13&amp;"-"&amp;C$2</f>
        <v>БВ-0,35-xx</v>
      </c>
      <c r="D13" s="10" t="str">
        <f aca="false">$C$1&amp;"-"&amp;$A13&amp;"-"&amp;D$2</f>
        <v>БВ-0,35-РП</v>
      </c>
      <c r="E13" s="10" t="str">
        <f aca="false">$C$1&amp;"-"&amp;$A13&amp;"-"&amp;E$2</f>
        <v>БВ-0,35-Рх</v>
      </c>
      <c r="F13" s="14" t="str">
        <f aca="false">$C$1&amp;"-"&amp;$A13&amp;"-"&amp;F$2</f>
        <v>БВ-0,35-хП</v>
      </c>
      <c r="G13" s="16" t="str">
        <f aca="false">$G$1&amp;"-"&amp;$A13&amp;"-"&amp;G$2</f>
        <v>БОВ-0,35-С</v>
      </c>
      <c r="H13" s="13" t="str">
        <f aca="false">$G$1&amp;"-"&amp;$A13&amp;"-"&amp;H$2</f>
        <v>БОВ-0,35-Т</v>
      </c>
      <c r="I13" s="13" t="str">
        <f aca="false">$G$1&amp;"-"&amp;$A13&amp;"-"&amp;I$2</f>
        <v>БОВ-0,35-Т-2(50%)</v>
      </c>
      <c r="J13" s="13" t="str">
        <f aca="false">$G$1&amp;"-"&amp;$A13&amp;"-"&amp;J$2</f>
        <v>БОВ-0,35-Т-2(75%)</v>
      </c>
      <c r="K13" s="13" t="str">
        <f aca="false">$G$1&amp;"-"&amp;$A13&amp;"-"&amp;K$2</f>
        <v>БОВ-0,35-Т-2(100%)</v>
      </c>
      <c r="L13" s="13" t="str">
        <f aca="false">$L$1&amp;"-"&amp;$A13</f>
        <v>БГ-0,35</v>
      </c>
      <c r="M13" s="13" t="str">
        <f aca="false">$L$1&amp;"-"&amp;M$2&amp;"-"&amp;$A13&amp;"/"&amp;$A13</f>
        <v>БГ-С-0,35/0,35</v>
      </c>
      <c r="N13" s="13" t="str">
        <f aca="false">$L$1&amp;"-"&amp;N$2&amp;"-"&amp;$A13&amp;"/"&amp;$A13</f>
        <v>БГ-П-0,35/0,35</v>
      </c>
      <c r="O13" s="13" t="str">
        <f aca="false">$O$1&amp;"-"&amp;$A13</f>
        <v>БОВГ-0,35</v>
      </c>
      <c r="P13" s="13" t="str">
        <f aca="false">$O$1&amp;"-"&amp;P$2&amp;"-"&amp;$A13&amp;"/"&amp;$A13</f>
        <v>БОВГ-С-0,35/0,35</v>
      </c>
      <c r="Q13" s="13" t="str">
        <f aca="false">$O$1&amp;"-"&amp;Q$2&amp;"-"&amp;$A13&amp;"/"&amp;$A13</f>
        <v>БОВГ-П-0,35/0,35</v>
      </c>
    </row>
    <row r="14" customFormat="false" ht="15" hidden="false" customHeight="false" outlineLevel="0" collapsed="false">
      <c r="A14" s="17" t="s">
        <v>19</v>
      </c>
      <c r="B14" s="17"/>
      <c r="C14" s="10" t="str">
        <f aca="false">$C$1&amp;"-"&amp;$A14&amp;"-"&amp;C$2</f>
        <v>БВ-0,04-xx</v>
      </c>
      <c r="D14" s="10" t="str">
        <f aca="false">$C$1&amp;"-"&amp;$A14&amp;"-"&amp;D$2</f>
        <v>БВ-0,04-РП</v>
      </c>
      <c r="E14" s="10" t="str">
        <f aca="false">$C$1&amp;"-"&amp;$A14&amp;"-"&amp;E$2</f>
        <v>БВ-0,04-Рх</v>
      </c>
      <c r="F14" s="14" t="str">
        <f aca="false">$C$1&amp;"-"&amp;$A14&amp;"-"&amp;F$2</f>
        <v>БВ-0,04-хП</v>
      </c>
      <c r="G14" s="16" t="str">
        <f aca="false">$G$1&amp;"-"&amp;$A14&amp;"-"&amp;G$2</f>
        <v>БОВ-0,04-С</v>
      </c>
      <c r="H14" s="13" t="str">
        <f aca="false">$G$1&amp;"-"&amp;$A14&amp;"-"&amp;H$2</f>
        <v>БОВ-0,04-Т</v>
      </c>
      <c r="I14" s="13" t="str">
        <f aca="false">$G$1&amp;"-"&amp;$A14&amp;"-"&amp;I$2</f>
        <v>БОВ-0,04-Т-2(50%)</v>
      </c>
      <c r="J14" s="13" t="str">
        <f aca="false">$G$1&amp;"-"&amp;$A14&amp;"-"&amp;J$2</f>
        <v>БОВ-0,04-Т-2(75%)</v>
      </c>
      <c r="K14" s="13" t="str">
        <f aca="false">$G$1&amp;"-"&amp;$A14&amp;"-"&amp;K$2</f>
        <v>БОВ-0,04-Т-2(100%)</v>
      </c>
      <c r="L14" s="13" t="str">
        <f aca="false">$L$1&amp;"-"&amp;$A14</f>
        <v>БГ-0,04</v>
      </c>
      <c r="M14" s="13" t="str">
        <f aca="false">$L$1&amp;"-"&amp;M$2&amp;"-"&amp;$A14&amp;"/"&amp;$A14</f>
        <v>БГ-С-0,04/0,04</v>
      </c>
      <c r="N14" s="13" t="str">
        <f aca="false">$L$1&amp;"-"&amp;N$2&amp;"-"&amp;$A14&amp;"/"&amp;$A14</f>
        <v>БГ-П-0,04/0,04</v>
      </c>
      <c r="O14" s="13" t="str">
        <f aca="false">$O$1&amp;"-"&amp;$A14</f>
        <v>БОВГ-0,04</v>
      </c>
      <c r="P14" s="13" t="str">
        <f aca="false">$O$1&amp;"-"&amp;P$2&amp;"-"&amp;$A14&amp;"/"&amp;$A14</f>
        <v>БОВГ-С-0,04/0,04</v>
      </c>
      <c r="Q14" s="13" t="str">
        <f aca="false">$O$1&amp;"-"&amp;Q$2&amp;"-"&amp;$A14&amp;"/"&amp;$A14</f>
        <v>БОВГ-П-0,04/0,04</v>
      </c>
    </row>
    <row r="15" customFormat="false" ht="15" hidden="false" customHeight="false" outlineLevel="0" collapsed="false">
      <c r="A15" s="17" t="n">
        <v>0.45</v>
      </c>
      <c r="B15" s="17"/>
      <c r="C15" s="10" t="str">
        <f aca="false">$C$1&amp;"-"&amp;$A15&amp;"-"&amp;C$2</f>
        <v>БВ-0,45-xx</v>
      </c>
      <c r="D15" s="10" t="str">
        <f aca="false">$C$1&amp;"-"&amp;$A15&amp;"-"&amp;D$2</f>
        <v>БВ-0,45-РП</v>
      </c>
      <c r="E15" s="10" t="str">
        <f aca="false">$C$1&amp;"-"&amp;$A15&amp;"-"&amp;E$2</f>
        <v>БВ-0,45-Рх</v>
      </c>
      <c r="F15" s="14" t="str">
        <f aca="false">$C$1&amp;"-"&amp;$A15&amp;"-"&amp;F$2</f>
        <v>БВ-0,45-хП</v>
      </c>
      <c r="G15" s="16" t="str">
        <f aca="false">$G$1&amp;"-"&amp;$A15&amp;"-"&amp;G$2</f>
        <v>БОВ-0,45-С</v>
      </c>
      <c r="H15" s="13" t="str">
        <f aca="false">$G$1&amp;"-"&amp;$A15&amp;"-"&amp;H$2</f>
        <v>БОВ-0,45-Т</v>
      </c>
      <c r="I15" s="13" t="str">
        <f aca="false">$G$1&amp;"-"&amp;$A15&amp;"-"&amp;I$2</f>
        <v>БОВ-0,45-Т-2(50%)</v>
      </c>
      <c r="J15" s="13" t="str">
        <f aca="false">$G$1&amp;"-"&amp;$A15&amp;"-"&amp;J$2</f>
        <v>БОВ-0,45-Т-2(75%)</v>
      </c>
      <c r="K15" s="13" t="str">
        <f aca="false">$G$1&amp;"-"&amp;$A15&amp;"-"&amp;K$2</f>
        <v>БОВ-0,45-Т-2(100%)</v>
      </c>
      <c r="L15" s="13" t="str">
        <f aca="false">$L$1&amp;"-"&amp;$A15</f>
        <v>БГ-0,45</v>
      </c>
      <c r="M15" s="13" t="str">
        <f aca="false">$L$1&amp;"-"&amp;M$2&amp;"-"&amp;$A15&amp;"/"&amp;$A15</f>
        <v>БГ-С-0,45/0,45</v>
      </c>
      <c r="N15" s="13" t="str">
        <f aca="false">$L$1&amp;"-"&amp;N$2&amp;"-"&amp;$A15&amp;"/"&amp;$A15</f>
        <v>БГ-П-0,45/0,45</v>
      </c>
      <c r="O15" s="13" t="str">
        <f aca="false">$O$1&amp;"-"&amp;$A15</f>
        <v>БОВГ-0,45</v>
      </c>
      <c r="P15" s="13" t="str">
        <f aca="false">$O$1&amp;"-"&amp;P$2&amp;"-"&amp;$A15&amp;"/"&amp;$A15</f>
        <v>БОВГ-С-0,45/0,45</v>
      </c>
      <c r="Q15" s="13" t="str">
        <f aca="false">$O$1&amp;"-"&amp;Q$2&amp;"-"&amp;$A15&amp;"/"&amp;$A15</f>
        <v>БОВГ-П-0,45/0,45</v>
      </c>
    </row>
    <row r="16" customFormat="false" ht="15" hidden="false" customHeight="false" outlineLevel="0" collapsed="false">
      <c r="A16" s="17" t="s">
        <v>20</v>
      </c>
      <c r="B16" s="17"/>
      <c r="C16" s="10" t="str">
        <f aca="false">$C$1&amp;"-"&amp;$A16&amp;"-"&amp;C$2</f>
        <v>БВ-0,05-xx</v>
      </c>
      <c r="D16" s="10" t="str">
        <f aca="false">$C$1&amp;"-"&amp;$A16&amp;"-"&amp;D$2</f>
        <v>БВ-0,05-РП</v>
      </c>
      <c r="E16" s="10" t="str">
        <f aca="false">$C$1&amp;"-"&amp;$A16&amp;"-"&amp;E$2</f>
        <v>БВ-0,05-Рх</v>
      </c>
      <c r="F16" s="14" t="str">
        <f aca="false">$C$1&amp;"-"&amp;$A16&amp;"-"&amp;F$2</f>
        <v>БВ-0,05-хП</v>
      </c>
      <c r="G16" s="16" t="str">
        <f aca="false">$G$1&amp;"-"&amp;$A16&amp;"-"&amp;G$2</f>
        <v>БОВ-0,05-С</v>
      </c>
      <c r="H16" s="13" t="str">
        <f aca="false">$G$1&amp;"-"&amp;$A16&amp;"-"&amp;H$2</f>
        <v>БОВ-0,05-Т</v>
      </c>
      <c r="I16" s="13" t="str">
        <f aca="false">$G$1&amp;"-"&amp;$A16&amp;"-"&amp;I$2</f>
        <v>БОВ-0,05-Т-2(50%)</v>
      </c>
      <c r="J16" s="13" t="str">
        <f aca="false">$G$1&amp;"-"&amp;$A16&amp;"-"&amp;J$2</f>
        <v>БОВ-0,05-Т-2(75%)</v>
      </c>
      <c r="K16" s="13" t="str">
        <f aca="false">$G$1&amp;"-"&amp;$A16&amp;"-"&amp;K$2</f>
        <v>БОВ-0,05-Т-2(100%)</v>
      </c>
      <c r="L16" s="13" t="str">
        <f aca="false">$L$1&amp;"-"&amp;$A16</f>
        <v>БГ-0,05</v>
      </c>
      <c r="M16" s="13" t="str">
        <f aca="false">$L$1&amp;"-"&amp;M$2&amp;"-"&amp;$A16&amp;"/"&amp;$A16</f>
        <v>БГ-С-0,05/0,05</v>
      </c>
      <c r="N16" s="13" t="str">
        <f aca="false">$L$1&amp;"-"&amp;N$2&amp;"-"&amp;$A16&amp;"/"&amp;$A16</f>
        <v>БГ-П-0,05/0,05</v>
      </c>
      <c r="O16" s="13" t="str">
        <f aca="false">$O$1&amp;"-"&amp;$A16</f>
        <v>БОВГ-0,05</v>
      </c>
      <c r="P16" s="13" t="str">
        <f aca="false">$O$1&amp;"-"&amp;P$2&amp;"-"&amp;$A16&amp;"/"&amp;$A16</f>
        <v>БОВГ-С-0,05/0,05</v>
      </c>
      <c r="Q16" s="13" t="str">
        <f aca="false">$O$1&amp;"-"&amp;Q$2&amp;"-"&amp;$A16&amp;"/"&amp;$A16</f>
        <v>БОВГ-П-0,05/0,05</v>
      </c>
    </row>
    <row r="17" customFormat="false" ht="15" hidden="false" customHeight="false" outlineLevel="0" collapsed="false">
      <c r="A17" s="17" t="n">
        <v>0.55</v>
      </c>
      <c r="B17" s="17"/>
      <c r="C17" s="10" t="str">
        <f aca="false">$C$1&amp;"-"&amp;$A17&amp;"-"&amp;C$2</f>
        <v>БВ-0,55-xx</v>
      </c>
      <c r="D17" s="10" t="str">
        <f aca="false">$C$1&amp;"-"&amp;$A17&amp;"-"&amp;D$2</f>
        <v>БВ-0,55-РП</v>
      </c>
      <c r="E17" s="10" t="str">
        <f aca="false">$C$1&amp;"-"&amp;$A17&amp;"-"&amp;E$2</f>
        <v>БВ-0,55-Рх</v>
      </c>
      <c r="F17" s="14" t="str">
        <f aca="false">$C$1&amp;"-"&amp;$A17&amp;"-"&amp;F$2</f>
        <v>БВ-0,55-хП</v>
      </c>
      <c r="G17" s="16" t="str">
        <f aca="false">$G$1&amp;"-"&amp;$A17&amp;"-"&amp;G$2</f>
        <v>БОВ-0,55-С</v>
      </c>
      <c r="H17" s="13" t="str">
        <f aca="false">$G$1&amp;"-"&amp;$A17&amp;"-"&amp;H$2</f>
        <v>БОВ-0,55-Т</v>
      </c>
      <c r="I17" s="13" t="str">
        <f aca="false">$G$1&amp;"-"&amp;$A17&amp;"-"&amp;I$2</f>
        <v>БОВ-0,55-Т-2(50%)</v>
      </c>
      <c r="J17" s="13" t="str">
        <f aca="false">$G$1&amp;"-"&amp;$A17&amp;"-"&amp;J$2</f>
        <v>БОВ-0,55-Т-2(75%)</v>
      </c>
      <c r="K17" s="13" t="str">
        <f aca="false">$G$1&amp;"-"&amp;$A17&amp;"-"&amp;K$2</f>
        <v>БОВ-0,55-Т-2(100%)</v>
      </c>
      <c r="L17" s="13" t="str">
        <f aca="false">$L$1&amp;"-"&amp;$A17</f>
        <v>БГ-0,55</v>
      </c>
      <c r="M17" s="13" t="str">
        <f aca="false">$L$1&amp;"-"&amp;M$2&amp;"-"&amp;$A17&amp;"/"&amp;$A17</f>
        <v>БГ-С-0,55/0,55</v>
      </c>
      <c r="N17" s="13" t="str">
        <f aca="false">$L$1&amp;"-"&amp;N$2&amp;"-"&amp;$A17&amp;"/"&amp;$A17</f>
        <v>БГ-П-0,55/0,55</v>
      </c>
      <c r="O17" s="13" t="str">
        <f aca="false">$O$1&amp;"-"&amp;$A17</f>
        <v>БОВГ-0,55</v>
      </c>
      <c r="P17" s="13" t="str">
        <f aca="false">$O$1&amp;"-"&amp;P$2&amp;"-"&amp;$A17&amp;"/"&amp;$A17</f>
        <v>БОВГ-С-0,55/0,55</v>
      </c>
      <c r="Q17" s="13" t="str">
        <f aca="false">$O$1&amp;"-"&amp;Q$2&amp;"-"&amp;$A17&amp;"/"&amp;$A17</f>
        <v>БОВГ-П-0,55/0,55</v>
      </c>
    </row>
    <row r="18" customFormat="false" ht="15" hidden="false" customHeight="false" outlineLevel="0" collapsed="false">
      <c r="A18" s="17" t="s">
        <v>21</v>
      </c>
      <c r="B18" s="17"/>
      <c r="C18" s="10" t="str">
        <f aca="false">$C$1&amp;"-"&amp;$A18&amp;"-"&amp;C$2</f>
        <v>БВ-0,06-xx</v>
      </c>
      <c r="D18" s="10" t="str">
        <f aca="false">$C$1&amp;"-"&amp;$A18&amp;"-"&amp;D$2</f>
        <v>БВ-0,06-РП</v>
      </c>
      <c r="E18" s="10" t="str">
        <f aca="false">$C$1&amp;"-"&amp;$A18&amp;"-"&amp;E$2</f>
        <v>БВ-0,06-Рх</v>
      </c>
      <c r="F18" s="14" t="str">
        <f aca="false">$C$1&amp;"-"&amp;$A18&amp;"-"&amp;F$2</f>
        <v>БВ-0,06-хП</v>
      </c>
      <c r="G18" s="16" t="str">
        <f aca="false">$G$1&amp;"-"&amp;$A18&amp;"-"&amp;G$2</f>
        <v>БОВ-0,06-С</v>
      </c>
      <c r="H18" s="13" t="str">
        <f aca="false">$G$1&amp;"-"&amp;$A18&amp;"-"&amp;H$2</f>
        <v>БОВ-0,06-Т</v>
      </c>
      <c r="I18" s="13" t="str">
        <f aca="false">$G$1&amp;"-"&amp;$A18&amp;"-"&amp;I$2</f>
        <v>БОВ-0,06-Т-2(50%)</v>
      </c>
      <c r="J18" s="13" t="str">
        <f aca="false">$G$1&amp;"-"&amp;$A18&amp;"-"&amp;J$2</f>
        <v>БОВ-0,06-Т-2(75%)</v>
      </c>
      <c r="K18" s="13" t="str">
        <f aca="false">$G$1&amp;"-"&amp;$A18&amp;"-"&amp;K$2</f>
        <v>БОВ-0,06-Т-2(100%)</v>
      </c>
      <c r="L18" s="13" t="str">
        <f aca="false">$L$1&amp;"-"&amp;$A18</f>
        <v>БГ-0,06</v>
      </c>
      <c r="M18" s="13" t="str">
        <f aca="false">$L$1&amp;"-"&amp;M$2&amp;"-"&amp;$A18&amp;"/"&amp;$A18</f>
        <v>БГ-С-0,06/0,06</v>
      </c>
      <c r="N18" s="13" t="str">
        <f aca="false">$L$1&amp;"-"&amp;N$2&amp;"-"&amp;$A18&amp;"/"&amp;$A18</f>
        <v>БГ-П-0,06/0,06</v>
      </c>
      <c r="O18" s="13" t="str">
        <f aca="false">$O$1&amp;"-"&amp;$A18</f>
        <v>БОВГ-0,06</v>
      </c>
      <c r="P18" s="13" t="str">
        <f aca="false">$O$1&amp;"-"&amp;P$2&amp;"-"&amp;$A18&amp;"/"&amp;$A18</f>
        <v>БОВГ-С-0,06/0,06</v>
      </c>
      <c r="Q18" s="13" t="str">
        <f aca="false">$O$1&amp;"-"&amp;Q$2&amp;"-"&amp;$A18&amp;"/"&amp;$A18</f>
        <v>БОВГ-П-0,06/0,06</v>
      </c>
    </row>
    <row r="19" customFormat="false" ht="15" hidden="false" customHeight="false" outlineLevel="0" collapsed="false">
      <c r="A19" s="17" t="n">
        <v>0.65</v>
      </c>
      <c r="B19" s="17"/>
      <c r="C19" s="10" t="str">
        <f aca="false">$C$1&amp;"-"&amp;$A19&amp;"-"&amp;C$2</f>
        <v>БВ-0,65-xx</v>
      </c>
      <c r="D19" s="10" t="str">
        <f aca="false">$C$1&amp;"-"&amp;$A19&amp;"-"&amp;D$2</f>
        <v>БВ-0,65-РП</v>
      </c>
      <c r="E19" s="10" t="str">
        <f aca="false">$C$1&amp;"-"&amp;$A19&amp;"-"&amp;E$2</f>
        <v>БВ-0,65-Рх</v>
      </c>
      <c r="F19" s="14" t="str">
        <f aca="false">$C$1&amp;"-"&amp;$A19&amp;"-"&amp;F$2</f>
        <v>БВ-0,65-хП</v>
      </c>
      <c r="G19" s="16" t="str">
        <f aca="false">$G$1&amp;"-"&amp;$A19&amp;"-"&amp;G$2</f>
        <v>БОВ-0,65-С</v>
      </c>
      <c r="H19" s="13" t="str">
        <f aca="false">$G$1&amp;"-"&amp;$A19&amp;"-"&amp;H$2</f>
        <v>БОВ-0,65-Т</v>
      </c>
      <c r="I19" s="13" t="str">
        <f aca="false">$G$1&amp;"-"&amp;$A19&amp;"-"&amp;I$2</f>
        <v>БОВ-0,65-Т-2(50%)</v>
      </c>
      <c r="J19" s="13" t="str">
        <f aca="false">$G$1&amp;"-"&amp;$A19&amp;"-"&amp;J$2</f>
        <v>БОВ-0,65-Т-2(75%)</v>
      </c>
      <c r="K19" s="13" t="str">
        <f aca="false">$G$1&amp;"-"&amp;$A19&amp;"-"&amp;K$2</f>
        <v>БОВ-0,65-Т-2(100%)</v>
      </c>
      <c r="L19" s="13" t="str">
        <f aca="false">$L$1&amp;"-"&amp;$A19</f>
        <v>БГ-0,65</v>
      </c>
      <c r="M19" s="13" t="str">
        <f aca="false">$L$1&amp;"-"&amp;M$2&amp;"-"&amp;$A19&amp;"/"&amp;$A19</f>
        <v>БГ-С-0,65/0,65</v>
      </c>
      <c r="N19" s="13" t="str">
        <f aca="false">$L$1&amp;"-"&amp;N$2&amp;"-"&amp;$A19&amp;"/"&amp;$A19</f>
        <v>БГ-П-0,65/0,65</v>
      </c>
      <c r="O19" s="13" t="str">
        <f aca="false">$O$1&amp;"-"&amp;$A19</f>
        <v>БОВГ-0,65</v>
      </c>
      <c r="P19" s="13" t="str">
        <f aca="false">$O$1&amp;"-"&amp;P$2&amp;"-"&amp;$A19&amp;"/"&amp;$A19</f>
        <v>БОВГ-С-0,65/0,65</v>
      </c>
      <c r="Q19" s="13" t="str">
        <f aca="false">$O$1&amp;"-"&amp;Q$2&amp;"-"&amp;$A19&amp;"/"&amp;$A19</f>
        <v>БОВГ-П-0,65/0,65</v>
      </c>
    </row>
    <row r="20" customFormat="false" ht="15" hidden="false" customHeight="false" outlineLevel="0" collapsed="false">
      <c r="A20" s="17" t="s">
        <v>22</v>
      </c>
      <c r="B20" s="17"/>
      <c r="C20" s="10" t="str">
        <f aca="false">$C$1&amp;"-"&amp;$A20&amp;"-"&amp;C$2</f>
        <v>БВ-0,07-xx</v>
      </c>
      <c r="D20" s="10" t="str">
        <f aca="false">$C$1&amp;"-"&amp;$A20&amp;"-"&amp;D$2</f>
        <v>БВ-0,07-РП</v>
      </c>
      <c r="E20" s="10" t="str">
        <f aca="false">$C$1&amp;"-"&amp;$A20&amp;"-"&amp;E$2</f>
        <v>БВ-0,07-Рх</v>
      </c>
      <c r="F20" s="14" t="str">
        <f aca="false">$C$1&amp;"-"&amp;$A20&amp;"-"&amp;F$2</f>
        <v>БВ-0,07-хП</v>
      </c>
      <c r="G20" s="16" t="str">
        <f aca="false">$G$1&amp;"-"&amp;$A20&amp;"-"&amp;G$2</f>
        <v>БОВ-0,07-С</v>
      </c>
      <c r="H20" s="13" t="str">
        <f aca="false">$G$1&amp;"-"&amp;$A20&amp;"-"&amp;H$2</f>
        <v>БОВ-0,07-Т</v>
      </c>
      <c r="I20" s="13" t="str">
        <f aca="false">$G$1&amp;"-"&amp;$A20&amp;"-"&amp;I$2</f>
        <v>БОВ-0,07-Т-2(50%)</v>
      </c>
      <c r="J20" s="13" t="str">
        <f aca="false">$G$1&amp;"-"&amp;$A20&amp;"-"&amp;J$2</f>
        <v>БОВ-0,07-Т-2(75%)</v>
      </c>
      <c r="K20" s="13" t="str">
        <f aca="false">$G$1&amp;"-"&amp;$A20&amp;"-"&amp;K$2</f>
        <v>БОВ-0,07-Т-2(100%)</v>
      </c>
      <c r="L20" s="13" t="str">
        <f aca="false">$L$1&amp;"-"&amp;$A20</f>
        <v>БГ-0,07</v>
      </c>
      <c r="M20" s="13" t="str">
        <f aca="false">$L$1&amp;"-"&amp;M$2&amp;"-"&amp;$A20&amp;"/"&amp;$A20</f>
        <v>БГ-С-0,07/0,07</v>
      </c>
      <c r="N20" s="13" t="str">
        <f aca="false">$L$1&amp;"-"&amp;N$2&amp;"-"&amp;$A20&amp;"/"&amp;$A20</f>
        <v>БГ-П-0,07/0,07</v>
      </c>
      <c r="O20" s="13" t="str">
        <f aca="false">$O$1&amp;"-"&amp;$A20</f>
        <v>БОВГ-0,07</v>
      </c>
      <c r="P20" s="13" t="str">
        <f aca="false">$O$1&amp;"-"&amp;P$2&amp;"-"&amp;$A20&amp;"/"&amp;$A20</f>
        <v>БОВГ-С-0,07/0,07</v>
      </c>
      <c r="Q20" s="13" t="str">
        <f aca="false">$O$1&amp;"-"&amp;Q$2&amp;"-"&amp;$A20&amp;"/"&amp;$A20</f>
        <v>БОВГ-П-0,07/0,07</v>
      </c>
    </row>
    <row r="21" customFormat="false" ht="15" hidden="false" customHeight="false" outlineLevel="0" collapsed="false">
      <c r="A21" s="17" t="n">
        <v>0.75</v>
      </c>
      <c r="B21" s="17"/>
      <c r="C21" s="10" t="str">
        <f aca="false">$C$1&amp;"-"&amp;$A21&amp;"-"&amp;C$2</f>
        <v>БВ-0,75-xx</v>
      </c>
      <c r="D21" s="10" t="str">
        <f aca="false">$C$1&amp;"-"&amp;$A21&amp;"-"&amp;D$2</f>
        <v>БВ-0,75-РП</v>
      </c>
      <c r="E21" s="10" t="str">
        <f aca="false">$C$1&amp;"-"&amp;$A21&amp;"-"&amp;E$2</f>
        <v>БВ-0,75-Рх</v>
      </c>
      <c r="F21" s="14" t="str">
        <f aca="false">$C$1&amp;"-"&amp;$A21&amp;"-"&amp;F$2</f>
        <v>БВ-0,75-хП</v>
      </c>
      <c r="G21" s="16" t="str">
        <f aca="false">$G$1&amp;"-"&amp;$A21&amp;"-"&amp;G$2</f>
        <v>БОВ-0,75-С</v>
      </c>
      <c r="H21" s="13" t="str">
        <f aca="false">$G$1&amp;"-"&amp;$A21&amp;"-"&amp;H$2</f>
        <v>БОВ-0,75-Т</v>
      </c>
      <c r="I21" s="13" t="str">
        <f aca="false">$G$1&amp;"-"&amp;$A21&amp;"-"&amp;I$2</f>
        <v>БОВ-0,75-Т-2(50%)</v>
      </c>
      <c r="J21" s="13" t="str">
        <f aca="false">$G$1&amp;"-"&amp;$A21&amp;"-"&amp;J$2</f>
        <v>БОВ-0,75-Т-2(75%)</v>
      </c>
      <c r="K21" s="13" t="str">
        <f aca="false">$G$1&amp;"-"&amp;$A21&amp;"-"&amp;K$2</f>
        <v>БОВ-0,75-Т-2(100%)</v>
      </c>
      <c r="L21" s="13" t="str">
        <f aca="false">$L$1&amp;"-"&amp;$A21</f>
        <v>БГ-0,75</v>
      </c>
      <c r="M21" s="13" t="str">
        <f aca="false">$L$1&amp;"-"&amp;M$2&amp;"-"&amp;$A21&amp;"/"&amp;$A21</f>
        <v>БГ-С-0,75/0,75</v>
      </c>
      <c r="N21" s="13" t="str">
        <f aca="false">$L$1&amp;"-"&amp;N$2&amp;"-"&amp;$A21&amp;"/"&amp;$A21</f>
        <v>БГ-П-0,75/0,75</v>
      </c>
      <c r="O21" s="13" t="str">
        <f aca="false">$O$1&amp;"-"&amp;$A21</f>
        <v>БОВГ-0,75</v>
      </c>
      <c r="P21" s="13" t="str">
        <f aca="false">$O$1&amp;"-"&amp;P$2&amp;"-"&amp;$A21&amp;"/"&amp;$A21</f>
        <v>БОВГ-С-0,75/0,75</v>
      </c>
      <c r="Q21" s="13" t="str">
        <f aca="false">$O$1&amp;"-"&amp;Q$2&amp;"-"&amp;$A21&amp;"/"&amp;$A21</f>
        <v>БОВГ-П-0,75/0,75</v>
      </c>
    </row>
    <row r="22" customFormat="false" ht="15" hidden="false" customHeight="false" outlineLevel="0" collapsed="false">
      <c r="A22" s="17" t="s">
        <v>23</v>
      </c>
      <c r="B22" s="17"/>
      <c r="C22" s="10" t="str">
        <f aca="false">$C$1&amp;"-"&amp;$A22&amp;"-"&amp;C$2</f>
        <v>БВ-0,08-xx</v>
      </c>
      <c r="D22" s="10" t="str">
        <f aca="false">$C$1&amp;"-"&amp;$A22&amp;"-"&amp;D$2</f>
        <v>БВ-0,08-РП</v>
      </c>
      <c r="E22" s="10" t="str">
        <f aca="false">$C$1&amp;"-"&amp;$A22&amp;"-"&amp;E$2</f>
        <v>БВ-0,08-Рх</v>
      </c>
      <c r="F22" s="14" t="str">
        <f aca="false">$C$1&amp;"-"&amp;$A22&amp;"-"&amp;F$2</f>
        <v>БВ-0,08-хП</v>
      </c>
      <c r="G22" s="16" t="str">
        <f aca="false">$G$1&amp;"-"&amp;$A22&amp;"-"&amp;G$2</f>
        <v>БОВ-0,08-С</v>
      </c>
      <c r="H22" s="13" t="str">
        <f aca="false">$G$1&amp;"-"&amp;$A22&amp;"-"&amp;H$2</f>
        <v>БОВ-0,08-Т</v>
      </c>
      <c r="I22" s="13" t="str">
        <f aca="false">$G$1&amp;"-"&amp;$A22&amp;"-"&amp;I$2</f>
        <v>БОВ-0,08-Т-2(50%)</v>
      </c>
      <c r="J22" s="13" t="str">
        <f aca="false">$G$1&amp;"-"&amp;$A22&amp;"-"&amp;J$2</f>
        <v>БОВ-0,08-Т-2(75%)</v>
      </c>
      <c r="K22" s="13" t="str">
        <f aca="false">$G$1&amp;"-"&amp;$A22&amp;"-"&amp;K$2</f>
        <v>БОВ-0,08-Т-2(100%)</v>
      </c>
      <c r="L22" s="13" t="str">
        <f aca="false">$L$1&amp;"-"&amp;$A22</f>
        <v>БГ-0,08</v>
      </c>
      <c r="M22" s="13" t="str">
        <f aca="false">$L$1&amp;"-"&amp;M$2&amp;"-"&amp;$A22&amp;"/"&amp;$A22</f>
        <v>БГ-С-0,08/0,08</v>
      </c>
      <c r="N22" s="13" t="str">
        <f aca="false">$L$1&amp;"-"&amp;N$2&amp;"-"&amp;$A22&amp;"/"&amp;$A22</f>
        <v>БГ-П-0,08/0,08</v>
      </c>
      <c r="O22" s="13" t="str">
        <f aca="false">$O$1&amp;"-"&amp;$A22</f>
        <v>БОВГ-0,08</v>
      </c>
      <c r="P22" s="13" t="str">
        <f aca="false">$O$1&amp;"-"&amp;P$2&amp;"-"&amp;$A22&amp;"/"&amp;$A22</f>
        <v>БОВГ-С-0,08/0,08</v>
      </c>
      <c r="Q22" s="13" t="str">
        <f aca="false">$O$1&amp;"-"&amp;Q$2&amp;"-"&amp;$A22&amp;"/"&amp;$A22</f>
        <v>БОВГ-П-0,08/0,08</v>
      </c>
    </row>
    <row r="23" customFormat="false" ht="15" hidden="false" customHeight="false" outlineLevel="0" collapsed="false">
      <c r="A23" s="17" t="n">
        <v>0.85</v>
      </c>
      <c r="B23" s="17"/>
      <c r="C23" s="10" t="str">
        <f aca="false">$C$1&amp;"-"&amp;$A23&amp;"-"&amp;C$2</f>
        <v>БВ-0,85-xx</v>
      </c>
      <c r="D23" s="10" t="str">
        <f aca="false">$C$1&amp;"-"&amp;$A23&amp;"-"&amp;D$2</f>
        <v>БВ-0,85-РП</v>
      </c>
      <c r="E23" s="10" t="str">
        <f aca="false">$C$1&amp;"-"&amp;$A23&amp;"-"&amp;E$2</f>
        <v>БВ-0,85-Рх</v>
      </c>
      <c r="F23" s="14" t="str">
        <f aca="false">$C$1&amp;"-"&amp;$A23&amp;"-"&amp;F$2</f>
        <v>БВ-0,85-хП</v>
      </c>
      <c r="G23" s="16" t="str">
        <f aca="false">$G$1&amp;"-"&amp;$A23&amp;"-"&amp;G$2</f>
        <v>БОВ-0,85-С</v>
      </c>
      <c r="H23" s="13" t="str">
        <f aca="false">$G$1&amp;"-"&amp;$A23&amp;"-"&amp;H$2</f>
        <v>БОВ-0,85-Т</v>
      </c>
      <c r="I23" s="13" t="str">
        <f aca="false">$G$1&amp;"-"&amp;$A23&amp;"-"&amp;I$2</f>
        <v>БОВ-0,85-Т-2(50%)</v>
      </c>
      <c r="J23" s="13" t="str">
        <f aca="false">$G$1&amp;"-"&amp;$A23&amp;"-"&amp;J$2</f>
        <v>БОВ-0,85-Т-2(75%)</v>
      </c>
      <c r="K23" s="13" t="str">
        <f aca="false">$G$1&amp;"-"&amp;$A23&amp;"-"&amp;K$2</f>
        <v>БОВ-0,85-Т-2(100%)</v>
      </c>
      <c r="L23" s="13" t="str">
        <f aca="false">$L$1&amp;"-"&amp;$A23</f>
        <v>БГ-0,85</v>
      </c>
      <c r="M23" s="13" t="str">
        <f aca="false">$L$1&amp;"-"&amp;M$2&amp;"-"&amp;$A23&amp;"/"&amp;$A23</f>
        <v>БГ-С-0,85/0,85</v>
      </c>
      <c r="N23" s="13" t="str">
        <f aca="false">$L$1&amp;"-"&amp;N$2&amp;"-"&amp;$A23&amp;"/"&amp;$A23</f>
        <v>БГ-П-0,85/0,85</v>
      </c>
      <c r="O23" s="13" t="str">
        <f aca="false">$O$1&amp;"-"&amp;$A23</f>
        <v>БОВГ-0,85</v>
      </c>
      <c r="P23" s="13" t="str">
        <f aca="false">$O$1&amp;"-"&amp;P$2&amp;"-"&amp;$A23&amp;"/"&amp;$A23</f>
        <v>БОВГ-С-0,85/0,85</v>
      </c>
      <c r="Q23" s="13" t="str">
        <f aca="false">$O$1&amp;"-"&amp;Q$2&amp;"-"&amp;$A23&amp;"/"&amp;$A23</f>
        <v>БОВГ-П-0,85/0,85</v>
      </c>
    </row>
    <row r="24" customFormat="false" ht="15" hidden="false" customHeight="false" outlineLevel="0" collapsed="false">
      <c r="A24" s="17" t="s">
        <v>24</v>
      </c>
      <c r="B24" s="17"/>
      <c r="C24" s="10" t="str">
        <f aca="false">$C$1&amp;"-"&amp;$A24&amp;"-"&amp;C$2</f>
        <v>БВ-0,09-xx</v>
      </c>
      <c r="D24" s="10" t="str">
        <f aca="false">$C$1&amp;"-"&amp;$A24&amp;"-"&amp;D$2</f>
        <v>БВ-0,09-РП</v>
      </c>
      <c r="E24" s="10" t="str">
        <f aca="false">$C$1&amp;"-"&amp;$A24&amp;"-"&amp;E$2</f>
        <v>БВ-0,09-Рх</v>
      </c>
      <c r="F24" s="14" t="str">
        <f aca="false">$C$1&amp;"-"&amp;$A24&amp;"-"&amp;F$2</f>
        <v>БВ-0,09-хП</v>
      </c>
      <c r="G24" s="16" t="str">
        <f aca="false">$G$1&amp;"-"&amp;$A24&amp;"-"&amp;G$2</f>
        <v>БОВ-0,09-С</v>
      </c>
      <c r="H24" s="13" t="str">
        <f aca="false">$G$1&amp;"-"&amp;$A24&amp;"-"&amp;H$2</f>
        <v>БОВ-0,09-Т</v>
      </c>
      <c r="I24" s="13" t="str">
        <f aca="false">$G$1&amp;"-"&amp;$A24&amp;"-"&amp;I$2</f>
        <v>БОВ-0,09-Т-2(50%)</v>
      </c>
      <c r="J24" s="13" t="str">
        <f aca="false">$G$1&amp;"-"&amp;$A24&amp;"-"&amp;J$2</f>
        <v>БОВ-0,09-Т-2(75%)</v>
      </c>
      <c r="K24" s="13" t="str">
        <f aca="false">$G$1&amp;"-"&amp;$A24&amp;"-"&amp;K$2</f>
        <v>БОВ-0,09-Т-2(100%)</v>
      </c>
      <c r="L24" s="13" t="str">
        <f aca="false">$L$1&amp;"-"&amp;$A24</f>
        <v>БГ-0,09</v>
      </c>
      <c r="M24" s="13" t="str">
        <f aca="false">$L$1&amp;"-"&amp;M$2&amp;"-"&amp;$A24&amp;"/"&amp;$A24</f>
        <v>БГ-С-0,09/0,09</v>
      </c>
      <c r="N24" s="13" t="str">
        <f aca="false">$L$1&amp;"-"&amp;N$2&amp;"-"&amp;$A24&amp;"/"&amp;$A24</f>
        <v>БГ-П-0,09/0,09</v>
      </c>
      <c r="O24" s="13" t="str">
        <f aca="false">$O$1&amp;"-"&amp;$A24</f>
        <v>БОВГ-0,09</v>
      </c>
      <c r="P24" s="13" t="str">
        <f aca="false">$O$1&amp;"-"&amp;P$2&amp;"-"&amp;$A24&amp;"/"&amp;$A24</f>
        <v>БОВГ-С-0,09/0,09</v>
      </c>
      <c r="Q24" s="13" t="str">
        <f aca="false">$O$1&amp;"-"&amp;Q$2&amp;"-"&amp;$A24&amp;"/"&amp;$A24</f>
        <v>БОВГ-П-0,09/0,09</v>
      </c>
    </row>
    <row r="25" customFormat="false" ht="15" hidden="false" customHeight="false" outlineLevel="0" collapsed="false">
      <c r="A25" s="17" t="n">
        <v>0.95</v>
      </c>
      <c r="B25" s="17"/>
      <c r="C25" s="10" t="str">
        <f aca="false">$C$1&amp;"-"&amp;$A25&amp;"-"&amp;C$2</f>
        <v>БВ-0,95-xx</v>
      </c>
      <c r="D25" s="10" t="str">
        <f aca="false">$C$1&amp;"-"&amp;$A25&amp;"-"&amp;D$2</f>
        <v>БВ-0,95-РП</v>
      </c>
      <c r="E25" s="10" t="str">
        <f aca="false">$C$1&amp;"-"&amp;$A25&amp;"-"&amp;E$2</f>
        <v>БВ-0,95-Рх</v>
      </c>
      <c r="F25" s="14" t="str">
        <f aca="false">$C$1&amp;"-"&amp;$A25&amp;"-"&amp;F$2</f>
        <v>БВ-0,95-хП</v>
      </c>
      <c r="G25" s="16" t="str">
        <f aca="false">$G$1&amp;"-"&amp;$A25&amp;"-"&amp;G$2</f>
        <v>БОВ-0,95-С</v>
      </c>
      <c r="H25" s="13" t="str">
        <f aca="false">$G$1&amp;"-"&amp;$A25&amp;"-"&amp;H$2</f>
        <v>БОВ-0,95-Т</v>
      </c>
      <c r="I25" s="13" t="str">
        <f aca="false">$G$1&amp;"-"&amp;$A25&amp;"-"&amp;I$2</f>
        <v>БОВ-0,95-Т-2(50%)</v>
      </c>
      <c r="J25" s="13" t="str">
        <f aca="false">$G$1&amp;"-"&amp;$A25&amp;"-"&amp;J$2</f>
        <v>БОВ-0,95-Т-2(75%)</v>
      </c>
      <c r="K25" s="13" t="str">
        <f aca="false">$G$1&amp;"-"&amp;$A25&amp;"-"&amp;K$2</f>
        <v>БОВ-0,95-Т-2(100%)</v>
      </c>
      <c r="L25" s="13" t="str">
        <f aca="false">$L$1&amp;"-"&amp;$A25</f>
        <v>БГ-0,95</v>
      </c>
      <c r="M25" s="13" t="str">
        <f aca="false">$L$1&amp;"-"&amp;M$2&amp;"-"&amp;$A25&amp;"/"&amp;$A25</f>
        <v>БГ-С-0,95/0,95</v>
      </c>
      <c r="N25" s="13" t="str">
        <f aca="false">$L$1&amp;"-"&amp;N$2&amp;"-"&amp;$A25&amp;"/"&amp;$A25</f>
        <v>БГ-П-0,95/0,95</v>
      </c>
      <c r="O25" s="13" t="str">
        <f aca="false">$O$1&amp;"-"&amp;$A25</f>
        <v>БОВГ-0,95</v>
      </c>
      <c r="P25" s="13" t="str">
        <f aca="false">$O$1&amp;"-"&amp;P$2&amp;"-"&amp;$A25&amp;"/"&amp;$A25</f>
        <v>БОВГ-С-0,95/0,95</v>
      </c>
      <c r="Q25" s="13" t="str">
        <f aca="false">$O$1&amp;"-"&amp;Q$2&amp;"-"&amp;$A25&amp;"/"&amp;$A25</f>
        <v>БОВГ-П-0,95/0,95</v>
      </c>
    </row>
    <row r="26" customFormat="false" ht="15" hidden="false" customHeight="false" outlineLevel="0" collapsed="false">
      <c r="A26" s="18" t="s">
        <v>25</v>
      </c>
      <c r="B26" s="18"/>
      <c r="C26" s="10" t="str">
        <f aca="false">$C$1&amp;"-"&amp;$A26&amp;"-"&amp;C$2</f>
        <v>БВ-1,0-xx</v>
      </c>
      <c r="D26" s="10" t="str">
        <f aca="false">$C$1&amp;"-"&amp;$A26&amp;"-"&amp;D$2</f>
        <v>БВ-1,0-РП</v>
      </c>
      <c r="E26" s="10" t="str">
        <f aca="false">$C$1&amp;"-"&amp;$A26&amp;"-"&amp;E$2</f>
        <v>БВ-1,0-Рх</v>
      </c>
      <c r="F26" s="14" t="str">
        <f aca="false">$C$1&amp;"-"&amp;$A26&amp;"-"&amp;F$2</f>
        <v>БВ-1,0-хП</v>
      </c>
      <c r="G26" s="16" t="str">
        <f aca="false">$G$1&amp;"-"&amp;$A26&amp;"-"&amp;G$2</f>
        <v>БОВ-1,0-С</v>
      </c>
      <c r="H26" s="13" t="str">
        <f aca="false">$G$1&amp;"-"&amp;$A26&amp;"-"&amp;H$2</f>
        <v>БОВ-1,0-Т</v>
      </c>
      <c r="I26" s="13" t="str">
        <f aca="false">$G$1&amp;"-"&amp;$A26&amp;"-"&amp;I$2</f>
        <v>БОВ-1,0-Т-2(50%)</v>
      </c>
      <c r="J26" s="13" t="str">
        <f aca="false">$G$1&amp;"-"&amp;$A26&amp;"-"&amp;J$2</f>
        <v>БОВ-1,0-Т-2(75%)</v>
      </c>
      <c r="K26" s="13" t="str">
        <f aca="false">$G$1&amp;"-"&amp;$A26&amp;"-"&amp;K$2</f>
        <v>БОВ-1,0-Т-2(100%)</v>
      </c>
      <c r="L26" s="13" t="str">
        <f aca="false">$L$1&amp;"-"&amp;$A26</f>
        <v>БГ-1,0</v>
      </c>
      <c r="M26" s="13" t="str">
        <f aca="false">$L$1&amp;"-"&amp;M$2&amp;"-"&amp;$A26&amp;"/"&amp;$A26</f>
        <v>БГ-С-1,0/1,0</v>
      </c>
      <c r="N26" s="13" t="str">
        <f aca="false">$L$1&amp;"-"&amp;N$2&amp;"-"&amp;$A26&amp;"/"&amp;$A26</f>
        <v>БГ-П-1,0/1,0</v>
      </c>
      <c r="O26" s="13" t="str">
        <f aca="false">$O$1&amp;"-"&amp;$A26</f>
        <v>БОВГ-1,0</v>
      </c>
      <c r="P26" s="13" t="str">
        <f aca="false">$O$1&amp;"-"&amp;P$2&amp;"-"&amp;$A26&amp;"/"&amp;$A26</f>
        <v>БОВГ-С-1,0/1,0</v>
      </c>
      <c r="Q26" s="13" t="str">
        <f aca="false">$O$1&amp;"-"&amp;Q$2&amp;"-"&amp;$A26&amp;"/"&amp;$A26</f>
        <v>БОВГ-П-1,0/1,0</v>
      </c>
    </row>
    <row r="27" customFormat="false" ht="15" hidden="false" customHeight="false" outlineLevel="0" collapsed="false">
      <c r="A27" s="18" t="n">
        <v>1.1</v>
      </c>
      <c r="B27" s="18"/>
      <c r="C27" s="10" t="str">
        <f aca="false">$C$1&amp;"-"&amp;$A27&amp;"-"&amp;C$2</f>
        <v>БВ-1,1-xx</v>
      </c>
      <c r="D27" s="10" t="str">
        <f aca="false">$C$1&amp;"-"&amp;$A27&amp;"-"&amp;D$2</f>
        <v>БВ-1,1-РП</v>
      </c>
      <c r="E27" s="10" t="str">
        <f aca="false">$C$1&amp;"-"&amp;$A27&amp;"-"&amp;E$2</f>
        <v>БВ-1,1-Рх</v>
      </c>
      <c r="F27" s="14" t="str">
        <f aca="false">$C$1&amp;"-"&amp;$A27&amp;"-"&amp;F$2</f>
        <v>БВ-1,1-хП</v>
      </c>
      <c r="G27" s="16" t="str">
        <f aca="false">$G$1&amp;"-"&amp;$A27&amp;"-"&amp;G$2</f>
        <v>БОВ-1,1-С</v>
      </c>
      <c r="H27" s="13" t="str">
        <f aca="false">$G$1&amp;"-"&amp;$A27&amp;"-"&amp;H$2</f>
        <v>БОВ-1,1-Т</v>
      </c>
      <c r="I27" s="13" t="str">
        <f aca="false">$G$1&amp;"-"&amp;$A27&amp;"-"&amp;I$2</f>
        <v>БОВ-1,1-Т-2(50%)</v>
      </c>
      <c r="J27" s="13" t="str">
        <f aca="false">$G$1&amp;"-"&amp;$A27&amp;"-"&amp;J$2</f>
        <v>БОВ-1,1-Т-2(75%)</v>
      </c>
      <c r="K27" s="13" t="str">
        <f aca="false">$G$1&amp;"-"&amp;$A27&amp;"-"&amp;K$2</f>
        <v>БОВ-1,1-Т-2(100%)</v>
      </c>
      <c r="L27" s="13" t="str">
        <f aca="false">$L$1&amp;"-"&amp;$A27</f>
        <v>БГ-1,1</v>
      </c>
      <c r="M27" s="13" t="str">
        <f aca="false">$L$1&amp;"-"&amp;M$2&amp;"-"&amp;$A27&amp;"/"&amp;$A27</f>
        <v>БГ-С-1,1/1,1</v>
      </c>
      <c r="N27" s="13" t="str">
        <f aca="false">$L$1&amp;"-"&amp;N$2&amp;"-"&amp;$A27&amp;"/"&amp;$A27</f>
        <v>БГ-П-1,1/1,1</v>
      </c>
      <c r="O27" s="13" t="str">
        <f aca="false">$O$1&amp;"-"&amp;$A27</f>
        <v>БОВГ-1,1</v>
      </c>
      <c r="P27" s="13" t="str">
        <f aca="false">$O$1&amp;"-"&amp;P$2&amp;"-"&amp;$A27&amp;"/"&amp;$A27</f>
        <v>БОВГ-С-1,1/1,1</v>
      </c>
      <c r="Q27" s="13" t="str">
        <f aca="false">$O$1&amp;"-"&amp;Q$2&amp;"-"&amp;$A27&amp;"/"&amp;$A27</f>
        <v>БОВГ-П-1,1/1,1</v>
      </c>
    </row>
    <row r="28" customFormat="false" ht="15" hidden="false" customHeight="false" outlineLevel="0" collapsed="false">
      <c r="A28" s="18" t="n">
        <v>1.2</v>
      </c>
      <c r="B28" s="18"/>
      <c r="C28" s="10" t="str">
        <f aca="false">$C$1&amp;"-"&amp;$A28&amp;"-"&amp;C$2</f>
        <v>БВ-1,2-xx</v>
      </c>
      <c r="D28" s="10" t="str">
        <f aca="false">$C$1&amp;"-"&amp;$A28&amp;"-"&amp;D$2</f>
        <v>БВ-1,2-РП</v>
      </c>
      <c r="E28" s="10" t="str">
        <f aca="false">$C$1&amp;"-"&amp;$A28&amp;"-"&amp;E$2</f>
        <v>БВ-1,2-Рх</v>
      </c>
      <c r="F28" s="14" t="str">
        <f aca="false">$C$1&amp;"-"&amp;$A28&amp;"-"&amp;F$2</f>
        <v>БВ-1,2-хП</v>
      </c>
      <c r="G28" s="16" t="str">
        <f aca="false">$G$1&amp;"-"&amp;$A28&amp;"-"&amp;G$2</f>
        <v>БОВ-1,2-С</v>
      </c>
      <c r="H28" s="13" t="str">
        <f aca="false">$G$1&amp;"-"&amp;$A28&amp;"-"&amp;H$2</f>
        <v>БОВ-1,2-Т</v>
      </c>
      <c r="I28" s="13" t="str">
        <f aca="false">$G$1&amp;"-"&amp;$A28&amp;"-"&amp;I$2</f>
        <v>БОВ-1,2-Т-2(50%)</v>
      </c>
      <c r="J28" s="13" t="str">
        <f aca="false">$G$1&amp;"-"&amp;$A28&amp;"-"&amp;J$2</f>
        <v>БОВ-1,2-Т-2(75%)</v>
      </c>
      <c r="K28" s="13" t="str">
        <f aca="false">$G$1&amp;"-"&amp;$A28&amp;"-"&amp;K$2</f>
        <v>БОВ-1,2-Т-2(100%)</v>
      </c>
      <c r="L28" s="13" t="str">
        <f aca="false">$L$1&amp;"-"&amp;$A28</f>
        <v>БГ-1,2</v>
      </c>
      <c r="M28" s="13" t="str">
        <f aca="false">$L$1&amp;"-"&amp;M$2&amp;"-"&amp;$A28&amp;"/"&amp;$A28</f>
        <v>БГ-С-1,2/1,2</v>
      </c>
      <c r="N28" s="13" t="str">
        <f aca="false">$L$1&amp;"-"&amp;N$2&amp;"-"&amp;$A28&amp;"/"&amp;$A28</f>
        <v>БГ-П-1,2/1,2</v>
      </c>
      <c r="O28" s="13" t="str">
        <f aca="false">$O$1&amp;"-"&amp;$A28</f>
        <v>БОВГ-1,2</v>
      </c>
      <c r="P28" s="13" t="str">
        <f aca="false">$O$1&amp;"-"&amp;P$2&amp;"-"&amp;$A28&amp;"/"&amp;$A28</f>
        <v>БОВГ-С-1,2/1,2</v>
      </c>
      <c r="Q28" s="13" t="str">
        <f aca="false">$O$1&amp;"-"&amp;Q$2&amp;"-"&amp;$A28&amp;"/"&amp;$A28</f>
        <v>БОВГ-П-1,2/1,2</v>
      </c>
    </row>
    <row r="29" customFormat="false" ht="15" hidden="false" customHeight="false" outlineLevel="0" collapsed="false">
      <c r="A29" s="18" t="n">
        <v>1.3</v>
      </c>
      <c r="B29" s="18"/>
      <c r="C29" s="10" t="str">
        <f aca="false">$C$1&amp;"-"&amp;$A29&amp;"-"&amp;C$2</f>
        <v>БВ-1,3-xx</v>
      </c>
      <c r="D29" s="10" t="str">
        <f aca="false">$C$1&amp;"-"&amp;$A29&amp;"-"&amp;D$2</f>
        <v>БВ-1,3-РП</v>
      </c>
      <c r="E29" s="10" t="str">
        <f aca="false">$C$1&amp;"-"&amp;$A29&amp;"-"&amp;E$2</f>
        <v>БВ-1,3-Рх</v>
      </c>
      <c r="F29" s="14" t="str">
        <f aca="false">$C$1&amp;"-"&amp;$A29&amp;"-"&amp;F$2</f>
        <v>БВ-1,3-хП</v>
      </c>
      <c r="G29" s="16" t="str">
        <f aca="false">$G$1&amp;"-"&amp;$A29&amp;"-"&amp;G$2</f>
        <v>БОВ-1,3-С</v>
      </c>
      <c r="H29" s="13" t="str">
        <f aca="false">$G$1&amp;"-"&amp;$A29&amp;"-"&amp;H$2</f>
        <v>БОВ-1,3-Т</v>
      </c>
      <c r="I29" s="13" t="str">
        <f aca="false">$G$1&amp;"-"&amp;$A29&amp;"-"&amp;I$2</f>
        <v>БОВ-1,3-Т-2(50%)</v>
      </c>
      <c r="J29" s="13" t="str">
        <f aca="false">$G$1&amp;"-"&amp;$A29&amp;"-"&amp;J$2</f>
        <v>БОВ-1,3-Т-2(75%)</v>
      </c>
      <c r="K29" s="13" t="str">
        <f aca="false">$G$1&amp;"-"&amp;$A29&amp;"-"&amp;K$2</f>
        <v>БОВ-1,3-Т-2(100%)</v>
      </c>
      <c r="L29" s="13" t="str">
        <f aca="false">$L$1&amp;"-"&amp;$A29</f>
        <v>БГ-1,3</v>
      </c>
      <c r="M29" s="13" t="str">
        <f aca="false">$L$1&amp;"-"&amp;M$2&amp;"-"&amp;$A29&amp;"/"&amp;$A29</f>
        <v>БГ-С-1,3/1,3</v>
      </c>
      <c r="N29" s="13" t="str">
        <f aca="false">$L$1&amp;"-"&amp;N$2&amp;"-"&amp;$A29&amp;"/"&amp;$A29</f>
        <v>БГ-П-1,3/1,3</v>
      </c>
      <c r="O29" s="13" t="str">
        <f aca="false">$O$1&amp;"-"&amp;$A29</f>
        <v>БОВГ-1,3</v>
      </c>
      <c r="P29" s="13" t="str">
        <f aca="false">$O$1&amp;"-"&amp;P$2&amp;"-"&amp;$A29&amp;"/"&amp;$A29</f>
        <v>БОВГ-С-1,3/1,3</v>
      </c>
      <c r="Q29" s="13" t="str">
        <f aca="false">$O$1&amp;"-"&amp;Q$2&amp;"-"&amp;$A29&amp;"/"&amp;$A29</f>
        <v>БОВГ-П-1,3/1,3</v>
      </c>
    </row>
    <row r="30" customFormat="false" ht="15" hidden="false" customHeight="false" outlineLevel="0" collapsed="false">
      <c r="A30" s="18" t="n">
        <v>1.4</v>
      </c>
      <c r="B30" s="18"/>
      <c r="C30" s="10" t="str">
        <f aca="false">$C$1&amp;"-"&amp;$A30&amp;"-"&amp;C$2</f>
        <v>БВ-1,4-xx</v>
      </c>
      <c r="D30" s="10" t="str">
        <f aca="false">$C$1&amp;"-"&amp;$A30&amp;"-"&amp;D$2</f>
        <v>БВ-1,4-РП</v>
      </c>
      <c r="E30" s="10" t="str">
        <f aca="false">$C$1&amp;"-"&amp;$A30&amp;"-"&amp;E$2</f>
        <v>БВ-1,4-Рх</v>
      </c>
      <c r="F30" s="14" t="str">
        <f aca="false">$C$1&amp;"-"&amp;$A30&amp;"-"&amp;F$2</f>
        <v>БВ-1,4-хП</v>
      </c>
      <c r="G30" s="16" t="str">
        <f aca="false">$G$1&amp;"-"&amp;$A30&amp;"-"&amp;G$2</f>
        <v>БОВ-1,4-С</v>
      </c>
      <c r="H30" s="13" t="str">
        <f aca="false">$G$1&amp;"-"&amp;$A30&amp;"-"&amp;H$2</f>
        <v>БОВ-1,4-Т</v>
      </c>
      <c r="I30" s="13" t="str">
        <f aca="false">$G$1&amp;"-"&amp;$A30&amp;"-"&amp;I$2</f>
        <v>БОВ-1,4-Т-2(50%)</v>
      </c>
      <c r="J30" s="13" t="str">
        <f aca="false">$G$1&amp;"-"&amp;$A30&amp;"-"&amp;J$2</f>
        <v>БОВ-1,4-Т-2(75%)</v>
      </c>
      <c r="K30" s="13" t="str">
        <f aca="false">$G$1&amp;"-"&amp;$A30&amp;"-"&amp;K$2</f>
        <v>БОВ-1,4-Т-2(100%)</v>
      </c>
      <c r="L30" s="13" t="str">
        <f aca="false">$L$1&amp;"-"&amp;$A30</f>
        <v>БГ-1,4</v>
      </c>
      <c r="M30" s="13" t="str">
        <f aca="false">$L$1&amp;"-"&amp;M$2&amp;"-"&amp;$A30&amp;"/"&amp;$A30</f>
        <v>БГ-С-1,4/1,4</v>
      </c>
      <c r="N30" s="13" t="str">
        <f aca="false">$L$1&amp;"-"&amp;N$2&amp;"-"&amp;$A30&amp;"/"&amp;$A30</f>
        <v>БГ-П-1,4/1,4</v>
      </c>
      <c r="O30" s="13" t="str">
        <f aca="false">$O$1&amp;"-"&amp;$A30</f>
        <v>БОВГ-1,4</v>
      </c>
      <c r="P30" s="13" t="str">
        <f aca="false">$O$1&amp;"-"&amp;P$2&amp;"-"&amp;$A30&amp;"/"&amp;$A30</f>
        <v>БОВГ-С-1,4/1,4</v>
      </c>
      <c r="Q30" s="13" t="str">
        <f aca="false">$O$1&amp;"-"&amp;Q$2&amp;"-"&amp;$A30&amp;"/"&amp;$A30</f>
        <v>БОВГ-П-1,4/1,4</v>
      </c>
    </row>
    <row r="31" customFormat="false" ht="15" hidden="false" customHeight="false" outlineLevel="0" collapsed="false">
      <c r="A31" s="18" t="n">
        <v>1.5</v>
      </c>
      <c r="B31" s="18"/>
      <c r="C31" s="10" t="str">
        <f aca="false">$C$1&amp;"-"&amp;$A31&amp;"-"&amp;C$2</f>
        <v>БВ-1,5-xx</v>
      </c>
      <c r="D31" s="10" t="str">
        <f aca="false">$C$1&amp;"-"&amp;$A31&amp;"-"&amp;D$2</f>
        <v>БВ-1,5-РП</v>
      </c>
      <c r="E31" s="10" t="str">
        <f aca="false">$C$1&amp;"-"&amp;$A31&amp;"-"&amp;E$2</f>
        <v>БВ-1,5-Рх</v>
      </c>
      <c r="F31" s="14" t="str">
        <f aca="false">$C$1&amp;"-"&amp;$A31&amp;"-"&amp;F$2</f>
        <v>БВ-1,5-хП</v>
      </c>
      <c r="G31" s="16" t="str">
        <f aca="false">$G$1&amp;"-"&amp;$A31&amp;"-"&amp;G$2</f>
        <v>БОВ-1,5-С</v>
      </c>
      <c r="H31" s="13" t="str">
        <f aca="false">$G$1&amp;"-"&amp;$A31&amp;"-"&amp;H$2</f>
        <v>БОВ-1,5-Т</v>
      </c>
      <c r="I31" s="13" t="str">
        <f aca="false">$G$1&amp;"-"&amp;$A31&amp;"-"&amp;I$2</f>
        <v>БОВ-1,5-Т-2(50%)</v>
      </c>
      <c r="J31" s="13" t="str">
        <f aca="false">$G$1&amp;"-"&amp;$A31&amp;"-"&amp;J$2</f>
        <v>БОВ-1,5-Т-2(75%)</v>
      </c>
      <c r="K31" s="13" t="str">
        <f aca="false">$G$1&amp;"-"&amp;$A31&amp;"-"&amp;K$2</f>
        <v>БОВ-1,5-Т-2(100%)</v>
      </c>
      <c r="L31" s="13" t="str">
        <f aca="false">$L$1&amp;"-"&amp;$A31</f>
        <v>БГ-1,5</v>
      </c>
      <c r="M31" s="13" t="str">
        <f aca="false">$L$1&amp;"-"&amp;M$2&amp;"-"&amp;$A31&amp;"/"&amp;$A31</f>
        <v>БГ-С-1,5/1,5</v>
      </c>
      <c r="N31" s="13" t="str">
        <f aca="false">$L$1&amp;"-"&amp;N$2&amp;"-"&amp;$A31&amp;"/"&amp;$A31</f>
        <v>БГ-П-1,5/1,5</v>
      </c>
      <c r="O31" s="13" t="str">
        <f aca="false">$O$1&amp;"-"&amp;$A31</f>
        <v>БОВГ-1,5</v>
      </c>
      <c r="P31" s="13" t="str">
        <f aca="false">$O$1&amp;"-"&amp;P$2&amp;"-"&amp;$A31&amp;"/"&amp;$A31</f>
        <v>БОВГ-С-1,5/1,5</v>
      </c>
      <c r="Q31" s="13" t="str">
        <f aca="false">$O$1&amp;"-"&amp;Q$2&amp;"-"&amp;$A31&amp;"/"&amp;$A31</f>
        <v>БОВГ-П-1,5/1,5</v>
      </c>
    </row>
    <row r="32" customFormat="false" ht="15" hidden="false" customHeight="false" outlineLevel="0" collapsed="false">
      <c r="A32" s="18" t="n">
        <v>1.6</v>
      </c>
      <c r="B32" s="18"/>
      <c r="C32" s="10" t="str">
        <f aca="false">$C$1&amp;"-"&amp;$A32&amp;"-"&amp;C$2</f>
        <v>БВ-1,6-xx</v>
      </c>
      <c r="D32" s="10" t="str">
        <f aca="false">$C$1&amp;"-"&amp;$A32&amp;"-"&amp;D$2</f>
        <v>БВ-1,6-РП</v>
      </c>
      <c r="E32" s="10" t="str">
        <f aca="false">$C$1&amp;"-"&amp;$A32&amp;"-"&amp;E$2</f>
        <v>БВ-1,6-Рх</v>
      </c>
      <c r="F32" s="14" t="str">
        <f aca="false">$C$1&amp;"-"&amp;$A32&amp;"-"&amp;F$2</f>
        <v>БВ-1,6-хП</v>
      </c>
      <c r="G32" s="16" t="str">
        <f aca="false">$G$1&amp;"-"&amp;$A32&amp;"-"&amp;G$2</f>
        <v>БОВ-1,6-С</v>
      </c>
      <c r="H32" s="13" t="str">
        <f aca="false">$G$1&amp;"-"&amp;$A32&amp;"-"&amp;H$2</f>
        <v>БОВ-1,6-Т</v>
      </c>
      <c r="I32" s="13" t="str">
        <f aca="false">$G$1&amp;"-"&amp;$A32&amp;"-"&amp;I$2</f>
        <v>БОВ-1,6-Т-2(50%)</v>
      </c>
      <c r="J32" s="13" t="str">
        <f aca="false">$G$1&amp;"-"&amp;$A32&amp;"-"&amp;J$2</f>
        <v>БОВ-1,6-Т-2(75%)</v>
      </c>
      <c r="K32" s="13" t="str">
        <f aca="false">$G$1&amp;"-"&amp;$A32&amp;"-"&amp;K$2</f>
        <v>БОВ-1,6-Т-2(100%)</v>
      </c>
      <c r="L32" s="13" t="str">
        <f aca="false">$L$1&amp;"-"&amp;$A32</f>
        <v>БГ-1,6</v>
      </c>
      <c r="M32" s="13" t="str">
        <f aca="false">$L$1&amp;"-"&amp;M$2&amp;"-"&amp;$A32&amp;"/"&amp;$A32</f>
        <v>БГ-С-1,6/1,6</v>
      </c>
      <c r="N32" s="13" t="str">
        <f aca="false">$L$1&amp;"-"&amp;N$2&amp;"-"&amp;$A32&amp;"/"&amp;$A32</f>
        <v>БГ-П-1,6/1,6</v>
      </c>
      <c r="O32" s="13" t="str">
        <f aca="false">$O$1&amp;"-"&amp;$A32</f>
        <v>БОВГ-1,6</v>
      </c>
      <c r="P32" s="13" t="str">
        <f aca="false">$O$1&amp;"-"&amp;P$2&amp;"-"&amp;$A32&amp;"/"&amp;$A32</f>
        <v>БОВГ-С-1,6/1,6</v>
      </c>
      <c r="Q32" s="13" t="str">
        <f aca="false">$O$1&amp;"-"&amp;Q$2&amp;"-"&amp;$A32&amp;"/"&amp;$A32</f>
        <v>БОВГ-П-1,6/1,6</v>
      </c>
    </row>
    <row r="33" customFormat="false" ht="15" hidden="false" customHeight="false" outlineLevel="0" collapsed="false">
      <c r="A33" s="18" t="n">
        <v>1.7</v>
      </c>
      <c r="B33" s="18"/>
      <c r="C33" s="10" t="str">
        <f aca="false">$C$1&amp;"-"&amp;$A33&amp;"-"&amp;C$2</f>
        <v>БВ-1,7-xx</v>
      </c>
      <c r="D33" s="10" t="str">
        <f aca="false">$C$1&amp;"-"&amp;$A33&amp;"-"&amp;D$2</f>
        <v>БВ-1,7-РП</v>
      </c>
      <c r="E33" s="10" t="str">
        <f aca="false">$C$1&amp;"-"&amp;$A33&amp;"-"&amp;E$2</f>
        <v>БВ-1,7-Рх</v>
      </c>
      <c r="F33" s="14" t="str">
        <f aca="false">$C$1&amp;"-"&amp;$A33&amp;"-"&amp;F$2</f>
        <v>БВ-1,7-хП</v>
      </c>
      <c r="G33" s="16" t="str">
        <f aca="false">$G$1&amp;"-"&amp;$A33&amp;"-"&amp;G$2</f>
        <v>БОВ-1,7-С</v>
      </c>
      <c r="H33" s="13" t="str">
        <f aca="false">$G$1&amp;"-"&amp;$A33&amp;"-"&amp;H$2</f>
        <v>БОВ-1,7-Т</v>
      </c>
      <c r="I33" s="13" t="str">
        <f aca="false">$G$1&amp;"-"&amp;$A33&amp;"-"&amp;I$2</f>
        <v>БОВ-1,7-Т-2(50%)</v>
      </c>
      <c r="J33" s="13" t="str">
        <f aca="false">$G$1&amp;"-"&amp;$A33&amp;"-"&amp;J$2</f>
        <v>БОВ-1,7-Т-2(75%)</v>
      </c>
      <c r="K33" s="13" t="str">
        <f aca="false">$G$1&amp;"-"&amp;$A33&amp;"-"&amp;K$2</f>
        <v>БОВ-1,7-Т-2(100%)</v>
      </c>
      <c r="L33" s="13" t="str">
        <f aca="false">$L$1&amp;"-"&amp;$A33</f>
        <v>БГ-1,7</v>
      </c>
      <c r="M33" s="13" t="str">
        <f aca="false">$L$1&amp;"-"&amp;M$2&amp;"-"&amp;$A33&amp;"/"&amp;$A33</f>
        <v>БГ-С-1,7/1,7</v>
      </c>
      <c r="N33" s="13" t="str">
        <f aca="false">$L$1&amp;"-"&amp;N$2&amp;"-"&amp;$A33&amp;"/"&amp;$A33</f>
        <v>БГ-П-1,7/1,7</v>
      </c>
      <c r="O33" s="13" t="str">
        <f aca="false">$O$1&amp;"-"&amp;$A33</f>
        <v>БОВГ-1,7</v>
      </c>
      <c r="P33" s="13" t="str">
        <f aca="false">$O$1&amp;"-"&amp;P$2&amp;"-"&amp;$A33&amp;"/"&amp;$A33</f>
        <v>БОВГ-С-1,7/1,7</v>
      </c>
      <c r="Q33" s="13" t="str">
        <f aca="false">$O$1&amp;"-"&amp;Q$2&amp;"-"&amp;$A33&amp;"/"&amp;$A33</f>
        <v>БОВГ-П-1,7/1,7</v>
      </c>
    </row>
    <row r="34" customFormat="false" ht="15" hidden="false" customHeight="false" outlineLevel="0" collapsed="false">
      <c r="A34" s="18" t="n">
        <v>1.8</v>
      </c>
      <c r="B34" s="18"/>
      <c r="C34" s="10" t="str">
        <f aca="false">$C$1&amp;"-"&amp;$A34&amp;"-"&amp;C$2</f>
        <v>БВ-1,8-xx</v>
      </c>
      <c r="D34" s="10" t="str">
        <f aca="false">$C$1&amp;"-"&amp;$A34&amp;"-"&amp;D$2</f>
        <v>БВ-1,8-РП</v>
      </c>
      <c r="E34" s="10" t="str">
        <f aca="false">$C$1&amp;"-"&amp;$A34&amp;"-"&amp;E$2</f>
        <v>БВ-1,8-Рх</v>
      </c>
      <c r="F34" s="14" t="str">
        <f aca="false">$C$1&amp;"-"&amp;$A34&amp;"-"&amp;F$2</f>
        <v>БВ-1,8-хП</v>
      </c>
      <c r="G34" s="16" t="str">
        <f aca="false">$G$1&amp;"-"&amp;$A34&amp;"-"&amp;G$2</f>
        <v>БОВ-1,8-С</v>
      </c>
      <c r="H34" s="13" t="str">
        <f aca="false">$G$1&amp;"-"&amp;$A34&amp;"-"&amp;H$2</f>
        <v>БОВ-1,8-Т</v>
      </c>
      <c r="I34" s="13" t="str">
        <f aca="false">$G$1&amp;"-"&amp;$A34&amp;"-"&amp;I$2</f>
        <v>БОВ-1,8-Т-2(50%)</v>
      </c>
      <c r="J34" s="13" t="str">
        <f aca="false">$G$1&amp;"-"&amp;$A34&amp;"-"&amp;J$2</f>
        <v>БОВ-1,8-Т-2(75%)</v>
      </c>
      <c r="K34" s="13" t="str">
        <f aca="false">$G$1&amp;"-"&amp;$A34&amp;"-"&amp;K$2</f>
        <v>БОВ-1,8-Т-2(100%)</v>
      </c>
      <c r="L34" s="13" t="str">
        <f aca="false">$L$1&amp;"-"&amp;$A34</f>
        <v>БГ-1,8</v>
      </c>
      <c r="M34" s="13" t="str">
        <f aca="false">$L$1&amp;"-"&amp;M$2&amp;"-"&amp;$A34&amp;"/"&amp;$A34</f>
        <v>БГ-С-1,8/1,8</v>
      </c>
      <c r="N34" s="13" t="str">
        <f aca="false">$L$1&amp;"-"&amp;N$2&amp;"-"&amp;$A34&amp;"/"&amp;$A34</f>
        <v>БГ-П-1,8/1,8</v>
      </c>
      <c r="O34" s="13" t="str">
        <f aca="false">$O$1&amp;"-"&amp;$A34</f>
        <v>БОВГ-1,8</v>
      </c>
      <c r="P34" s="13" t="str">
        <f aca="false">$O$1&amp;"-"&amp;P$2&amp;"-"&amp;$A34&amp;"/"&amp;$A34</f>
        <v>БОВГ-С-1,8/1,8</v>
      </c>
      <c r="Q34" s="13" t="str">
        <f aca="false">$O$1&amp;"-"&amp;Q$2&amp;"-"&amp;$A34&amp;"/"&amp;$A34</f>
        <v>БОВГ-П-1,8/1,8</v>
      </c>
    </row>
    <row r="35" customFormat="false" ht="15" hidden="false" customHeight="false" outlineLevel="0" collapsed="false">
      <c r="A35" s="18" t="n">
        <v>1.9</v>
      </c>
      <c r="B35" s="18"/>
      <c r="C35" s="10" t="str">
        <f aca="false">$C$1&amp;"-"&amp;$A35&amp;"-"&amp;C$2</f>
        <v>БВ-1,9-xx</v>
      </c>
      <c r="D35" s="10" t="str">
        <f aca="false">$C$1&amp;"-"&amp;$A35&amp;"-"&amp;D$2</f>
        <v>БВ-1,9-РП</v>
      </c>
      <c r="E35" s="10" t="str">
        <f aca="false">$C$1&amp;"-"&amp;$A35&amp;"-"&amp;E$2</f>
        <v>БВ-1,9-Рх</v>
      </c>
      <c r="F35" s="14" t="str">
        <f aca="false">$C$1&amp;"-"&amp;$A35&amp;"-"&amp;F$2</f>
        <v>БВ-1,9-хП</v>
      </c>
      <c r="G35" s="16" t="str">
        <f aca="false">$G$1&amp;"-"&amp;$A35&amp;"-"&amp;G$2</f>
        <v>БОВ-1,9-С</v>
      </c>
      <c r="H35" s="13" t="str">
        <f aca="false">$G$1&amp;"-"&amp;$A35&amp;"-"&amp;H$2</f>
        <v>БОВ-1,9-Т</v>
      </c>
      <c r="I35" s="13" t="str">
        <f aca="false">$G$1&amp;"-"&amp;$A35&amp;"-"&amp;I$2</f>
        <v>БОВ-1,9-Т-2(50%)</v>
      </c>
      <c r="J35" s="13" t="str">
        <f aca="false">$G$1&amp;"-"&amp;$A35&amp;"-"&amp;J$2</f>
        <v>БОВ-1,9-Т-2(75%)</v>
      </c>
      <c r="K35" s="13" t="str">
        <f aca="false">$G$1&amp;"-"&amp;$A35&amp;"-"&amp;K$2</f>
        <v>БОВ-1,9-Т-2(100%)</v>
      </c>
      <c r="L35" s="13" t="str">
        <f aca="false">$L$1&amp;"-"&amp;$A35</f>
        <v>БГ-1,9</v>
      </c>
      <c r="M35" s="13" t="str">
        <f aca="false">$L$1&amp;"-"&amp;M$2&amp;"-"&amp;$A35&amp;"/"&amp;$A35</f>
        <v>БГ-С-1,9/1,9</v>
      </c>
      <c r="N35" s="13" t="str">
        <f aca="false">$L$1&amp;"-"&amp;N$2&amp;"-"&amp;$A35&amp;"/"&amp;$A35</f>
        <v>БГ-П-1,9/1,9</v>
      </c>
      <c r="O35" s="13" t="str">
        <f aca="false">$O$1&amp;"-"&amp;$A35</f>
        <v>БОВГ-1,9</v>
      </c>
      <c r="P35" s="13" t="str">
        <f aca="false">$O$1&amp;"-"&amp;P$2&amp;"-"&amp;$A35&amp;"/"&amp;$A35</f>
        <v>БОВГ-С-1,9/1,9</v>
      </c>
      <c r="Q35" s="13" t="str">
        <f aca="false">$O$1&amp;"-"&amp;Q$2&amp;"-"&amp;$A35&amp;"/"&amp;$A35</f>
        <v>БОВГ-П-1,9/1,9</v>
      </c>
    </row>
    <row r="36" customFormat="false" ht="15" hidden="false" customHeight="false" outlineLevel="0" collapsed="false">
      <c r="A36" s="18" t="s">
        <v>26</v>
      </c>
      <c r="B36" s="18"/>
      <c r="C36" s="10" t="str">
        <f aca="false">$C$1&amp;"-"&amp;$A36&amp;"-"&amp;C$2</f>
        <v>БВ-2,0-xx</v>
      </c>
      <c r="D36" s="10" t="str">
        <f aca="false">$C$1&amp;"-"&amp;$A36&amp;"-"&amp;D$2</f>
        <v>БВ-2,0-РП</v>
      </c>
      <c r="E36" s="10" t="str">
        <f aca="false">$C$1&amp;"-"&amp;$A36&amp;"-"&amp;E$2</f>
        <v>БВ-2,0-Рх</v>
      </c>
      <c r="F36" s="14" t="str">
        <f aca="false">$C$1&amp;"-"&amp;$A36&amp;"-"&amp;F$2</f>
        <v>БВ-2,0-хП</v>
      </c>
      <c r="G36" s="16" t="str">
        <f aca="false">$G$1&amp;"-"&amp;$A36&amp;"-"&amp;G$2</f>
        <v>БОВ-2,0-С</v>
      </c>
      <c r="H36" s="13" t="str">
        <f aca="false">$G$1&amp;"-"&amp;$A36&amp;"-"&amp;H$2</f>
        <v>БОВ-2,0-Т</v>
      </c>
      <c r="I36" s="13" t="str">
        <f aca="false">$G$1&amp;"-"&amp;$A36&amp;"-"&amp;I$2</f>
        <v>БОВ-2,0-Т-2(50%)</v>
      </c>
      <c r="J36" s="13" t="str">
        <f aca="false">$G$1&amp;"-"&amp;$A36&amp;"-"&amp;J$2</f>
        <v>БОВ-2,0-Т-2(75%)</v>
      </c>
      <c r="K36" s="13" t="str">
        <f aca="false">$G$1&amp;"-"&amp;$A36&amp;"-"&amp;K$2</f>
        <v>БОВ-2,0-Т-2(100%)</v>
      </c>
      <c r="L36" s="13" t="str">
        <f aca="false">$L$1&amp;"-"&amp;$A36</f>
        <v>БГ-2,0</v>
      </c>
      <c r="M36" s="13" t="str">
        <f aca="false">$L$1&amp;"-"&amp;M$2&amp;"-"&amp;$A36&amp;"/"&amp;$A36</f>
        <v>БГ-С-2,0/2,0</v>
      </c>
      <c r="N36" s="13" t="str">
        <f aca="false">$L$1&amp;"-"&amp;N$2&amp;"-"&amp;$A36&amp;"/"&amp;$A36</f>
        <v>БГ-П-2,0/2,0</v>
      </c>
      <c r="O36" s="13" t="str">
        <f aca="false">$O$1&amp;"-"&amp;$A36</f>
        <v>БОВГ-2,0</v>
      </c>
      <c r="P36" s="13" t="str">
        <f aca="false">$O$1&amp;"-"&amp;P$2&amp;"-"&amp;$A36&amp;"/"&amp;$A36</f>
        <v>БОВГ-С-2,0/2,0</v>
      </c>
      <c r="Q36" s="13" t="str">
        <f aca="false">$O$1&amp;"-"&amp;Q$2&amp;"-"&amp;$A36&amp;"/"&amp;$A36</f>
        <v>БОВГ-П-2,0/2,0</v>
      </c>
    </row>
    <row r="37" customFormat="false" ht="15" hidden="false" customHeight="false" outlineLevel="0" collapsed="false">
      <c r="A37" s="18" t="n">
        <v>2.1</v>
      </c>
      <c r="B37" s="18"/>
      <c r="C37" s="10" t="str">
        <f aca="false">$C$1&amp;"-"&amp;$A37&amp;"-"&amp;C$2</f>
        <v>БВ-2,1-xx</v>
      </c>
      <c r="D37" s="10" t="str">
        <f aca="false">$C$1&amp;"-"&amp;$A37&amp;"-"&amp;D$2</f>
        <v>БВ-2,1-РП</v>
      </c>
      <c r="E37" s="10" t="str">
        <f aca="false">$C$1&amp;"-"&amp;$A37&amp;"-"&amp;E$2</f>
        <v>БВ-2,1-Рх</v>
      </c>
      <c r="F37" s="14" t="str">
        <f aca="false">$C$1&amp;"-"&amp;$A37&amp;"-"&amp;F$2</f>
        <v>БВ-2,1-хП</v>
      </c>
      <c r="G37" s="16" t="str">
        <f aca="false">$G$1&amp;"-"&amp;$A37&amp;"-"&amp;G$2</f>
        <v>БОВ-2,1-С</v>
      </c>
      <c r="H37" s="13" t="str">
        <f aca="false">$G$1&amp;"-"&amp;$A37&amp;"-"&amp;H$2</f>
        <v>БОВ-2,1-Т</v>
      </c>
      <c r="I37" s="13" t="str">
        <f aca="false">$G$1&amp;"-"&amp;$A37&amp;"-"&amp;I$2</f>
        <v>БОВ-2,1-Т-2(50%)</v>
      </c>
      <c r="J37" s="13" t="str">
        <f aca="false">$G$1&amp;"-"&amp;$A37&amp;"-"&amp;J$2</f>
        <v>БОВ-2,1-Т-2(75%)</v>
      </c>
      <c r="K37" s="13" t="str">
        <f aca="false">$G$1&amp;"-"&amp;$A37&amp;"-"&amp;K$2</f>
        <v>БОВ-2,1-Т-2(100%)</v>
      </c>
      <c r="L37" s="13" t="str">
        <f aca="false">$L$1&amp;"-"&amp;$A37</f>
        <v>БГ-2,1</v>
      </c>
      <c r="M37" s="13" t="str">
        <f aca="false">$L$1&amp;"-"&amp;M$2&amp;"-"&amp;$A37&amp;"/"&amp;$A37</f>
        <v>БГ-С-2,1/2,1</v>
      </c>
      <c r="N37" s="13" t="str">
        <f aca="false">$L$1&amp;"-"&amp;N$2&amp;"-"&amp;$A37&amp;"/"&amp;$A37</f>
        <v>БГ-П-2,1/2,1</v>
      </c>
      <c r="O37" s="13" t="str">
        <f aca="false">$O$1&amp;"-"&amp;$A37</f>
        <v>БОВГ-2,1</v>
      </c>
      <c r="P37" s="13" t="str">
        <f aca="false">$O$1&amp;"-"&amp;P$2&amp;"-"&amp;$A37&amp;"/"&amp;$A37</f>
        <v>БОВГ-С-2,1/2,1</v>
      </c>
      <c r="Q37" s="13" t="str">
        <f aca="false">$O$1&amp;"-"&amp;Q$2&amp;"-"&amp;$A37&amp;"/"&amp;$A37</f>
        <v>БОВГ-П-2,1/2,1</v>
      </c>
    </row>
    <row r="38" customFormat="false" ht="15" hidden="false" customHeight="false" outlineLevel="0" collapsed="false">
      <c r="A38" s="18" t="n">
        <v>2.2</v>
      </c>
      <c r="B38" s="18"/>
      <c r="C38" s="10" t="str">
        <f aca="false">$C$1&amp;"-"&amp;$A38&amp;"-"&amp;C$2</f>
        <v>БВ-2,2-xx</v>
      </c>
      <c r="D38" s="10" t="str">
        <f aca="false">$C$1&amp;"-"&amp;$A38&amp;"-"&amp;D$2</f>
        <v>БВ-2,2-РП</v>
      </c>
      <c r="E38" s="10" t="str">
        <f aca="false">$C$1&amp;"-"&amp;$A38&amp;"-"&amp;E$2</f>
        <v>БВ-2,2-Рх</v>
      </c>
      <c r="F38" s="14" t="str">
        <f aca="false">$C$1&amp;"-"&amp;$A38&amp;"-"&amp;F$2</f>
        <v>БВ-2,2-хП</v>
      </c>
      <c r="G38" s="16" t="str">
        <f aca="false">$G$1&amp;"-"&amp;$A38&amp;"-"&amp;G$2</f>
        <v>БОВ-2,2-С</v>
      </c>
      <c r="H38" s="13" t="str">
        <f aca="false">$G$1&amp;"-"&amp;$A38&amp;"-"&amp;H$2</f>
        <v>БОВ-2,2-Т</v>
      </c>
      <c r="I38" s="13" t="str">
        <f aca="false">$G$1&amp;"-"&amp;$A38&amp;"-"&amp;I$2</f>
        <v>БОВ-2,2-Т-2(50%)</v>
      </c>
      <c r="J38" s="13" t="str">
        <f aca="false">$G$1&amp;"-"&amp;$A38&amp;"-"&amp;J$2</f>
        <v>БОВ-2,2-Т-2(75%)</v>
      </c>
      <c r="K38" s="13" t="str">
        <f aca="false">$G$1&amp;"-"&amp;$A38&amp;"-"&amp;K$2</f>
        <v>БОВ-2,2-Т-2(100%)</v>
      </c>
      <c r="L38" s="13" t="str">
        <f aca="false">$L$1&amp;"-"&amp;$A38</f>
        <v>БГ-2,2</v>
      </c>
      <c r="M38" s="13" t="str">
        <f aca="false">$L$1&amp;"-"&amp;M$2&amp;"-"&amp;$A38&amp;"/"&amp;$A38</f>
        <v>БГ-С-2,2/2,2</v>
      </c>
      <c r="N38" s="13" t="str">
        <f aca="false">$L$1&amp;"-"&amp;N$2&amp;"-"&amp;$A38&amp;"/"&amp;$A38</f>
        <v>БГ-П-2,2/2,2</v>
      </c>
      <c r="O38" s="13" t="str">
        <f aca="false">$O$1&amp;"-"&amp;$A38</f>
        <v>БОВГ-2,2</v>
      </c>
      <c r="P38" s="13" t="str">
        <f aca="false">$O$1&amp;"-"&amp;P$2&amp;"-"&amp;$A38&amp;"/"&amp;$A38</f>
        <v>БОВГ-С-2,2/2,2</v>
      </c>
      <c r="Q38" s="13" t="str">
        <f aca="false">$O$1&amp;"-"&amp;Q$2&amp;"-"&amp;$A38&amp;"/"&amp;$A38</f>
        <v>БОВГ-П-2,2/2,2</v>
      </c>
    </row>
    <row r="39" customFormat="false" ht="15" hidden="false" customHeight="false" outlineLevel="0" collapsed="false">
      <c r="A39" s="18" t="n">
        <v>2.3</v>
      </c>
      <c r="B39" s="18"/>
      <c r="C39" s="10" t="str">
        <f aca="false">$C$1&amp;"-"&amp;$A39&amp;"-"&amp;C$2</f>
        <v>БВ-2,3-xx</v>
      </c>
      <c r="D39" s="10" t="str">
        <f aca="false">$C$1&amp;"-"&amp;$A39&amp;"-"&amp;D$2</f>
        <v>БВ-2,3-РП</v>
      </c>
      <c r="E39" s="10" t="str">
        <f aca="false">$C$1&amp;"-"&amp;$A39&amp;"-"&amp;E$2</f>
        <v>БВ-2,3-Рх</v>
      </c>
      <c r="F39" s="14" t="str">
        <f aca="false">$C$1&amp;"-"&amp;$A39&amp;"-"&amp;F$2</f>
        <v>БВ-2,3-хП</v>
      </c>
      <c r="G39" s="16" t="str">
        <f aca="false">$G$1&amp;"-"&amp;$A39&amp;"-"&amp;G$2</f>
        <v>БОВ-2,3-С</v>
      </c>
      <c r="H39" s="13" t="str">
        <f aca="false">$G$1&amp;"-"&amp;$A39&amp;"-"&amp;H$2</f>
        <v>БОВ-2,3-Т</v>
      </c>
      <c r="I39" s="13" t="str">
        <f aca="false">$G$1&amp;"-"&amp;$A39&amp;"-"&amp;I$2</f>
        <v>БОВ-2,3-Т-2(50%)</v>
      </c>
      <c r="J39" s="13" t="str">
        <f aca="false">$G$1&amp;"-"&amp;$A39&amp;"-"&amp;J$2</f>
        <v>БОВ-2,3-Т-2(75%)</v>
      </c>
      <c r="K39" s="13" t="str">
        <f aca="false">$G$1&amp;"-"&amp;$A39&amp;"-"&amp;K$2</f>
        <v>БОВ-2,3-Т-2(100%)</v>
      </c>
      <c r="L39" s="13" t="str">
        <f aca="false">$L$1&amp;"-"&amp;$A39</f>
        <v>БГ-2,3</v>
      </c>
      <c r="M39" s="13" t="str">
        <f aca="false">$L$1&amp;"-"&amp;M$2&amp;"-"&amp;$A39&amp;"/"&amp;$A39</f>
        <v>БГ-С-2,3/2,3</v>
      </c>
      <c r="N39" s="13" t="str">
        <f aca="false">$L$1&amp;"-"&amp;N$2&amp;"-"&amp;$A39&amp;"/"&amp;$A39</f>
        <v>БГ-П-2,3/2,3</v>
      </c>
      <c r="O39" s="13" t="str">
        <f aca="false">$O$1&amp;"-"&amp;$A39</f>
        <v>БОВГ-2,3</v>
      </c>
      <c r="P39" s="13" t="str">
        <f aca="false">$O$1&amp;"-"&amp;P$2&amp;"-"&amp;$A39&amp;"/"&amp;$A39</f>
        <v>БОВГ-С-2,3/2,3</v>
      </c>
      <c r="Q39" s="13" t="str">
        <f aca="false">$O$1&amp;"-"&amp;Q$2&amp;"-"&amp;$A39&amp;"/"&amp;$A39</f>
        <v>БОВГ-П-2,3/2,3</v>
      </c>
    </row>
    <row r="40" customFormat="false" ht="15" hidden="false" customHeight="false" outlineLevel="0" collapsed="false">
      <c r="A40" s="18" t="n">
        <v>2.4</v>
      </c>
      <c r="B40" s="18"/>
      <c r="C40" s="10" t="str">
        <f aca="false">$C$1&amp;"-"&amp;$A40&amp;"-"&amp;C$2</f>
        <v>БВ-2,4-xx</v>
      </c>
      <c r="D40" s="10" t="str">
        <f aca="false">$C$1&amp;"-"&amp;$A40&amp;"-"&amp;D$2</f>
        <v>БВ-2,4-РП</v>
      </c>
      <c r="E40" s="10" t="str">
        <f aca="false">$C$1&amp;"-"&amp;$A40&amp;"-"&amp;E$2</f>
        <v>БВ-2,4-Рх</v>
      </c>
      <c r="F40" s="14" t="str">
        <f aca="false">$C$1&amp;"-"&amp;$A40&amp;"-"&amp;F$2</f>
        <v>БВ-2,4-хП</v>
      </c>
      <c r="G40" s="16" t="str">
        <f aca="false">$G$1&amp;"-"&amp;$A40&amp;"-"&amp;G$2</f>
        <v>БОВ-2,4-С</v>
      </c>
      <c r="H40" s="13" t="str">
        <f aca="false">$G$1&amp;"-"&amp;$A40&amp;"-"&amp;H$2</f>
        <v>БОВ-2,4-Т</v>
      </c>
      <c r="I40" s="13" t="str">
        <f aca="false">$G$1&amp;"-"&amp;$A40&amp;"-"&amp;I$2</f>
        <v>БОВ-2,4-Т-2(50%)</v>
      </c>
      <c r="J40" s="13" t="str">
        <f aca="false">$G$1&amp;"-"&amp;$A40&amp;"-"&amp;J$2</f>
        <v>БОВ-2,4-Т-2(75%)</v>
      </c>
      <c r="K40" s="13" t="str">
        <f aca="false">$G$1&amp;"-"&amp;$A40&amp;"-"&amp;K$2</f>
        <v>БОВ-2,4-Т-2(100%)</v>
      </c>
      <c r="L40" s="13" t="str">
        <f aca="false">$L$1&amp;"-"&amp;$A40</f>
        <v>БГ-2,4</v>
      </c>
      <c r="M40" s="13" t="str">
        <f aca="false">$L$1&amp;"-"&amp;M$2&amp;"-"&amp;$A40&amp;"/"&amp;$A40</f>
        <v>БГ-С-2,4/2,4</v>
      </c>
      <c r="N40" s="13" t="str">
        <f aca="false">$L$1&amp;"-"&amp;N$2&amp;"-"&amp;$A40&amp;"/"&amp;$A40</f>
        <v>БГ-П-2,4/2,4</v>
      </c>
      <c r="O40" s="13" t="str">
        <f aca="false">$O$1&amp;"-"&amp;$A40</f>
        <v>БОВГ-2,4</v>
      </c>
      <c r="P40" s="13" t="str">
        <f aca="false">$O$1&amp;"-"&amp;P$2&amp;"-"&amp;$A40&amp;"/"&amp;$A40</f>
        <v>БОВГ-С-2,4/2,4</v>
      </c>
      <c r="Q40" s="13" t="str">
        <f aca="false">$O$1&amp;"-"&amp;Q$2&amp;"-"&amp;$A40&amp;"/"&amp;$A40</f>
        <v>БОВГ-П-2,4/2,4</v>
      </c>
    </row>
    <row r="41" customFormat="false" ht="15" hidden="false" customHeight="false" outlineLevel="0" collapsed="false">
      <c r="A41" s="18" t="n">
        <v>2.5</v>
      </c>
      <c r="B41" s="18"/>
      <c r="C41" s="10" t="str">
        <f aca="false">$C$1&amp;"-"&amp;$A41&amp;"-"&amp;C$2</f>
        <v>БВ-2,5-xx</v>
      </c>
      <c r="D41" s="10" t="str">
        <f aca="false">$C$1&amp;"-"&amp;$A41&amp;"-"&amp;D$2</f>
        <v>БВ-2,5-РП</v>
      </c>
      <c r="E41" s="10" t="str">
        <f aca="false">$C$1&amp;"-"&amp;$A41&amp;"-"&amp;E$2</f>
        <v>БВ-2,5-Рх</v>
      </c>
      <c r="F41" s="14" t="str">
        <f aca="false">$C$1&amp;"-"&amp;$A41&amp;"-"&amp;F$2</f>
        <v>БВ-2,5-хП</v>
      </c>
      <c r="G41" s="16" t="str">
        <f aca="false">$G$1&amp;"-"&amp;$A41&amp;"-"&amp;G$2</f>
        <v>БОВ-2,5-С</v>
      </c>
      <c r="H41" s="13" t="str">
        <f aca="false">$G$1&amp;"-"&amp;$A41&amp;"-"&amp;H$2</f>
        <v>БОВ-2,5-Т</v>
      </c>
      <c r="I41" s="13" t="str">
        <f aca="false">$G$1&amp;"-"&amp;$A41&amp;"-"&amp;I$2</f>
        <v>БОВ-2,5-Т-2(50%)</v>
      </c>
      <c r="J41" s="13" t="str">
        <f aca="false">$G$1&amp;"-"&amp;$A41&amp;"-"&amp;J$2</f>
        <v>БОВ-2,5-Т-2(75%)</v>
      </c>
      <c r="K41" s="13" t="str">
        <f aca="false">$G$1&amp;"-"&amp;$A41&amp;"-"&amp;K$2</f>
        <v>БОВ-2,5-Т-2(100%)</v>
      </c>
      <c r="L41" s="13" t="str">
        <f aca="false">$L$1&amp;"-"&amp;$A41</f>
        <v>БГ-2,5</v>
      </c>
      <c r="M41" s="13" t="str">
        <f aca="false">$L$1&amp;"-"&amp;M$2&amp;"-"&amp;$A41&amp;"/"&amp;$A41</f>
        <v>БГ-С-2,5/2,5</v>
      </c>
      <c r="N41" s="13" t="str">
        <f aca="false">$L$1&amp;"-"&amp;N$2&amp;"-"&amp;$A41&amp;"/"&amp;$A41</f>
        <v>БГ-П-2,5/2,5</v>
      </c>
      <c r="O41" s="13" t="str">
        <f aca="false">$O$1&amp;"-"&amp;$A41</f>
        <v>БОВГ-2,5</v>
      </c>
      <c r="P41" s="13" t="str">
        <f aca="false">$O$1&amp;"-"&amp;P$2&amp;"-"&amp;$A41&amp;"/"&amp;$A41</f>
        <v>БОВГ-С-2,5/2,5</v>
      </c>
      <c r="Q41" s="13" t="str">
        <f aca="false">$O$1&amp;"-"&amp;Q$2&amp;"-"&amp;$A41&amp;"/"&amp;$A41</f>
        <v>БОВГ-П-2,5/2,5</v>
      </c>
    </row>
    <row r="42" customFormat="false" ht="15" hidden="false" customHeight="false" outlineLevel="0" collapsed="false">
      <c r="A42" s="18" t="n">
        <v>2.6</v>
      </c>
      <c r="B42" s="18"/>
      <c r="C42" s="10" t="str">
        <f aca="false">$C$1&amp;"-"&amp;$A42&amp;"-"&amp;C$2</f>
        <v>БВ-2,6-xx</v>
      </c>
      <c r="D42" s="10" t="str">
        <f aca="false">$C$1&amp;"-"&amp;$A42&amp;"-"&amp;D$2</f>
        <v>БВ-2,6-РП</v>
      </c>
      <c r="E42" s="10" t="str">
        <f aca="false">$C$1&amp;"-"&amp;$A42&amp;"-"&amp;E$2</f>
        <v>БВ-2,6-Рх</v>
      </c>
      <c r="F42" s="14" t="str">
        <f aca="false">$C$1&amp;"-"&amp;$A42&amp;"-"&amp;F$2</f>
        <v>БВ-2,6-хП</v>
      </c>
      <c r="G42" s="16" t="str">
        <f aca="false">$G$1&amp;"-"&amp;$A42&amp;"-"&amp;G$2</f>
        <v>БОВ-2,6-С</v>
      </c>
      <c r="H42" s="13" t="str">
        <f aca="false">$G$1&amp;"-"&amp;$A42&amp;"-"&amp;H$2</f>
        <v>БОВ-2,6-Т</v>
      </c>
      <c r="I42" s="13" t="str">
        <f aca="false">$G$1&amp;"-"&amp;$A42&amp;"-"&amp;I$2</f>
        <v>БОВ-2,6-Т-2(50%)</v>
      </c>
      <c r="J42" s="13" t="str">
        <f aca="false">$G$1&amp;"-"&amp;$A42&amp;"-"&amp;J$2</f>
        <v>БОВ-2,6-Т-2(75%)</v>
      </c>
      <c r="K42" s="13" t="str">
        <f aca="false">$G$1&amp;"-"&amp;$A42&amp;"-"&amp;K$2</f>
        <v>БОВ-2,6-Т-2(100%)</v>
      </c>
      <c r="L42" s="13" t="str">
        <f aca="false">$L$1&amp;"-"&amp;$A42</f>
        <v>БГ-2,6</v>
      </c>
      <c r="M42" s="13" t="str">
        <f aca="false">$L$1&amp;"-"&amp;M$2&amp;"-"&amp;$A42&amp;"/"&amp;$A42</f>
        <v>БГ-С-2,6/2,6</v>
      </c>
      <c r="N42" s="13" t="str">
        <f aca="false">$L$1&amp;"-"&amp;N$2&amp;"-"&amp;$A42&amp;"/"&amp;$A42</f>
        <v>БГ-П-2,6/2,6</v>
      </c>
      <c r="O42" s="13" t="str">
        <f aca="false">$O$1&amp;"-"&amp;$A42</f>
        <v>БОВГ-2,6</v>
      </c>
      <c r="P42" s="13" t="str">
        <f aca="false">$O$1&amp;"-"&amp;P$2&amp;"-"&amp;$A42&amp;"/"&amp;$A42</f>
        <v>БОВГ-С-2,6/2,6</v>
      </c>
      <c r="Q42" s="13" t="str">
        <f aca="false">$O$1&amp;"-"&amp;Q$2&amp;"-"&amp;$A42&amp;"/"&amp;$A42</f>
        <v>БОВГ-П-2,6/2,6</v>
      </c>
    </row>
    <row r="43" customFormat="false" ht="15" hidden="false" customHeight="false" outlineLevel="0" collapsed="false">
      <c r="A43" s="18" t="n">
        <v>2.7</v>
      </c>
      <c r="B43" s="18"/>
      <c r="C43" s="10" t="str">
        <f aca="false">$C$1&amp;"-"&amp;$A43&amp;"-"&amp;C$2</f>
        <v>БВ-2,7-xx</v>
      </c>
      <c r="D43" s="10" t="str">
        <f aca="false">$C$1&amp;"-"&amp;$A43&amp;"-"&amp;D$2</f>
        <v>БВ-2,7-РП</v>
      </c>
      <c r="E43" s="10" t="str">
        <f aca="false">$C$1&amp;"-"&amp;$A43&amp;"-"&amp;E$2</f>
        <v>БВ-2,7-Рх</v>
      </c>
      <c r="F43" s="14" t="str">
        <f aca="false">$C$1&amp;"-"&amp;$A43&amp;"-"&amp;F$2</f>
        <v>БВ-2,7-хП</v>
      </c>
      <c r="G43" s="16" t="str">
        <f aca="false">$G$1&amp;"-"&amp;$A43&amp;"-"&amp;G$2</f>
        <v>БОВ-2,7-С</v>
      </c>
      <c r="H43" s="13" t="str">
        <f aca="false">$G$1&amp;"-"&amp;$A43&amp;"-"&amp;H$2</f>
        <v>БОВ-2,7-Т</v>
      </c>
      <c r="I43" s="13" t="str">
        <f aca="false">$G$1&amp;"-"&amp;$A43&amp;"-"&amp;I$2</f>
        <v>БОВ-2,7-Т-2(50%)</v>
      </c>
      <c r="J43" s="13" t="str">
        <f aca="false">$G$1&amp;"-"&amp;$A43&amp;"-"&amp;J$2</f>
        <v>БОВ-2,7-Т-2(75%)</v>
      </c>
      <c r="K43" s="13" t="str">
        <f aca="false">$G$1&amp;"-"&amp;$A43&amp;"-"&amp;K$2</f>
        <v>БОВ-2,7-Т-2(100%)</v>
      </c>
      <c r="L43" s="13" t="str">
        <f aca="false">$L$1&amp;"-"&amp;$A43</f>
        <v>БГ-2,7</v>
      </c>
      <c r="M43" s="13" t="str">
        <f aca="false">$L$1&amp;"-"&amp;M$2&amp;"-"&amp;$A43&amp;"/"&amp;$A43</f>
        <v>БГ-С-2,7/2,7</v>
      </c>
      <c r="N43" s="13" t="str">
        <f aca="false">$L$1&amp;"-"&amp;N$2&amp;"-"&amp;$A43&amp;"/"&amp;$A43</f>
        <v>БГ-П-2,7/2,7</v>
      </c>
      <c r="O43" s="13" t="str">
        <f aca="false">$O$1&amp;"-"&amp;$A43</f>
        <v>БОВГ-2,7</v>
      </c>
      <c r="P43" s="13" t="str">
        <f aca="false">$O$1&amp;"-"&amp;P$2&amp;"-"&amp;$A43&amp;"/"&amp;$A43</f>
        <v>БОВГ-С-2,7/2,7</v>
      </c>
      <c r="Q43" s="13" t="str">
        <f aca="false">$O$1&amp;"-"&amp;Q$2&amp;"-"&amp;$A43&amp;"/"&amp;$A43</f>
        <v>БОВГ-П-2,7/2,7</v>
      </c>
    </row>
    <row r="44" customFormat="false" ht="15" hidden="false" customHeight="false" outlineLevel="0" collapsed="false">
      <c r="A44" s="18" t="n">
        <v>2.8</v>
      </c>
      <c r="B44" s="18"/>
      <c r="C44" s="10" t="str">
        <f aca="false">$C$1&amp;"-"&amp;$A44&amp;"-"&amp;C$2</f>
        <v>БВ-2,8-xx</v>
      </c>
      <c r="D44" s="10" t="str">
        <f aca="false">$C$1&amp;"-"&amp;$A44&amp;"-"&amp;D$2</f>
        <v>БВ-2,8-РП</v>
      </c>
      <c r="E44" s="10" t="str">
        <f aca="false">$C$1&amp;"-"&amp;$A44&amp;"-"&amp;E$2</f>
        <v>БВ-2,8-Рх</v>
      </c>
      <c r="F44" s="14" t="str">
        <f aca="false">$C$1&amp;"-"&amp;$A44&amp;"-"&amp;F$2</f>
        <v>БВ-2,8-хП</v>
      </c>
      <c r="G44" s="16" t="str">
        <f aca="false">$G$1&amp;"-"&amp;$A44&amp;"-"&amp;G$2</f>
        <v>БОВ-2,8-С</v>
      </c>
      <c r="H44" s="13" t="str">
        <f aca="false">$G$1&amp;"-"&amp;$A44&amp;"-"&amp;H$2</f>
        <v>БОВ-2,8-Т</v>
      </c>
      <c r="I44" s="13" t="str">
        <f aca="false">$G$1&amp;"-"&amp;$A44&amp;"-"&amp;I$2</f>
        <v>БОВ-2,8-Т-2(50%)</v>
      </c>
      <c r="J44" s="13" t="str">
        <f aca="false">$G$1&amp;"-"&amp;$A44&amp;"-"&amp;J$2</f>
        <v>БОВ-2,8-Т-2(75%)</v>
      </c>
      <c r="K44" s="13" t="str">
        <f aca="false">$G$1&amp;"-"&amp;$A44&amp;"-"&amp;K$2</f>
        <v>БОВ-2,8-Т-2(100%)</v>
      </c>
      <c r="L44" s="13" t="str">
        <f aca="false">$L$1&amp;"-"&amp;$A44</f>
        <v>БГ-2,8</v>
      </c>
      <c r="M44" s="13" t="str">
        <f aca="false">$L$1&amp;"-"&amp;M$2&amp;"-"&amp;$A44&amp;"/"&amp;$A44</f>
        <v>БГ-С-2,8/2,8</v>
      </c>
      <c r="N44" s="13" t="str">
        <f aca="false">$L$1&amp;"-"&amp;N$2&amp;"-"&amp;$A44&amp;"/"&amp;$A44</f>
        <v>БГ-П-2,8/2,8</v>
      </c>
      <c r="O44" s="13" t="str">
        <f aca="false">$O$1&amp;"-"&amp;$A44</f>
        <v>БОВГ-2,8</v>
      </c>
      <c r="P44" s="13" t="str">
        <f aca="false">$O$1&amp;"-"&amp;P$2&amp;"-"&amp;$A44&amp;"/"&amp;$A44</f>
        <v>БОВГ-С-2,8/2,8</v>
      </c>
      <c r="Q44" s="13" t="str">
        <f aca="false">$O$1&amp;"-"&amp;Q$2&amp;"-"&amp;$A44&amp;"/"&amp;$A44</f>
        <v>БОВГ-П-2,8/2,8</v>
      </c>
    </row>
    <row r="45" customFormat="false" ht="15" hidden="false" customHeight="false" outlineLevel="0" collapsed="false">
      <c r="A45" s="18" t="n">
        <v>2.9</v>
      </c>
      <c r="B45" s="18"/>
      <c r="C45" s="10" t="str">
        <f aca="false">$C$1&amp;"-"&amp;$A45&amp;"-"&amp;C$2</f>
        <v>БВ-2,9-xx</v>
      </c>
      <c r="D45" s="10" t="str">
        <f aca="false">$C$1&amp;"-"&amp;$A45&amp;"-"&amp;D$2</f>
        <v>БВ-2,9-РП</v>
      </c>
      <c r="E45" s="10" t="str">
        <f aca="false">$C$1&amp;"-"&amp;$A45&amp;"-"&amp;E$2</f>
        <v>БВ-2,9-Рх</v>
      </c>
      <c r="F45" s="14" t="str">
        <f aca="false">$C$1&amp;"-"&amp;$A45&amp;"-"&amp;F$2</f>
        <v>БВ-2,9-хП</v>
      </c>
      <c r="G45" s="16" t="str">
        <f aca="false">$G$1&amp;"-"&amp;$A45&amp;"-"&amp;G$2</f>
        <v>БОВ-2,9-С</v>
      </c>
      <c r="H45" s="13" t="str">
        <f aca="false">$G$1&amp;"-"&amp;$A45&amp;"-"&amp;H$2</f>
        <v>БОВ-2,9-Т</v>
      </c>
      <c r="I45" s="13" t="str">
        <f aca="false">$G$1&amp;"-"&amp;$A45&amp;"-"&amp;I$2</f>
        <v>БОВ-2,9-Т-2(50%)</v>
      </c>
      <c r="J45" s="13" t="str">
        <f aca="false">$G$1&amp;"-"&amp;$A45&amp;"-"&amp;J$2</f>
        <v>БОВ-2,9-Т-2(75%)</v>
      </c>
      <c r="K45" s="13" t="str">
        <f aca="false">$G$1&amp;"-"&amp;$A45&amp;"-"&amp;K$2</f>
        <v>БОВ-2,9-Т-2(100%)</v>
      </c>
      <c r="L45" s="13" t="str">
        <f aca="false">$L$1&amp;"-"&amp;$A45</f>
        <v>БГ-2,9</v>
      </c>
      <c r="M45" s="13" t="str">
        <f aca="false">$L$1&amp;"-"&amp;M$2&amp;"-"&amp;$A45&amp;"/"&amp;$A45</f>
        <v>БГ-С-2,9/2,9</v>
      </c>
      <c r="N45" s="13" t="str">
        <f aca="false">$L$1&amp;"-"&amp;N$2&amp;"-"&amp;$A45&amp;"/"&amp;$A45</f>
        <v>БГ-П-2,9/2,9</v>
      </c>
      <c r="O45" s="13" t="str">
        <f aca="false">$O$1&amp;"-"&amp;$A45</f>
        <v>БОВГ-2,9</v>
      </c>
      <c r="P45" s="13" t="str">
        <f aca="false">$O$1&amp;"-"&amp;P$2&amp;"-"&amp;$A45&amp;"/"&amp;$A45</f>
        <v>БОВГ-С-2,9/2,9</v>
      </c>
      <c r="Q45" s="13" t="str">
        <f aca="false">$O$1&amp;"-"&amp;Q$2&amp;"-"&amp;$A45&amp;"/"&amp;$A45</f>
        <v>БОВГ-П-2,9/2,9</v>
      </c>
    </row>
    <row r="46" customFormat="false" ht="15" hidden="false" customHeight="false" outlineLevel="0" collapsed="false">
      <c r="A46" s="18" t="s">
        <v>27</v>
      </c>
      <c r="B46" s="18"/>
      <c r="C46" s="10" t="str">
        <f aca="false">$C$1&amp;"-"&amp;$A46&amp;"-"&amp;C$2</f>
        <v>БВ-3,0-xx</v>
      </c>
      <c r="D46" s="10" t="str">
        <f aca="false">$C$1&amp;"-"&amp;$A46&amp;"-"&amp;D$2</f>
        <v>БВ-3,0-РП</v>
      </c>
      <c r="E46" s="10" t="str">
        <f aca="false">$C$1&amp;"-"&amp;$A46&amp;"-"&amp;E$2</f>
        <v>БВ-3,0-Рх</v>
      </c>
      <c r="F46" s="14" t="str">
        <f aca="false">$C$1&amp;"-"&amp;$A46&amp;"-"&amp;F$2</f>
        <v>БВ-3,0-хП</v>
      </c>
      <c r="G46" s="16" t="str">
        <f aca="false">$G$1&amp;"-"&amp;$A46&amp;"-"&amp;G$2</f>
        <v>БОВ-3,0-С</v>
      </c>
      <c r="H46" s="13" t="str">
        <f aca="false">$G$1&amp;"-"&amp;$A46&amp;"-"&amp;H$2</f>
        <v>БОВ-3,0-Т</v>
      </c>
      <c r="I46" s="13" t="str">
        <f aca="false">$G$1&amp;"-"&amp;$A46&amp;"-"&amp;I$2</f>
        <v>БОВ-3,0-Т-2(50%)</v>
      </c>
      <c r="J46" s="13" t="str">
        <f aca="false">$G$1&amp;"-"&amp;$A46&amp;"-"&amp;J$2</f>
        <v>БОВ-3,0-Т-2(75%)</v>
      </c>
      <c r="K46" s="13" t="str">
        <f aca="false">$G$1&amp;"-"&amp;$A46&amp;"-"&amp;K$2</f>
        <v>БОВ-3,0-Т-2(100%)</v>
      </c>
      <c r="L46" s="13" t="str">
        <f aca="false">$L$1&amp;"-"&amp;$A46</f>
        <v>БГ-3,0</v>
      </c>
      <c r="M46" s="13" t="str">
        <f aca="false">$L$1&amp;"-"&amp;M$2&amp;"-"&amp;$A46&amp;"/"&amp;$A46</f>
        <v>БГ-С-3,0/3,0</v>
      </c>
      <c r="N46" s="13" t="str">
        <f aca="false">$L$1&amp;"-"&amp;N$2&amp;"-"&amp;$A46&amp;"/"&amp;$A46</f>
        <v>БГ-П-3,0/3,0</v>
      </c>
      <c r="O46" s="13" t="str">
        <f aca="false">$O$1&amp;"-"&amp;$A46</f>
        <v>БОВГ-3,0</v>
      </c>
      <c r="P46" s="13" t="str">
        <f aca="false">$O$1&amp;"-"&amp;P$2&amp;"-"&amp;$A46&amp;"/"&amp;$A46</f>
        <v>БОВГ-С-3,0/3,0</v>
      </c>
      <c r="Q46" s="13" t="str">
        <f aca="false">$O$1&amp;"-"&amp;Q$2&amp;"-"&amp;$A46&amp;"/"&amp;$A46</f>
        <v>БОВГ-П-3,0/3,0</v>
      </c>
    </row>
    <row r="47" customFormat="false" ht="15" hidden="false" customHeight="false" outlineLevel="0" collapsed="false">
      <c r="A47" s="18" t="n">
        <v>3.1</v>
      </c>
      <c r="B47" s="18"/>
      <c r="C47" s="10" t="str">
        <f aca="false">$C$1&amp;"-"&amp;$A47&amp;"-"&amp;C$2</f>
        <v>БВ-3,1-xx</v>
      </c>
      <c r="D47" s="10" t="str">
        <f aca="false">$C$1&amp;"-"&amp;$A47&amp;"-"&amp;D$2</f>
        <v>БВ-3,1-РП</v>
      </c>
      <c r="E47" s="10" t="str">
        <f aca="false">$C$1&amp;"-"&amp;$A47&amp;"-"&amp;E$2</f>
        <v>БВ-3,1-Рх</v>
      </c>
      <c r="F47" s="14" t="str">
        <f aca="false">$C$1&amp;"-"&amp;$A47&amp;"-"&amp;F$2</f>
        <v>БВ-3,1-хП</v>
      </c>
      <c r="G47" s="16" t="str">
        <f aca="false">$G$1&amp;"-"&amp;$A47&amp;"-"&amp;G$2</f>
        <v>БОВ-3,1-С</v>
      </c>
      <c r="H47" s="13" t="str">
        <f aca="false">$G$1&amp;"-"&amp;$A47&amp;"-"&amp;H$2</f>
        <v>БОВ-3,1-Т</v>
      </c>
      <c r="I47" s="13" t="str">
        <f aca="false">$G$1&amp;"-"&amp;$A47&amp;"-"&amp;I$2</f>
        <v>БОВ-3,1-Т-2(50%)</v>
      </c>
      <c r="J47" s="13" t="str">
        <f aca="false">$G$1&amp;"-"&amp;$A47&amp;"-"&amp;J$2</f>
        <v>БОВ-3,1-Т-2(75%)</v>
      </c>
      <c r="K47" s="13" t="str">
        <f aca="false">$G$1&amp;"-"&amp;$A47&amp;"-"&amp;K$2</f>
        <v>БОВ-3,1-Т-2(100%)</v>
      </c>
      <c r="L47" s="13" t="str">
        <f aca="false">$L$1&amp;"-"&amp;$A47</f>
        <v>БГ-3,1</v>
      </c>
      <c r="M47" s="13" t="str">
        <f aca="false">$L$1&amp;"-"&amp;M$2&amp;"-"&amp;$A47&amp;"/"&amp;$A47</f>
        <v>БГ-С-3,1/3,1</v>
      </c>
      <c r="N47" s="13" t="str">
        <f aca="false">$L$1&amp;"-"&amp;N$2&amp;"-"&amp;$A47&amp;"/"&amp;$A47</f>
        <v>БГ-П-3,1/3,1</v>
      </c>
      <c r="O47" s="13" t="str">
        <f aca="false">$O$1&amp;"-"&amp;$A47</f>
        <v>БОВГ-3,1</v>
      </c>
      <c r="P47" s="13" t="str">
        <f aca="false">$O$1&amp;"-"&amp;P$2&amp;"-"&amp;$A47&amp;"/"&amp;$A47</f>
        <v>БОВГ-С-3,1/3,1</v>
      </c>
      <c r="Q47" s="13" t="str">
        <f aca="false">$O$1&amp;"-"&amp;Q$2&amp;"-"&amp;$A47&amp;"/"&amp;$A47</f>
        <v>БОВГ-П-3,1/3,1</v>
      </c>
    </row>
    <row r="48" customFormat="false" ht="15" hidden="false" customHeight="false" outlineLevel="0" collapsed="false">
      <c r="A48" s="18" t="n">
        <v>3.2</v>
      </c>
      <c r="B48" s="18"/>
      <c r="C48" s="10" t="str">
        <f aca="false">$C$1&amp;"-"&amp;$A48&amp;"-"&amp;C$2</f>
        <v>БВ-3,2-xx</v>
      </c>
      <c r="D48" s="10" t="str">
        <f aca="false">$C$1&amp;"-"&amp;$A48&amp;"-"&amp;D$2</f>
        <v>БВ-3,2-РП</v>
      </c>
      <c r="E48" s="10" t="str">
        <f aca="false">$C$1&amp;"-"&amp;$A48&amp;"-"&amp;E$2</f>
        <v>БВ-3,2-Рх</v>
      </c>
      <c r="F48" s="14" t="str">
        <f aca="false">$C$1&amp;"-"&amp;$A48&amp;"-"&amp;F$2</f>
        <v>БВ-3,2-хП</v>
      </c>
      <c r="G48" s="16" t="str">
        <f aca="false">$G$1&amp;"-"&amp;$A48&amp;"-"&amp;G$2</f>
        <v>БОВ-3,2-С</v>
      </c>
      <c r="H48" s="13" t="str">
        <f aca="false">$G$1&amp;"-"&amp;$A48&amp;"-"&amp;H$2</f>
        <v>БОВ-3,2-Т</v>
      </c>
      <c r="I48" s="13" t="str">
        <f aca="false">$G$1&amp;"-"&amp;$A48&amp;"-"&amp;I$2</f>
        <v>БОВ-3,2-Т-2(50%)</v>
      </c>
      <c r="J48" s="13" t="str">
        <f aca="false">$G$1&amp;"-"&amp;$A48&amp;"-"&amp;J$2</f>
        <v>БОВ-3,2-Т-2(75%)</v>
      </c>
      <c r="K48" s="13" t="str">
        <f aca="false">$G$1&amp;"-"&amp;$A48&amp;"-"&amp;K$2</f>
        <v>БОВ-3,2-Т-2(100%)</v>
      </c>
      <c r="L48" s="13" t="str">
        <f aca="false">$L$1&amp;"-"&amp;$A48</f>
        <v>БГ-3,2</v>
      </c>
      <c r="M48" s="13" t="str">
        <f aca="false">$L$1&amp;"-"&amp;M$2&amp;"-"&amp;$A48&amp;"/"&amp;$A48</f>
        <v>БГ-С-3,2/3,2</v>
      </c>
      <c r="N48" s="13" t="str">
        <f aca="false">$L$1&amp;"-"&amp;N$2&amp;"-"&amp;$A48&amp;"/"&amp;$A48</f>
        <v>БГ-П-3,2/3,2</v>
      </c>
      <c r="O48" s="13" t="str">
        <f aca="false">$O$1&amp;"-"&amp;$A48</f>
        <v>БОВГ-3,2</v>
      </c>
      <c r="P48" s="13" t="str">
        <f aca="false">$O$1&amp;"-"&amp;P$2&amp;"-"&amp;$A48&amp;"/"&amp;$A48</f>
        <v>БОВГ-С-3,2/3,2</v>
      </c>
      <c r="Q48" s="13" t="str">
        <f aca="false">$O$1&amp;"-"&amp;Q$2&amp;"-"&amp;$A48&amp;"/"&amp;$A48</f>
        <v>БОВГ-П-3,2/3,2</v>
      </c>
    </row>
    <row r="49" customFormat="false" ht="15" hidden="false" customHeight="false" outlineLevel="0" collapsed="false">
      <c r="A49" s="18" t="n">
        <v>3.3</v>
      </c>
      <c r="B49" s="18"/>
      <c r="C49" s="10" t="str">
        <f aca="false">$C$1&amp;"-"&amp;$A49&amp;"-"&amp;C$2</f>
        <v>БВ-3,3-xx</v>
      </c>
      <c r="D49" s="10" t="str">
        <f aca="false">$C$1&amp;"-"&amp;$A49&amp;"-"&amp;D$2</f>
        <v>БВ-3,3-РП</v>
      </c>
      <c r="E49" s="10" t="str">
        <f aca="false">$C$1&amp;"-"&amp;$A49&amp;"-"&amp;E$2</f>
        <v>БВ-3,3-Рх</v>
      </c>
      <c r="F49" s="14" t="str">
        <f aca="false">$C$1&amp;"-"&amp;$A49&amp;"-"&amp;F$2</f>
        <v>БВ-3,3-хП</v>
      </c>
      <c r="G49" s="16" t="str">
        <f aca="false">$G$1&amp;"-"&amp;$A49&amp;"-"&amp;G$2</f>
        <v>БОВ-3,3-С</v>
      </c>
      <c r="H49" s="13" t="str">
        <f aca="false">$G$1&amp;"-"&amp;$A49&amp;"-"&amp;H$2</f>
        <v>БОВ-3,3-Т</v>
      </c>
      <c r="I49" s="13" t="str">
        <f aca="false">$G$1&amp;"-"&amp;$A49&amp;"-"&amp;I$2</f>
        <v>БОВ-3,3-Т-2(50%)</v>
      </c>
      <c r="J49" s="13" t="str">
        <f aca="false">$G$1&amp;"-"&amp;$A49&amp;"-"&amp;J$2</f>
        <v>БОВ-3,3-Т-2(75%)</v>
      </c>
      <c r="K49" s="13" t="str">
        <f aca="false">$G$1&amp;"-"&amp;$A49&amp;"-"&amp;K$2</f>
        <v>БОВ-3,3-Т-2(100%)</v>
      </c>
      <c r="L49" s="13" t="str">
        <f aca="false">$L$1&amp;"-"&amp;$A49</f>
        <v>БГ-3,3</v>
      </c>
      <c r="M49" s="13" t="str">
        <f aca="false">$L$1&amp;"-"&amp;M$2&amp;"-"&amp;$A49&amp;"/"&amp;$A49</f>
        <v>БГ-С-3,3/3,3</v>
      </c>
      <c r="N49" s="13" t="str">
        <f aca="false">$L$1&amp;"-"&amp;N$2&amp;"-"&amp;$A49&amp;"/"&amp;$A49</f>
        <v>БГ-П-3,3/3,3</v>
      </c>
      <c r="O49" s="13" t="str">
        <f aca="false">$O$1&amp;"-"&amp;$A49</f>
        <v>БОВГ-3,3</v>
      </c>
      <c r="P49" s="13" t="str">
        <f aca="false">$O$1&amp;"-"&amp;P$2&amp;"-"&amp;$A49&amp;"/"&amp;$A49</f>
        <v>БОВГ-С-3,3/3,3</v>
      </c>
      <c r="Q49" s="13" t="str">
        <f aca="false">$O$1&amp;"-"&amp;Q$2&amp;"-"&amp;$A49&amp;"/"&amp;$A49</f>
        <v>БОВГ-П-3,3/3,3</v>
      </c>
    </row>
    <row r="50" customFormat="false" ht="15" hidden="false" customHeight="false" outlineLevel="0" collapsed="false">
      <c r="A50" s="18" t="n">
        <v>3.4</v>
      </c>
      <c r="B50" s="18"/>
      <c r="C50" s="10" t="str">
        <f aca="false">$C$1&amp;"-"&amp;$A50&amp;"-"&amp;C$2</f>
        <v>БВ-3,4-xx</v>
      </c>
      <c r="D50" s="10" t="str">
        <f aca="false">$C$1&amp;"-"&amp;$A50&amp;"-"&amp;D$2</f>
        <v>БВ-3,4-РП</v>
      </c>
      <c r="E50" s="10" t="str">
        <f aca="false">$C$1&amp;"-"&amp;$A50&amp;"-"&amp;E$2</f>
        <v>БВ-3,4-Рх</v>
      </c>
      <c r="F50" s="14" t="str">
        <f aca="false">$C$1&amp;"-"&amp;$A50&amp;"-"&amp;F$2</f>
        <v>БВ-3,4-хП</v>
      </c>
      <c r="G50" s="16" t="str">
        <f aca="false">$G$1&amp;"-"&amp;$A50&amp;"-"&amp;G$2</f>
        <v>БОВ-3,4-С</v>
      </c>
      <c r="H50" s="13" t="str">
        <f aca="false">$G$1&amp;"-"&amp;$A50&amp;"-"&amp;H$2</f>
        <v>БОВ-3,4-Т</v>
      </c>
      <c r="I50" s="13" t="str">
        <f aca="false">$G$1&amp;"-"&amp;$A50&amp;"-"&amp;I$2</f>
        <v>БОВ-3,4-Т-2(50%)</v>
      </c>
      <c r="J50" s="13" t="str">
        <f aca="false">$G$1&amp;"-"&amp;$A50&amp;"-"&amp;J$2</f>
        <v>БОВ-3,4-Т-2(75%)</v>
      </c>
      <c r="K50" s="13" t="str">
        <f aca="false">$G$1&amp;"-"&amp;$A50&amp;"-"&amp;K$2</f>
        <v>БОВ-3,4-Т-2(100%)</v>
      </c>
      <c r="L50" s="13" t="str">
        <f aca="false">$L$1&amp;"-"&amp;$A50</f>
        <v>БГ-3,4</v>
      </c>
      <c r="M50" s="13" t="str">
        <f aca="false">$L$1&amp;"-"&amp;M$2&amp;"-"&amp;$A50&amp;"/"&amp;$A50</f>
        <v>БГ-С-3,4/3,4</v>
      </c>
      <c r="N50" s="13" t="str">
        <f aca="false">$L$1&amp;"-"&amp;N$2&amp;"-"&amp;$A50&amp;"/"&amp;$A50</f>
        <v>БГ-П-3,4/3,4</v>
      </c>
      <c r="O50" s="13" t="str">
        <f aca="false">$O$1&amp;"-"&amp;$A50</f>
        <v>БОВГ-3,4</v>
      </c>
      <c r="P50" s="13" t="str">
        <f aca="false">$O$1&amp;"-"&amp;P$2&amp;"-"&amp;$A50&amp;"/"&amp;$A50</f>
        <v>БОВГ-С-3,4/3,4</v>
      </c>
      <c r="Q50" s="13" t="str">
        <f aca="false">$O$1&amp;"-"&amp;Q$2&amp;"-"&amp;$A50&amp;"/"&amp;$A50</f>
        <v>БОВГ-П-3,4/3,4</v>
      </c>
    </row>
    <row r="51" customFormat="false" ht="15" hidden="false" customHeight="false" outlineLevel="0" collapsed="false">
      <c r="A51" s="18" t="n">
        <v>3.5</v>
      </c>
      <c r="B51" s="18"/>
      <c r="C51" s="10" t="str">
        <f aca="false">$C$1&amp;"-"&amp;$A51&amp;"-"&amp;C$2</f>
        <v>БВ-3,5-xx</v>
      </c>
      <c r="D51" s="10" t="str">
        <f aca="false">$C$1&amp;"-"&amp;$A51&amp;"-"&amp;D$2</f>
        <v>БВ-3,5-РП</v>
      </c>
      <c r="E51" s="10" t="str">
        <f aca="false">$C$1&amp;"-"&amp;$A51&amp;"-"&amp;E$2</f>
        <v>БВ-3,5-Рх</v>
      </c>
      <c r="F51" s="14" t="str">
        <f aca="false">$C$1&amp;"-"&amp;$A51&amp;"-"&amp;F$2</f>
        <v>БВ-3,5-хП</v>
      </c>
      <c r="G51" s="16" t="str">
        <f aca="false">$G$1&amp;"-"&amp;$A51&amp;"-"&amp;G$2</f>
        <v>БОВ-3,5-С</v>
      </c>
      <c r="H51" s="13" t="str">
        <f aca="false">$G$1&amp;"-"&amp;$A51&amp;"-"&amp;H$2</f>
        <v>БОВ-3,5-Т</v>
      </c>
      <c r="I51" s="13" t="str">
        <f aca="false">$G$1&amp;"-"&amp;$A51&amp;"-"&amp;I$2</f>
        <v>БОВ-3,5-Т-2(50%)</v>
      </c>
      <c r="J51" s="13" t="str">
        <f aca="false">$G$1&amp;"-"&amp;$A51&amp;"-"&amp;J$2</f>
        <v>БОВ-3,5-Т-2(75%)</v>
      </c>
      <c r="K51" s="13" t="str">
        <f aca="false">$G$1&amp;"-"&amp;$A51&amp;"-"&amp;K$2</f>
        <v>БОВ-3,5-Т-2(100%)</v>
      </c>
      <c r="L51" s="13" t="str">
        <f aca="false">$L$1&amp;"-"&amp;$A51</f>
        <v>БГ-3,5</v>
      </c>
      <c r="M51" s="13" t="str">
        <f aca="false">$L$1&amp;"-"&amp;M$2&amp;"-"&amp;$A51&amp;"/"&amp;$A51</f>
        <v>БГ-С-3,5/3,5</v>
      </c>
      <c r="N51" s="13" t="str">
        <f aca="false">$L$1&amp;"-"&amp;N$2&amp;"-"&amp;$A51&amp;"/"&amp;$A51</f>
        <v>БГ-П-3,5/3,5</v>
      </c>
      <c r="O51" s="13" t="str">
        <f aca="false">$O$1&amp;"-"&amp;$A51</f>
        <v>БОВГ-3,5</v>
      </c>
      <c r="P51" s="13" t="str">
        <f aca="false">$O$1&amp;"-"&amp;P$2&amp;"-"&amp;$A51&amp;"/"&amp;$A51</f>
        <v>БОВГ-С-3,5/3,5</v>
      </c>
      <c r="Q51" s="13" t="str">
        <f aca="false">$O$1&amp;"-"&amp;Q$2&amp;"-"&amp;$A51&amp;"/"&amp;$A51</f>
        <v>БОВГ-П-3,5/3,5</v>
      </c>
    </row>
    <row r="52" customFormat="false" ht="15" hidden="false" customHeight="false" outlineLevel="0" collapsed="false">
      <c r="A52" s="18" t="n">
        <v>3.6</v>
      </c>
      <c r="B52" s="18"/>
      <c r="C52" s="10" t="str">
        <f aca="false">$C$1&amp;"-"&amp;$A52&amp;"-"&amp;C$2</f>
        <v>БВ-3,6-xx</v>
      </c>
      <c r="D52" s="10" t="str">
        <f aca="false">$C$1&amp;"-"&amp;$A52&amp;"-"&amp;D$2</f>
        <v>БВ-3,6-РП</v>
      </c>
      <c r="E52" s="10" t="str">
        <f aca="false">$C$1&amp;"-"&amp;$A52&amp;"-"&amp;E$2</f>
        <v>БВ-3,6-Рх</v>
      </c>
      <c r="F52" s="14" t="str">
        <f aca="false">$C$1&amp;"-"&amp;$A52&amp;"-"&amp;F$2</f>
        <v>БВ-3,6-хП</v>
      </c>
      <c r="G52" s="16" t="str">
        <f aca="false">$G$1&amp;"-"&amp;$A52&amp;"-"&amp;G$2</f>
        <v>БОВ-3,6-С</v>
      </c>
      <c r="H52" s="13" t="str">
        <f aca="false">$G$1&amp;"-"&amp;$A52&amp;"-"&amp;H$2</f>
        <v>БОВ-3,6-Т</v>
      </c>
      <c r="I52" s="13" t="str">
        <f aca="false">$G$1&amp;"-"&amp;$A52&amp;"-"&amp;I$2</f>
        <v>БОВ-3,6-Т-2(50%)</v>
      </c>
      <c r="J52" s="13" t="str">
        <f aca="false">$G$1&amp;"-"&amp;$A52&amp;"-"&amp;J$2</f>
        <v>БОВ-3,6-Т-2(75%)</v>
      </c>
      <c r="K52" s="13" t="str">
        <f aca="false">$G$1&amp;"-"&amp;$A52&amp;"-"&amp;K$2</f>
        <v>БОВ-3,6-Т-2(100%)</v>
      </c>
      <c r="L52" s="13" t="str">
        <f aca="false">$L$1&amp;"-"&amp;$A52</f>
        <v>БГ-3,6</v>
      </c>
      <c r="M52" s="13" t="str">
        <f aca="false">$L$1&amp;"-"&amp;M$2&amp;"-"&amp;$A52&amp;"/"&amp;$A52</f>
        <v>БГ-С-3,6/3,6</v>
      </c>
      <c r="N52" s="13" t="str">
        <f aca="false">$L$1&amp;"-"&amp;N$2&amp;"-"&amp;$A52&amp;"/"&amp;$A52</f>
        <v>БГ-П-3,6/3,6</v>
      </c>
      <c r="O52" s="13" t="str">
        <f aca="false">$O$1&amp;"-"&amp;$A52</f>
        <v>БОВГ-3,6</v>
      </c>
      <c r="P52" s="13" t="str">
        <f aca="false">$O$1&amp;"-"&amp;P$2&amp;"-"&amp;$A52&amp;"/"&amp;$A52</f>
        <v>БОВГ-С-3,6/3,6</v>
      </c>
      <c r="Q52" s="13" t="str">
        <f aca="false">$O$1&amp;"-"&amp;Q$2&amp;"-"&amp;$A52&amp;"/"&amp;$A52</f>
        <v>БОВГ-П-3,6/3,6</v>
      </c>
    </row>
    <row r="53" customFormat="false" ht="15" hidden="false" customHeight="false" outlineLevel="0" collapsed="false">
      <c r="A53" s="18" t="n">
        <v>3.7</v>
      </c>
      <c r="B53" s="18"/>
      <c r="C53" s="10" t="str">
        <f aca="false">$C$1&amp;"-"&amp;$A53&amp;"-"&amp;C$2</f>
        <v>БВ-3,7-xx</v>
      </c>
      <c r="D53" s="10" t="str">
        <f aca="false">$C$1&amp;"-"&amp;$A53&amp;"-"&amp;D$2</f>
        <v>БВ-3,7-РП</v>
      </c>
      <c r="E53" s="10" t="str">
        <f aca="false">$C$1&amp;"-"&amp;$A53&amp;"-"&amp;E$2</f>
        <v>БВ-3,7-Рх</v>
      </c>
      <c r="F53" s="14" t="str">
        <f aca="false">$C$1&amp;"-"&amp;$A53&amp;"-"&amp;F$2</f>
        <v>БВ-3,7-хП</v>
      </c>
      <c r="G53" s="16" t="str">
        <f aca="false">$G$1&amp;"-"&amp;$A53&amp;"-"&amp;G$2</f>
        <v>БОВ-3,7-С</v>
      </c>
      <c r="H53" s="13" t="str">
        <f aca="false">$G$1&amp;"-"&amp;$A53&amp;"-"&amp;H$2</f>
        <v>БОВ-3,7-Т</v>
      </c>
      <c r="I53" s="13" t="str">
        <f aca="false">$G$1&amp;"-"&amp;$A53&amp;"-"&amp;I$2</f>
        <v>БОВ-3,7-Т-2(50%)</v>
      </c>
      <c r="J53" s="13" t="str">
        <f aca="false">$G$1&amp;"-"&amp;$A53&amp;"-"&amp;J$2</f>
        <v>БОВ-3,7-Т-2(75%)</v>
      </c>
      <c r="K53" s="13" t="str">
        <f aca="false">$G$1&amp;"-"&amp;$A53&amp;"-"&amp;K$2</f>
        <v>БОВ-3,7-Т-2(100%)</v>
      </c>
      <c r="L53" s="13" t="str">
        <f aca="false">$L$1&amp;"-"&amp;$A53</f>
        <v>БГ-3,7</v>
      </c>
      <c r="M53" s="13" t="str">
        <f aca="false">$L$1&amp;"-"&amp;M$2&amp;"-"&amp;$A53&amp;"/"&amp;$A53</f>
        <v>БГ-С-3,7/3,7</v>
      </c>
      <c r="N53" s="13" t="str">
        <f aca="false">$L$1&amp;"-"&amp;N$2&amp;"-"&amp;$A53&amp;"/"&amp;$A53</f>
        <v>БГ-П-3,7/3,7</v>
      </c>
      <c r="O53" s="13" t="str">
        <f aca="false">$O$1&amp;"-"&amp;$A53</f>
        <v>БОВГ-3,7</v>
      </c>
      <c r="P53" s="13" t="str">
        <f aca="false">$O$1&amp;"-"&amp;P$2&amp;"-"&amp;$A53&amp;"/"&amp;$A53</f>
        <v>БОВГ-С-3,7/3,7</v>
      </c>
      <c r="Q53" s="13" t="str">
        <f aca="false">$O$1&amp;"-"&amp;Q$2&amp;"-"&amp;$A53&amp;"/"&amp;$A53</f>
        <v>БОВГ-П-3,7/3,7</v>
      </c>
    </row>
    <row r="54" customFormat="false" ht="15" hidden="false" customHeight="false" outlineLevel="0" collapsed="false">
      <c r="A54" s="18" t="n">
        <v>3.8</v>
      </c>
      <c r="B54" s="18"/>
      <c r="C54" s="10" t="str">
        <f aca="false">$C$1&amp;"-"&amp;$A54&amp;"-"&amp;C$2</f>
        <v>БВ-3,8-xx</v>
      </c>
      <c r="D54" s="10" t="str">
        <f aca="false">$C$1&amp;"-"&amp;$A54&amp;"-"&amp;D$2</f>
        <v>БВ-3,8-РП</v>
      </c>
      <c r="E54" s="10" t="str">
        <f aca="false">$C$1&amp;"-"&amp;$A54&amp;"-"&amp;E$2</f>
        <v>БВ-3,8-Рх</v>
      </c>
      <c r="F54" s="14" t="str">
        <f aca="false">$C$1&amp;"-"&amp;$A54&amp;"-"&amp;F$2</f>
        <v>БВ-3,8-хП</v>
      </c>
      <c r="G54" s="16" t="str">
        <f aca="false">$G$1&amp;"-"&amp;$A54&amp;"-"&amp;G$2</f>
        <v>БОВ-3,8-С</v>
      </c>
      <c r="H54" s="13" t="str">
        <f aca="false">$G$1&amp;"-"&amp;$A54&amp;"-"&amp;H$2</f>
        <v>БОВ-3,8-Т</v>
      </c>
      <c r="I54" s="13" t="str">
        <f aca="false">$G$1&amp;"-"&amp;$A54&amp;"-"&amp;I$2</f>
        <v>БОВ-3,8-Т-2(50%)</v>
      </c>
      <c r="J54" s="13" t="str">
        <f aca="false">$G$1&amp;"-"&amp;$A54&amp;"-"&amp;J$2</f>
        <v>БОВ-3,8-Т-2(75%)</v>
      </c>
      <c r="K54" s="13" t="str">
        <f aca="false">$G$1&amp;"-"&amp;$A54&amp;"-"&amp;K$2</f>
        <v>БОВ-3,8-Т-2(100%)</v>
      </c>
      <c r="L54" s="13" t="str">
        <f aca="false">$L$1&amp;"-"&amp;$A54</f>
        <v>БГ-3,8</v>
      </c>
      <c r="M54" s="13" t="str">
        <f aca="false">$L$1&amp;"-"&amp;M$2&amp;"-"&amp;$A54&amp;"/"&amp;$A54</f>
        <v>БГ-С-3,8/3,8</v>
      </c>
      <c r="N54" s="13" t="str">
        <f aca="false">$L$1&amp;"-"&amp;N$2&amp;"-"&amp;$A54&amp;"/"&amp;$A54</f>
        <v>БГ-П-3,8/3,8</v>
      </c>
      <c r="O54" s="13" t="str">
        <f aca="false">$O$1&amp;"-"&amp;$A54</f>
        <v>БОВГ-3,8</v>
      </c>
      <c r="P54" s="13" t="str">
        <f aca="false">$O$1&amp;"-"&amp;P$2&amp;"-"&amp;$A54&amp;"/"&amp;$A54</f>
        <v>БОВГ-С-3,8/3,8</v>
      </c>
      <c r="Q54" s="13" t="str">
        <f aca="false">$O$1&amp;"-"&amp;Q$2&amp;"-"&amp;$A54&amp;"/"&amp;$A54</f>
        <v>БОВГ-П-3,8/3,8</v>
      </c>
    </row>
    <row r="55" customFormat="false" ht="15" hidden="false" customHeight="false" outlineLevel="0" collapsed="false">
      <c r="A55" s="18" t="n">
        <v>3.9</v>
      </c>
      <c r="B55" s="18"/>
      <c r="C55" s="10" t="str">
        <f aca="false">$C$1&amp;"-"&amp;$A55&amp;"-"&amp;C$2</f>
        <v>БВ-3,9-xx</v>
      </c>
      <c r="D55" s="10" t="str">
        <f aca="false">$C$1&amp;"-"&amp;$A55&amp;"-"&amp;D$2</f>
        <v>БВ-3,9-РП</v>
      </c>
      <c r="E55" s="10" t="str">
        <f aca="false">$C$1&amp;"-"&amp;$A55&amp;"-"&amp;E$2</f>
        <v>БВ-3,9-Рх</v>
      </c>
      <c r="F55" s="14" t="str">
        <f aca="false">$C$1&amp;"-"&amp;$A55&amp;"-"&amp;F$2</f>
        <v>БВ-3,9-хП</v>
      </c>
      <c r="G55" s="16" t="str">
        <f aca="false">$G$1&amp;"-"&amp;$A55&amp;"-"&amp;G$2</f>
        <v>БОВ-3,9-С</v>
      </c>
      <c r="H55" s="13" t="str">
        <f aca="false">$G$1&amp;"-"&amp;$A55&amp;"-"&amp;H$2</f>
        <v>БОВ-3,9-Т</v>
      </c>
      <c r="I55" s="13" t="str">
        <f aca="false">$G$1&amp;"-"&amp;$A55&amp;"-"&amp;I$2</f>
        <v>БОВ-3,9-Т-2(50%)</v>
      </c>
      <c r="J55" s="13" t="str">
        <f aca="false">$G$1&amp;"-"&amp;$A55&amp;"-"&amp;J$2</f>
        <v>БОВ-3,9-Т-2(75%)</v>
      </c>
      <c r="K55" s="13" t="str">
        <f aca="false">$G$1&amp;"-"&amp;$A55&amp;"-"&amp;K$2</f>
        <v>БОВ-3,9-Т-2(100%)</v>
      </c>
      <c r="L55" s="13" t="str">
        <f aca="false">$L$1&amp;"-"&amp;$A55</f>
        <v>БГ-3,9</v>
      </c>
      <c r="M55" s="13" t="str">
        <f aca="false">$L$1&amp;"-"&amp;M$2&amp;"-"&amp;$A55&amp;"/"&amp;$A55</f>
        <v>БГ-С-3,9/3,9</v>
      </c>
      <c r="N55" s="13" t="str">
        <f aca="false">$L$1&amp;"-"&amp;N$2&amp;"-"&amp;$A55&amp;"/"&amp;$A55</f>
        <v>БГ-П-3,9/3,9</v>
      </c>
      <c r="O55" s="13" t="str">
        <f aca="false">$O$1&amp;"-"&amp;$A55</f>
        <v>БОВГ-3,9</v>
      </c>
      <c r="P55" s="13" t="str">
        <f aca="false">$O$1&amp;"-"&amp;P$2&amp;"-"&amp;$A55&amp;"/"&amp;$A55</f>
        <v>БОВГ-С-3,9/3,9</v>
      </c>
      <c r="Q55" s="13" t="str">
        <f aca="false">$O$1&amp;"-"&amp;Q$2&amp;"-"&amp;$A55&amp;"/"&amp;$A55</f>
        <v>БОВГ-П-3,9/3,9</v>
      </c>
    </row>
    <row r="56" customFormat="false" ht="15" hidden="false" customHeight="false" outlineLevel="0" collapsed="false">
      <c r="A56" s="18" t="s">
        <v>28</v>
      </c>
      <c r="B56" s="18"/>
      <c r="C56" s="10" t="str">
        <f aca="false">$C$1&amp;"-"&amp;$A56&amp;"-"&amp;C$2</f>
        <v>БВ-4,0-xx</v>
      </c>
      <c r="D56" s="10" t="str">
        <f aca="false">$C$1&amp;"-"&amp;$A56&amp;"-"&amp;D$2</f>
        <v>БВ-4,0-РП</v>
      </c>
      <c r="E56" s="10" t="str">
        <f aca="false">$C$1&amp;"-"&amp;$A56&amp;"-"&amp;E$2</f>
        <v>БВ-4,0-Рх</v>
      </c>
      <c r="F56" s="14" t="str">
        <f aca="false">$C$1&amp;"-"&amp;$A56&amp;"-"&amp;F$2</f>
        <v>БВ-4,0-хП</v>
      </c>
      <c r="G56" s="16" t="str">
        <f aca="false">$G$1&amp;"-"&amp;$A56&amp;"-"&amp;G$2</f>
        <v>БОВ-4,0-С</v>
      </c>
      <c r="H56" s="13" t="str">
        <f aca="false">$G$1&amp;"-"&amp;$A56&amp;"-"&amp;H$2</f>
        <v>БОВ-4,0-Т</v>
      </c>
      <c r="I56" s="13" t="str">
        <f aca="false">$G$1&amp;"-"&amp;$A56&amp;"-"&amp;I$2</f>
        <v>БОВ-4,0-Т-2(50%)</v>
      </c>
      <c r="J56" s="13" t="str">
        <f aca="false">$G$1&amp;"-"&amp;$A56&amp;"-"&amp;J$2</f>
        <v>БОВ-4,0-Т-2(75%)</v>
      </c>
      <c r="K56" s="13" t="str">
        <f aca="false">$G$1&amp;"-"&amp;$A56&amp;"-"&amp;K$2</f>
        <v>БОВ-4,0-Т-2(100%)</v>
      </c>
      <c r="L56" s="13" t="str">
        <f aca="false">$L$1&amp;"-"&amp;$A56</f>
        <v>БГ-4,0</v>
      </c>
      <c r="M56" s="13" t="str">
        <f aca="false">$L$1&amp;"-"&amp;M$2&amp;"-"&amp;$A56&amp;"/"&amp;$A56</f>
        <v>БГ-С-4,0/4,0</v>
      </c>
      <c r="N56" s="13" t="str">
        <f aca="false">$L$1&amp;"-"&amp;N$2&amp;"-"&amp;$A56&amp;"/"&amp;$A56</f>
        <v>БГ-П-4,0/4,0</v>
      </c>
      <c r="O56" s="13" t="str">
        <f aca="false">$O$1&amp;"-"&amp;$A56</f>
        <v>БОВГ-4,0</v>
      </c>
      <c r="P56" s="13" t="str">
        <f aca="false">$O$1&amp;"-"&amp;P$2&amp;"-"&amp;$A56&amp;"/"&amp;$A56</f>
        <v>БОВГ-С-4,0/4,0</v>
      </c>
      <c r="Q56" s="13" t="str">
        <f aca="false">$O$1&amp;"-"&amp;Q$2&amp;"-"&amp;$A56&amp;"/"&amp;$A56</f>
        <v>БОВГ-П-4,0/4,0</v>
      </c>
    </row>
    <row r="57" customFormat="false" ht="15" hidden="false" customHeight="false" outlineLevel="0" collapsed="false">
      <c r="A57" s="19"/>
      <c r="B57" s="20"/>
      <c r="C57" s="21"/>
      <c r="D57" s="21"/>
    </row>
    <row r="58" customFormat="false" ht="15" hidden="false" customHeight="false" outlineLevel="0" collapsed="false">
      <c r="A58" s="19"/>
      <c r="B58" s="20"/>
      <c r="C58" s="21"/>
      <c r="D58" s="21"/>
    </row>
    <row r="59" customFormat="false" ht="15" hidden="false" customHeight="false" outlineLevel="0" collapsed="false">
      <c r="A59" s="19"/>
      <c r="B59" s="20"/>
      <c r="C59" s="21"/>
      <c r="D59" s="21"/>
    </row>
    <row r="60" customFormat="false" ht="15" hidden="false" customHeight="false" outlineLevel="0" collapsed="false">
      <c r="A60" s="15"/>
      <c r="B60" s="15"/>
      <c r="C60" s="21"/>
      <c r="D60" s="21"/>
    </row>
    <row r="61" customFormat="false" ht="15" hidden="false" customHeight="false" outlineLevel="0" collapsed="false">
      <c r="A61" s="15"/>
      <c r="B61" s="15"/>
      <c r="C61" s="21"/>
      <c r="D61" s="21"/>
    </row>
    <row r="62" customFormat="false" ht="15" hidden="false" customHeight="false" outlineLevel="0" collapsed="false">
      <c r="A62" s="15"/>
      <c r="B62" s="15"/>
      <c r="C62" s="21"/>
      <c r="D62" s="21"/>
    </row>
    <row r="63" customFormat="false" ht="15" hidden="false" customHeight="false" outlineLevel="0" collapsed="false">
      <c r="A63" s="15"/>
      <c r="B63" s="15"/>
      <c r="C63" s="21"/>
      <c r="D63" s="21"/>
    </row>
    <row r="64" customFormat="false" ht="15" hidden="false" customHeight="false" outlineLevel="0" collapsed="false">
      <c r="A64" s="15"/>
      <c r="B64" s="15"/>
      <c r="C64" s="21"/>
      <c r="D64" s="21"/>
    </row>
    <row r="65" customFormat="false" ht="15" hidden="false" customHeight="false" outlineLevel="0" collapsed="false">
      <c r="A65" s="15"/>
      <c r="B65" s="15"/>
      <c r="C65" s="21"/>
      <c r="D65" s="21"/>
    </row>
    <row r="66" customFormat="false" ht="15" hidden="false" customHeight="false" outlineLevel="0" collapsed="false">
      <c r="A66" s="15"/>
      <c r="B66" s="15"/>
      <c r="C66" s="21"/>
      <c r="D66" s="21"/>
    </row>
    <row r="67" customFormat="false" ht="15" hidden="false" customHeight="false" outlineLevel="0" collapsed="false">
      <c r="A67" s="15"/>
      <c r="B67" s="15"/>
      <c r="C67" s="21"/>
      <c r="D67" s="21"/>
    </row>
    <row r="68" customFormat="false" ht="15" hidden="false" customHeight="false" outlineLevel="0" collapsed="false">
      <c r="A68" s="15"/>
      <c r="B68" s="15"/>
      <c r="C68" s="21"/>
      <c r="D68" s="21"/>
    </row>
    <row r="69" customFormat="false" ht="15.75" hidden="false" customHeight="false" outlineLevel="0" collapsed="false">
      <c r="A69" s="22"/>
      <c r="B69" s="22"/>
      <c r="C69" s="21"/>
      <c r="D69" s="21"/>
    </row>
  </sheetData>
  <mergeCells count="68">
    <mergeCell ref="C1:F1"/>
    <mergeCell ref="G1:K1"/>
    <mergeCell ref="L1:N1"/>
    <mergeCell ref="O1:Q1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A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U8" activeCellId="0" sqref="U8"/>
    </sheetView>
  </sheetViews>
  <sheetFormatPr defaultRowHeight="15" zeroHeight="false" outlineLevelRow="0" outlineLevelCol="0"/>
  <cols>
    <col collapsed="false" customWidth="true" hidden="false" outlineLevel="0" max="1025" min="1" style="23" width="9.14"/>
  </cols>
  <sheetData>
    <row r="1" customFormat="false" ht="15" hidden="false" customHeight="false" outlineLevel="0" collapsed="false">
      <c r="C1" s="23" t="n">
        <v>0.05</v>
      </c>
      <c r="D1" s="23" t="n">
        <v>0.06</v>
      </c>
      <c r="E1" s="23" t="n">
        <v>0.07</v>
      </c>
      <c r="F1" s="23" t="n">
        <v>0.08</v>
      </c>
      <c r="G1" s="23" t="n">
        <v>0.09</v>
      </c>
      <c r="H1" s="23" t="n">
        <v>0.1</v>
      </c>
      <c r="I1" s="23" t="n">
        <v>0.15</v>
      </c>
      <c r="J1" s="23" t="n">
        <v>0.2</v>
      </c>
      <c r="K1" s="23" t="n">
        <v>0.25</v>
      </c>
      <c r="L1" s="23" t="n">
        <v>0.3</v>
      </c>
      <c r="M1" s="23" t="n">
        <v>0.35</v>
      </c>
      <c r="N1" s="23" t="n">
        <v>0.4</v>
      </c>
      <c r="O1" s="23" t="n">
        <v>0.45</v>
      </c>
      <c r="P1" s="23" t="n">
        <v>0.5</v>
      </c>
      <c r="Q1" s="23" t="n">
        <v>0.55</v>
      </c>
      <c r="R1" s="23" t="n">
        <v>0.6</v>
      </c>
      <c r="S1" s="23" t="n">
        <v>0.65</v>
      </c>
      <c r="T1" s="23" t="n">
        <v>0.7</v>
      </c>
      <c r="U1" s="23" t="n">
        <v>0.75</v>
      </c>
      <c r="V1" s="23" t="n">
        <v>0.8</v>
      </c>
      <c r="W1" s="23" t="n">
        <v>0.85</v>
      </c>
      <c r="X1" s="23" t="n">
        <v>0.9</v>
      </c>
      <c r="Y1" s="23" t="n">
        <v>0.95</v>
      </c>
      <c r="Z1" s="23" t="n">
        <v>1</v>
      </c>
      <c r="AA1" s="23" t="n">
        <v>1.1</v>
      </c>
      <c r="AB1" s="23" t="n">
        <v>1.2</v>
      </c>
      <c r="AC1" s="23" t="n">
        <v>1.3</v>
      </c>
      <c r="AD1" s="23" t="n">
        <v>1.4</v>
      </c>
      <c r="AE1" s="23" t="n">
        <v>1.5</v>
      </c>
      <c r="AF1" s="23" t="n">
        <v>1.6</v>
      </c>
      <c r="AG1" s="23" t="n">
        <v>1.7</v>
      </c>
      <c r="AH1" s="23" t="n">
        <v>1.8</v>
      </c>
      <c r="AI1" s="23" t="n">
        <v>1.9</v>
      </c>
      <c r="AJ1" s="23" t="n">
        <v>2</v>
      </c>
    </row>
    <row r="2" customFormat="false" ht="15" hidden="false" customHeight="false" outlineLevel="0" collapsed="false">
      <c r="B2" s="23" t="n">
        <v>0.05</v>
      </c>
      <c r="C2" s="24" t="n">
        <f aca="false">$B2/C$1</f>
        <v>1</v>
      </c>
      <c r="D2" s="24" t="n">
        <f aca="false">$B2/D$1</f>
        <v>0.833333333333333</v>
      </c>
      <c r="E2" s="24" t="n">
        <f aca="false">$B2/E$1</f>
        <v>0.714285714285714</v>
      </c>
      <c r="F2" s="24" t="n">
        <f aca="false">$B2/F$1</f>
        <v>0.625</v>
      </c>
      <c r="G2" s="24" t="n">
        <f aca="false">$B2/G$1</f>
        <v>0.555555555555556</v>
      </c>
      <c r="H2" s="24" t="n">
        <f aca="false">$B2/H$1</f>
        <v>0.5</v>
      </c>
      <c r="I2" s="24" t="n">
        <f aca="false">$B2/I$1</f>
        <v>0.333333333333333</v>
      </c>
      <c r="J2" s="24" t="n">
        <f aca="false">$B2/J$1</f>
        <v>0.25</v>
      </c>
      <c r="K2" s="24" t="n">
        <f aca="false">$B2/K$1</f>
        <v>0.2</v>
      </c>
    </row>
    <row r="3" customFormat="false" ht="15" hidden="false" customHeight="false" outlineLevel="0" collapsed="false">
      <c r="B3" s="23" t="n">
        <v>0.06</v>
      </c>
      <c r="D3" s="24" t="n">
        <f aca="false">$B3/D$1</f>
        <v>1</v>
      </c>
      <c r="E3" s="24" t="n">
        <f aca="false">$B3/E$1</f>
        <v>0.857142857142857</v>
      </c>
      <c r="F3" s="24" t="n">
        <f aca="false">$B3/F$1</f>
        <v>0.75</v>
      </c>
      <c r="G3" s="24" t="n">
        <f aca="false">$B3/G$1</f>
        <v>0.666666666666667</v>
      </c>
      <c r="H3" s="24" t="n">
        <f aca="false">$B3/H$1</f>
        <v>0.6</v>
      </c>
      <c r="I3" s="24" t="n">
        <f aca="false">$B3/I$1</f>
        <v>0.4</v>
      </c>
      <c r="J3" s="24" t="n">
        <f aca="false">$B3/J$1</f>
        <v>0.3</v>
      </c>
      <c r="K3" s="24" t="n">
        <f aca="false">$B3/K$1</f>
        <v>0.24</v>
      </c>
      <c r="L3" s="24" t="n">
        <f aca="false">$B3/L$1</f>
        <v>0.2</v>
      </c>
    </row>
    <row r="4" customFormat="false" ht="15" hidden="false" customHeight="false" outlineLevel="0" collapsed="false">
      <c r="B4" s="23" t="n">
        <v>0.07</v>
      </c>
      <c r="E4" s="24" t="n">
        <f aca="false">$B4/E$1</f>
        <v>1</v>
      </c>
      <c r="F4" s="24" t="n">
        <f aca="false">$B4/F$1</f>
        <v>0.875</v>
      </c>
      <c r="G4" s="24" t="n">
        <f aca="false">$B4/G$1</f>
        <v>0.777777777777778</v>
      </c>
      <c r="H4" s="24" t="n">
        <f aca="false">$B4/H$1</f>
        <v>0.7</v>
      </c>
      <c r="I4" s="24" t="n">
        <f aca="false">$B4/I$1</f>
        <v>0.466666666666667</v>
      </c>
      <c r="J4" s="24" t="n">
        <f aca="false">$B4/J$1</f>
        <v>0.35</v>
      </c>
      <c r="K4" s="24" t="n">
        <f aca="false">$B4/K$1</f>
        <v>0.28</v>
      </c>
      <c r="L4" s="24" t="n">
        <f aca="false">$B4/L$1</f>
        <v>0.233333333333333</v>
      </c>
      <c r="M4" s="24" t="n">
        <f aca="false">$B4/M$1</f>
        <v>0.2</v>
      </c>
    </row>
    <row r="5" customFormat="false" ht="15" hidden="false" customHeight="false" outlineLevel="0" collapsed="false">
      <c r="B5" s="23" t="n">
        <v>0.08</v>
      </c>
      <c r="F5" s="24" t="n">
        <f aca="false">$B5/F$1</f>
        <v>1</v>
      </c>
      <c r="G5" s="24" t="n">
        <f aca="false">$B5/G$1</f>
        <v>0.888888888888889</v>
      </c>
      <c r="H5" s="24" t="n">
        <f aca="false">$B5/H$1</f>
        <v>0.8</v>
      </c>
      <c r="I5" s="24" t="n">
        <f aca="false">$B5/I$1</f>
        <v>0.533333333333333</v>
      </c>
      <c r="J5" s="24" t="n">
        <f aca="false">$B5/J$1</f>
        <v>0.4</v>
      </c>
      <c r="K5" s="24" t="n">
        <f aca="false">$B5/K$1</f>
        <v>0.32</v>
      </c>
      <c r="L5" s="24" t="n">
        <f aca="false">$B5/L$1</f>
        <v>0.266666666666667</v>
      </c>
      <c r="M5" s="24" t="n">
        <f aca="false">$B5/M$1</f>
        <v>0.228571428571429</v>
      </c>
      <c r="N5" s="24" t="n">
        <f aca="false">$B5/N$1</f>
        <v>0.2</v>
      </c>
    </row>
    <row r="6" customFormat="false" ht="15" hidden="false" customHeight="false" outlineLevel="0" collapsed="false">
      <c r="B6" s="23" t="n">
        <v>0.09</v>
      </c>
      <c r="G6" s="24" t="n">
        <f aca="false">$B6/G$1</f>
        <v>1</v>
      </c>
      <c r="H6" s="24" t="n">
        <f aca="false">$B6/H$1</f>
        <v>0.9</v>
      </c>
      <c r="I6" s="24" t="n">
        <f aca="false">$B6/I$1</f>
        <v>0.6</v>
      </c>
      <c r="J6" s="24" t="n">
        <f aca="false">$B6/J$1</f>
        <v>0.45</v>
      </c>
      <c r="K6" s="24" t="n">
        <f aca="false">$B6/K$1</f>
        <v>0.36</v>
      </c>
      <c r="L6" s="24" t="n">
        <f aca="false">$B6/L$1</f>
        <v>0.3</v>
      </c>
      <c r="M6" s="24" t="n">
        <f aca="false">$B6/M$1</f>
        <v>0.257142857142857</v>
      </c>
      <c r="N6" s="24" t="n">
        <f aca="false">$B6/N$1</f>
        <v>0.225</v>
      </c>
      <c r="O6" s="24" t="n">
        <f aca="false">$B6/O$1</f>
        <v>0.2</v>
      </c>
    </row>
    <row r="7" customFormat="false" ht="15" hidden="false" customHeight="false" outlineLevel="0" collapsed="false">
      <c r="B7" s="23" t="n">
        <v>0.1</v>
      </c>
      <c r="H7" s="24" t="n">
        <f aca="false">$B7/H$1</f>
        <v>1</v>
      </c>
      <c r="I7" s="24" t="n">
        <f aca="false">$B7/I$1</f>
        <v>0.666666666666667</v>
      </c>
      <c r="J7" s="24" t="n">
        <f aca="false">$B7/J$1</f>
        <v>0.5</v>
      </c>
      <c r="K7" s="24" t="n">
        <f aca="false">$B7/K$1</f>
        <v>0.4</v>
      </c>
      <c r="L7" s="24" t="n">
        <f aca="false">$B7/L$1</f>
        <v>0.333333333333333</v>
      </c>
      <c r="M7" s="24" t="n">
        <f aca="false">$B7/M$1</f>
        <v>0.285714285714286</v>
      </c>
      <c r="N7" s="24" t="n">
        <f aca="false">$B7/N$1</f>
        <v>0.25</v>
      </c>
      <c r="O7" s="24" t="n">
        <f aca="false">$B7/O$1</f>
        <v>0.222222222222222</v>
      </c>
      <c r="P7" s="24" t="n">
        <f aca="false">$B7/P$1</f>
        <v>0.2</v>
      </c>
    </row>
    <row r="8" customFormat="false" ht="15" hidden="false" customHeight="false" outlineLevel="0" collapsed="false">
      <c r="B8" s="23" t="n">
        <v>0.15</v>
      </c>
      <c r="I8" s="24" t="n">
        <f aca="false">$B8/I$1</f>
        <v>1</v>
      </c>
      <c r="J8" s="24" t="n">
        <f aca="false">$B8/J$1</f>
        <v>0.75</v>
      </c>
      <c r="K8" s="24" t="n">
        <f aca="false">$B8/K$1</f>
        <v>0.6</v>
      </c>
      <c r="L8" s="24" t="n">
        <f aca="false">$B8/L$1</f>
        <v>0.5</v>
      </c>
      <c r="M8" s="24" t="n">
        <f aca="false">$B8/M$1</f>
        <v>0.428571428571429</v>
      </c>
      <c r="N8" s="24" t="n">
        <f aca="false">$B8/N$1</f>
        <v>0.375</v>
      </c>
      <c r="O8" s="24" t="n">
        <f aca="false">$B8/O$1</f>
        <v>0.333333333333333</v>
      </c>
      <c r="P8" s="24" t="n">
        <f aca="false">$B8/P$1</f>
        <v>0.3</v>
      </c>
      <c r="Q8" s="24" t="n">
        <f aca="false">$B8/Q$1</f>
        <v>0.272727272727273</v>
      </c>
      <c r="R8" s="24" t="n">
        <f aca="false">$B8/R$1</f>
        <v>0.25</v>
      </c>
      <c r="S8" s="24" t="n">
        <f aca="false">$B8/S$1</f>
        <v>0.230769230769231</v>
      </c>
      <c r="T8" s="24" t="n">
        <f aca="false">$B8/T$1</f>
        <v>0.214285714285714</v>
      </c>
      <c r="U8" s="24" t="n">
        <f aca="false">$B8/U$1</f>
        <v>0.2</v>
      </c>
    </row>
    <row r="9" customFormat="false" ht="15" hidden="false" customHeight="false" outlineLevel="0" collapsed="false">
      <c r="B9" s="23" t="n">
        <v>0.2</v>
      </c>
      <c r="J9" s="24" t="n">
        <f aca="false">$B9/J$1</f>
        <v>1</v>
      </c>
      <c r="K9" s="24" t="n">
        <f aca="false">$B9/K$1</f>
        <v>0.8</v>
      </c>
      <c r="L9" s="24" t="n">
        <f aca="false">$B9/L$1</f>
        <v>0.666666666666667</v>
      </c>
      <c r="M9" s="24" t="n">
        <f aca="false">$B9/M$1</f>
        <v>0.571428571428571</v>
      </c>
      <c r="N9" s="24" t="n">
        <f aca="false">$B9/N$1</f>
        <v>0.5</v>
      </c>
      <c r="O9" s="24" t="n">
        <f aca="false">$B9/O$1</f>
        <v>0.444444444444444</v>
      </c>
      <c r="P9" s="24" t="n">
        <f aca="false">$B9/P$1</f>
        <v>0.4</v>
      </c>
      <c r="Q9" s="24" t="n">
        <f aca="false">$B9/Q$1</f>
        <v>0.363636363636364</v>
      </c>
      <c r="R9" s="24" t="n">
        <f aca="false">$B9/R$1</f>
        <v>0.333333333333333</v>
      </c>
      <c r="S9" s="24" t="n">
        <f aca="false">$B9/S$1</f>
        <v>0.307692307692308</v>
      </c>
      <c r="T9" s="24" t="n">
        <f aca="false">$B9/T$1</f>
        <v>0.285714285714286</v>
      </c>
      <c r="U9" s="24" t="n">
        <f aca="false">$B9/U$1</f>
        <v>0.266666666666667</v>
      </c>
      <c r="V9" s="24" t="n">
        <f aca="false">$B9/V$1</f>
        <v>0.25</v>
      </c>
      <c r="W9" s="24" t="n">
        <f aca="false">$B9/W$1</f>
        <v>0.235294117647059</v>
      </c>
      <c r="X9" s="24" t="n">
        <f aca="false">$B9/X$1</f>
        <v>0.222222222222222</v>
      </c>
      <c r="Y9" s="24" t="n">
        <f aca="false">$B9/Y$1</f>
        <v>0.210526315789474</v>
      </c>
      <c r="Z9" s="24" t="n">
        <f aca="false">$B9/Z$1</f>
        <v>0.2</v>
      </c>
    </row>
    <row r="10" customFormat="false" ht="15" hidden="false" customHeight="false" outlineLevel="0" collapsed="false">
      <c r="B10" s="23" t="n">
        <v>0.25</v>
      </c>
      <c r="K10" s="24" t="n">
        <f aca="false">$B10/K$1</f>
        <v>1</v>
      </c>
      <c r="L10" s="24" t="n">
        <f aca="false">$B10/L$1</f>
        <v>0.833333333333333</v>
      </c>
      <c r="M10" s="24" t="n">
        <f aca="false">$B10/M$1</f>
        <v>0.714285714285714</v>
      </c>
      <c r="N10" s="24" t="n">
        <f aca="false">$B10/N$1</f>
        <v>0.625</v>
      </c>
      <c r="O10" s="24" t="n">
        <f aca="false">$B10/O$1</f>
        <v>0.555555555555556</v>
      </c>
      <c r="P10" s="24" t="n">
        <f aca="false">$B10/P$1</f>
        <v>0.5</v>
      </c>
      <c r="Q10" s="24" t="n">
        <f aca="false">$B10/Q$1</f>
        <v>0.454545454545455</v>
      </c>
      <c r="R10" s="24" t="n">
        <f aca="false">$B10/R$1</f>
        <v>0.416666666666667</v>
      </c>
      <c r="S10" s="24" t="n">
        <f aca="false">$B10/S$1</f>
        <v>0.384615384615385</v>
      </c>
      <c r="T10" s="24" t="n">
        <f aca="false">$B10/T$1</f>
        <v>0.357142857142857</v>
      </c>
      <c r="U10" s="24" t="n">
        <f aca="false">$B10/U$1</f>
        <v>0.333333333333333</v>
      </c>
      <c r="V10" s="24" t="n">
        <f aca="false">$B10/V$1</f>
        <v>0.3125</v>
      </c>
      <c r="W10" s="24" t="n">
        <f aca="false">$B10/W$1</f>
        <v>0.294117647058823</v>
      </c>
      <c r="X10" s="24" t="n">
        <f aca="false">$B10/X$1</f>
        <v>0.277777777777778</v>
      </c>
      <c r="Y10" s="24" t="n">
        <f aca="false">$B10/Y$1</f>
        <v>0.263157894736842</v>
      </c>
      <c r="Z10" s="24" t="n">
        <f aca="false">$B10/Z$1</f>
        <v>0.25</v>
      </c>
      <c r="AA10" s="24" t="n">
        <f aca="false">$B10/AA$1</f>
        <v>0.227272727272727</v>
      </c>
      <c r="AB10" s="24" t="n">
        <f aca="false">$B10/AB$1</f>
        <v>0.208333333333333</v>
      </c>
    </row>
    <row r="11" customFormat="false" ht="15" hidden="false" customHeight="false" outlineLevel="0" collapsed="false">
      <c r="B11" s="23" t="n">
        <v>0.3</v>
      </c>
      <c r="L11" s="24" t="n">
        <f aca="false">$B11/L$1</f>
        <v>1</v>
      </c>
      <c r="M11" s="24" t="n">
        <f aca="false">$B11/M$1</f>
        <v>0.857142857142857</v>
      </c>
      <c r="N11" s="24" t="n">
        <f aca="false">$B11/N$1</f>
        <v>0.75</v>
      </c>
      <c r="O11" s="24" t="n">
        <f aca="false">$B11/O$1</f>
        <v>0.666666666666667</v>
      </c>
      <c r="P11" s="24" t="n">
        <f aca="false">$B11/P$1</f>
        <v>0.6</v>
      </c>
      <c r="Q11" s="24" t="n">
        <f aca="false">$B11/Q$1</f>
        <v>0.545454545454546</v>
      </c>
      <c r="R11" s="24" t="n">
        <f aca="false">$B11/R$1</f>
        <v>0.5</v>
      </c>
      <c r="S11" s="24" t="n">
        <f aca="false">$B11/S$1</f>
        <v>0.461538461538462</v>
      </c>
      <c r="T11" s="24" t="n">
        <f aca="false">$B11/T$1</f>
        <v>0.428571428571429</v>
      </c>
      <c r="U11" s="24" t="n">
        <f aca="false">$B11/U$1</f>
        <v>0.4</v>
      </c>
      <c r="V11" s="24" t="n">
        <f aca="false">$B11/V$1</f>
        <v>0.375</v>
      </c>
      <c r="W11" s="24" t="n">
        <f aca="false">$B11/W$1</f>
        <v>0.352941176470588</v>
      </c>
      <c r="X11" s="24" t="n">
        <f aca="false">$B11/X$1</f>
        <v>0.333333333333333</v>
      </c>
      <c r="Y11" s="24" t="n">
        <f aca="false">$B11/Y$1</f>
        <v>0.315789473684211</v>
      </c>
      <c r="Z11" s="24" t="n">
        <f aca="false">$B11/Z$1</f>
        <v>0.3</v>
      </c>
      <c r="AA11" s="24" t="n">
        <f aca="false">$B11/AA$1</f>
        <v>0.272727272727273</v>
      </c>
      <c r="AB11" s="24" t="n">
        <f aca="false">$B11/AB$1</f>
        <v>0.25</v>
      </c>
      <c r="AC11" s="24" t="n">
        <f aca="false">$B11/AC$1</f>
        <v>0.230769230769231</v>
      </c>
      <c r="AD11" s="24" t="n">
        <f aca="false">$B11/AD$1</f>
        <v>0.214285714285714</v>
      </c>
      <c r="AE11" s="24" t="n">
        <f aca="false">$B11/AE$1</f>
        <v>0.2</v>
      </c>
    </row>
    <row r="12" customFormat="false" ht="15" hidden="false" customHeight="false" outlineLevel="0" collapsed="false">
      <c r="B12" s="23" t="n">
        <v>0.35</v>
      </c>
      <c r="M12" s="24" t="n">
        <f aca="false">$B12/M$1</f>
        <v>1</v>
      </c>
      <c r="N12" s="24" t="n">
        <f aca="false">$B12/N$1</f>
        <v>0.875</v>
      </c>
      <c r="O12" s="24" t="n">
        <f aca="false">$B12/O$1</f>
        <v>0.777777777777778</v>
      </c>
      <c r="P12" s="24" t="n">
        <f aca="false">$B12/P$1</f>
        <v>0.7</v>
      </c>
      <c r="Q12" s="24" t="n">
        <f aca="false">$B12/Q$1</f>
        <v>0.636363636363636</v>
      </c>
      <c r="R12" s="24" t="n">
        <f aca="false">$B12/R$1</f>
        <v>0.583333333333333</v>
      </c>
      <c r="S12" s="24" t="n">
        <f aca="false">$B12/S$1</f>
        <v>0.538461538461539</v>
      </c>
      <c r="T12" s="24" t="n">
        <f aca="false">$B12/T$1</f>
        <v>0.5</v>
      </c>
      <c r="U12" s="24" t="n">
        <f aca="false">$B12/U$1</f>
        <v>0.466666666666667</v>
      </c>
      <c r="V12" s="24" t="n">
        <f aca="false">$B12/V$1</f>
        <v>0.4375</v>
      </c>
      <c r="W12" s="24" t="n">
        <f aca="false">$B12/W$1</f>
        <v>0.411764705882353</v>
      </c>
      <c r="X12" s="24" t="n">
        <f aca="false">$B12/X$1</f>
        <v>0.388888888888889</v>
      </c>
      <c r="Y12" s="24" t="n">
        <f aca="false">$B12/Y$1</f>
        <v>0.368421052631579</v>
      </c>
      <c r="Z12" s="24" t="n">
        <f aca="false">$B12/Z$1</f>
        <v>0.35</v>
      </c>
      <c r="AA12" s="24" t="n">
        <f aca="false">$B12/AA$1</f>
        <v>0.318181818181818</v>
      </c>
      <c r="AB12" s="24" t="n">
        <f aca="false">$B12/AB$1</f>
        <v>0.291666666666667</v>
      </c>
      <c r="AC12" s="24" t="n">
        <f aca="false">$B12/AC$1</f>
        <v>0.269230769230769</v>
      </c>
      <c r="AD12" s="24" t="n">
        <f aca="false">$B12/AD$1</f>
        <v>0.25</v>
      </c>
      <c r="AE12" s="24" t="n">
        <f aca="false">$B12/AE$1</f>
        <v>0.233333333333333</v>
      </c>
      <c r="AF12" s="24" t="n">
        <f aca="false">$B12/AF$1</f>
        <v>0.21875</v>
      </c>
      <c r="AG12" s="24" t="n">
        <f aca="false">$B12/AG$1</f>
        <v>0.205882352941176</v>
      </c>
    </row>
    <row r="13" customFormat="false" ht="15" hidden="false" customHeight="false" outlineLevel="0" collapsed="false">
      <c r="B13" s="23" t="n">
        <v>0.4</v>
      </c>
      <c r="N13" s="24" t="n">
        <f aca="false">$B13/N$1</f>
        <v>1</v>
      </c>
      <c r="O13" s="24" t="n">
        <f aca="false">$B13/O$1</f>
        <v>0.888888888888889</v>
      </c>
      <c r="P13" s="24" t="n">
        <f aca="false">$B13/P$1</f>
        <v>0.8</v>
      </c>
      <c r="Q13" s="24" t="n">
        <f aca="false">$B13/Q$1</f>
        <v>0.727272727272727</v>
      </c>
      <c r="R13" s="24" t="n">
        <f aca="false">$B13/R$1</f>
        <v>0.666666666666667</v>
      </c>
      <c r="S13" s="24" t="n">
        <f aca="false">$B13/S$1</f>
        <v>0.615384615384615</v>
      </c>
      <c r="T13" s="24" t="n">
        <f aca="false">$B13/T$1</f>
        <v>0.571428571428571</v>
      </c>
      <c r="U13" s="24" t="n">
        <f aca="false">$B13/U$1</f>
        <v>0.533333333333333</v>
      </c>
      <c r="V13" s="24" t="n">
        <f aca="false">$B13/V$1</f>
        <v>0.5</v>
      </c>
      <c r="W13" s="24" t="n">
        <f aca="false">$B13/W$1</f>
        <v>0.470588235294118</v>
      </c>
      <c r="X13" s="24" t="n">
        <f aca="false">$B13/X$1</f>
        <v>0.444444444444444</v>
      </c>
      <c r="Y13" s="24" t="n">
        <f aca="false">$B13/Y$1</f>
        <v>0.421052631578947</v>
      </c>
      <c r="Z13" s="24" t="n">
        <f aca="false">$B13/Z$1</f>
        <v>0.4</v>
      </c>
      <c r="AA13" s="24" t="n">
        <f aca="false">$B13/AA$1</f>
        <v>0.363636363636364</v>
      </c>
      <c r="AB13" s="24" t="n">
        <f aca="false">$B13/AB$1</f>
        <v>0.333333333333333</v>
      </c>
      <c r="AC13" s="24" t="n">
        <f aca="false">$B13/AC$1</f>
        <v>0.307692307692308</v>
      </c>
      <c r="AD13" s="24" t="n">
        <f aca="false">$B13/AD$1</f>
        <v>0.285714285714286</v>
      </c>
      <c r="AE13" s="24" t="n">
        <f aca="false">$B13/AE$1</f>
        <v>0.266666666666667</v>
      </c>
      <c r="AF13" s="24" t="n">
        <f aca="false">$B13/AF$1</f>
        <v>0.25</v>
      </c>
      <c r="AG13" s="24" t="n">
        <f aca="false">$B13/AG$1</f>
        <v>0.235294117647059</v>
      </c>
      <c r="AH13" s="24" t="n">
        <f aca="false">$B13/AH$1</f>
        <v>0.222222222222222</v>
      </c>
      <c r="AI13" s="24" t="n">
        <f aca="false">$B13/AI$1</f>
        <v>0.210526315789474</v>
      </c>
      <c r="AJ13" s="24" t="n">
        <f aca="false">$B13/AJ$1</f>
        <v>0.2</v>
      </c>
    </row>
    <row r="14" customFormat="false" ht="15" hidden="false" customHeight="false" outlineLevel="0" collapsed="false">
      <c r="B14" s="23" t="n">
        <v>0.45</v>
      </c>
      <c r="O14" s="24" t="n">
        <f aca="false">$B14/O$1</f>
        <v>1</v>
      </c>
      <c r="P14" s="24" t="n">
        <f aca="false">$B14/P$1</f>
        <v>0.9</v>
      </c>
      <c r="Q14" s="24" t="n">
        <f aca="false">$B14/Q$1</f>
        <v>0.818181818181818</v>
      </c>
      <c r="R14" s="24" t="n">
        <f aca="false">$B14/R$1</f>
        <v>0.75</v>
      </c>
      <c r="S14" s="24" t="n">
        <f aca="false">$B14/S$1</f>
        <v>0.692307692307692</v>
      </c>
      <c r="T14" s="24" t="n">
        <f aca="false">$B14/T$1</f>
        <v>0.642857142857143</v>
      </c>
      <c r="U14" s="24" t="n">
        <f aca="false">$B14/U$1</f>
        <v>0.6</v>
      </c>
      <c r="V14" s="24" t="n">
        <f aca="false">$B14/V$1</f>
        <v>0.5625</v>
      </c>
      <c r="W14" s="24" t="n">
        <f aca="false">$B14/W$1</f>
        <v>0.529411764705882</v>
      </c>
      <c r="X14" s="24" t="n">
        <f aca="false">$B14/X$1</f>
        <v>0.5</v>
      </c>
      <c r="Y14" s="24" t="n">
        <f aca="false">$B14/Y$1</f>
        <v>0.473684210526316</v>
      </c>
      <c r="Z14" s="24" t="n">
        <f aca="false">$B14/Z$1</f>
        <v>0.45</v>
      </c>
      <c r="AA14" s="24" t="n">
        <f aca="false">$B14/AA$1</f>
        <v>0.409090909090909</v>
      </c>
      <c r="AB14" s="24" t="n">
        <f aca="false">$B14/AB$1</f>
        <v>0.375</v>
      </c>
      <c r="AC14" s="24" t="n">
        <f aca="false">$B14/AC$1</f>
        <v>0.346153846153846</v>
      </c>
      <c r="AD14" s="24" t="n">
        <f aca="false">$B14/AD$1</f>
        <v>0.321428571428571</v>
      </c>
      <c r="AE14" s="24" t="n">
        <f aca="false">$B14/AE$1</f>
        <v>0.3</v>
      </c>
      <c r="AF14" s="24" t="n">
        <f aca="false">$B14/AF$1</f>
        <v>0.28125</v>
      </c>
      <c r="AG14" s="24" t="n">
        <f aca="false">$B14/AG$1</f>
        <v>0.264705882352941</v>
      </c>
      <c r="AH14" s="24" t="n">
        <f aca="false">$B14/AH$1</f>
        <v>0.25</v>
      </c>
      <c r="AI14" s="24" t="n">
        <f aca="false">$B14/AI$1</f>
        <v>0.236842105263158</v>
      </c>
      <c r="AJ14" s="24" t="n">
        <f aca="false">$B14/AJ$1</f>
        <v>0.225</v>
      </c>
    </row>
    <row r="15" customFormat="false" ht="15" hidden="false" customHeight="false" outlineLevel="0" collapsed="false">
      <c r="B15" s="23" t="n">
        <v>0.5</v>
      </c>
      <c r="P15" s="24" t="n">
        <f aca="false">$B15/P$1</f>
        <v>1</v>
      </c>
      <c r="Q15" s="24" t="n">
        <f aca="false">$B15/Q$1</f>
        <v>0.909090909090909</v>
      </c>
      <c r="R15" s="24" t="n">
        <f aca="false">$B15/R$1</f>
        <v>0.833333333333333</v>
      </c>
      <c r="S15" s="24" t="n">
        <f aca="false">$B15/S$1</f>
        <v>0.769230769230769</v>
      </c>
      <c r="T15" s="24" t="n">
        <f aca="false">$B15/T$1</f>
        <v>0.714285714285714</v>
      </c>
      <c r="U15" s="24" t="n">
        <f aca="false">$B15/U$1</f>
        <v>0.666666666666667</v>
      </c>
      <c r="V15" s="24" t="n">
        <f aca="false">$B15/V$1</f>
        <v>0.625</v>
      </c>
      <c r="W15" s="24" t="n">
        <f aca="false">$B15/W$1</f>
        <v>0.588235294117647</v>
      </c>
      <c r="X15" s="24" t="n">
        <f aca="false">$B15/X$1</f>
        <v>0.555555555555556</v>
      </c>
      <c r="Y15" s="24" t="n">
        <f aca="false">$B15/Y$1</f>
        <v>0.526315789473684</v>
      </c>
      <c r="Z15" s="24" t="n">
        <f aca="false">$B15/Z$1</f>
        <v>0.5</v>
      </c>
      <c r="AA15" s="24" t="n">
        <f aca="false">$B15/AA$1</f>
        <v>0.454545454545455</v>
      </c>
      <c r="AB15" s="24" t="n">
        <f aca="false">$B15/AB$1</f>
        <v>0.416666666666667</v>
      </c>
      <c r="AC15" s="24" t="n">
        <f aca="false">$B15/AC$1</f>
        <v>0.384615384615385</v>
      </c>
      <c r="AD15" s="24" t="n">
        <f aca="false">$B15/AD$1</f>
        <v>0.357142857142857</v>
      </c>
      <c r="AE15" s="24" t="n">
        <f aca="false">$B15/AE$1</f>
        <v>0.333333333333333</v>
      </c>
      <c r="AF15" s="24" t="n">
        <f aca="false">$B15/AF$1</f>
        <v>0.3125</v>
      </c>
      <c r="AG15" s="24" t="n">
        <f aca="false">$B15/AG$1</f>
        <v>0.294117647058823</v>
      </c>
      <c r="AH15" s="24" t="n">
        <f aca="false">$B15/AH$1</f>
        <v>0.277777777777778</v>
      </c>
      <c r="AI15" s="24" t="n">
        <f aca="false">$B15/AI$1</f>
        <v>0.263157894736842</v>
      </c>
      <c r="AJ15" s="24" t="n">
        <f aca="false">$B15/AJ$1</f>
        <v>0.25</v>
      </c>
    </row>
    <row r="16" customFormat="false" ht="15" hidden="false" customHeight="false" outlineLevel="0" collapsed="false">
      <c r="B16" s="23" t="n">
        <v>0.55</v>
      </c>
      <c r="Q16" s="24" t="n">
        <f aca="false">$B16/Q$1</f>
        <v>1</v>
      </c>
      <c r="R16" s="24" t="n">
        <f aca="false">$B16/R$1</f>
        <v>0.916666666666667</v>
      </c>
      <c r="S16" s="24" t="n">
        <f aca="false">$B16/S$1</f>
        <v>0.846153846153846</v>
      </c>
      <c r="T16" s="24" t="n">
        <f aca="false">$B16/T$1</f>
        <v>0.785714285714286</v>
      </c>
      <c r="U16" s="24" t="n">
        <f aca="false">$B16/U$1</f>
        <v>0.733333333333333</v>
      </c>
      <c r="V16" s="24" t="n">
        <f aca="false">$B16/V$1</f>
        <v>0.6875</v>
      </c>
      <c r="W16" s="24" t="n">
        <f aca="false">$B16/W$1</f>
        <v>0.647058823529412</v>
      </c>
      <c r="X16" s="24" t="n">
        <f aca="false">$B16/X$1</f>
        <v>0.611111111111111</v>
      </c>
      <c r="Y16" s="24" t="n">
        <f aca="false">$B16/Y$1</f>
        <v>0.578947368421053</v>
      </c>
      <c r="Z16" s="24" t="n">
        <f aca="false">$B16/Z$1</f>
        <v>0.55</v>
      </c>
      <c r="AA16" s="24" t="n">
        <f aca="false">$B16/AA$1</f>
        <v>0.5</v>
      </c>
      <c r="AB16" s="24" t="n">
        <f aca="false">$B16/AB$1</f>
        <v>0.458333333333333</v>
      </c>
      <c r="AC16" s="24" t="n">
        <f aca="false">$B16/AC$1</f>
        <v>0.423076923076923</v>
      </c>
      <c r="AD16" s="24" t="n">
        <f aca="false">$B16/AD$1</f>
        <v>0.392857142857143</v>
      </c>
      <c r="AE16" s="24" t="n">
        <f aca="false">$B16/AE$1</f>
        <v>0.366666666666667</v>
      </c>
      <c r="AF16" s="24" t="n">
        <f aca="false">$B16/AF$1</f>
        <v>0.34375</v>
      </c>
      <c r="AG16" s="24" t="n">
        <f aca="false">$B16/AG$1</f>
        <v>0.323529411764706</v>
      </c>
      <c r="AH16" s="24" t="n">
        <f aca="false">$B16/AH$1</f>
        <v>0.305555555555556</v>
      </c>
      <c r="AI16" s="24" t="n">
        <f aca="false">$B16/AI$1</f>
        <v>0.289473684210526</v>
      </c>
      <c r="AJ16" s="24" t="n">
        <f aca="false">$B16/AJ$1</f>
        <v>0.275</v>
      </c>
    </row>
    <row r="17" customFormat="false" ht="15" hidden="false" customHeight="false" outlineLevel="0" collapsed="false">
      <c r="B17" s="23" t="n">
        <v>0.6</v>
      </c>
      <c r="R17" s="24" t="n">
        <f aca="false">$B17/R$1</f>
        <v>1</v>
      </c>
      <c r="S17" s="24" t="n">
        <f aca="false">$B17/S$1</f>
        <v>0.923076923076923</v>
      </c>
      <c r="T17" s="24" t="n">
        <f aca="false">$B17/T$1</f>
        <v>0.857142857142857</v>
      </c>
      <c r="U17" s="24" t="n">
        <f aca="false">$B17/U$1</f>
        <v>0.8</v>
      </c>
      <c r="V17" s="24" t="n">
        <f aca="false">$B17/V$1</f>
        <v>0.75</v>
      </c>
      <c r="W17" s="24" t="n">
        <f aca="false">$B17/W$1</f>
        <v>0.705882352941177</v>
      </c>
      <c r="X17" s="24" t="n">
        <f aca="false">$B17/X$1</f>
        <v>0.666666666666667</v>
      </c>
      <c r="Y17" s="24" t="n">
        <f aca="false">$B17/Y$1</f>
        <v>0.631578947368421</v>
      </c>
      <c r="Z17" s="24" t="n">
        <f aca="false">$B17/Z$1</f>
        <v>0.6</v>
      </c>
      <c r="AA17" s="24" t="n">
        <f aca="false">$B17/AA$1</f>
        <v>0.545454545454546</v>
      </c>
      <c r="AB17" s="24" t="n">
        <f aca="false">$B17/AB$1</f>
        <v>0.5</v>
      </c>
      <c r="AC17" s="24" t="n">
        <f aca="false">$B17/AC$1</f>
        <v>0.461538461538462</v>
      </c>
      <c r="AD17" s="24" t="n">
        <f aca="false">$B17/AD$1</f>
        <v>0.428571428571429</v>
      </c>
      <c r="AE17" s="24" t="n">
        <f aca="false">$B17/AE$1</f>
        <v>0.4</v>
      </c>
      <c r="AF17" s="24" t="n">
        <f aca="false">$B17/AF$1</f>
        <v>0.375</v>
      </c>
      <c r="AG17" s="24" t="n">
        <f aca="false">$B17/AG$1</f>
        <v>0.352941176470588</v>
      </c>
      <c r="AH17" s="24" t="n">
        <f aca="false">$B17/AH$1</f>
        <v>0.333333333333333</v>
      </c>
      <c r="AI17" s="24" t="n">
        <f aca="false">$B17/AI$1</f>
        <v>0.315789473684211</v>
      </c>
      <c r="AJ17" s="24" t="n">
        <f aca="false">$B17/AJ$1</f>
        <v>0.3</v>
      </c>
    </row>
    <row r="18" customFormat="false" ht="15" hidden="false" customHeight="false" outlineLevel="0" collapsed="false">
      <c r="B18" s="23" t="n">
        <v>0.65</v>
      </c>
      <c r="S18" s="24" t="n">
        <f aca="false">$B18/S$1</f>
        <v>1</v>
      </c>
      <c r="T18" s="24" t="n">
        <f aca="false">$B18/T$1</f>
        <v>0.928571428571429</v>
      </c>
      <c r="U18" s="24" t="n">
        <f aca="false">$B18/U$1</f>
        <v>0.866666666666667</v>
      </c>
      <c r="V18" s="24" t="n">
        <f aca="false">$B18/V$1</f>
        <v>0.8125</v>
      </c>
      <c r="W18" s="24" t="n">
        <f aca="false">$B18/W$1</f>
        <v>0.764705882352941</v>
      </c>
      <c r="X18" s="24" t="n">
        <f aca="false">$B18/X$1</f>
        <v>0.722222222222222</v>
      </c>
      <c r="Y18" s="24" t="n">
        <f aca="false">$B18/Y$1</f>
        <v>0.68421052631579</v>
      </c>
      <c r="Z18" s="24" t="n">
        <f aca="false">$B18/Z$1</f>
        <v>0.65</v>
      </c>
      <c r="AA18" s="24" t="n">
        <f aca="false">$B18/AA$1</f>
        <v>0.590909090909091</v>
      </c>
      <c r="AB18" s="24" t="n">
        <f aca="false">$B18/AB$1</f>
        <v>0.541666666666667</v>
      </c>
      <c r="AC18" s="24" t="n">
        <f aca="false">$B18/AC$1</f>
        <v>0.5</v>
      </c>
      <c r="AD18" s="24" t="n">
        <f aca="false">$B18/AD$1</f>
        <v>0.464285714285714</v>
      </c>
      <c r="AE18" s="24" t="n">
        <f aca="false">$B18/AE$1</f>
        <v>0.433333333333333</v>
      </c>
      <c r="AF18" s="24" t="n">
        <f aca="false">$B18/AF$1</f>
        <v>0.40625</v>
      </c>
      <c r="AG18" s="24" t="n">
        <f aca="false">$B18/AG$1</f>
        <v>0.382352941176471</v>
      </c>
      <c r="AH18" s="24" t="n">
        <f aca="false">$B18/AH$1</f>
        <v>0.361111111111111</v>
      </c>
      <c r="AI18" s="24" t="n">
        <f aca="false">$B18/AI$1</f>
        <v>0.342105263157895</v>
      </c>
      <c r="AJ18" s="24" t="n">
        <f aca="false">$B18/AJ$1</f>
        <v>0.325</v>
      </c>
    </row>
    <row r="19" customFormat="false" ht="15" hidden="false" customHeight="false" outlineLevel="0" collapsed="false">
      <c r="B19" s="23" t="n">
        <v>0.7</v>
      </c>
      <c r="T19" s="24" t="n">
        <f aca="false">$B19/T$1</f>
        <v>1</v>
      </c>
      <c r="U19" s="24" t="n">
        <f aca="false">$B19/U$1</f>
        <v>0.933333333333333</v>
      </c>
      <c r="V19" s="24" t="n">
        <f aca="false">$B19/V$1</f>
        <v>0.875</v>
      </c>
      <c r="W19" s="24" t="n">
        <f aca="false">$B19/W$1</f>
        <v>0.823529411764706</v>
      </c>
      <c r="X19" s="24" t="n">
        <f aca="false">$B19/X$1</f>
        <v>0.777777777777778</v>
      </c>
      <c r="Y19" s="24" t="n">
        <f aca="false">$B19/Y$1</f>
        <v>0.736842105263158</v>
      </c>
      <c r="Z19" s="24" t="n">
        <f aca="false">$B19/Z$1</f>
        <v>0.7</v>
      </c>
      <c r="AA19" s="24" t="n">
        <f aca="false">$B19/AA$1</f>
        <v>0.636363636363636</v>
      </c>
      <c r="AB19" s="24" t="n">
        <f aca="false">$B19/AB$1</f>
        <v>0.583333333333333</v>
      </c>
      <c r="AC19" s="24" t="n">
        <f aca="false">$B19/AC$1</f>
        <v>0.538461538461539</v>
      </c>
      <c r="AD19" s="24" t="n">
        <f aca="false">$B19/AD$1</f>
        <v>0.5</v>
      </c>
      <c r="AE19" s="24" t="n">
        <f aca="false">$B19/AE$1</f>
        <v>0.466666666666667</v>
      </c>
      <c r="AF19" s="24" t="n">
        <f aca="false">$B19/AF$1</f>
        <v>0.4375</v>
      </c>
      <c r="AG19" s="24" t="n">
        <f aca="false">$B19/AG$1</f>
        <v>0.411764705882353</v>
      </c>
      <c r="AH19" s="24" t="n">
        <f aca="false">$B19/AH$1</f>
        <v>0.388888888888889</v>
      </c>
      <c r="AI19" s="24" t="n">
        <f aca="false">$B19/AI$1</f>
        <v>0.368421052631579</v>
      </c>
      <c r="AJ19" s="24" t="n">
        <f aca="false">$B19/AJ$1</f>
        <v>0.35</v>
      </c>
    </row>
    <row r="20" customFormat="false" ht="15" hidden="false" customHeight="false" outlineLevel="0" collapsed="false">
      <c r="B20" s="23" t="n">
        <v>0.75</v>
      </c>
      <c r="U20" s="24" t="n">
        <f aca="false">$B20/U$1</f>
        <v>1</v>
      </c>
      <c r="V20" s="24" t="n">
        <f aca="false">$B20/V$1</f>
        <v>0.9375</v>
      </c>
      <c r="W20" s="24" t="n">
        <f aca="false">$B20/W$1</f>
        <v>0.882352941176471</v>
      </c>
      <c r="X20" s="24" t="n">
        <f aca="false">$B20/X$1</f>
        <v>0.833333333333333</v>
      </c>
      <c r="Y20" s="24" t="n">
        <f aca="false">$B20/Y$1</f>
        <v>0.789473684210526</v>
      </c>
      <c r="Z20" s="24" t="n">
        <f aca="false">$B20/Z$1</f>
        <v>0.75</v>
      </c>
      <c r="AA20" s="24" t="n">
        <f aca="false">$B20/AA$1</f>
        <v>0.681818181818182</v>
      </c>
      <c r="AB20" s="24" t="n">
        <f aca="false">$B20/AB$1</f>
        <v>0.625</v>
      </c>
      <c r="AC20" s="24" t="n">
        <f aca="false">$B20/AC$1</f>
        <v>0.576923076923077</v>
      </c>
      <c r="AD20" s="24" t="n">
        <f aca="false">$B20/AD$1</f>
        <v>0.535714285714286</v>
      </c>
      <c r="AE20" s="24" t="n">
        <f aca="false">$B20/AE$1</f>
        <v>0.5</v>
      </c>
      <c r="AF20" s="24" t="n">
        <f aca="false">$B20/AF$1</f>
        <v>0.46875</v>
      </c>
      <c r="AG20" s="24" t="n">
        <f aca="false">$B20/AG$1</f>
        <v>0.441176470588235</v>
      </c>
      <c r="AH20" s="24" t="n">
        <f aca="false">$B20/AH$1</f>
        <v>0.416666666666667</v>
      </c>
      <c r="AI20" s="24" t="n">
        <f aca="false">$B20/AI$1</f>
        <v>0.394736842105263</v>
      </c>
      <c r="AJ20" s="24" t="n">
        <f aca="false">$B20/AJ$1</f>
        <v>0.375</v>
      </c>
    </row>
    <row r="21" customFormat="false" ht="15" hidden="false" customHeight="false" outlineLevel="0" collapsed="false">
      <c r="B21" s="23" t="n">
        <v>0.8</v>
      </c>
      <c r="V21" s="24" t="n">
        <f aca="false">$B21/V$1</f>
        <v>1</v>
      </c>
      <c r="W21" s="24" t="n">
        <f aca="false">$B21/W$1</f>
        <v>0.941176470588235</v>
      </c>
      <c r="X21" s="24" t="n">
        <f aca="false">$B21/X$1</f>
        <v>0.888888888888889</v>
      </c>
      <c r="Y21" s="24" t="n">
        <f aca="false">$B21/Y$1</f>
        <v>0.842105263157895</v>
      </c>
      <c r="Z21" s="24" t="n">
        <f aca="false">$B21/Z$1</f>
        <v>0.8</v>
      </c>
      <c r="AA21" s="24" t="n">
        <f aca="false">$B21/AA$1</f>
        <v>0.727272727272727</v>
      </c>
      <c r="AB21" s="24" t="n">
        <f aca="false">$B21/AB$1</f>
        <v>0.666666666666667</v>
      </c>
      <c r="AC21" s="24" t="n">
        <f aca="false">$B21/AC$1</f>
        <v>0.615384615384615</v>
      </c>
      <c r="AD21" s="24" t="n">
        <f aca="false">$B21/AD$1</f>
        <v>0.571428571428571</v>
      </c>
      <c r="AE21" s="24" t="n">
        <f aca="false">$B21/AE$1</f>
        <v>0.533333333333333</v>
      </c>
      <c r="AF21" s="24" t="n">
        <f aca="false">$B21/AF$1</f>
        <v>0.5</v>
      </c>
      <c r="AG21" s="24" t="n">
        <f aca="false">$B21/AG$1</f>
        <v>0.470588235294118</v>
      </c>
      <c r="AH21" s="24" t="n">
        <f aca="false">$B21/AH$1</f>
        <v>0.444444444444444</v>
      </c>
      <c r="AI21" s="24" t="n">
        <f aca="false">$B21/AI$1</f>
        <v>0.421052631578947</v>
      </c>
      <c r="AJ21" s="24" t="n">
        <f aca="false">$B21/AJ$1</f>
        <v>0.4</v>
      </c>
    </row>
    <row r="22" customFormat="false" ht="15" hidden="false" customHeight="false" outlineLevel="0" collapsed="false">
      <c r="B22" s="23" t="n">
        <v>0.85</v>
      </c>
      <c r="W22" s="24" t="n">
        <f aca="false">$B22/W$1</f>
        <v>1</v>
      </c>
      <c r="X22" s="24" t="n">
        <f aca="false">$B22/X$1</f>
        <v>0.944444444444444</v>
      </c>
      <c r="Y22" s="24" t="n">
        <f aca="false">$B22/Y$1</f>
        <v>0.894736842105263</v>
      </c>
      <c r="Z22" s="24" t="n">
        <f aca="false">$B22/Z$1</f>
        <v>0.85</v>
      </c>
      <c r="AA22" s="24" t="n">
        <f aca="false">$B22/AA$1</f>
        <v>0.772727272727273</v>
      </c>
      <c r="AB22" s="24" t="n">
        <f aca="false">$B22/AB$1</f>
        <v>0.708333333333333</v>
      </c>
      <c r="AC22" s="24" t="n">
        <f aca="false">$B22/AC$1</f>
        <v>0.653846153846154</v>
      </c>
      <c r="AD22" s="24" t="n">
        <f aca="false">$B22/AD$1</f>
        <v>0.607142857142857</v>
      </c>
      <c r="AE22" s="24" t="n">
        <f aca="false">$B22/AE$1</f>
        <v>0.566666666666667</v>
      </c>
      <c r="AF22" s="24" t="n">
        <f aca="false">$B22/AF$1</f>
        <v>0.53125</v>
      </c>
      <c r="AG22" s="24" t="n">
        <f aca="false">$B22/AG$1</f>
        <v>0.5</v>
      </c>
      <c r="AH22" s="24" t="n">
        <f aca="false">$B22/AH$1</f>
        <v>0.472222222222222</v>
      </c>
      <c r="AI22" s="24" t="n">
        <f aca="false">$B22/AI$1</f>
        <v>0.447368421052632</v>
      </c>
      <c r="AJ22" s="24" t="n">
        <f aca="false">$B22/AJ$1</f>
        <v>0.425</v>
      </c>
    </row>
    <row r="23" customFormat="false" ht="15" hidden="false" customHeight="false" outlineLevel="0" collapsed="false">
      <c r="B23" s="23" t="n">
        <v>0.9</v>
      </c>
      <c r="X23" s="24" t="n">
        <f aca="false">$B23/X$1</f>
        <v>1</v>
      </c>
      <c r="Y23" s="24" t="n">
        <f aca="false">$B23/Y$1</f>
        <v>0.947368421052632</v>
      </c>
      <c r="Z23" s="24" t="n">
        <f aca="false">$B23/Z$1</f>
        <v>0.9</v>
      </c>
      <c r="AA23" s="24" t="n">
        <f aca="false">$B23/AA$1</f>
        <v>0.818181818181818</v>
      </c>
      <c r="AB23" s="24" t="n">
        <f aca="false">$B23/AB$1</f>
        <v>0.75</v>
      </c>
      <c r="AC23" s="24" t="n">
        <f aca="false">$B23/AC$1</f>
        <v>0.692307692307692</v>
      </c>
      <c r="AD23" s="24" t="n">
        <f aca="false">$B23/AD$1</f>
        <v>0.642857142857143</v>
      </c>
      <c r="AE23" s="24" t="n">
        <f aca="false">$B23/AE$1</f>
        <v>0.6</v>
      </c>
      <c r="AF23" s="24" t="n">
        <f aca="false">$B23/AF$1</f>
        <v>0.5625</v>
      </c>
      <c r="AG23" s="24" t="n">
        <f aca="false">$B23/AG$1</f>
        <v>0.529411764705882</v>
      </c>
      <c r="AH23" s="24" t="n">
        <f aca="false">$B23/AH$1</f>
        <v>0.5</v>
      </c>
      <c r="AI23" s="24" t="n">
        <f aca="false">$B23/AI$1</f>
        <v>0.473684210526316</v>
      </c>
      <c r="AJ23" s="24" t="n">
        <f aca="false">$B23/AJ$1</f>
        <v>0.45</v>
      </c>
    </row>
    <row r="24" customFormat="false" ht="15" hidden="false" customHeight="false" outlineLevel="0" collapsed="false">
      <c r="B24" s="23" t="n">
        <v>0.95</v>
      </c>
      <c r="Y24" s="24" t="n">
        <f aca="false">$B24/Y$1</f>
        <v>1</v>
      </c>
      <c r="Z24" s="24" t="n">
        <f aca="false">$B24/Z$1</f>
        <v>0.95</v>
      </c>
      <c r="AA24" s="24" t="n">
        <f aca="false">$B24/AA$1</f>
        <v>0.863636363636364</v>
      </c>
      <c r="AB24" s="24" t="n">
        <f aca="false">$B24/AB$1</f>
        <v>0.791666666666667</v>
      </c>
      <c r="AC24" s="24" t="n">
        <f aca="false">$B24/AC$1</f>
        <v>0.730769230769231</v>
      </c>
      <c r="AD24" s="24" t="n">
        <f aca="false">$B24/AD$1</f>
        <v>0.678571428571429</v>
      </c>
      <c r="AE24" s="24" t="n">
        <f aca="false">$B24/AE$1</f>
        <v>0.633333333333333</v>
      </c>
      <c r="AF24" s="24" t="n">
        <f aca="false">$B24/AF$1</f>
        <v>0.59375</v>
      </c>
      <c r="AG24" s="24" t="n">
        <f aca="false">$B24/AG$1</f>
        <v>0.558823529411765</v>
      </c>
      <c r="AH24" s="24" t="n">
        <f aca="false">$B24/AH$1</f>
        <v>0.527777777777778</v>
      </c>
      <c r="AI24" s="24" t="n">
        <f aca="false">$B24/AI$1</f>
        <v>0.5</v>
      </c>
      <c r="AJ24" s="24" t="n">
        <f aca="false">$B24/AJ$1</f>
        <v>0.475</v>
      </c>
    </row>
    <row r="25" customFormat="false" ht="15" hidden="false" customHeight="false" outlineLevel="0" collapsed="false">
      <c r="B25" s="23" t="n">
        <v>1</v>
      </c>
      <c r="Z25" s="24" t="n">
        <f aca="false">$B25/Z$1</f>
        <v>1</v>
      </c>
      <c r="AA25" s="24" t="n">
        <f aca="false">$B25/AA$1</f>
        <v>0.909090909090909</v>
      </c>
      <c r="AB25" s="24" t="n">
        <f aca="false">$B25/AB$1</f>
        <v>0.833333333333333</v>
      </c>
      <c r="AC25" s="24" t="n">
        <f aca="false">$B25/AC$1</f>
        <v>0.769230769230769</v>
      </c>
      <c r="AD25" s="24" t="n">
        <f aca="false">$B25/AD$1</f>
        <v>0.714285714285714</v>
      </c>
      <c r="AE25" s="24" t="n">
        <f aca="false">$B25/AE$1</f>
        <v>0.666666666666667</v>
      </c>
      <c r="AF25" s="24" t="n">
        <f aca="false">$B25/AF$1</f>
        <v>0.625</v>
      </c>
      <c r="AG25" s="24" t="n">
        <f aca="false">$B25/AG$1</f>
        <v>0.588235294117647</v>
      </c>
      <c r="AH25" s="24" t="n">
        <f aca="false">$B25/AH$1</f>
        <v>0.555555555555556</v>
      </c>
      <c r="AI25" s="24" t="n">
        <f aca="false">$B25/AI$1</f>
        <v>0.526315789473684</v>
      </c>
      <c r="AJ25" s="24" t="n">
        <f aca="false">$B25/AJ$1</f>
        <v>0.5</v>
      </c>
    </row>
    <row r="26" customFormat="false" ht="15" hidden="false" customHeight="false" outlineLevel="0" collapsed="false">
      <c r="B26" s="23" t="n">
        <v>1.1</v>
      </c>
      <c r="AA26" s="24" t="n">
        <f aca="false">$B26/AA$1</f>
        <v>1</v>
      </c>
      <c r="AB26" s="24" t="n">
        <f aca="false">$B26/AB$1</f>
        <v>0.916666666666667</v>
      </c>
      <c r="AC26" s="24" t="n">
        <f aca="false">$B26/AC$1</f>
        <v>0.846153846153846</v>
      </c>
      <c r="AD26" s="24" t="n">
        <f aca="false">$B26/AD$1</f>
        <v>0.785714285714286</v>
      </c>
      <c r="AE26" s="24" t="n">
        <f aca="false">$B26/AE$1</f>
        <v>0.733333333333333</v>
      </c>
      <c r="AF26" s="24" t="n">
        <f aca="false">$B26/AF$1</f>
        <v>0.6875</v>
      </c>
      <c r="AG26" s="24" t="n">
        <f aca="false">$B26/AG$1</f>
        <v>0.647058823529412</v>
      </c>
      <c r="AH26" s="24" t="n">
        <f aca="false">$B26/AH$1</f>
        <v>0.611111111111111</v>
      </c>
      <c r="AI26" s="24" t="n">
        <f aca="false">$B26/AI$1</f>
        <v>0.578947368421053</v>
      </c>
      <c r="AJ26" s="24" t="n">
        <f aca="false">$B26/AJ$1</f>
        <v>0.55</v>
      </c>
    </row>
    <row r="27" customFormat="false" ht="15" hidden="false" customHeight="false" outlineLevel="0" collapsed="false">
      <c r="B27" s="23" t="n">
        <v>1.2</v>
      </c>
      <c r="AB27" s="24" t="n">
        <f aca="false">$B27/AB$1</f>
        <v>1</v>
      </c>
      <c r="AC27" s="24" t="n">
        <f aca="false">$B27/AC$1</f>
        <v>0.923076923076923</v>
      </c>
      <c r="AD27" s="24" t="n">
        <f aca="false">$B27/AD$1</f>
        <v>0.857142857142857</v>
      </c>
      <c r="AE27" s="24" t="n">
        <f aca="false">$B27/AE$1</f>
        <v>0.8</v>
      </c>
      <c r="AF27" s="24" t="n">
        <f aca="false">$B27/AF$1</f>
        <v>0.75</v>
      </c>
      <c r="AG27" s="24" t="n">
        <f aca="false">$B27/AG$1</f>
        <v>0.705882352941176</v>
      </c>
      <c r="AH27" s="24" t="n">
        <f aca="false">$B27/AH$1</f>
        <v>0.666666666666667</v>
      </c>
      <c r="AI27" s="24" t="n">
        <f aca="false">$B27/AI$1</f>
        <v>0.631578947368421</v>
      </c>
      <c r="AJ27" s="24" t="n">
        <f aca="false">$B27/AJ$1</f>
        <v>0.6</v>
      </c>
    </row>
    <row r="28" customFormat="false" ht="15" hidden="false" customHeight="false" outlineLevel="0" collapsed="false">
      <c r="B28" s="23" t="n">
        <v>1.3</v>
      </c>
      <c r="AC28" s="24" t="n">
        <f aca="false">$B28/AC$1</f>
        <v>1</v>
      </c>
      <c r="AD28" s="24" t="n">
        <f aca="false">$B28/AD$1</f>
        <v>0.928571428571429</v>
      </c>
      <c r="AE28" s="24" t="n">
        <f aca="false">$B28/AE$1</f>
        <v>0.866666666666667</v>
      </c>
      <c r="AF28" s="24" t="n">
        <f aca="false">$B28/AF$1</f>
        <v>0.8125</v>
      </c>
      <c r="AG28" s="24" t="n">
        <f aca="false">$B28/AG$1</f>
        <v>0.764705882352941</v>
      </c>
      <c r="AH28" s="24" t="n">
        <f aca="false">$B28/AH$1</f>
        <v>0.722222222222222</v>
      </c>
      <c r="AI28" s="24" t="n">
        <f aca="false">$B28/AI$1</f>
        <v>0.68421052631579</v>
      </c>
      <c r="AJ28" s="24" t="n">
        <f aca="false">$B28/AJ$1</f>
        <v>0.65</v>
      </c>
    </row>
    <row r="29" customFormat="false" ht="15" hidden="false" customHeight="false" outlineLevel="0" collapsed="false">
      <c r="B29" s="23" t="n">
        <v>1.4</v>
      </c>
      <c r="AD29" s="24" t="n">
        <f aca="false">$B29/AD$1</f>
        <v>1</v>
      </c>
      <c r="AE29" s="24" t="n">
        <f aca="false">$B29/AE$1</f>
        <v>0.933333333333333</v>
      </c>
      <c r="AF29" s="24" t="n">
        <f aca="false">$B29/AF$1</f>
        <v>0.875</v>
      </c>
      <c r="AG29" s="24" t="n">
        <f aca="false">$B29/AG$1</f>
        <v>0.823529411764706</v>
      </c>
      <c r="AH29" s="24" t="n">
        <f aca="false">$B29/AH$1</f>
        <v>0.777777777777778</v>
      </c>
      <c r="AI29" s="24" t="n">
        <f aca="false">$B29/AI$1</f>
        <v>0.736842105263158</v>
      </c>
      <c r="AJ29" s="24" t="n">
        <f aca="false">$B29/AJ$1</f>
        <v>0.7</v>
      </c>
    </row>
    <row r="30" customFormat="false" ht="15" hidden="false" customHeight="false" outlineLevel="0" collapsed="false">
      <c r="B30" s="23" t="n">
        <v>1.5</v>
      </c>
      <c r="AE30" s="24" t="n">
        <f aca="false">$B30/AE$1</f>
        <v>1</v>
      </c>
      <c r="AF30" s="24" t="n">
        <f aca="false">$B30/AF$1</f>
        <v>0.9375</v>
      </c>
      <c r="AG30" s="24" t="n">
        <f aca="false">$B30/AG$1</f>
        <v>0.882352941176471</v>
      </c>
      <c r="AH30" s="24" t="n">
        <f aca="false">$B30/AH$1</f>
        <v>0.833333333333333</v>
      </c>
      <c r="AI30" s="24" t="n">
        <f aca="false">$B30/AI$1</f>
        <v>0.789473684210526</v>
      </c>
      <c r="AJ30" s="24" t="n">
        <f aca="false">$B30/AJ$1</f>
        <v>0.75</v>
      </c>
    </row>
    <row r="31" customFormat="false" ht="15" hidden="false" customHeight="false" outlineLevel="0" collapsed="false">
      <c r="B31" s="23" t="n">
        <v>1.6</v>
      </c>
      <c r="AF31" s="24" t="n">
        <f aca="false">$B31/AF$1</f>
        <v>1</v>
      </c>
      <c r="AG31" s="24" t="n">
        <f aca="false">$B31/AG$1</f>
        <v>0.941176470588235</v>
      </c>
      <c r="AH31" s="24" t="n">
        <f aca="false">$B31/AH$1</f>
        <v>0.888888888888889</v>
      </c>
      <c r="AI31" s="24" t="n">
        <f aca="false">$B31/AI$1</f>
        <v>0.842105263157895</v>
      </c>
      <c r="AJ31" s="24" t="n">
        <f aca="false">$B31/AJ$1</f>
        <v>0.8</v>
      </c>
    </row>
    <row r="32" customFormat="false" ht="15" hidden="false" customHeight="false" outlineLevel="0" collapsed="false">
      <c r="B32" s="23" t="n">
        <v>1.7</v>
      </c>
      <c r="AG32" s="24" t="n">
        <f aca="false">$B32/AG$1</f>
        <v>1</v>
      </c>
      <c r="AH32" s="24" t="n">
        <f aca="false">$B32/AH$1</f>
        <v>0.944444444444444</v>
      </c>
      <c r="AI32" s="24" t="n">
        <f aca="false">$B32/AI$1</f>
        <v>0.894736842105263</v>
      </c>
      <c r="AJ32" s="24" t="n">
        <f aca="false">$B32/AJ$1</f>
        <v>0.85</v>
      </c>
    </row>
    <row r="33" customFormat="false" ht="15" hidden="false" customHeight="false" outlineLevel="0" collapsed="false">
      <c r="B33" s="23" t="n">
        <v>1.8</v>
      </c>
      <c r="AH33" s="24" t="n">
        <f aca="false">$B33/AH$1</f>
        <v>1</v>
      </c>
      <c r="AI33" s="24" t="n">
        <f aca="false">$B33/AI$1</f>
        <v>0.947368421052632</v>
      </c>
      <c r="AJ33" s="24" t="n">
        <f aca="false">$B33/AJ$1</f>
        <v>0.9</v>
      </c>
    </row>
    <row r="34" customFormat="false" ht="15" hidden="false" customHeight="false" outlineLevel="0" collapsed="false">
      <c r="B34" s="23" t="n">
        <v>1.9</v>
      </c>
      <c r="AI34" s="24" t="n">
        <f aca="false">$B34/AI$1</f>
        <v>1</v>
      </c>
      <c r="AJ34" s="24" t="n">
        <f aca="false">$B34/AJ$1</f>
        <v>0.95</v>
      </c>
    </row>
    <row r="35" customFormat="false" ht="15" hidden="false" customHeight="false" outlineLevel="0" collapsed="false">
      <c r="B35" s="23" t="n">
        <v>2</v>
      </c>
      <c r="AJ35" s="24" t="n">
        <f aca="false">$B35/AJ$1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L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1" activeCellId="0" sqref="B11"/>
    </sheetView>
  </sheetViews>
  <sheetFormatPr defaultRowHeight="15" zeroHeight="false" outlineLevelRow="0" outlineLevelCol="0"/>
  <cols>
    <col collapsed="false" customWidth="true" hidden="false" outlineLevel="0" max="1" min="1" style="0" width="7.71"/>
    <col collapsed="false" customWidth="true" hidden="false" outlineLevel="0" max="2" min="2" style="0" width="8"/>
    <col collapsed="false" customWidth="true" hidden="false" outlineLevel="0" max="4" min="3" style="0" width="8.67"/>
    <col collapsed="false" customWidth="true" hidden="false" outlineLevel="0" max="6" min="5" style="0" width="12.57"/>
    <col collapsed="false" customWidth="true" hidden="false" outlineLevel="0" max="8" min="7" style="0" width="8.67"/>
    <col collapsed="false" customWidth="true" hidden="false" outlineLevel="0" max="9" min="9" style="0" width="9.14"/>
    <col collapsed="false" customWidth="true" hidden="false" outlineLevel="0" max="10" min="10" style="0" width="6.01"/>
    <col collapsed="false" customWidth="true" hidden="false" outlineLevel="0" max="12" min="11" style="0" width="8"/>
    <col collapsed="false" customWidth="true" hidden="false" outlineLevel="0" max="13" min="13" style="0" width="4.71"/>
    <col collapsed="false" customWidth="true" hidden="false" outlineLevel="0" max="14" min="14" style="0" width="6.01"/>
    <col collapsed="false" customWidth="true" hidden="false" outlineLevel="0" max="17" min="15" style="0" width="9.14"/>
    <col collapsed="false" customWidth="true" hidden="false" outlineLevel="0" max="18" min="18" style="0" width="6.01"/>
    <col collapsed="false" customWidth="true" hidden="false" outlineLevel="0" max="35" min="19" style="0" width="9.14"/>
    <col collapsed="false" customWidth="true" hidden="false" outlineLevel="0" max="37" min="36" style="0" width="9.85"/>
    <col collapsed="false" customWidth="true" hidden="false" outlineLevel="0" max="38" min="38" style="0" width="15.71"/>
    <col collapsed="false" customWidth="true" hidden="false" outlineLevel="0" max="39" min="39" style="0" width="9.14"/>
    <col collapsed="false" customWidth="true" hidden="false" outlineLevel="0" max="40" min="40" style="0" width="25.14"/>
    <col collapsed="false" customWidth="true" hidden="false" outlineLevel="0" max="41" min="41" style="0" width="10.99"/>
    <col collapsed="false" customWidth="true" hidden="false" outlineLevel="0" max="42" min="42" style="0" width="18.29"/>
    <col collapsed="false" customWidth="true" hidden="false" outlineLevel="0" max="48" min="43" style="0" width="9.14"/>
    <col collapsed="false" customWidth="true" hidden="false" outlineLevel="0" max="49" min="49" style="1" width="9.14"/>
    <col collapsed="false" customWidth="true" hidden="false" outlineLevel="0" max="64" min="50" style="0" width="9.14"/>
    <col collapsed="false" customWidth="true" hidden="false" outlineLevel="0" max="65" min="65" style="0" width="8.67"/>
    <col collapsed="false" customWidth="true" hidden="false" outlineLevel="0" max="66" min="66" style="0" width="4.86"/>
    <col collapsed="false" customWidth="true" hidden="false" outlineLevel="0" max="67" min="67" style="0" width="12.86"/>
    <col collapsed="false" customWidth="true" hidden="false" outlineLevel="0" max="68" min="68" style="0" width="3.29"/>
    <col collapsed="false" customWidth="true" hidden="false" outlineLevel="0" max="69" min="69" style="0" width="11.29"/>
    <col collapsed="false" customWidth="true" hidden="false" outlineLevel="0" max="71" min="70" style="0" width="6.28"/>
    <col collapsed="false" customWidth="true" hidden="false" outlineLevel="0" max="72" min="72" style="0" width="3.57"/>
    <col collapsed="false" customWidth="true" hidden="false" outlineLevel="0" max="73" min="73" style="0" width="8.29"/>
    <col collapsed="false" customWidth="true" hidden="false" outlineLevel="0" max="76" min="74" style="0" width="6.15"/>
    <col collapsed="false" customWidth="true" hidden="false" outlineLevel="0" max="77" min="77" style="0" width="3.29"/>
    <col collapsed="false" customWidth="true" hidden="false" outlineLevel="0" max="78" min="78" style="0" width="9.58"/>
    <col collapsed="false" customWidth="true" hidden="false" outlineLevel="0" max="79" min="79" style="0" width="6.15"/>
    <col collapsed="false" customWidth="true" hidden="false" outlineLevel="0" max="80" min="80" style="0" width="15.29"/>
    <col collapsed="false" customWidth="true" hidden="false" outlineLevel="0" max="81" min="81" style="0" width="3.29"/>
    <col collapsed="false" customWidth="true" hidden="false" outlineLevel="0" max="82" min="82" style="0" width="8.71"/>
    <col collapsed="false" customWidth="true" hidden="false" outlineLevel="0" max="84" min="83" style="0" width="6.28"/>
    <col collapsed="false" customWidth="true" hidden="false" outlineLevel="0" max="85" min="85" style="0" width="3.29"/>
    <col collapsed="false" customWidth="true" hidden="false" outlineLevel="0" max="86" min="86" style="0" width="9.58"/>
    <col collapsed="false" customWidth="true" hidden="false" outlineLevel="0" max="87" min="87" style="0" width="6.15"/>
    <col collapsed="false" customWidth="true" hidden="false" outlineLevel="0" max="88" min="88" style="0" width="16.86"/>
    <col collapsed="false" customWidth="true" hidden="false" outlineLevel="0" max="89" min="89" style="0" width="8.57"/>
    <col collapsed="false" customWidth="true" hidden="false" outlineLevel="0" max="90" min="90" style="0" width="7"/>
    <col collapsed="false" customWidth="true" hidden="false" outlineLevel="0" max="91" min="91" style="0" width="25.14"/>
    <col collapsed="false" customWidth="true" hidden="false" outlineLevel="0" max="92" min="92" style="0" width="8.57"/>
    <col collapsed="false" customWidth="true" hidden="false" outlineLevel="0" max="93" min="93" style="0" width="6.71"/>
    <col collapsed="false" customWidth="true" hidden="false" outlineLevel="0" max="94" min="94" style="0" width="18.29"/>
    <col collapsed="false" customWidth="true" hidden="false" outlineLevel="0" max="95" min="95" style="0" width="3.57"/>
    <col collapsed="false" customWidth="true" hidden="false" outlineLevel="0" max="96" min="96" style="0" width="8.57"/>
    <col collapsed="false" customWidth="true" hidden="false" outlineLevel="0" max="97" min="97" style="0" width="5.86"/>
    <col collapsed="false" customWidth="true" hidden="false" outlineLevel="0" max="98" min="98" style="0" width="16.14"/>
    <col collapsed="false" customWidth="true" hidden="false" outlineLevel="0" max="99" min="99" style="0" width="3.71"/>
    <col collapsed="false" customWidth="true" hidden="false" outlineLevel="0" max="100" min="100" style="0" width="3.29"/>
    <col collapsed="false" customWidth="true" hidden="false" outlineLevel="0" max="101" min="101" style="0" width="8.57"/>
    <col collapsed="false" customWidth="true" hidden="false" outlineLevel="0" max="102" min="102" style="0" width="6.28"/>
    <col collapsed="false" customWidth="false" hidden="false" outlineLevel="0" max="103" min="103" style="0" width="11.42"/>
    <col collapsed="false" customWidth="true" hidden="false" outlineLevel="0" max="104" min="104" style="0" width="3.57"/>
    <col collapsed="false" customWidth="true" hidden="false" outlineLevel="0" max="105" min="105" style="0" width="8.71"/>
    <col collapsed="false" customWidth="true" hidden="false" outlineLevel="0" max="106" min="106" style="0" width="6.28"/>
    <col collapsed="false" customWidth="false" hidden="false" outlineLevel="0" max="107" min="107" style="0" width="11.42"/>
    <col collapsed="false" customWidth="true" hidden="false" outlineLevel="0" max="108" min="108" style="0" width="3.57"/>
    <col collapsed="false" customWidth="true" hidden="false" outlineLevel="0" max="109" min="109" style="0" width="8.71"/>
    <col collapsed="false" customWidth="true" hidden="false" outlineLevel="0" max="110" min="110" style="0" width="6.28"/>
    <col collapsed="false" customWidth="false" hidden="false" outlineLevel="0" max="111" min="111" style="0" width="11.42"/>
    <col collapsed="false" customWidth="true" hidden="false" outlineLevel="0" max="112" min="112" style="0" width="3.57"/>
    <col collapsed="false" customWidth="true" hidden="false" outlineLevel="0" max="113" min="113" style="0" width="8.57"/>
    <col collapsed="false" customWidth="true" hidden="false" outlineLevel="0" max="114" min="114" style="0" width="6.28"/>
    <col collapsed="false" customWidth="true" hidden="false" outlineLevel="0" max="115" min="115" style="0" width="13.7"/>
    <col collapsed="false" customWidth="true" hidden="false" outlineLevel="0" max="116" min="116" style="0" width="3.57"/>
    <col collapsed="false" customWidth="true" hidden="false" outlineLevel="0" max="1025" min="117" style="0" width="8.67"/>
  </cols>
  <sheetData>
    <row r="1" customFormat="false" ht="15.75" hidden="false" customHeight="false" outlineLevel="0" collapsed="false"/>
    <row r="2" customFormat="false" ht="15.75" hidden="false" customHeight="false" outlineLevel="0" collapsed="false">
      <c r="B2" s="0" t="s">
        <v>29</v>
      </c>
      <c r="I2" s="25" t="s">
        <v>30</v>
      </c>
      <c r="J2" s="25"/>
      <c r="K2" s="25"/>
      <c r="L2" s="25"/>
      <c r="M2" s="25"/>
      <c r="N2" s="25"/>
      <c r="O2" s="25"/>
      <c r="P2" s="25"/>
      <c r="Q2" s="25"/>
      <c r="R2" s="26"/>
      <c r="S2" s="26"/>
      <c r="T2" s="26"/>
      <c r="U2" s="26"/>
      <c r="W2" s="25" t="s">
        <v>31</v>
      </c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J2" s="25" t="s">
        <v>32</v>
      </c>
      <c r="AK2" s="25"/>
      <c r="AL2" s="25"/>
      <c r="AM2" s="25"/>
      <c r="AN2" s="27" t="s">
        <v>33</v>
      </c>
      <c r="AO2" s="27" t="s">
        <v>34</v>
      </c>
      <c r="AP2" s="28" t="s">
        <v>35</v>
      </c>
      <c r="AS2" s="29" t="s">
        <v>36</v>
      </c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N2" s="5" t="s">
        <v>37</v>
      </c>
      <c r="BO2" s="5"/>
      <c r="BP2" s="4"/>
      <c r="BQ2" s="30"/>
      <c r="BR2" s="31" t="s">
        <v>38</v>
      </c>
      <c r="BS2" s="31"/>
      <c r="BT2" s="32"/>
      <c r="BU2" s="33"/>
      <c r="BV2" s="34" t="s">
        <v>39</v>
      </c>
      <c r="BW2" s="34"/>
      <c r="BX2" s="34"/>
      <c r="BY2" s="4"/>
      <c r="BZ2" s="30"/>
      <c r="CA2" s="31" t="s">
        <v>40</v>
      </c>
      <c r="CB2" s="31"/>
      <c r="CC2" s="4"/>
      <c r="CD2" s="30"/>
      <c r="CE2" s="31" t="s">
        <v>41</v>
      </c>
      <c r="CF2" s="31"/>
      <c r="CG2" s="4"/>
      <c r="CH2" s="30"/>
      <c r="CI2" s="35" t="s">
        <v>42</v>
      </c>
      <c r="CJ2" s="35"/>
      <c r="CK2" s="35"/>
      <c r="CL2" s="35"/>
      <c r="CM2" s="35"/>
      <c r="CN2" s="35"/>
      <c r="CO2" s="35"/>
      <c r="CP2" s="35"/>
      <c r="CQ2" s="32"/>
      <c r="CR2" s="4" t="s">
        <v>43</v>
      </c>
      <c r="CS2" s="4"/>
      <c r="CT2" s="4"/>
      <c r="CU2" s="36"/>
      <c r="CV2" s="4"/>
      <c r="CW2" s="4" t="s">
        <v>44</v>
      </c>
      <c r="CX2" s="4"/>
      <c r="CY2" s="4"/>
      <c r="CZ2" s="32"/>
      <c r="DA2" s="4" t="s">
        <v>45</v>
      </c>
      <c r="DB2" s="4"/>
      <c r="DC2" s="4"/>
      <c r="DD2" s="32"/>
      <c r="DE2" s="4" t="s">
        <v>46</v>
      </c>
      <c r="DF2" s="4"/>
      <c r="DG2" s="4"/>
      <c r="DH2" s="32"/>
      <c r="DI2" s="4" t="s">
        <v>47</v>
      </c>
      <c r="DJ2" s="4"/>
      <c r="DK2" s="4"/>
      <c r="DL2" s="37"/>
    </row>
    <row r="3" customFormat="false" ht="15.75" hidden="false" customHeight="false" outlineLevel="0" collapsed="false">
      <c r="I3" s="38"/>
      <c r="J3" s="39" t="s">
        <v>48</v>
      </c>
      <c r="K3" s="40" t="s">
        <v>49</v>
      </c>
      <c r="L3" s="39" t="s">
        <v>50</v>
      </c>
      <c r="M3" s="39"/>
      <c r="N3" s="39"/>
      <c r="O3" s="39" t="s">
        <v>51</v>
      </c>
      <c r="P3" s="40" t="s">
        <v>49</v>
      </c>
      <c r="Q3" s="41" t="s">
        <v>50</v>
      </c>
      <c r="R3" s="39"/>
      <c r="S3" s="39" t="s">
        <v>52</v>
      </c>
      <c r="T3" s="40" t="s">
        <v>49</v>
      </c>
      <c r="U3" s="41" t="s">
        <v>50</v>
      </c>
      <c r="W3" s="38" t="s">
        <v>53</v>
      </c>
      <c r="X3" s="39" t="s">
        <v>54</v>
      </c>
      <c r="Y3" s="41" t="s">
        <v>55</v>
      </c>
      <c r="Z3" s="25" t="s">
        <v>53</v>
      </c>
      <c r="AA3" s="25"/>
      <c r="AB3" s="25"/>
      <c r="AC3" s="25" t="s">
        <v>54</v>
      </c>
      <c r="AD3" s="25"/>
      <c r="AE3" s="25"/>
      <c r="AF3" s="25" t="s">
        <v>55</v>
      </c>
      <c r="AG3" s="25"/>
      <c r="AH3" s="25"/>
      <c r="AJ3" s="42" t="s">
        <v>56</v>
      </c>
      <c r="AK3" s="43"/>
      <c r="AL3" s="44"/>
      <c r="AM3" s="44"/>
      <c r="AN3" s="45"/>
      <c r="AO3" s="45"/>
      <c r="AP3" s="45"/>
      <c r="AS3" s="25" t="s">
        <v>57</v>
      </c>
      <c r="AT3" s="25"/>
      <c r="AU3" s="25"/>
      <c r="AV3" s="25"/>
      <c r="AW3" s="25"/>
      <c r="AX3" s="46" t="s">
        <v>58</v>
      </c>
      <c r="AY3" s="46"/>
      <c r="AZ3" s="46"/>
      <c r="BA3" s="46"/>
      <c r="BB3" s="46"/>
      <c r="BC3" s="25" t="s">
        <v>59</v>
      </c>
      <c r="BD3" s="25"/>
      <c r="BE3" s="25"/>
      <c r="BF3" s="25"/>
      <c r="BG3" s="25"/>
      <c r="BH3" s="25" t="s">
        <v>60</v>
      </c>
      <c r="BI3" s="25"/>
      <c r="BJ3" s="25"/>
      <c r="BK3" s="25"/>
      <c r="BL3" s="25"/>
      <c r="BN3" s="47" t="s">
        <v>61</v>
      </c>
      <c r="BO3" s="26" t="s">
        <v>62</v>
      </c>
      <c r="BP3" s="48"/>
      <c r="BQ3" s="26"/>
      <c r="BR3" s="49" t="s">
        <v>61</v>
      </c>
      <c r="BS3" s="21" t="s">
        <v>63</v>
      </c>
      <c r="BT3" s="50"/>
      <c r="BU3" s="51"/>
      <c r="BV3" s="49" t="s">
        <v>61</v>
      </c>
      <c r="BW3" s="21" t="s">
        <v>63</v>
      </c>
      <c r="BX3" s="52" t="s">
        <v>64</v>
      </c>
      <c r="BY3" s="48"/>
      <c r="BZ3" s="26"/>
      <c r="CA3" s="53" t="s">
        <v>61</v>
      </c>
      <c r="CB3" s="26" t="s">
        <v>65</v>
      </c>
      <c r="CC3" s="48"/>
      <c r="CD3" s="26"/>
      <c r="CE3" s="49" t="s">
        <v>61</v>
      </c>
      <c r="CF3" s="21" t="s">
        <v>63</v>
      </c>
      <c r="CG3" s="48"/>
      <c r="CH3" s="26"/>
      <c r="CI3" s="49" t="s">
        <v>61</v>
      </c>
      <c r="CJ3" s="26" t="s">
        <v>66</v>
      </c>
      <c r="CK3" s="26"/>
      <c r="CL3" s="26"/>
      <c r="CM3" s="26" t="s">
        <v>66</v>
      </c>
      <c r="CN3" s="26"/>
      <c r="CO3" s="26"/>
      <c r="CP3" s="26" t="s">
        <v>66</v>
      </c>
      <c r="CQ3" s="50"/>
      <c r="CR3" s="54"/>
      <c r="CS3" s="53" t="s">
        <v>61</v>
      </c>
      <c r="CT3" s="26" t="s">
        <v>66</v>
      </c>
      <c r="CU3" s="50"/>
      <c r="CV3" s="48"/>
      <c r="CW3" s="26"/>
      <c r="CX3" s="49" t="s">
        <v>61</v>
      </c>
      <c r="CY3" s="21" t="s">
        <v>67</v>
      </c>
      <c r="CZ3" s="50"/>
      <c r="DA3" s="26"/>
      <c r="DB3" s="49" t="s">
        <v>61</v>
      </c>
      <c r="DC3" s="21" t="s">
        <v>68</v>
      </c>
      <c r="DD3" s="50"/>
      <c r="DE3" s="26"/>
      <c r="DF3" s="49" t="s">
        <v>61</v>
      </c>
      <c r="DG3" s="21" t="s">
        <v>68</v>
      </c>
      <c r="DH3" s="50"/>
      <c r="DI3" s="26"/>
      <c r="DJ3" s="49" t="s">
        <v>61</v>
      </c>
      <c r="DK3" s="20" t="s">
        <v>69</v>
      </c>
    </row>
    <row r="4" customFormat="false" ht="15" hidden="false" customHeight="false" outlineLevel="0" collapsed="false">
      <c r="A4" s="55" t="s">
        <v>70</v>
      </c>
      <c r="B4" s="56" t="n">
        <f aca="false">'ОЛ(4)'!C14</f>
        <v>0.2</v>
      </c>
      <c r="C4" s="0" t="s">
        <v>71</v>
      </c>
      <c r="E4" s="0" t="s">
        <v>72</v>
      </c>
      <c r="F4" s="57" t="n">
        <f aca="false">B4*1000/(B5-B6)</f>
        <v>3.33333333333333</v>
      </c>
      <c r="I4" s="51" t="n">
        <f aca="false">IF($B$12&lt;12,(IF((L4&gt;4)*AND(L4&lt;16),2,0)),IF((L4&gt;4)*AND(L4&lt;20),2,0))</f>
        <v>0</v>
      </c>
      <c r="J4" s="54" t="n">
        <v>15</v>
      </c>
      <c r="K4" s="54" t="n">
        <f aca="false">1/POWER(1.14+2*LOG10((J4/1000)/($K$21/1000)),2)</f>
        <v>0.0596558274221208</v>
      </c>
      <c r="L4" s="54" t="n">
        <f aca="false">0.00638*K4*POWER($F$4,2)/(POWER(J4/1000,5)*$K$20)</f>
        <v>5810.69316034468</v>
      </c>
      <c r="M4" s="54"/>
      <c r="N4" s="54" t="n">
        <f aca="false">IF((Q4&gt;4)*AND(Q4&lt;20),1,0)</f>
        <v>0</v>
      </c>
      <c r="O4" s="54" t="n">
        <v>15</v>
      </c>
      <c r="P4" s="54" t="n">
        <f aca="false">1/POWER(1.14+2*LOG10((O4/1000)/($K$21/1000)),2)</f>
        <v>0.0596558274221208</v>
      </c>
      <c r="Q4" s="58" t="n">
        <f aca="false">0.00638*P4*POWER($F$11,2)/(POWER(O4/1000,5)*$K$20)</f>
        <v>33469.5926035854</v>
      </c>
      <c r="R4" s="54" t="n">
        <f aca="false">IF((U4&gt;4)*AND(U4&lt;20),1,0)</f>
        <v>0</v>
      </c>
      <c r="S4" s="54" t="n">
        <v>15</v>
      </c>
      <c r="T4" s="54" t="n">
        <f aca="false">1/POWER(1.14+2*LOG10((S4/1000)/($K$21/1000)),2)</f>
        <v>0.0596558274221208</v>
      </c>
      <c r="U4" s="58" t="n">
        <f aca="false">0.00638*T4*POWER($F$16,2)/(POWER(S4/1000,5)*$K$20)</f>
        <v>79.5425786719583</v>
      </c>
      <c r="W4" s="59" t="s">
        <v>73</v>
      </c>
      <c r="X4" s="54" t="n">
        <f aca="false">IF(B12=0,0,IF(B12&gt;12,3,1.8))</f>
        <v>3</v>
      </c>
      <c r="Y4" s="54"/>
      <c r="Z4" s="60" t="n">
        <f aca="false">IF(AB4&gt;$X$5,1,0)</f>
        <v>0</v>
      </c>
      <c r="AA4" s="61" t="n">
        <v>15</v>
      </c>
      <c r="AB4" s="62" t="n">
        <v>1.6</v>
      </c>
      <c r="AC4" s="60" t="n">
        <f aca="false">IF(AE4&gt;$X$5,1,0)</f>
        <v>0</v>
      </c>
      <c r="AD4" s="61" t="n">
        <v>15</v>
      </c>
      <c r="AE4" s="62" t="n">
        <v>1.6</v>
      </c>
      <c r="AF4" s="54" t="n">
        <f aca="false">IF(AH4&gt;$X$5,1,0)</f>
        <v>0</v>
      </c>
      <c r="AG4" s="63" t="n">
        <v>15</v>
      </c>
      <c r="AH4" s="58" t="n">
        <v>1.6</v>
      </c>
      <c r="AJ4" s="64" t="n">
        <v>4</v>
      </c>
      <c r="AK4" s="60" t="n">
        <f aca="false">IF($F$13&lt;AJ4,1,0)</f>
        <v>0</v>
      </c>
      <c r="AL4" s="62" t="s">
        <v>74</v>
      </c>
      <c r="AM4" s="65" t="n">
        <f aca="false">IF($F$13&lt;AJ4,1,0)</f>
        <v>0</v>
      </c>
      <c r="AN4" s="66" t="s">
        <v>75</v>
      </c>
      <c r="AO4" s="60" t="n">
        <f aca="false">IF($F$13&lt;AJ4,1,0)</f>
        <v>0</v>
      </c>
      <c r="AP4" s="67" t="s">
        <v>76</v>
      </c>
      <c r="AS4" s="60" t="n">
        <v>0.1</v>
      </c>
      <c r="AT4" s="68" t="n">
        <f aca="false">IF($B$4&lt;AS4,1,0)</f>
        <v>0</v>
      </c>
      <c r="AU4" s="68" t="s">
        <v>77</v>
      </c>
      <c r="AV4" s="68" t="n">
        <f aca="false">IF($B$4&lt;AS4,1,0)</f>
        <v>0</v>
      </c>
      <c r="AW4" s="3" t="n">
        <v>1</v>
      </c>
      <c r="AX4" s="60" t="n">
        <v>0.1</v>
      </c>
      <c r="AY4" s="68" t="n">
        <f aca="false">IF($B$4&lt;AX4,1,0)</f>
        <v>0</v>
      </c>
      <c r="AZ4" s="68" t="s">
        <v>77</v>
      </c>
      <c r="BA4" s="68" t="n">
        <f aca="false">IF($B$4&lt;AX4,1,0)</f>
        <v>0</v>
      </c>
      <c r="BB4" s="3" t="n">
        <v>1</v>
      </c>
      <c r="BC4" s="51" t="n">
        <v>0.14</v>
      </c>
      <c r="BD4" s="54" t="n">
        <f aca="false">IF($B$4&lt;BC4,1,0)</f>
        <v>0</v>
      </c>
      <c r="BE4" s="68" t="s">
        <v>77</v>
      </c>
      <c r="BF4" s="54" t="n">
        <f aca="false">IF($B$4&lt;BC4,1,0)</f>
        <v>0</v>
      </c>
      <c r="BG4" s="52" t="n">
        <v>1</v>
      </c>
      <c r="BH4" s="54" t="n">
        <v>0.05</v>
      </c>
      <c r="BI4" s="54" t="n">
        <f aca="false">IF($B$4&lt;BH4,1,0)</f>
        <v>0</v>
      </c>
      <c r="BJ4" s="54" t="s">
        <v>77</v>
      </c>
      <c r="BK4" s="54" t="n">
        <f aca="false">IF($B$4&lt;BH4,1,0)</f>
        <v>0</v>
      </c>
      <c r="BL4" s="58" t="n">
        <v>1</v>
      </c>
      <c r="BN4" s="47" t="s">
        <v>78</v>
      </c>
      <c r="BO4" s="26" t="s">
        <v>79</v>
      </c>
      <c r="BP4" s="48"/>
      <c r="BQ4" s="26" t="n">
        <f aca="false">IF($F$5=BS4,1,0)</f>
        <v>0</v>
      </c>
      <c r="BR4" s="53" t="s">
        <v>80</v>
      </c>
      <c r="BS4" s="26" t="n">
        <v>15</v>
      </c>
      <c r="BT4" s="50"/>
      <c r="BU4" s="69" t="n">
        <f aca="false">IF($F$7=BX4,1,0)</f>
        <v>0</v>
      </c>
      <c r="BV4" s="53" t="s">
        <v>80</v>
      </c>
      <c r="BW4" s="26" t="n">
        <v>15</v>
      </c>
      <c r="BX4" s="52" t="n">
        <v>0.63</v>
      </c>
      <c r="BY4" s="48"/>
      <c r="BZ4" s="26" t="n">
        <f aca="false">IF($B$14=CB4,1,0)</f>
        <v>0</v>
      </c>
      <c r="CA4" s="53" t="s">
        <v>78</v>
      </c>
      <c r="CB4" s="26" t="s">
        <v>53</v>
      </c>
      <c r="CC4" s="48"/>
      <c r="CD4" s="26" t="n">
        <f aca="false">IF($F$12=CF4,1,0)</f>
        <v>0</v>
      </c>
      <c r="CE4" s="53" t="s">
        <v>80</v>
      </c>
      <c r="CF4" s="26" t="n">
        <v>15</v>
      </c>
      <c r="CG4" s="48"/>
      <c r="CH4" s="26" t="n">
        <f aca="false">IF($E$14=CJ4,1,0)</f>
        <v>0</v>
      </c>
      <c r="CI4" s="21" t="n">
        <v>1</v>
      </c>
      <c r="CJ4" s="21" t="s">
        <v>74</v>
      </c>
      <c r="CK4" s="21" t="n">
        <f aca="false">IF($E$14=CM4,1,0)</f>
        <v>0</v>
      </c>
      <c r="CL4" s="21" t="n">
        <v>1</v>
      </c>
      <c r="CM4" s="70" t="s">
        <v>75</v>
      </c>
      <c r="CN4" s="70" t="n">
        <f aca="false">IF($E$14=CP4,1,0)</f>
        <v>0</v>
      </c>
      <c r="CO4" s="21" t="n">
        <v>1</v>
      </c>
      <c r="CP4" s="70" t="s">
        <v>76</v>
      </c>
      <c r="CQ4" s="50"/>
      <c r="CR4" s="0" t="n">
        <f aca="false">IF(OR(E14="DPL 80/115-2,2/2",E14="DPL 100/175-3/4"),1,0)</f>
        <v>0</v>
      </c>
      <c r="CS4" s="1" t="n">
        <v>5</v>
      </c>
      <c r="CU4" s="50"/>
      <c r="CV4" s="48"/>
      <c r="CW4" s="26" t="n">
        <f aca="false">IF($E$9=CY4,1,0)</f>
        <v>1</v>
      </c>
      <c r="CX4" s="53" t="s">
        <v>81</v>
      </c>
      <c r="CY4" s="54" t="s">
        <v>82</v>
      </c>
      <c r="CZ4" s="50"/>
      <c r="DA4" s="26" t="n">
        <f aca="false">IF($F$9=DC4,1,0)</f>
        <v>1</v>
      </c>
      <c r="DB4" s="53" t="s">
        <v>81</v>
      </c>
      <c r="DC4" s="54" t="s">
        <v>82</v>
      </c>
      <c r="DD4" s="50"/>
      <c r="DE4" s="26" t="n">
        <f aca="false">IF($B$16=DG4,1,0)</f>
        <v>1</v>
      </c>
      <c r="DF4" s="53" t="s">
        <v>78</v>
      </c>
      <c r="DG4" s="26" t="s">
        <v>83</v>
      </c>
      <c r="DH4" s="50"/>
      <c r="DI4" s="26" t="n">
        <f aca="false">IF($B$17=DK4,1,0)</f>
        <v>1</v>
      </c>
      <c r="DJ4" s="53" t="s">
        <v>78</v>
      </c>
      <c r="DK4" s="58" t="s">
        <v>84</v>
      </c>
    </row>
    <row r="5" customFormat="false" ht="15" hidden="false" customHeight="false" outlineLevel="0" collapsed="false">
      <c r="A5" s="55" t="s">
        <v>85</v>
      </c>
      <c r="B5" s="71" t="n">
        <f aca="false">'ОЛ(4)'!N13</f>
        <v>130</v>
      </c>
      <c r="C5" s="72" t="s">
        <v>86</v>
      </c>
      <c r="E5" s="0" t="s">
        <v>48</v>
      </c>
      <c r="F5" s="73" t="n">
        <f aca="false">VLOOKUP(2,I4:L17,2,0)</f>
        <v>50</v>
      </c>
      <c r="I5" s="51" t="n">
        <f aca="false">IF($B$12&lt;12,(IF((L5&gt;4)*AND(L5&lt;16),2,0)),IF((L5&gt;4)*AND(L5&lt;20),2,0))</f>
        <v>0</v>
      </c>
      <c r="J5" s="54" t="n">
        <v>20</v>
      </c>
      <c r="K5" s="54" t="n">
        <f aca="false">1/POWER(1.14+2*LOG10((J5/1000)/($K$21/1000)),2)</f>
        <v>0.0529902997834844</v>
      </c>
      <c r="L5" s="54" t="n">
        <f aca="false">0.00638*K5*POWER($F$4,2)/(POWER(J5/1000,5)*$K$20)</f>
        <v>1224.83549194632</v>
      </c>
      <c r="M5" s="54"/>
      <c r="N5" s="54" t="n">
        <f aca="false">IF((Q5&gt;4)*AND(Q5&lt;20),1,0)</f>
        <v>0</v>
      </c>
      <c r="O5" s="54" t="n">
        <v>20</v>
      </c>
      <c r="P5" s="54" t="n">
        <f aca="false">1/POWER(1.14+2*LOG10((O5/1000)/($K$21/1000)),2)</f>
        <v>0.0529902997834844</v>
      </c>
      <c r="Q5" s="58" t="n">
        <f aca="false">0.00638*P5*POWER($F$11,2)/(POWER(O5/1000,5)*$K$20)</f>
        <v>7055.05243361082</v>
      </c>
      <c r="R5" s="54" t="n">
        <f aca="false">IF((U5&gt;4)*AND(U5&lt;20),1,0)</f>
        <v>1</v>
      </c>
      <c r="S5" s="54" t="n">
        <v>20</v>
      </c>
      <c r="T5" s="54" t="n">
        <f aca="false">1/POWER(1.14+2*LOG10((S5/1000)/($K$21/1000)),2)</f>
        <v>0.0529902997834844</v>
      </c>
      <c r="U5" s="58" t="n">
        <f aca="false">0.00638*T5*POWER($F$16,2)/(POWER(S5/1000,5)*$K$20)</f>
        <v>16.7667730492532</v>
      </c>
      <c r="W5" s="59" t="s">
        <v>87</v>
      </c>
      <c r="X5" s="74" t="n">
        <f aca="false">F4/SQRT(0.1*X4)</f>
        <v>6.08580619450185</v>
      </c>
      <c r="Y5" s="74"/>
      <c r="Z5" s="51" t="n">
        <f aca="false">IF(AB5&gt;$X$5,1,0)</f>
        <v>0</v>
      </c>
      <c r="AA5" s="63" t="n">
        <v>15</v>
      </c>
      <c r="AB5" s="58" t="n">
        <v>2.5</v>
      </c>
      <c r="AC5" s="51" t="n">
        <f aca="false">IF(AE5&gt;$X$5,1,0)</f>
        <v>0</v>
      </c>
      <c r="AD5" s="63" t="n">
        <v>15</v>
      </c>
      <c r="AE5" s="58" t="n">
        <v>2.5</v>
      </c>
      <c r="AF5" s="54" t="n">
        <f aca="false">IF(AH5&gt;$X$5,1,0)</f>
        <v>0</v>
      </c>
      <c r="AG5" s="63" t="n">
        <v>15</v>
      </c>
      <c r="AH5" s="58" t="n">
        <v>2.5</v>
      </c>
      <c r="AJ5" s="69" t="n">
        <v>6</v>
      </c>
      <c r="AK5" s="51" t="n">
        <f aca="false">IF($F$13&lt;AJ5,1,0)</f>
        <v>0</v>
      </c>
      <c r="AL5" s="58" t="s">
        <v>88</v>
      </c>
      <c r="AM5" s="50" t="n">
        <f aca="false">IF($F$13&lt;AJ5,1,0)</f>
        <v>0</v>
      </c>
      <c r="AN5" s="50" t="s">
        <v>89</v>
      </c>
      <c r="AO5" s="51" t="n">
        <f aca="false">IF($F$13&lt;AJ5,1,0)</f>
        <v>0</v>
      </c>
      <c r="AP5" s="75" t="s">
        <v>90</v>
      </c>
      <c r="AS5" s="51" t="n">
        <v>0.25</v>
      </c>
      <c r="AT5" s="54" t="n">
        <f aca="false">IF($B$4&lt;AS5,1,0)</f>
        <v>1</v>
      </c>
      <c r="AU5" s="54" t="s">
        <v>91</v>
      </c>
      <c r="AV5" s="54" t="n">
        <f aca="false">IF($B$4&lt;AS5,1,0)</f>
        <v>1</v>
      </c>
      <c r="AW5" s="20" t="n">
        <v>1</v>
      </c>
      <c r="AX5" s="51" t="n">
        <v>0.25</v>
      </c>
      <c r="AY5" s="54" t="n">
        <f aca="false">IF($B$4&lt;AX5,1,0)</f>
        <v>1</v>
      </c>
      <c r="AZ5" s="54" t="s">
        <v>91</v>
      </c>
      <c r="BA5" s="54" t="n">
        <f aca="false">IF($B$4&lt;AX5,1,0)</f>
        <v>1</v>
      </c>
      <c r="BB5" s="20" t="n">
        <v>1</v>
      </c>
      <c r="BC5" s="51" t="n">
        <v>0.45</v>
      </c>
      <c r="BD5" s="54" t="n">
        <f aca="false">IF($B$4&lt;BC5,1,0)</f>
        <v>1</v>
      </c>
      <c r="BE5" s="54" t="s">
        <v>92</v>
      </c>
      <c r="BF5" s="54" t="n">
        <f aca="false">IF($B$4&lt;BC5,1,0)</f>
        <v>1</v>
      </c>
      <c r="BG5" s="52" t="n">
        <v>1</v>
      </c>
      <c r="BH5" s="54" t="n">
        <v>0.09</v>
      </c>
      <c r="BI5" s="54" t="n">
        <f aca="false">IF($B$4&lt;BH5,1,0)</f>
        <v>0</v>
      </c>
      <c r="BJ5" s="54" t="s">
        <v>93</v>
      </c>
      <c r="BK5" s="54" t="n">
        <f aca="false">IF($B$4&lt;BH5,1,0)</f>
        <v>0</v>
      </c>
      <c r="BL5" s="58" t="n">
        <v>1</v>
      </c>
      <c r="BN5" s="47" t="s">
        <v>94</v>
      </c>
      <c r="BO5" s="26" t="s">
        <v>95</v>
      </c>
      <c r="BP5" s="48"/>
      <c r="BQ5" s="26" t="n">
        <f aca="false">IF($F$5=BS5,1,0)</f>
        <v>0</v>
      </c>
      <c r="BR5" s="53" t="s">
        <v>96</v>
      </c>
      <c r="BS5" s="26" t="n">
        <v>20</v>
      </c>
      <c r="BT5" s="50"/>
      <c r="BU5" s="69" t="n">
        <f aca="false">IF($F$7=BX5,1,0)</f>
        <v>0</v>
      </c>
      <c r="BV5" s="53" t="s">
        <v>96</v>
      </c>
      <c r="BW5" s="26" t="n">
        <v>15</v>
      </c>
      <c r="BX5" s="52" t="n">
        <v>1.25</v>
      </c>
      <c r="BY5" s="48"/>
      <c r="BZ5" s="26" t="n">
        <f aca="false">IF($B$14=CB5,1,0)</f>
        <v>0</v>
      </c>
      <c r="CA5" s="53" t="s">
        <v>94</v>
      </c>
      <c r="CB5" s="26" t="s">
        <v>55</v>
      </c>
      <c r="CC5" s="48"/>
      <c r="CD5" s="26" t="n">
        <f aca="false">IF($F$12=CF5,1,0)</f>
        <v>0</v>
      </c>
      <c r="CE5" s="53" t="s">
        <v>96</v>
      </c>
      <c r="CF5" s="26" t="n">
        <v>20</v>
      </c>
      <c r="CG5" s="48"/>
      <c r="CH5" s="26" t="n">
        <f aca="false">IF($E$14=CJ5,1,0)</f>
        <v>0</v>
      </c>
      <c r="CI5" s="21" t="n">
        <v>2</v>
      </c>
      <c r="CJ5" s="21" t="s">
        <v>88</v>
      </c>
      <c r="CK5" s="21" t="n">
        <f aca="false">IF($E$14=CM5,1,0)</f>
        <v>0</v>
      </c>
      <c r="CL5" s="21" t="n">
        <v>2</v>
      </c>
      <c r="CM5" s="21" t="s">
        <v>89</v>
      </c>
      <c r="CN5" s="70" t="n">
        <f aca="false">IF($E$14=CP5,1,0)</f>
        <v>0</v>
      </c>
      <c r="CO5" s="21" t="n">
        <v>2</v>
      </c>
      <c r="CP5" s="70" t="s">
        <v>90</v>
      </c>
      <c r="CQ5" s="50"/>
      <c r="CR5" s="54" t="n">
        <f aca="false">IF($B$15=CT5,1,0)</f>
        <v>0</v>
      </c>
      <c r="CS5" s="21" t="n">
        <v>1</v>
      </c>
      <c r="CT5" s="21" t="s">
        <v>33</v>
      </c>
      <c r="CU5" s="50"/>
      <c r="CV5" s="48"/>
      <c r="CW5" s="26" t="n">
        <f aca="false">IF($E$9=CY5,1,0)</f>
        <v>0</v>
      </c>
      <c r="CX5" s="53" t="s">
        <v>78</v>
      </c>
      <c r="CY5" s="26" t="s">
        <v>77</v>
      </c>
      <c r="CZ5" s="50"/>
      <c r="DA5" s="26" t="n">
        <f aca="false">IF($F$9=DC5,1,0)</f>
        <v>0</v>
      </c>
      <c r="DB5" s="53" t="s">
        <v>78</v>
      </c>
      <c r="DC5" s="26" t="n">
        <v>1</v>
      </c>
      <c r="DD5" s="50"/>
      <c r="DE5" s="26" t="n">
        <f aca="false">IF($B$16=DG5,1,0)</f>
        <v>0</v>
      </c>
      <c r="DF5" s="53" t="s">
        <v>94</v>
      </c>
      <c r="DG5" s="26" t="s">
        <v>55</v>
      </c>
      <c r="DH5" s="50"/>
      <c r="DI5" s="26" t="n">
        <f aca="false">IF($B$17=DK5,1,0)</f>
        <v>0</v>
      </c>
      <c r="DJ5" s="53" t="s">
        <v>81</v>
      </c>
      <c r="DK5" s="52" t="s">
        <v>97</v>
      </c>
    </row>
    <row r="6" customFormat="false" ht="15" hidden="false" customHeight="false" outlineLevel="0" collapsed="false">
      <c r="A6" s="55" t="s">
        <v>98</v>
      </c>
      <c r="B6" s="71" t="n">
        <f aca="false">IF(OR('ОЛ(4)'!C24="зависимая",'ОЛ(4)'!C24=0),'ОЛ(4)'!R13,IF(('ОЛ(4)'!R13-B8)&lt;5,B8+5,'ОЛ(4)'!R13))</f>
        <v>70</v>
      </c>
      <c r="C6" s="72" t="s">
        <v>86</v>
      </c>
      <c r="E6" s="0" t="s">
        <v>99</v>
      </c>
      <c r="F6" s="73" t="n">
        <f aca="false">VLOOKUP(1,IF(B14="IMI Hydronic",Z4:AB21,IF(B14="Siemens",AC4:AE22,AF4:AH16)),2,0)</f>
        <v>20</v>
      </c>
      <c r="I6" s="51" t="n">
        <f aca="false">IF($B$12&lt;12,(IF((L6&gt;4)*AND(L6&lt;16),2,0)),IF((L6&gt;4)*AND(L6&lt;20),2,0))</f>
        <v>0</v>
      </c>
      <c r="J6" s="54" t="n">
        <v>25</v>
      </c>
      <c r="K6" s="54" t="n">
        <f aca="false">1/POWER(1.14+2*LOG10((J6/1000)/($K$21/1000)),2)</f>
        <v>0.0485604272927566</v>
      </c>
      <c r="L6" s="54" t="n">
        <f aca="false">0.00638*K6*POWER($F$4,2)/(POWER(J6/1000,5)*$K$20)</f>
        <v>367.801774664781</v>
      </c>
      <c r="M6" s="54"/>
      <c r="N6" s="54" t="n">
        <f aca="false">IF((Q6&gt;4)*AND(Q6&lt;20),1,0)</f>
        <v>0</v>
      </c>
      <c r="O6" s="54" t="n">
        <v>25</v>
      </c>
      <c r="P6" s="54" t="n">
        <f aca="false">1/POWER(1.14+2*LOG10((O6/1000)/($K$21/1000)),2)</f>
        <v>0.0485604272927566</v>
      </c>
      <c r="Q6" s="58" t="n">
        <f aca="false">0.00638*P6*POWER($F$11,2)/(POWER(O6/1000,5)*$K$20)</f>
        <v>2118.53822206914</v>
      </c>
      <c r="R6" s="54" t="n">
        <f aca="false">IF((U6&gt;4)*AND(U6&lt;20),1,0)</f>
        <v>1</v>
      </c>
      <c r="S6" s="54" t="n">
        <v>25</v>
      </c>
      <c r="T6" s="54" t="n">
        <f aca="false">1/POWER(1.14+2*LOG10((S6/1000)/($K$21/1000)),2)</f>
        <v>0.0485604272927566</v>
      </c>
      <c r="U6" s="58" t="n">
        <f aca="false">0.00638*T6*POWER($F$16,2)/(POWER(S6/1000,5)*$K$20)</f>
        <v>5.03483849338619</v>
      </c>
      <c r="W6" s="51"/>
      <c r="X6" s="54"/>
      <c r="Y6" s="54"/>
      <c r="Z6" s="51" t="n">
        <f aca="false">IF(AB6&gt;$X$5,1,0)</f>
        <v>0</v>
      </c>
      <c r="AA6" s="63" t="n">
        <v>15</v>
      </c>
      <c r="AB6" s="58" t="n">
        <v>4</v>
      </c>
      <c r="AC6" s="51" t="n">
        <f aca="false">IF(AE6&gt;$X$5,1,0)</f>
        <v>0</v>
      </c>
      <c r="AD6" s="63" t="n">
        <v>15</v>
      </c>
      <c r="AE6" s="58" t="n">
        <v>4</v>
      </c>
      <c r="AF6" s="54" t="n">
        <f aca="false">IF(AH6&gt;$X$5,1,0)</f>
        <v>0</v>
      </c>
      <c r="AG6" s="63" t="n">
        <v>15</v>
      </c>
      <c r="AH6" s="58" t="n">
        <v>4</v>
      </c>
      <c r="AJ6" s="69" t="n">
        <v>10</v>
      </c>
      <c r="AK6" s="51" t="n">
        <f aca="false">IF($F$13&lt;AJ6,1,0)</f>
        <v>1</v>
      </c>
      <c r="AL6" s="58" t="s">
        <v>100</v>
      </c>
      <c r="AM6" s="50" t="n">
        <f aca="false">IF($F$13&lt;AJ6,1,0)</f>
        <v>1</v>
      </c>
      <c r="AN6" s="50" t="s">
        <v>101</v>
      </c>
      <c r="AO6" s="51" t="n">
        <f aca="false">IF($F$13&lt;AJ6,1,0)</f>
        <v>1</v>
      </c>
      <c r="AP6" s="75" t="s">
        <v>102</v>
      </c>
      <c r="AR6" s="54"/>
      <c r="AS6" s="51" t="n">
        <v>0.67</v>
      </c>
      <c r="AT6" s="54" t="n">
        <f aca="false">IF($B$4&lt;AS6,1,0)</f>
        <v>1</v>
      </c>
      <c r="AU6" s="54" t="s">
        <v>92</v>
      </c>
      <c r="AV6" s="54" t="n">
        <f aca="false">IF($B$4&lt;AS6,1,0)</f>
        <v>1</v>
      </c>
      <c r="AW6" s="20" t="n">
        <v>1</v>
      </c>
      <c r="AX6" s="51" t="n">
        <v>0.575</v>
      </c>
      <c r="AY6" s="54" t="n">
        <f aca="false">IF($B$4&lt;AX6,1,0)</f>
        <v>1</v>
      </c>
      <c r="AZ6" s="54" t="s">
        <v>92</v>
      </c>
      <c r="BA6" s="54" t="n">
        <f aca="false">IF($B$4&lt;AX6,1,0)</f>
        <v>1</v>
      </c>
      <c r="BB6" s="20" t="n">
        <v>1</v>
      </c>
      <c r="BC6" s="51" t="n">
        <v>0.71</v>
      </c>
      <c r="BD6" s="54" t="n">
        <f aca="false">IF($B$4&lt;BC6,1,0)</f>
        <v>1</v>
      </c>
      <c r="BE6" s="54" t="s">
        <v>92</v>
      </c>
      <c r="BF6" s="54" t="n">
        <f aca="false">IF($B$4&lt;BC6,1,0)</f>
        <v>1</v>
      </c>
      <c r="BG6" s="52" t="n">
        <v>2</v>
      </c>
      <c r="BH6" s="0" t="n">
        <v>0.3</v>
      </c>
      <c r="BI6" s="54" t="n">
        <f aca="false">IF($B$4&lt;BH6,1,0)</f>
        <v>1</v>
      </c>
      <c r="BJ6" s="54" t="s">
        <v>92</v>
      </c>
      <c r="BK6" s="54" t="n">
        <f aca="false">IF($B$4&lt;BH6,1,0)</f>
        <v>1</v>
      </c>
      <c r="BL6" s="58" t="n">
        <v>1</v>
      </c>
      <c r="BN6" s="47"/>
      <c r="BO6" s="26"/>
      <c r="BP6" s="48"/>
      <c r="BQ6" s="26" t="n">
        <f aca="false">IF($F$5=BS6,1,0)</f>
        <v>0</v>
      </c>
      <c r="BR6" s="53" t="s">
        <v>103</v>
      </c>
      <c r="BS6" s="26" t="n">
        <v>25</v>
      </c>
      <c r="BT6" s="50"/>
      <c r="BU6" s="69" t="n">
        <f aca="false">IF($F$7=BX6,1,0)</f>
        <v>0</v>
      </c>
      <c r="BV6" s="53" t="s">
        <v>103</v>
      </c>
      <c r="BW6" s="26" t="n">
        <v>15</v>
      </c>
      <c r="BX6" s="52" t="n">
        <v>1.6</v>
      </c>
      <c r="BY6" s="48"/>
      <c r="BZ6" s="26" t="n">
        <f aca="false">IF($B$14=CB6,1,0)</f>
        <v>1</v>
      </c>
      <c r="CA6" s="53" t="s">
        <v>104</v>
      </c>
      <c r="CB6" s="26" t="s">
        <v>54</v>
      </c>
      <c r="CC6" s="48"/>
      <c r="CD6" s="26" t="n">
        <f aca="false">IF($F$12=CF6,1,0)</f>
        <v>0</v>
      </c>
      <c r="CE6" s="53" t="s">
        <v>103</v>
      </c>
      <c r="CF6" s="26" t="n">
        <v>25</v>
      </c>
      <c r="CG6" s="48"/>
      <c r="CH6" s="26" t="n">
        <f aca="false">IF($E$14=CJ6,1,0)</f>
        <v>0</v>
      </c>
      <c r="CI6" s="21" t="n">
        <v>3</v>
      </c>
      <c r="CJ6" s="21" t="s">
        <v>100</v>
      </c>
      <c r="CK6" s="21" t="n">
        <f aca="false">IF($E$14=CM6,1,0)</f>
        <v>1</v>
      </c>
      <c r="CL6" s="21" t="n">
        <v>3</v>
      </c>
      <c r="CM6" s="21" t="s">
        <v>101</v>
      </c>
      <c r="CN6" s="70" t="n">
        <f aca="false">IF($E$14=CP6,1,0)</f>
        <v>0</v>
      </c>
      <c r="CO6" s="21" t="n">
        <v>3</v>
      </c>
      <c r="CP6" s="70" t="s">
        <v>102</v>
      </c>
      <c r="CQ6" s="50"/>
      <c r="CR6" s="54" t="n">
        <f aca="false">IF($B$15=CT6,1,0)</f>
        <v>1</v>
      </c>
      <c r="CS6" s="21" t="n">
        <v>2</v>
      </c>
      <c r="CT6" s="21" t="s">
        <v>34</v>
      </c>
      <c r="CU6" s="50"/>
      <c r="CV6" s="48"/>
      <c r="CW6" s="26" t="n">
        <f aca="false">IF($E$9=CY6,1,0)</f>
        <v>0</v>
      </c>
      <c r="CX6" s="53" t="s">
        <v>94</v>
      </c>
      <c r="CY6" s="26" t="s">
        <v>91</v>
      </c>
      <c r="CZ6" s="50"/>
      <c r="DA6" s="26" t="n">
        <f aca="false">IF($F$9=DC6,1,0)</f>
        <v>0</v>
      </c>
      <c r="DB6" s="53" t="s">
        <v>94</v>
      </c>
      <c r="DC6" s="26" t="n">
        <v>2</v>
      </c>
      <c r="DD6" s="50"/>
      <c r="DE6" s="26" t="n">
        <f aca="false">IF($B$16=DG6,1,0)</f>
        <v>0</v>
      </c>
      <c r="DF6" s="53" t="s">
        <v>104</v>
      </c>
      <c r="DG6" s="76" t="s">
        <v>54</v>
      </c>
      <c r="DH6" s="50"/>
      <c r="DI6" s="26"/>
      <c r="DJ6" s="53"/>
      <c r="DK6" s="52"/>
    </row>
    <row r="7" customFormat="false" ht="15" hidden="false" customHeight="false" outlineLevel="0" collapsed="false">
      <c r="A7" s="55" t="s">
        <v>105</v>
      </c>
      <c r="B7" s="71" t="n">
        <f aca="false">'ОЛ(4)'!N14</f>
        <v>95</v>
      </c>
      <c r="C7" s="72" t="s">
        <v>86</v>
      </c>
      <c r="E7" s="0" t="s">
        <v>106</v>
      </c>
      <c r="F7" s="73" t="n">
        <f aca="false">VLOOKUP(1,IF(B14="IMI Hydronic",Z4:AB21,IF(B14="Siemens",AC4:AE22,AF4:AH16)),3,0)</f>
        <v>6.3</v>
      </c>
      <c r="I7" s="51" t="n">
        <f aca="false">IF($B$12&lt;12,(IF((L7&gt;4)*AND(L7&lt;16),2,0)),IF((L7&gt;4)*AND(L7&lt;20),2,0))</f>
        <v>0</v>
      </c>
      <c r="J7" s="54" t="n">
        <v>32</v>
      </c>
      <c r="K7" s="54" t="n">
        <f aca="false">1/POWER(1.14+2*LOG10((J7/1000)/($K$21/1000)),2)</f>
        <v>0.0442773220047029</v>
      </c>
      <c r="L7" s="54" t="n">
        <f aca="false">0.00638*K7*POWER($F$4,2)/(POWER(J7/1000,5)*$K$20)</f>
        <v>97.6029217507179</v>
      </c>
      <c r="M7" s="54"/>
      <c r="N7" s="54" t="n">
        <f aca="false">IF((Q7&gt;4)*AND(Q7&lt;20),1,0)</f>
        <v>0</v>
      </c>
      <c r="O7" s="54" t="n">
        <v>32</v>
      </c>
      <c r="P7" s="54" t="n">
        <f aca="false">1/POWER(1.14+2*LOG10((O7/1000)/($K$21/1000)),2)</f>
        <v>0.0442773220047029</v>
      </c>
      <c r="Q7" s="58" t="n">
        <f aca="false">0.00638*P7*POWER($F$11,2)/(POWER(O7/1000,5)*$K$20)</f>
        <v>562.192829284135</v>
      </c>
      <c r="R7" s="54" t="n">
        <f aca="false">IF((U7&gt;4)*AND(U7&lt;20),1,0)</f>
        <v>0</v>
      </c>
      <c r="S7" s="54" t="n">
        <v>32</v>
      </c>
      <c r="T7" s="54" t="n">
        <f aca="false">1/POWER(1.14+2*LOG10((S7/1000)/($K$21/1000)),2)</f>
        <v>0.0442773220047029</v>
      </c>
      <c r="U7" s="58" t="n">
        <f aca="false">0.00638*T7*POWER($F$16,2)/(POWER(S7/1000,5)*$K$20)</f>
        <v>1.33608639584558</v>
      </c>
      <c r="W7" s="51"/>
      <c r="X7" s="54"/>
      <c r="Y7" s="54"/>
      <c r="Z7" s="51" t="n">
        <f aca="false">IF(AB7&gt;$X$5,1,0)</f>
        <v>1</v>
      </c>
      <c r="AA7" s="63" t="n">
        <v>20</v>
      </c>
      <c r="AB7" s="58" t="n">
        <v>6.3</v>
      </c>
      <c r="AC7" s="51" t="n">
        <f aca="false">IF(AE7&gt;$X$5,1,0)</f>
        <v>1</v>
      </c>
      <c r="AD7" s="63" t="n">
        <v>20</v>
      </c>
      <c r="AE7" s="58" t="n">
        <v>6.3</v>
      </c>
      <c r="AF7" s="54" t="n">
        <f aca="false">IF(AH7&gt;$X$5,1,0)</f>
        <v>1</v>
      </c>
      <c r="AG7" s="63" t="n">
        <v>20</v>
      </c>
      <c r="AH7" s="58" t="n">
        <v>6.3</v>
      </c>
      <c r="AJ7" s="69" t="n">
        <v>14</v>
      </c>
      <c r="AK7" s="51" t="n">
        <f aca="false">IF($F$13&lt;AJ7,1,0)</f>
        <v>1</v>
      </c>
      <c r="AL7" s="58" t="s">
        <v>107</v>
      </c>
      <c r="AM7" s="50" t="n">
        <f aca="false">IF($F$13&lt;AJ7,1,0)</f>
        <v>1</v>
      </c>
      <c r="AN7" s="50" t="s">
        <v>108</v>
      </c>
      <c r="AO7" s="51" t="n">
        <f aca="false">IF($F$13&lt;AJ7,1,0)</f>
        <v>1</v>
      </c>
      <c r="AP7" s="50" t="s">
        <v>109</v>
      </c>
      <c r="AR7" s="54"/>
      <c r="AS7" s="51" t="n">
        <v>1</v>
      </c>
      <c r="AT7" s="54" t="n">
        <f aca="false">IF($B$4&lt;AS7,1,0)</f>
        <v>1</v>
      </c>
      <c r="AU7" s="54" t="s">
        <v>92</v>
      </c>
      <c r="AV7" s="54" t="n">
        <f aca="false">IF($B$4&lt;AS7,1,0)</f>
        <v>1</v>
      </c>
      <c r="AW7" s="20" t="n">
        <v>2</v>
      </c>
      <c r="AX7" s="77" t="n">
        <v>0.9</v>
      </c>
      <c r="AY7" s="54" t="n">
        <f aca="false">IF($B$4&lt;AX7,1,0)</f>
        <v>1</v>
      </c>
      <c r="AZ7" s="54" t="s">
        <v>92</v>
      </c>
      <c r="BA7" s="54" t="n">
        <f aca="false">IF($B$4&lt;AX7,1,0)</f>
        <v>1</v>
      </c>
      <c r="BB7" s="20" t="n">
        <v>2</v>
      </c>
      <c r="BC7" s="51" t="n">
        <v>0.95</v>
      </c>
      <c r="BD7" s="54" t="n">
        <f aca="false">IF($B$4&lt;BC7,1,0)</f>
        <v>1</v>
      </c>
      <c r="BE7" s="54" t="s">
        <v>92</v>
      </c>
      <c r="BF7" s="54" t="n">
        <f aca="false">IF($B$4&lt;BC7,1,0)</f>
        <v>1</v>
      </c>
      <c r="BG7" s="78" t="n">
        <v>3</v>
      </c>
      <c r="BH7" s="0" t="n">
        <v>0.48</v>
      </c>
      <c r="BI7" s="54" t="n">
        <f aca="false">IF($B$4&lt;BH7,1,0)</f>
        <v>1</v>
      </c>
      <c r="BJ7" s="54" t="s">
        <v>92</v>
      </c>
      <c r="BK7" s="54" t="n">
        <f aca="false">IF($B$4&lt;BH7,1,0)</f>
        <v>1</v>
      </c>
      <c r="BL7" s="58" t="n">
        <v>2</v>
      </c>
      <c r="BN7" s="47"/>
      <c r="BO7" s="26"/>
      <c r="BP7" s="48"/>
      <c r="BQ7" s="26" t="n">
        <f aca="false">IF($F$5=BS7,1,0)</f>
        <v>0</v>
      </c>
      <c r="BR7" s="53" t="s">
        <v>110</v>
      </c>
      <c r="BS7" s="26" t="n">
        <v>32</v>
      </c>
      <c r="BT7" s="50"/>
      <c r="BU7" s="69" t="n">
        <f aca="false">IF($F$7=BX7,1,0)</f>
        <v>0</v>
      </c>
      <c r="BV7" s="53" t="s">
        <v>110</v>
      </c>
      <c r="BW7" s="26" t="n">
        <v>15</v>
      </c>
      <c r="BX7" s="52" t="n">
        <v>2.5</v>
      </c>
      <c r="BY7" s="48"/>
      <c r="BZ7" s="26"/>
      <c r="CA7" s="53"/>
      <c r="CB7" s="26"/>
      <c r="CC7" s="48"/>
      <c r="CD7" s="26" t="n">
        <f aca="false">IF($F$12=CF7,1,0)</f>
        <v>0</v>
      </c>
      <c r="CE7" s="53" t="s">
        <v>110</v>
      </c>
      <c r="CF7" s="26" t="n">
        <v>32</v>
      </c>
      <c r="CG7" s="48"/>
      <c r="CH7" s="26" t="n">
        <f aca="false">IF($E$14=CJ7,1,0)</f>
        <v>0</v>
      </c>
      <c r="CI7" s="76" t="n">
        <v>4</v>
      </c>
      <c r="CJ7" s="21" t="s">
        <v>107</v>
      </c>
      <c r="CK7" s="21" t="n">
        <f aca="false">IF($E$14=CM7,1,0)</f>
        <v>0</v>
      </c>
      <c r="CL7" s="76" t="n">
        <v>4</v>
      </c>
      <c r="CM7" s="21" t="s">
        <v>108</v>
      </c>
      <c r="CN7" s="70" t="n">
        <f aca="false">IF($E$14=CP7,1,0)</f>
        <v>0</v>
      </c>
      <c r="CO7" s="76" t="n">
        <v>4</v>
      </c>
      <c r="CP7" s="21" t="s">
        <v>109</v>
      </c>
      <c r="CQ7" s="50"/>
      <c r="CR7" s="54" t="n">
        <f aca="false">IF($B$15=CT7,1,0)</f>
        <v>0</v>
      </c>
      <c r="CS7" s="21" t="n">
        <v>3</v>
      </c>
      <c r="CT7" s="76" t="s">
        <v>35</v>
      </c>
      <c r="CU7" s="50"/>
      <c r="CV7" s="48"/>
      <c r="CW7" s="26" t="n">
        <f aca="false">IF($E$9=CY7,1,0)</f>
        <v>0</v>
      </c>
      <c r="CX7" s="53" t="s">
        <v>104</v>
      </c>
      <c r="CY7" s="76" t="s">
        <v>93</v>
      </c>
      <c r="CZ7" s="50"/>
      <c r="DA7" s="26" t="n">
        <f aca="false">IF($F$9=DC7,1,0)</f>
        <v>0</v>
      </c>
      <c r="DB7" s="53" t="s">
        <v>104</v>
      </c>
      <c r="DC7" s="26" t="n">
        <v>3</v>
      </c>
      <c r="DD7" s="50"/>
      <c r="DE7" s="26"/>
      <c r="DF7" s="54"/>
      <c r="DG7" s="54"/>
      <c r="DH7" s="50"/>
      <c r="DI7" s="26"/>
      <c r="DJ7" s="53"/>
      <c r="DK7" s="79"/>
    </row>
    <row r="8" customFormat="false" ht="15" hidden="false" customHeight="false" outlineLevel="0" collapsed="false">
      <c r="A8" s="55" t="s">
        <v>111</v>
      </c>
      <c r="B8" s="71" t="n">
        <f aca="false">'ОЛ(4)'!R14</f>
        <v>70</v>
      </c>
      <c r="C8" s="72" t="s">
        <v>86</v>
      </c>
      <c r="E8" s="80" t="s">
        <v>73</v>
      </c>
      <c r="F8" s="57" t="n">
        <f aca="false">(F4^2/F7^2)*10</f>
        <v>2.7994736989446</v>
      </c>
      <c r="I8" s="51" t="n">
        <f aca="false">IF($B$12&lt;12,(IF((L8&gt;4)*AND(L8&lt;16),2,0)),IF((L8&gt;4)*AND(L8&lt;20),2,0))</f>
        <v>0</v>
      </c>
      <c r="J8" s="54" t="n">
        <v>40</v>
      </c>
      <c r="K8" s="54" t="n">
        <f aca="false">1/POWER(1.14+2*LOG10((J8/1000)/($K$21/1000)),2)</f>
        <v>0.0408752263386062</v>
      </c>
      <c r="L8" s="54" t="n">
        <f aca="false">0.00638*K8*POWER($F$4,2)/(POWER(J8/1000,5)*$K$20)</f>
        <v>29.5251136560776</v>
      </c>
      <c r="M8" s="54"/>
      <c r="N8" s="54" t="n">
        <f aca="false">IF((Q8&gt;4)*AND(Q8&lt;20),1,0)</f>
        <v>0</v>
      </c>
      <c r="O8" s="54" t="n">
        <v>40</v>
      </c>
      <c r="P8" s="54" t="n">
        <f aca="false">1/POWER(1.14+2*LOG10((O8/1000)/($K$21/1000)),2)</f>
        <v>0.0408752263386062</v>
      </c>
      <c r="Q8" s="58" t="n">
        <f aca="false">0.00638*P8*POWER($F$11,2)/(POWER(O8/1000,5)*$K$20)</f>
        <v>170.064654659007</v>
      </c>
      <c r="R8" s="54" t="n">
        <f aca="false">IF((U8&gt;4)*AND(U8&lt;20),1,0)</f>
        <v>0</v>
      </c>
      <c r="S8" s="54" t="n">
        <v>40</v>
      </c>
      <c r="T8" s="54" t="n">
        <f aca="false">1/POWER(1.14+2*LOG10((S8/1000)/($K$21/1000)),2)</f>
        <v>0.0408752263386062</v>
      </c>
      <c r="U8" s="58" t="n">
        <f aca="false">0.00638*T8*POWER($F$16,2)/(POWER(S8/1000,5)*$K$20)</f>
        <v>0.404169280838047</v>
      </c>
      <c r="W8" s="59"/>
      <c r="X8" s="54"/>
      <c r="Y8" s="74"/>
      <c r="Z8" s="51" t="n">
        <f aca="false">IF(AB8&gt;$X$5,1,0)</f>
        <v>1</v>
      </c>
      <c r="AA8" s="63" t="n">
        <v>25</v>
      </c>
      <c r="AB8" s="58" t="n">
        <v>10</v>
      </c>
      <c r="AC8" s="51" t="n">
        <f aca="false">IF(AE8&gt;$X$5,1,0)</f>
        <v>1</v>
      </c>
      <c r="AD8" s="63" t="n">
        <v>25</v>
      </c>
      <c r="AE8" s="58" t="n">
        <v>10</v>
      </c>
      <c r="AF8" s="54" t="n">
        <f aca="false">IF(AH8&gt;$X$5,1,0)</f>
        <v>1</v>
      </c>
      <c r="AG8" s="63" t="n">
        <v>25</v>
      </c>
      <c r="AH8" s="58" t="n">
        <v>10</v>
      </c>
      <c r="AJ8" s="69" t="n">
        <v>25</v>
      </c>
      <c r="AK8" s="51" t="n">
        <f aca="false">IF($F$13&lt;AJ8,1,0)</f>
        <v>1</v>
      </c>
      <c r="AL8" s="58" t="s">
        <v>112</v>
      </c>
      <c r="AM8" s="50" t="n">
        <f aca="false">IF($F$13&lt;AJ8,1,0)</f>
        <v>1</v>
      </c>
      <c r="AN8" s="50" t="s">
        <v>113</v>
      </c>
      <c r="AO8" s="51" t="n">
        <f aca="false">IF($F$13&lt;AJ8,1,0)</f>
        <v>1</v>
      </c>
      <c r="AP8" s="75" t="s">
        <v>114</v>
      </c>
      <c r="AR8" s="54"/>
      <c r="AS8" s="51" t="n">
        <v>1.25</v>
      </c>
      <c r="AT8" s="54" t="n">
        <f aca="false">IF($B$4&lt;AS8,1,0)</f>
        <v>1</v>
      </c>
      <c r="AU8" s="54" t="s">
        <v>92</v>
      </c>
      <c r="AV8" s="54" t="n">
        <f aca="false">IF($B$4&lt;AS8,1,0)</f>
        <v>1</v>
      </c>
      <c r="AW8" s="20" t="n">
        <v>3</v>
      </c>
      <c r="AX8" s="77" t="n">
        <v>1.16</v>
      </c>
      <c r="AY8" s="54" t="n">
        <f aca="false">IF($B$4&lt;AX8,1,0)</f>
        <v>1</v>
      </c>
      <c r="AZ8" s="54" t="s">
        <v>92</v>
      </c>
      <c r="BA8" s="54" t="n">
        <f aca="false">IF($B$4&lt;AX8,1,0)</f>
        <v>1</v>
      </c>
      <c r="BB8" s="20" t="n">
        <v>3</v>
      </c>
      <c r="BC8" s="51" t="n">
        <v>1.25</v>
      </c>
      <c r="BD8" s="54" t="n">
        <f aca="false">IF($B$4&lt;BC8,1,0)</f>
        <v>1</v>
      </c>
      <c r="BE8" s="54" t="s">
        <v>92</v>
      </c>
      <c r="BF8" s="54" t="n">
        <f aca="false">IF($B$4&lt;BC8,1,0)</f>
        <v>1</v>
      </c>
      <c r="BG8" s="78" t="n">
        <v>4</v>
      </c>
      <c r="BH8" s="0" t="n">
        <v>0.66</v>
      </c>
      <c r="BI8" s="54" t="n">
        <f aca="false">IF($B$4&lt;BH8,1,0)</f>
        <v>1</v>
      </c>
      <c r="BJ8" s="54" t="s">
        <v>92</v>
      </c>
      <c r="BK8" s="54" t="n">
        <f aca="false">IF($B$4&lt;BH8,1,0)</f>
        <v>1</v>
      </c>
      <c r="BL8" s="58" t="n">
        <v>3</v>
      </c>
      <c r="BN8" s="47"/>
      <c r="BO8" s="26"/>
      <c r="BP8" s="48"/>
      <c r="BQ8" s="26" t="n">
        <f aca="false">IF($F$5=BS8,1,0)</f>
        <v>0</v>
      </c>
      <c r="BR8" s="53" t="s">
        <v>115</v>
      </c>
      <c r="BS8" s="26" t="n">
        <v>40</v>
      </c>
      <c r="BT8" s="50"/>
      <c r="BU8" s="69" t="n">
        <f aca="false">IF($F$7=BX8,1,0)</f>
        <v>0</v>
      </c>
      <c r="BV8" s="53" t="s">
        <v>115</v>
      </c>
      <c r="BW8" s="26" t="n">
        <v>15</v>
      </c>
      <c r="BX8" s="52" t="n">
        <v>4</v>
      </c>
      <c r="BY8" s="48"/>
      <c r="BZ8" s="26"/>
      <c r="CA8" s="53"/>
      <c r="CB8" s="26"/>
      <c r="CC8" s="48"/>
      <c r="CD8" s="26" t="n">
        <f aca="false">IF($F$12=CF8,1,0)</f>
        <v>0</v>
      </c>
      <c r="CE8" s="53" t="s">
        <v>115</v>
      </c>
      <c r="CF8" s="26" t="n">
        <v>40</v>
      </c>
      <c r="CG8" s="48"/>
      <c r="CH8" s="26" t="n">
        <f aca="false">IF($E$14=CJ8,1,0)</f>
        <v>0</v>
      </c>
      <c r="CI8" s="76" t="n">
        <v>5</v>
      </c>
      <c r="CJ8" s="21" t="s">
        <v>112</v>
      </c>
      <c r="CK8" s="21" t="n">
        <f aca="false">IF($E$14=CM8,1,0)</f>
        <v>0</v>
      </c>
      <c r="CL8" s="76" t="n">
        <v>5</v>
      </c>
      <c r="CM8" s="21" t="s">
        <v>113</v>
      </c>
      <c r="CN8" s="70" t="n">
        <f aca="false">IF($E$14=CP8,1,0)</f>
        <v>0</v>
      </c>
      <c r="CO8" s="76" t="n">
        <v>5</v>
      </c>
      <c r="CP8" s="70" t="s">
        <v>114</v>
      </c>
      <c r="CQ8" s="50"/>
      <c r="CU8" s="50"/>
      <c r="CV8" s="48"/>
      <c r="CW8" s="26" t="n">
        <f aca="false">IF($E$9=CY8,1,0)</f>
        <v>0</v>
      </c>
      <c r="CX8" s="53" t="s">
        <v>116</v>
      </c>
      <c r="CY8" s="26" t="s">
        <v>92</v>
      </c>
      <c r="CZ8" s="50"/>
      <c r="DA8" s="26" t="n">
        <f aca="false">IF($F$9=DC8,1,0)</f>
        <v>0</v>
      </c>
      <c r="DB8" s="53" t="s">
        <v>116</v>
      </c>
      <c r="DC8" s="26" t="n">
        <v>4</v>
      </c>
      <c r="DD8" s="50"/>
      <c r="DE8" s="26"/>
      <c r="DF8" s="53"/>
      <c r="DG8" s="26"/>
      <c r="DH8" s="50"/>
      <c r="DI8" s="26"/>
      <c r="DJ8" s="53"/>
      <c r="DK8" s="52"/>
    </row>
    <row r="9" customFormat="false" ht="15" hidden="false" customHeight="false" outlineLevel="0" collapsed="false">
      <c r="A9" s="55" t="s">
        <v>117</v>
      </c>
      <c r="B9" s="71" t="n">
        <f aca="false">'ОЛ(4)'!W13*100</f>
        <v>60</v>
      </c>
      <c r="C9" s="72" t="s">
        <v>118</v>
      </c>
      <c r="E9" s="81" t="str">
        <f aca="false">IF('ОЛ(4)'!C24="ЗАВИСИМАЯ","ОТСУТСТВУЕТ",VLOOKUP(1,IF(B5=150,AT4:AU11,IF(B5=130,AY4:AZ11,IF(B5=115,BD4:BE10,IF(B5=105,BI4:BJ13,0)))),2,0))</f>
        <v>ОТСУТСТВУЕТ</v>
      </c>
      <c r="F9" s="73" t="str">
        <f aca="false">IF('ОЛ(4)'!C24="ЗАВИСИМАЯ","ОТСУТСТВУЕТ",VLOOKUP(1,IF(B5=150,AV4:AW11,IF(B5=130,BA4:BB11,IF(B5=115,BF4:BG10,IF(B5=105,BK4:BL13,0)))),2,0))</f>
        <v>ОТСУТСТВУЕТ</v>
      </c>
      <c r="I9" s="51" t="n">
        <f aca="false">IF($B$12&lt;12,(IF((L9&gt;4)*AND(L9&lt;16),2,0)),IF((L9&gt;4)*AND(L9&lt;20),2,0))</f>
        <v>2</v>
      </c>
      <c r="J9" s="54" t="n">
        <v>50</v>
      </c>
      <c r="K9" s="54" t="n">
        <f aca="false">1/POWER(1.14+2*LOG10((J9/1000)/($K$21/1000)),2)</f>
        <v>0.0378506866114551</v>
      </c>
      <c r="L9" s="54" t="n">
        <f aca="false">0.00638*K9*POWER($F$4,2)/(POWER(J9/1000,5)*$K$20)</f>
        <v>8.95890857284673</v>
      </c>
      <c r="M9" s="54"/>
      <c r="N9" s="54" t="n">
        <f aca="false">IF((Q9&gt;4)*AND(Q9&lt;20),1,0)</f>
        <v>0</v>
      </c>
      <c r="O9" s="54" t="n">
        <v>50</v>
      </c>
      <c r="P9" s="54" t="n">
        <f aca="false">1/POWER(1.14+2*LOG10((O9/1000)/($K$21/1000)),2)</f>
        <v>0.0378506866114551</v>
      </c>
      <c r="Q9" s="58" t="n">
        <f aca="false">0.00638*P9*POWER($F$11,2)/(POWER(O9/1000,5)*$K$20)</f>
        <v>51.6033133795972</v>
      </c>
      <c r="R9" s="54" t="n">
        <f aca="false">IF((U9&gt;4)*AND(U9&lt;20),1,0)</f>
        <v>0</v>
      </c>
      <c r="S9" s="54" t="n">
        <v>50</v>
      </c>
      <c r="T9" s="54" t="n">
        <f aca="false">1/POWER(1.14+2*LOG10((S9/1000)/($K$21/1000)),2)</f>
        <v>0.0378506866114551</v>
      </c>
      <c r="U9" s="58" t="n">
        <f aca="false">0.00638*T9*POWER($F$16,2)/(POWER(S9/1000,5)*$K$20)</f>
        <v>0.122638499453699</v>
      </c>
      <c r="W9" s="59"/>
      <c r="X9" s="74"/>
      <c r="Y9" s="54"/>
      <c r="Z9" s="51" t="n">
        <f aca="false">IF(AB9&gt;$X$5,1,0)</f>
        <v>1</v>
      </c>
      <c r="AA9" s="63" t="n">
        <v>32</v>
      </c>
      <c r="AB9" s="58" t="n">
        <v>16</v>
      </c>
      <c r="AC9" s="51" t="n">
        <f aca="false">IF(AE9&gt;$X$5,1,0)</f>
        <v>1</v>
      </c>
      <c r="AD9" s="63" t="n">
        <v>32</v>
      </c>
      <c r="AE9" s="58" t="n">
        <v>16</v>
      </c>
      <c r="AF9" s="54" t="n">
        <f aca="false">IF(AH9&gt;$X$5,1,0)</f>
        <v>1</v>
      </c>
      <c r="AG9" s="63" t="n">
        <v>32</v>
      </c>
      <c r="AH9" s="58" t="n">
        <v>16</v>
      </c>
      <c r="AJ9" s="69" t="n">
        <v>30</v>
      </c>
      <c r="AK9" s="51" t="n">
        <f aca="false">IF($F$13&lt;AJ9,1,0)</f>
        <v>1</v>
      </c>
      <c r="AL9" s="58" t="s">
        <v>119</v>
      </c>
      <c r="AM9" s="50" t="n">
        <f aca="false">IF($F$13&lt;AJ9,1,0)</f>
        <v>1</v>
      </c>
      <c r="AN9" s="50" t="s">
        <v>120</v>
      </c>
      <c r="AO9" s="51" t="n">
        <f aca="false">IF($F$13&lt;AJ9,1,0)</f>
        <v>1</v>
      </c>
      <c r="AP9" s="75" t="s">
        <v>121</v>
      </c>
      <c r="AR9" s="54"/>
      <c r="AS9" s="51" t="n">
        <v>1.3</v>
      </c>
      <c r="AT9" s="54" t="n">
        <f aca="false">IF($B$4&lt;AS9,1,0)</f>
        <v>1</v>
      </c>
      <c r="AU9" s="54" t="s">
        <v>92</v>
      </c>
      <c r="AV9" s="54" t="n">
        <f aca="false">IF($B$4&lt;AS9,1,0)</f>
        <v>1</v>
      </c>
      <c r="AW9" s="20" t="n">
        <v>4</v>
      </c>
      <c r="AX9" s="51" t="n">
        <v>1.3</v>
      </c>
      <c r="AY9" s="54" t="n">
        <f aca="false">IF($B$4&lt;AX9,1,0)</f>
        <v>1</v>
      </c>
      <c r="AZ9" s="54" t="s">
        <v>92</v>
      </c>
      <c r="BA9" s="54" t="n">
        <f aca="false">IF($B$4&lt;AX9,1,0)</f>
        <v>1</v>
      </c>
      <c r="BB9" s="20" t="n">
        <v>4</v>
      </c>
      <c r="BC9" s="51" t="n">
        <v>1.8</v>
      </c>
      <c r="BD9" s="54" t="n">
        <f aca="false">IF($B$4&lt;BC9,1,0)</f>
        <v>1</v>
      </c>
      <c r="BE9" s="54" t="s">
        <v>122</v>
      </c>
      <c r="BF9" s="54" t="n">
        <f aca="false">IF($B$4&lt;BC9,1,0)</f>
        <v>1</v>
      </c>
      <c r="BG9" s="78" t="n">
        <v>2</v>
      </c>
      <c r="BH9" s="54" t="n">
        <v>0.91</v>
      </c>
      <c r="BI9" s="54" t="n">
        <f aca="false">IF($B$4&lt;BH9,1,0)</f>
        <v>1</v>
      </c>
      <c r="BJ9" s="54" t="s">
        <v>92</v>
      </c>
      <c r="BK9" s="54" t="n">
        <f aca="false">IF($B$4&lt;BH9,1,0)</f>
        <v>1</v>
      </c>
      <c r="BL9" s="58" t="n">
        <v>4</v>
      </c>
      <c r="BN9" s="47"/>
      <c r="BO9" s="26"/>
      <c r="BP9" s="48"/>
      <c r="BQ9" s="26" t="n">
        <f aca="false">IF($F$5=BS9,1,0)</f>
        <v>1</v>
      </c>
      <c r="BR9" s="53" t="s">
        <v>123</v>
      </c>
      <c r="BS9" s="26" t="n">
        <v>50</v>
      </c>
      <c r="BT9" s="50"/>
      <c r="BU9" s="69" t="n">
        <f aca="false">IF($F$7=BX9,1,0)</f>
        <v>0</v>
      </c>
      <c r="BV9" s="53" t="s">
        <v>123</v>
      </c>
      <c r="BW9" s="26" t="n">
        <v>20</v>
      </c>
      <c r="BX9" s="52" t="n">
        <v>5</v>
      </c>
      <c r="BY9" s="48"/>
      <c r="BZ9" s="26"/>
      <c r="CA9" s="53"/>
      <c r="CB9" s="26"/>
      <c r="CC9" s="48"/>
      <c r="CD9" s="26" t="n">
        <f aca="false">IF($F$12=CF9,1,0)</f>
        <v>0</v>
      </c>
      <c r="CE9" s="53" t="s">
        <v>123</v>
      </c>
      <c r="CF9" s="26" t="n">
        <v>50</v>
      </c>
      <c r="CG9" s="48"/>
      <c r="CH9" s="26" t="n">
        <f aca="false">IF($E$14=CJ9,1,0)</f>
        <v>0</v>
      </c>
      <c r="CI9" s="76" t="n">
        <v>6</v>
      </c>
      <c r="CJ9" s="21" t="s">
        <v>119</v>
      </c>
      <c r="CK9" s="21" t="n">
        <f aca="false">IF($E$14=CM9,1,0)</f>
        <v>0</v>
      </c>
      <c r="CL9" s="76" t="n">
        <v>6</v>
      </c>
      <c r="CM9" s="21" t="s">
        <v>120</v>
      </c>
      <c r="CN9" s="70" t="n">
        <f aca="false">IF($E$14=CP9,1,0)</f>
        <v>0</v>
      </c>
      <c r="CO9" s="76" t="n">
        <v>6</v>
      </c>
      <c r="CP9" s="70" t="s">
        <v>121</v>
      </c>
      <c r="CQ9" s="50"/>
      <c r="CR9" s="54"/>
      <c r="CS9" s="54"/>
      <c r="CT9" s="54"/>
      <c r="CU9" s="50"/>
      <c r="CV9" s="48"/>
      <c r="CW9" s="26" t="n">
        <f aca="false">IF($E$9=CY9,1,0)</f>
        <v>0</v>
      </c>
      <c r="CX9" s="53" t="s">
        <v>124</v>
      </c>
      <c r="CY9" s="26" t="s">
        <v>122</v>
      </c>
      <c r="CZ9" s="50"/>
      <c r="DA9" s="26" t="n">
        <f aca="false">IF($F$9=DC9,1,0)</f>
        <v>0</v>
      </c>
      <c r="DB9" s="53" t="s">
        <v>124</v>
      </c>
      <c r="DC9" s="26" t="n">
        <v>5</v>
      </c>
      <c r="DD9" s="50"/>
      <c r="DE9" s="26"/>
      <c r="DF9" s="53"/>
      <c r="DG9" s="26"/>
      <c r="DH9" s="50"/>
      <c r="DI9" s="26"/>
      <c r="DJ9" s="53"/>
      <c r="DK9" s="52"/>
    </row>
    <row r="10" customFormat="false" ht="15" hidden="false" customHeight="false" outlineLevel="0" collapsed="false">
      <c r="A10" s="55" t="s">
        <v>125</v>
      </c>
      <c r="B10" s="71" t="n">
        <f aca="false">'ОЛ(4)'!AC13*100</f>
        <v>40</v>
      </c>
      <c r="C10" s="72" t="s">
        <v>118</v>
      </c>
      <c r="I10" s="51" t="n">
        <f aca="false">IF($B$12&lt;12,(IF((L10&gt;4)*AND(L10&lt;16),2,0)),IF((L10&gt;4)*AND(L10&lt;20),2,0))</f>
        <v>0</v>
      </c>
      <c r="J10" s="54" t="n">
        <v>65</v>
      </c>
      <c r="K10" s="54" t="n">
        <f aca="false">1/POWER(1.14+2*LOG10((J10/1000)/($K$21/1000)),2)</f>
        <v>0.0347051014322117</v>
      </c>
      <c r="L10" s="54" t="n">
        <f aca="false">0.00638*K10*POWER($F$4,2)/(POWER(J10/1000,5)*$K$20)</f>
        <v>2.21237070461497</v>
      </c>
      <c r="M10" s="54"/>
      <c r="N10" s="54" t="n">
        <f aca="false">IF((Q10&gt;4)*AND(Q10&lt;20),1,0)</f>
        <v>1</v>
      </c>
      <c r="O10" s="54" t="n">
        <v>65</v>
      </c>
      <c r="P10" s="54" t="n">
        <f aca="false">1/POWER(1.14+2*LOG10((O10/1000)/($K$21/1000)),2)</f>
        <v>0.0347051014322117</v>
      </c>
      <c r="Q10" s="58" t="n">
        <f aca="false">0.00638*P10*POWER($F$11,2)/(POWER(O10/1000,5)*$K$20)</f>
        <v>12.7432552585822</v>
      </c>
      <c r="R10" s="54" t="n">
        <f aca="false">IF((U10&gt;4)*AND(U10&lt;20),1,0)</f>
        <v>0</v>
      </c>
      <c r="S10" s="54" t="n">
        <v>65</v>
      </c>
      <c r="T10" s="54" t="n">
        <f aca="false">1/POWER(1.14+2*LOG10((S10/1000)/($K$21/1000)),2)</f>
        <v>0.0347051014322117</v>
      </c>
      <c r="U10" s="58" t="n">
        <f aca="false">0.00638*T10*POWER($F$16,2)/(POWER(S10/1000,5)*$K$20)</f>
        <v>0.0302851425754743</v>
      </c>
      <c r="W10" s="51"/>
      <c r="X10" s="54"/>
      <c r="Y10" s="54"/>
      <c r="Z10" s="51" t="n">
        <f aca="false">IF(AB10&gt;$X$5,1,0)</f>
        <v>1</v>
      </c>
      <c r="AA10" s="63" t="n">
        <v>40</v>
      </c>
      <c r="AB10" s="58" t="n">
        <v>20</v>
      </c>
      <c r="AC10" s="51" t="n">
        <f aca="false">IF(AE10&gt;$X$5,1,0)</f>
        <v>1</v>
      </c>
      <c r="AD10" s="63" t="n">
        <v>40</v>
      </c>
      <c r="AE10" s="58" t="n">
        <v>25</v>
      </c>
      <c r="AF10" s="54" t="n">
        <f aca="false">IF(AH10&gt;$X$5,1,0)</f>
        <v>1</v>
      </c>
      <c r="AG10" s="63" t="n">
        <v>40</v>
      </c>
      <c r="AH10" s="58" t="n">
        <v>25</v>
      </c>
      <c r="AJ10" s="69" t="n">
        <v>40</v>
      </c>
      <c r="AK10" s="51" t="n">
        <f aca="false">IF($F$13&lt;AJ10,1,0)</f>
        <v>1</v>
      </c>
      <c r="AL10" s="58" t="s">
        <v>126</v>
      </c>
      <c r="AM10" s="50" t="n">
        <f aca="false">IF($F$13&lt;AJ10,1,0)</f>
        <v>1</v>
      </c>
      <c r="AN10" s="50" t="s">
        <v>127</v>
      </c>
      <c r="AO10" s="51" t="n">
        <f aca="false">IF($F$13&lt;AJ10,1,0)</f>
        <v>1</v>
      </c>
      <c r="AP10" s="75" t="s">
        <v>128</v>
      </c>
      <c r="AR10" s="54"/>
      <c r="AS10" s="51" t="n">
        <v>1.65</v>
      </c>
      <c r="AT10" s="54" t="n">
        <f aca="false">IF($B$4&lt;AS10,1,0)</f>
        <v>1</v>
      </c>
      <c r="AU10" s="54" t="s">
        <v>122</v>
      </c>
      <c r="AV10" s="54" t="n">
        <f aca="false">IF($B$4&lt;AS10,1,0)</f>
        <v>1</v>
      </c>
      <c r="AW10" s="20" t="n">
        <v>1</v>
      </c>
      <c r="AX10" s="77" t="n">
        <v>1.4</v>
      </c>
      <c r="AY10" s="54" t="n">
        <f aca="false">IF($B$4&lt;AX10,1,0)</f>
        <v>1</v>
      </c>
      <c r="AZ10" s="54" t="s">
        <v>122</v>
      </c>
      <c r="BA10" s="54" t="n">
        <f aca="false">IF($B$4&lt;AX10,1,0)</f>
        <v>1</v>
      </c>
      <c r="BB10" s="20" t="n">
        <v>1</v>
      </c>
      <c r="BC10" s="51" t="n">
        <v>2.001</v>
      </c>
      <c r="BD10" s="54" t="n">
        <f aca="false">IF($B$4&lt;BC10,1,0)</f>
        <v>1</v>
      </c>
      <c r="BE10" s="54" t="s">
        <v>129</v>
      </c>
      <c r="BF10" s="54" t="n">
        <f aca="false">IF($B$4&lt;BC10,1,0)</f>
        <v>1</v>
      </c>
      <c r="BG10" s="78" t="n">
        <v>1</v>
      </c>
      <c r="BH10" s="54" t="n">
        <v>1.1</v>
      </c>
      <c r="BI10" s="54" t="n">
        <f aca="false">IF($B$4&lt;BH10,1,0)</f>
        <v>1</v>
      </c>
      <c r="BJ10" s="54" t="s">
        <v>92</v>
      </c>
      <c r="BK10" s="54" t="n">
        <f aca="false">IF($B$4&lt;BH10,1,0)</f>
        <v>1</v>
      </c>
      <c r="BL10" s="58" t="n">
        <v>5</v>
      </c>
      <c r="BN10" s="47"/>
      <c r="BO10" s="26"/>
      <c r="BP10" s="48"/>
      <c r="BQ10" s="26" t="n">
        <f aca="false">IF($F$5=BS10,1,0)</f>
        <v>0</v>
      </c>
      <c r="BR10" s="53" t="s">
        <v>130</v>
      </c>
      <c r="BS10" s="26" t="n">
        <v>65</v>
      </c>
      <c r="BT10" s="50"/>
      <c r="BU10" s="69" t="n">
        <f aca="false">IF($F$7=BX10,1,0)</f>
        <v>1</v>
      </c>
      <c r="BV10" s="53" t="s">
        <v>130</v>
      </c>
      <c r="BW10" s="26" t="n">
        <v>20</v>
      </c>
      <c r="BX10" s="52" t="n">
        <v>6.3</v>
      </c>
      <c r="BY10" s="48"/>
      <c r="BZ10" s="26"/>
      <c r="CA10" s="53"/>
      <c r="CB10" s="26"/>
      <c r="CC10" s="48"/>
      <c r="CD10" s="26" t="n">
        <f aca="false">IF($F$12=CF10,1,0)</f>
        <v>1</v>
      </c>
      <c r="CE10" s="53" t="s">
        <v>130</v>
      </c>
      <c r="CF10" s="26" t="n">
        <v>65</v>
      </c>
      <c r="CG10" s="48"/>
      <c r="CH10" s="26" t="n">
        <f aca="false">IF($E$14=CJ10,1,0)</f>
        <v>0</v>
      </c>
      <c r="CI10" s="76" t="n">
        <v>7</v>
      </c>
      <c r="CJ10" s="21" t="s">
        <v>126</v>
      </c>
      <c r="CK10" s="21" t="n">
        <f aca="false">IF($E$14=CM10,1,0)</f>
        <v>0</v>
      </c>
      <c r="CL10" s="76" t="n">
        <v>7</v>
      </c>
      <c r="CM10" s="21" t="s">
        <v>127</v>
      </c>
      <c r="CN10" s="70" t="n">
        <f aca="false">IF($E$14=CP10,1,0)</f>
        <v>0</v>
      </c>
      <c r="CO10" s="76" t="n">
        <v>7</v>
      </c>
      <c r="CP10" s="70" t="s">
        <v>128</v>
      </c>
      <c r="CQ10" s="50"/>
      <c r="CU10" s="50"/>
      <c r="CV10" s="48"/>
      <c r="CW10" s="26" t="n">
        <f aca="false">IF($E$9=CY10,1,0)</f>
        <v>0</v>
      </c>
      <c r="CX10" s="53" t="s">
        <v>131</v>
      </c>
      <c r="CY10" s="26" t="s">
        <v>129</v>
      </c>
      <c r="CZ10" s="50"/>
      <c r="DA10" s="26"/>
      <c r="DB10" s="53"/>
      <c r="DC10" s="26"/>
      <c r="DD10" s="50"/>
      <c r="DE10" s="26"/>
      <c r="DF10" s="53"/>
      <c r="DG10" s="26"/>
      <c r="DH10" s="50"/>
      <c r="DI10" s="26"/>
      <c r="DJ10" s="53"/>
      <c r="DK10" s="52"/>
    </row>
    <row r="11" customFormat="false" ht="15" hidden="false" customHeight="false" outlineLevel="0" collapsed="false">
      <c r="A11" s="82" t="s">
        <v>132</v>
      </c>
      <c r="B11" s="71" t="n">
        <f aca="false">'ОЛ(4)'!Z14</f>
        <v>0</v>
      </c>
      <c r="C11" s="72" t="s">
        <v>118</v>
      </c>
      <c r="E11" s="0" t="s">
        <v>133</v>
      </c>
      <c r="F11" s="57" t="n">
        <f aca="false">B4*1000/(B7-B8)</f>
        <v>8</v>
      </c>
      <c r="I11" s="51" t="n">
        <f aca="false">IF($B$12&lt;12,(IF((L11&gt;4)*AND(L11&lt;16),2,0)),IF((L11&gt;4)*AND(L11&lt;20),2,0))</f>
        <v>0</v>
      </c>
      <c r="J11" s="54" t="n">
        <v>80</v>
      </c>
      <c r="K11" s="54" t="n">
        <f aca="false">1/POWER(1.14+2*LOG10((J11/1000)/($K$21/1000)),2)</f>
        <v>0.032485497883736</v>
      </c>
      <c r="L11" s="54" t="n">
        <f aca="false">0.00638*K11*POWER($F$4,2)/(POWER(J11/1000,5)*$K$20)</f>
        <v>0.733281885436985</v>
      </c>
      <c r="M11" s="54"/>
      <c r="N11" s="54" t="n">
        <f aca="false">IF((Q11&gt;4)*AND(Q11&lt;20),1,0)</f>
        <v>1</v>
      </c>
      <c r="O11" s="54" t="n">
        <v>80</v>
      </c>
      <c r="P11" s="54" t="n">
        <f aca="false">1/POWER(1.14+2*LOG10((O11/1000)/($K$21/1000)),2)</f>
        <v>0.032485497883736</v>
      </c>
      <c r="Q11" s="58" t="n">
        <f aca="false">0.00638*P11*POWER($F$11,2)/(POWER(O11/1000,5)*$K$20)</f>
        <v>4.22370366011704</v>
      </c>
      <c r="R11" s="54" t="n">
        <f aca="false">IF((U11&gt;4)*AND(U11&lt;20),1,0)</f>
        <v>0</v>
      </c>
      <c r="S11" s="54" t="n">
        <v>80</v>
      </c>
      <c r="T11" s="54" t="n">
        <f aca="false">1/POWER(1.14+2*LOG10((S11/1000)/($K$21/1000)),2)</f>
        <v>0.032485497883736</v>
      </c>
      <c r="U11" s="58" t="n">
        <f aca="false">0.00638*T11*POWER($F$16,2)/(POWER(S11/1000,5)*$K$20)</f>
        <v>0.0100378957297469</v>
      </c>
      <c r="W11" s="51"/>
      <c r="X11" s="54"/>
      <c r="Y11" s="74"/>
      <c r="Z11" s="51" t="n">
        <f aca="false">IF(AB11&gt;$X$5,1,0)</f>
        <v>1</v>
      </c>
      <c r="AA11" s="63" t="n">
        <v>40</v>
      </c>
      <c r="AB11" s="58" t="n">
        <v>25</v>
      </c>
      <c r="AC11" s="51" t="n">
        <f aca="false">IF(AE11&gt;$X$5,1,0)</f>
        <v>1</v>
      </c>
      <c r="AD11" s="63" t="n">
        <v>50</v>
      </c>
      <c r="AE11" s="83" t="n">
        <v>31.5</v>
      </c>
      <c r="AF11" s="54" t="n">
        <f aca="false">IF(AH11&gt;$X$5,1,0)</f>
        <v>1</v>
      </c>
      <c r="AG11" s="63" t="n">
        <v>50</v>
      </c>
      <c r="AH11" s="58" t="n">
        <v>40</v>
      </c>
      <c r="AJ11" s="69" t="n">
        <v>50</v>
      </c>
      <c r="AK11" s="51" t="n">
        <f aca="false">IF($F$13&lt;AJ11,1,0)</f>
        <v>1</v>
      </c>
      <c r="AL11" s="58" t="s">
        <v>134</v>
      </c>
      <c r="AM11" s="50" t="n">
        <f aca="false">IF($F$13&lt;AJ11,1,0)</f>
        <v>1</v>
      </c>
      <c r="AN11" s="50" t="s">
        <v>135</v>
      </c>
      <c r="AO11" s="51" t="n">
        <f aca="false">IF($F$13&lt;AJ11,1,0)</f>
        <v>1</v>
      </c>
      <c r="AP11" s="50" t="s">
        <v>135</v>
      </c>
      <c r="AS11" s="51" t="n">
        <v>2.001</v>
      </c>
      <c r="AT11" s="54" t="n">
        <f aca="false">IF($B$4&lt;AS11,1,0)</f>
        <v>1</v>
      </c>
      <c r="AU11" s="54" t="s">
        <v>122</v>
      </c>
      <c r="AV11" s="54" t="n">
        <f aca="false">IF($B$4&lt;AS11,1,0)</f>
        <v>1</v>
      </c>
      <c r="AW11" s="20" t="n">
        <v>2</v>
      </c>
      <c r="AX11" s="51" t="n">
        <v>2.001</v>
      </c>
      <c r="AY11" s="54" t="n">
        <f aca="false">IF($B$4&lt;AX11,1,0)</f>
        <v>1</v>
      </c>
      <c r="AZ11" s="54" t="s">
        <v>122</v>
      </c>
      <c r="BA11" s="54" t="n">
        <f aca="false">IF($B$4&lt;AX11,1,0)</f>
        <v>1</v>
      </c>
      <c r="BB11" s="20" t="n">
        <v>2</v>
      </c>
      <c r="BC11" s="51"/>
      <c r="BD11" s="54"/>
      <c r="BE11" s="54"/>
      <c r="BF11" s="54"/>
      <c r="BG11" s="58"/>
      <c r="BH11" s="54" t="n">
        <v>1.3</v>
      </c>
      <c r="BI11" s="54" t="n">
        <f aca="false">IF($B$4&lt;BH11,1,0)</f>
        <v>1</v>
      </c>
      <c r="BJ11" s="54" t="s">
        <v>122</v>
      </c>
      <c r="BK11" s="54" t="n">
        <f aca="false">IF($B$4&lt;BH11,1,0)</f>
        <v>1</v>
      </c>
      <c r="BL11" s="58" t="n">
        <v>2</v>
      </c>
      <c r="BN11" s="47"/>
      <c r="BO11" s="26"/>
      <c r="BP11" s="48"/>
      <c r="BQ11" s="26" t="n">
        <f aca="false">IF($F$5=BS11,1,0)</f>
        <v>0</v>
      </c>
      <c r="BR11" s="53" t="s">
        <v>136</v>
      </c>
      <c r="BS11" s="26" t="n">
        <v>80</v>
      </c>
      <c r="BT11" s="50"/>
      <c r="BU11" s="69" t="n">
        <f aca="false">IF($F$7=BX11,1,0)</f>
        <v>0</v>
      </c>
      <c r="BV11" s="53" t="s">
        <v>136</v>
      </c>
      <c r="BW11" s="26" t="n">
        <v>25</v>
      </c>
      <c r="BX11" s="52" t="n">
        <v>8</v>
      </c>
      <c r="BY11" s="48"/>
      <c r="BZ11" s="26"/>
      <c r="CA11" s="53"/>
      <c r="CB11" s="26"/>
      <c r="CC11" s="48"/>
      <c r="CD11" s="26" t="n">
        <f aca="false">IF($F$12=CF11,1,0)</f>
        <v>0</v>
      </c>
      <c r="CE11" s="53" t="s">
        <v>136</v>
      </c>
      <c r="CF11" s="26" t="n">
        <v>80</v>
      </c>
      <c r="CG11" s="48"/>
      <c r="CH11" s="26" t="n">
        <f aca="false">IF($E$14=CJ11,1,0)</f>
        <v>0</v>
      </c>
      <c r="CI11" s="76" t="n">
        <v>8</v>
      </c>
      <c r="CJ11" s="21" t="s">
        <v>134</v>
      </c>
      <c r="CK11" s="21"/>
      <c r="CL11" s="21"/>
      <c r="CM11" s="21"/>
      <c r="CN11" s="21"/>
      <c r="CO11" s="21"/>
      <c r="CP11" s="21"/>
      <c r="CQ11" s="50"/>
      <c r="CU11" s="50"/>
      <c r="CV11" s="48"/>
      <c r="CW11" s="26"/>
      <c r="CX11" s="53"/>
      <c r="CY11" s="26"/>
      <c r="CZ11" s="50"/>
      <c r="DA11" s="26"/>
      <c r="DB11" s="53"/>
      <c r="DC11" s="26"/>
      <c r="DD11" s="50"/>
      <c r="DE11" s="26"/>
      <c r="DF11" s="53"/>
      <c r="DG11" s="26"/>
      <c r="DH11" s="50"/>
      <c r="DI11" s="26"/>
      <c r="DJ11" s="53"/>
      <c r="DK11" s="52"/>
    </row>
    <row r="12" customFormat="false" ht="15" hidden="false" customHeight="false" outlineLevel="0" collapsed="false">
      <c r="A12" s="82" t="s">
        <v>137</v>
      </c>
      <c r="B12" s="0" t="n">
        <f aca="false">B9-B10</f>
        <v>20</v>
      </c>
      <c r="C12" s="72" t="s">
        <v>118</v>
      </c>
      <c r="E12" s="0" t="s">
        <v>51</v>
      </c>
      <c r="F12" s="73" t="n">
        <f aca="false">VLOOKUP(1,N4:Q17,2,0)</f>
        <v>65</v>
      </c>
      <c r="I12" s="51" t="n">
        <f aca="false">IF($B$12&lt;12,(IF((L12&gt;4)*AND(L12&lt;16),2,0)),IF((L12&gt;4)*AND(L12&lt;20),2,0))</f>
        <v>0</v>
      </c>
      <c r="J12" s="54" t="n">
        <v>100</v>
      </c>
      <c r="K12" s="54" t="n">
        <f aca="false">1/POWER(1.14+2*LOG10((J12/1000)/($K$21/1000)),2)</f>
        <v>0.0303294509825929</v>
      </c>
      <c r="L12" s="54" t="n">
        <f aca="false">0.00638*K12*POWER($F$4,2)/(POWER(J12/1000,5)*$K$20)</f>
        <v>0.224334419946372</v>
      </c>
      <c r="M12" s="54"/>
      <c r="N12" s="54" t="n">
        <f aca="false">IF((Q12&gt;4)*AND(Q12&lt;20),1,0)</f>
        <v>0</v>
      </c>
      <c r="O12" s="54" t="n">
        <v>100</v>
      </c>
      <c r="P12" s="54" t="n">
        <f aca="false">1/POWER(1.14+2*LOG10((O12/1000)/($K$21/1000)),2)</f>
        <v>0.0303294509825929</v>
      </c>
      <c r="Q12" s="58" t="n">
        <f aca="false">0.00638*P12*POWER($F$11,2)/(POWER(O12/1000,5)*$K$20)</f>
        <v>1.2921662588911</v>
      </c>
      <c r="R12" s="54" t="n">
        <f aca="false">IF((U12&gt;4)*AND(U12&lt;20),1,0)</f>
        <v>0</v>
      </c>
      <c r="S12" s="54" t="n">
        <v>100</v>
      </c>
      <c r="T12" s="54" t="n">
        <f aca="false">1/POWER(1.14+2*LOG10((S12/1000)/($K$21/1000)),2)</f>
        <v>0.0303294509825929</v>
      </c>
      <c r="U12" s="58" t="n">
        <f aca="false">0.00638*T12*POWER($F$16,2)/(POWER(S12/1000,5)*$K$20)</f>
        <v>0.00307091387464588</v>
      </c>
      <c r="W12" s="59"/>
      <c r="X12" s="54"/>
      <c r="Y12" s="54"/>
      <c r="Z12" s="51" t="n">
        <f aca="false">IF(AB12&gt;$X$5,1,0)</f>
        <v>1</v>
      </c>
      <c r="AA12" s="63" t="n">
        <v>50</v>
      </c>
      <c r="AB12" s="58" t="n">
        <v>31.5</v>
      </c>
      <c r="AC12" s="51" t="n">
        <f aca="false">IF(AE12&gt;$X$5,1,0)</f>
        <v>1</v>
      </c>
      <c r="AD12" s="63" t="n">
        <v>50</v>
      </c>
      <c r="AE12" s="83" t="n">
        <v>40</v>
      </c>
      <c r="AF12" s="54" t="n">
        <f aca="false">IF(AH12&gt;$X$5,1,0)</f>
        <v>1</v>
      </c>
      <c r="AG12" s="63" t="n">
        <v>65</v>
      </c>
      <c r="AH12" s="58" t="n">
        <v>63</v>
      </c>
      <c r="AJ12" s="84" t="n">
        <v>60</v>
      </c>
      <c r="AK12" s="77" t="n">
        <f aca="false">IF($F$13&lt;AJ12,1,0)</f>
        <v>1</v>
      </c>
      <c r="AL12" s="83" t="s">
        <v>135</v>
      </c>
      <c r="AM12" s="50" t="n">
        <f aca="false">IF($F$13&lt;AJ12,1,0)</f>
        <v>1</v>
      </c>
      <c r="AN12" s="85" t="s">
        <v>135</v>
      </c>
      <c r="AO12" s="51" t="n">
        <f aca="false">IF($F$13&lt;AJ12,1,0)</f>
        <v>1</v>
      </c>
      <c r="AP12" s="85" t="s">
        <v>135</v>
      </c>
      <c r="AS12" s="51"/>
      <c r="AT12" s="54"/>
      <c r="AU12" s="54"/>
      <c r="AV12" s="54"/>
      <c r="AW12" s="20"/>
      <c r="AX12" s="51"/>
      <c r="AY12" s="54"/>
      <c r="AZ12" s="54"/>
      <c r="BA12" s="54"/>
      <c r="BB12" s="58"/>
      <c r="BC12" s="51"/>
      <c r="BD12" s="54"/>
      <c r="BE12" s="54"/>
      <c r="BF12" s="54"/>
      <c r="BG12" s="58"/>
      <c r="BH12" s="63" t="n">
        <v>1.45</v>
      </c>
      <c r="BI12" s="54" t="n">
        <f aca="false">IF($B$4&lt;BH12,1,0)</f>
        <v>1</v>
      </c>
      <c r="BJ12" s="54" t="s">
        <v>129</v>
      </c>
      <c r="BK12" s="54" t="n">
        <f aca="false">IF($B$4&lt;BH12,1,0)</f>
        <v>1</v>
      </c>
      <c r="BL12" s="58" t="n">
        <v>1</v>
      </c>
      <c r="BN12" s="47"/>
      <c r="BO12" s="26"/>
      <c r="BP12" s="48"/>
      <c r="BQ12" s="26" t="n">
        <f aca="false">IF($F$5=BS12,1,0)</f>
        <v>0</v>
      </c>
      <c r="BR12" s="53" t="s">
        <v>138</v>
      </c>
      <c r="BS12" s="26" t="n">
        <v>100</v>
      </c>
      <c r="BT12" s="50"/>
      <c r="BU12" s="69" t="n">
        <f aca="false">IF($F$7=BX12,1,0)</f>
        <v>0</v>
      </c>
      <c r="BV12" s="53" t="s">
        <v>138</v>
      </c>
      <c r="BW12" s="26" t="n">
        <v>25</v>
      </c>
      <c r="BX12" s="52" t="n">
        <v>10</v>
      </c>
      <c r="BY12" s="48"/>
      <c r="BZ12" s="26"/>
      <c r="CA12" s="53"/>
      <c r="CB12" s="26"/>
      <c r="CC12" s="48"/>
      <c r="CD12" s="26" t="n">
        <f aca="false">IF($F$12=CF12,1,0)</f>
        <v>0</v>
      </c>
      <c r="CE12" s="53" t="s">
        <v>138</v>
      </c>
      <c r="CF12" s="26" t="n">
        <v>100</v>
      </c>
      <c r="CG12" s="48"/>
      <c r="CH12" s="26" t="n">
        <f aca="false">IF($E$14=CJ12,1,0)</f>
        <v>0</v>
      </c>
      <c r="CI12" s="21"/>
      <c r="CJ12" s="54"/>
      <c r="CK12" s="54"/>
      <c r="CL12" s="54"/>
      <c r="CM12" s="54"/>
      <c r="CN12" s="54"/>
      <c r="CO12" s="54"/>
      <c r="CP12" s="54"/>
      <c r="CQ12" s="50"/>
      <c r="CU12" s="50"/>
      <c r="CV12" s="48"/>
      <c r="CW12" s="26"/>
      <c r="CX12" s="53"/>
      <c r="CY12" s="26"/>
      <c r="CZ12" s="50"/>
      <c r="DA12" s="26"/>
      <c r="DB12" s="53"/>
      <c r="DC12" s="26"/>
      <c r="DD12" s="50"/>
      <c r="DE12" s="26"/>
      <c r="DF12" s="53"/>
      <c r="DG12" s="26"/>
      <c r="DH12" s="50"/>
      <c r="DI12" s="26"/>
      <c r="DJ12" s="53"/>
      <c r="DK12" s="52"/>
    </row>
    <row r="13" customFormat="false" ht="15.75" hidden="false" customHeight="false" outlineLevel="0" collapsed="false">
      <c r="A13" s="55"/>
      <c r="C13" s="72"/>
      <c r="E13" s="0" t="s">
        <v>56</v>
      </c>
      <c r="F13" s="57" t="n">
        <f aca="false">F11*1.1</f>
        <v>8.8</v>
      </c>
      <c r="I13" s="51" t="n">
        <f aca="false">IF($B$12&lt;12,(IF((L13&gt;4)*AND(L13&lt;16),2,0)),IF((L13&gt;4)*AND(L13&lt;20),2,0))</f>
        <v>0</v>
      </c>
      <c r="J13" s="54" t="n">
        <v>125</v>
      </c>
      <c r="K13" s="54" t="n">
        <f aca="false">1/POWER(1.14+2*LOG10((J13/1000)/($K$21/1000)),2)</f>
        <v>0.0283811358286925</v>
      </c>
      <c r="L13" s="54" t="n">
        <f aca="false">0.00638*K13*POWER($F$4,2)/(POWER(J13/1000,5)*$K$20)</f>
        <v>0.0687877447987934</v>
      </c>
      <c r="M13" s="54"/>
      <c r="N13" s="54" t="n">
        <f aca="false">IF((Q13&gt;4)*AND(Q13&lt;20),1,0)</f>
        <v>0</v>
      </c>
      <c r="O13" s="54" t="n">
        <v>125</v>
      </c>
      <c r="P13" s="54" t="n">
        <f aca="false">1/POWER(1.14+2*LOG10((O13/1000)/($K$21/1000)),2)</f>
        <v>0.0283811358286925</v>
      </c>
      <c r="Q13" s="58" t="n">
        <f aca="false">0.00638*P13*POWER($F$11,2)/(POWER(O13/1000,5)*$K$20)</f>
        <v>0.39621741004105</v>
      </c>
      <c r="R13" s="54" t="n">
        <f aca="false">IF((U13&gt;4)*AND(U13&lt;20),1,0)</f>
        <v>0</v>
      </c>
      <c r="S13" s="54" t="n">
        <v>125</v>
      </c>
      <c r="T13" s="54" t="n">
        <f aca="false">1/POWER(1.14+2*LOG10((S13/1000)/($K$21/1000)),2)</f>
        <v>0.0283811358286925</v>
      </c>
      <c r="U13" s="58" t="n">
        <f aca="false">0.00638*T13*POWER($F$16,2)/(POWER(S13/1000,5)*$K$20)</f>
        <v>0.000941635438550683</v>
      </c>
      <c r="W13" s="59"/>
      <c r="X13" s="74"/>
      <c r="Y13" s="54"/>
      <c r="Z13" s="51" t="n">
        <f aca="false">IF(AB13&gt;$X$5,1,0)</f>
        <v>1</v>
      </c>
      <c r="AA13" s="63" t="n">
        <v>50</v>
      </c>
      <c r="AB13" s="58" t="n">
        <v>40</v>
      </c>
      <c r="AC13" s="51" t="n">
        <f aca="false">IF(AE13&gt;$X$5,1,0)</f>
        <v>1</v>
      </c>
      <c r="AD13" s="63" t="n">
        <v>65</v>
      </c>
      <c r="AE13" s="83" t="n">
        <v>50</v>
      </c>
      <c r="AF13" s="54" t="n">
        <f aca="false">IF(AH13&gt;$X$5,1,0)</f>
        <v>1</v>
      </c>
      <c r="AG13" s="63" t="n">
        <v>80</v>
      </c>
      <c r="AH13" s="58" t="n">
        <v>100</v>
      </c>
      <c r="AJ13" s="86" t="n">
        <v>90</v>
      </c>
      <c r="AK13" s="87" t="n">
        <f aca="false">IF($F$13&lt;AJ13,1,0)</f>
        <v>1</v>
      </c>
      <c r="AL13" s="88" t="s">
        <v>139</v>
      </c>
      <c r="AM13" s="89" t="n">
        <f aca="false">IF($F$13&lt;AJ13,1,0)</f>
        <v>1</v>
      </c>
      <c r="AN13" s="88" t="s">
        <v>139</v>
      </c>
      <c r="AO13" s="87" t="n">
        <f aca="false">IF($F$13&lt;AJ13,1,0)</f>
        <v>1</v>
      </c>
      <c r="AP13" s="90" t="s">
        <v>139</v>
      </c>
      <c r="AS13" s="51"/>
      <c r="AT13" s="54"/>
      <c r="AU13" s="54"/>
      <c r="AV13" s="54"/>
      <c r="AW13" s="20"/>
      <c r="AX13" s="51"/>
      <c r="AY13" s="54"/>
      <c r="AZ13" s="54"/>
      <c r="BA13" s="54"/>
      <c r="BB13" s="58"/>
      <c r="BC13" s="51"/>
      <c r="BD13" s="54"/>
      <c r="BE13" s="54"/>
      <c r="BF13" s="54"/>
      <c r="BG13" s="58"/>
      <c r="BH13" s="51" t="n">
        <v>2.001</v>
      </c>
      <c r="BI13" s="54" t="n">
        <f aca="false">IF($B$4&lt;BH13,1,0)</f>
        <v>1</v>
      </c>
      <c r="BJ13" s="54" t="s">
        <v>129</v>
      </c>
      <c r="BK13" s="54" t="n">
        <f aca="false">IF($B$4&lt;BH13,1,0)</f>
        <v>1</v>
      </c>
      <c r="BL13" s="58" t="n">
        <v>2</v>
      </c>
      <c r="BN13" s="47"/>
      <c r="BO13" s="26"/>
      <c r="BP13" s="48"/>
      <c r="BQ13" s="26" t="n">
        <f aca="false">IF($F$5=BS13,1,0)</f>
        <v>0</v>
      </c>
      <c r="BR13" s="53" t="s">
        <v>140</v>
      </c>
      <c r="BS13" s="26" t="n">
        <v>125</v>
      </c>
      <c r="BT13" s="50"/>
      <c r="BU13" s="69" t="n">
        <f aca="false">IF($F$7=BX13,1,0)</f>
        <v>0</v>
      </c>
      <c r="BV13" s="53" t="s">
        <v>140</v>
      </c>
      <c r="BW13" s="26" t="n">
        <v>32</v>
      </c>
      <c r="BX13" s="52" t="n">
        <v>12.5</v>
      </c>
      <c r="BY13" s="48"/>
      <c r="BZ13" s="26"/>
      <c r="CA13" s="53"/>
      <c r="CB13" s="26"/>
      <c r="CC13" s="48"/>
      <c r="CD13" s="26" t="n">
        <f aca="false">IF($F$12=CF13,1,0)</f>
        <v>0</v>
      </c>
      <c r="CE13" s="53" t="s">
        <v>140</v>
      </c>
      <c r="CF13" s="26" t="n">
        <v>125</v>
      </c>
      <c r="CG13" s="48"/>
      <c r="CH13" s="26" t="n">
        <f aca="false">IF($E$14=CJ13,1,0)</f>
        <v>0</v>
      </c>
      <c r="CI13" s="21" t="n">
        <v>10</v>
      </c>
      <c r="CJ13" s="76" t="s">
        <v>135</v>
      </c>
      <c r="CK13" s="26" t="n">
        <f aca="false">IF($E$14=CM13,1,0)</f>
        <v>0</v>
      </c>
      <c r="CL13" s="21" t="n">
        <v>10</v>
      </c>
      <c r="CM13" s="76" t="s">
        <v>135</v>
      </c>
      <c r="CN13" s="26" t="n">
        <f aca="false">IF($E$14=CP13,1,0)</f>
        <v>0</v>
      </c>
      <c r="CO13" s="21" t="n">
        <v>10</v>
      </c>
      <c r="CP13" s="76" t="s">
        <v>135</v>
      </c>
      <c r="CQ13" s="50"/>
      <c r="CR13" s="54"/>
      <c r="CS13" s="76"/>
      <c r="CT13" s="54"/>
      <c r="CU13" s="50"/>
      <c r="CV13" s="48"/>
      <c r="CW13" s="26"/>
      <c r="CX13" s="53"/>
      <c r="CY13" s="26"/>
      <c r="CZ13" s="50"/>
      <c r="DA13" s="26"/>
      <c r="DB13" s="53"/>
      <c r="DC13" s="26"/>
      <c r="DD13" s="50"/>
      <c r="DE13" s="26"/>
      <c r="DF13" s="53"/>
      <c r="DG13" s="26"/>
      <c r="DH13" s="50"/>
      <c r="DI13" s="26"/>
      <c r="DJ13" s="53"/>
      <c r="DK13" s="52"/>
    </row>
    <row r="14" customFormat="false" ht="15" hidden="false" customHeight="false" outlineLevel="0" collapsed="false">
      <c r="A14" s="55" t="s">
        <v>31</v>
      </c>
      <c r="B14" s="26" t="str">
        <f aca="false">'ОЛ(4)'!O24</f>
        <v>Siemens</v>
      </c>
      <c r="C14" s="26"/>
      <c r="E14" s="26" t="str">
        <f aca="false">VLOOKUP(1,IF(B15="TOP-SD",AK4:AL13,IF(B15="Yonos MAXO-D",AM4:AN13,IF(B15="Stratos-D",AO4:AP13,0))),2,0)</f>
        <v>Yonos MAXO-D 50/0,5-12</v>
      </c>
      <c r="F14" s="26"/>
      <c r="I14" s="51" t="n">
        <f aca="false">IF($B$12&lt;12,(IF((L14&gt;4)*AND(L14&lt;16),2,0)),IF((L14&gt;4)*AND(L14&lt;20),2,0))</f>
        <v>0</v>
      </c>
      <c r="J14" s="54" t="n">
        <v>150</v>
      </c>
      <c r="K14" s="54" t="n">
        <f aca="false">1/POWER(1.14+2*LOG10((J14/1000)/($K$21/1000)),2)</f>
        <v>0.0269252990527845</v>
      </c>
      <c r="L14" s="54" t="n">
        <f aca="false">0.00638*K14*POWER($F$4,2)/(POWER(J14/1000,5)*$K$20)</f>
        <v>0.0262262142370747</v>
      </c>
      <c r="M14" s="54"/>
      <c r="N14" s="54" t="n">
        <f aca="false">IF((Q14&gt;4)*AND(Q14&lt;20),1,0)</f>
        <v>0</v>
      </c>
      <c r="O14" s="54" t="n">
        <v>150</v>
      </c>
      <c r="P14" s="54" t="n">
        <f aca="false">1/POWER(1.14+2*LOG10((O14/1000)/($K$21/1000)),2)</f>
        <v>0.0269252990527845</v>
      </c>
      <c r="Q14" s="58" t="n">
        <f aca="false">0.00638*P14*POWER($F$11,2)/(POWER(O14/1000,5)*$K$20)</f>
        <v>0.15106299400555</v>
      </c>
      <c r="R14" s="54" t="n">
        <f aca="false">IF((U14&gt;4)*AND(U14&lt;20),1,0)</f>
        <v>0</v>
      </c>
      <c r="S14" s="54" t="n">
        <v>150</v>
      </c>
      <c r="T14" s="54" t="n">
        <f aca="false">1/POWER(1.14+2*LOG10((S14/1000)/($K$21/1000)),2)</f>
        <v>0.0269252990527845</v>
      </c>
      <c r="U14" s="58" t="n">
        <f aca="false">0.00638*T14*POWER($F$16,2)/(POWER(S14/1000,5)*$K$20)</f>
        <v>0.000359010646691316</v>
      </c>
      <c r="W14" s="51"/>
      <c r="X14" s="54"/>
      <c r="Y14" s="54"/>
      <c r="Z14" s="51" t="n">
        <f aca="false">IF(AB14&gt;$X$5,1,0)</f>
        <v>1</v>
      </c>
      <c r="AA14" s="63" t="n">
        <v>65</v>
      </c>
      <c r="AB14" s="58" t="n">
        <v>50</v>
      </c>
      <c r="AC14" s="51" t="n">
        <f aca="false">IF(AE14&gt;$X$5,1,0)</f>
        <v>1</v>
      </c>
      <c r="AD14" s="63" t="n">
        <v>65</v>
      </c>
      <c r="AE14" s="83" t="n">
        <v>63</v>
      </c>
      <c r="AF14" s="54" t="n">
        <f aca="false">IF(AH14&gt;$X$5,1,0)</f>
        <v>1</v>
      </c>
      <c r="AG14" s="63" t="n">
        <v>100</v>
      </c>
      <c r="AH14" s="58" t="n">
        <v>160</v>
      </c>
      <c r="AS14" s="51"/>
      <c r="AT14" s="54"/>
      <c r="AU14" s="54"/>
      <c r="AV14" s="54"/>
      <c r="AW14" s="20"/>
      <c r="AX14" s="51"/>
      <c r="AY14" s="54"/>
      <c r="AZ14" s="54"/>
      <c r="BA14" s="54"/>
      <c r="BB14" s="58"/>
      <c r="BC14" s="51"/>
      <c r="BD14" s="54"/>
      <c r="BE14" s="54"/>
      <c r="BF14" s="54"/>
      <c r="BG14" s="58"/>
      <c r="BH14" s="54"/>
      <c r="BI14" s="54"/>
      <c r="BJ14" s="54"/>
      <c r="BK14" s="54"/>
      <c r="BL14" s="58"/>
      <c r="BN14" s="47"/>
      <c r="BO14" s="26"/>
      <c r="BP14" s="48"/>
      <c r="BQ14" s="26" t="n">
        <f aca="false">IF($F$5=BS14,1,0)</f>
        <v>0</v>
      </c>
      <c r="BR14" s="53" t="s">
        <v>141</v>
      </c>
      <c r="BS14" s="26" t="n">
        <v>150</v>
      </c>
      <c r="BT14" s="50"/>
      <c r="BU14" s="69" t="n">
        <f aca="false">IF($F$7=BX14,1,0)</f>
        <v>0</v>
      </c>
      <c r="BV14" s="53" t="s">
        <v>141</v>
      </c>
      <c r="BW14" s="26" t="n">
        <v>32</v>
      </c>
      <c r="BX14" s="52" t="n">
        <v>16</v>
      </c>
      <c r="BY14" s="48"/>
      <c r="BZ14" s="26"/>
      <c r="CA14" s="53"/>
      <c r="CB14" s="26"/>
      <c r="CC14" s="48"/>
      <c r="CD14" s="26" t="n">
        <f aca="false">IF($F$12=CF14,1,0)</f>
        <v>0</v>
      </c>
      <c r="CE14" s="53" t="s">
        <v>141</v>
      </c>
      <c r="CF14" s="26" t="n">
        <v>150</v>
      </c>
      <c r="CG14" s="48"/>
      <c r="CH14" s="26" t="n">
        <f aca="false">IF($E$14=CJ14,1,0)</f>
        <v>0</v>
      </c>
      <c r="CI14" s="21" t="n">
        <v>11</v>
      </c>
      <c r="CJ14" s="76" t="s">
        <v>139</v>
      </c>
      <c r="CK14" s="26" t="n">
        <f aca="false">IF($E$14=CM14,1,0)</f>
        <v>0</v>
      </c>
      <c r="CL14" s="21" t="n">
        <v>11</v>
      </c>
      <c r="CM14" s="76" t="s">
        <v>139</v>
      </c>
      <c r="CN14" s="26" t="n">
        <f aca="false">IF($E$14=CP14,1,0)</f>
        <v>0</v>
      </c>
      <c r="CO14" s="21" t="n">
        <v>11</v>
      </c>
      <c r="CP14" s="76" t="s">
        <v>139</v>
      </c>
      <c r="CQ14" s="50"/>
      <c r="CR14" s="54"/>
      <c r="CS14" s="76"/>
      <c r="CT14" s="54"/>
      <c r="CU14" s="50"/>
      <c r="CV14" s="48"/>
      <c r="CW14" s="26"/>
      <c r="CX14" s="53"/>
      <c r="CY14" s="26"/>
      <c r="CZ14" s="50"/>
      <c r="DA14" s="26"/>
      <c r="DB14" s="53"/>
      <c r="DC14" s="26"/>
      <c r="DD14" s="50"/>
      <c r="DE14" s="26"/>
      <c r="DF14" s="53"/>
      <c r="DG14" s="26"/>
      <c r="DH14" s="50"/>
      <c r="DI14" s="26"/>
      <c r="DJ14" s="53"/>
      <c r="DK14" s="52"/>
    </row>
    <row r="15" customFormat="false" ht="15" hidden="false" customHeight="false" outlineLevel="0" collapsed="false">
      <c r="A15" s="55" t="s">
        <v>32</v>
      </c>
      <c r="B15" s="26" t="str">
        <f aca="false">'ОЛ(4)'!I24</f>
        <v>Yonos MAXO-D</v>
      </c>
      <c r="C15" s="26"/>
      <c r="I15" s="51" t="n">
        <f aca="false">IF($B$12&lt;12,(IF((L15&gt;4)*AND(L15&lt;16),2,0)),IF((L15&gt;4)*AND(L15&lt;20),2,0))</f>
        <v>0</v>
      </c>
      <c r="J15" s="54" t="n">
        <v>200</v>
      </c>
      <c r="K15" s="54" t="n">
        <f aca="false">1/POWER(1.14+2*LOG10((J15/1000)/($K$21/1000)),2)</f>
        <v>0.0248460425197335</v>
      </c>
      <c r="L15" s="54" t="n">
        <f aca="false">0.00638*K15*POWER($F$4,2)/(POWER(J15/1000,5)*$K$20)</f>
        <v>0.00574299727250495</v>
      </c>
      <c r="M15" s="54"/>
      <c r="N15" s="54" t="n">
        <f aca="false">IF((Q15&gt;4)*AND(Q15&lt;20),1,0)</f>
        <v>0</v>
      </c>
      <c r="O15" s="54" t="n">
        <v>200</v>
      </c>
      <c r="P15" s="54" t="n">
        <f aca="false">1/POWER(1.14+2*LOG10((O15/1000)/($K$21/1000)),2)</f>
        <v>0.0248460425197335</v>
      </c>
      <c r="Q15" s="58" t="n">
        <f aca="false">0.00638*P15*POWER($F$11,2)/(POWER(O15/1000,5)*$K$20)</f>
        <v>0.0330796642896285</v>
      </c>
      <c r="R15" s="54" t="n">
        <f aca="false">IF((U15&gt;4)*AND(U15&lt;20),1,0)</f>
        <v>0</v>
      </c>
      <c r="S15" s="54" t="n">
        <v>200</v>
      </c>
      <c r="T15" s="54" t="n">
        <f aca="false">1/POWER(1.14+2*LOG10((S15/1000)/($K$21/1000)),2)</f>
        <v>0.0248460425197335</v>
      </c>
      <c r="U15" s="58" t="n">
        <f aca="false">0.00638*T15*POWER($F$16,2)/(POWER(S15/1000,5)*$K$20)</f>
        <v>7.86158896633203E-005</v>
      </c>
      <c r="W15" s="51"/>
      <c r="X15" s="54"/>
      <c r="Y15" s="54"/>
      <c r="Z15" s="51" t="n">
        <f aca="false">IF(AB15&gt;$X$5,1,0)</f>
        <v>1</v>
      </c>
      <c r="AA15" s="63" t="n">
        <v>65</v>
      </c>
      <c r="AB15" s="58" t="n">
        <v>63</v>
      </c>
      <c r="AC15" s="51" t="n">
        <f aca="false">IF(AE15&gt;$X$5,1,0)</f>
        <v>1</v>
      </c>
      <c r="AD15" s="63" t="n">
        <v>80</v>
      </c>
      <c r="AE15" s="83" t="n">
        <v>80</v>
      </c>
      <c r="AF15" s="54" t="n">
        <f aca="false">IF(AH15&gt;$X$5,1,0)</f>
        <v>1</v>
      </c>
      <c r="AG15" s="63" t="n">
        <v>125</v>
      </c>
      <c r="AH15" s="58" t="n">
        <v>250</v>
      </c>
      <c r="AS15" s="51"/>
      <c r="AT15" s="54"/>
      <c r="AU15" s="54"/>
      <c r="AV15" s="54"/>
      <c r="AW15" s="20"/>
      <c r="AX15" s="51"/>
      <c r="AY15" s="54"/>
      <c r="AZ15" s="54"/>
      <c r="BA15" s="54"/>
      <c r="BB15" s="58"/>
      <c r="BC15" s="51"/>
      <c r="BD15" s="54"/>
      <c r="BE15" s="54"/>
      <c r="BF15" s="54"/>
      <c r="BG15" s="58"/>
      <c r="BH15" s="54"/>
      <c r="BI15" s="54"/>
      <c r="BJ15" s="54"/>
      <c r="BK15" s="54"/>
      <c r="BL15" s="58"/>
      <c r="BN15" s="47"/>
      <c r="BO15" s="26"/>
      <c r="BP15" s="48"/>
      <c r="BQ15" s="26" t="n">
        <f aca="false">IF($F$5=BS15,1,0)</f>
        <v>0</v>
      </c>
      <c r="BR15" s="53" t="s">
        <v>142</v>
      </c>
      <c r="BS15" s="26" t="n">
        <v>200</v>
      </c>
      <c r="BT15" s="50"/>
      <c r="BU15" s="69" t="n">
        <f aca="false">IF($F$7=BX15,1,0)</f>
        <v>0</v>
      </c>
      <c r="BV15" s="53" t="s">
        <v>142</v>
      </c>
      <c r="BW15" s="26" t="n">
        <v>40</v>
      </c>
      <c r="BX15" s="52" t="n">
        <v>20</v>
      </c>
      <c r="BY15" s="48"/>
      <c r="BZ15" s="26"/>
      <c r="CA15" s="53"/>
      <c r="CB15" s="26"/>
      <c r="CC15" s="48"/>
      <c r="CD15" s="26" t="n">
        <f aca="false">IF($F$12=CF15,1,0)</f>
        <v>0</v>
      </c>
      <c r="CE15" s="53" t="s">
        <v>142</v>
      </c>
      <c r="CF15" s="26" t="n">
        <v>200</v>
      </c>
      <c r="CG15" s="48"/>
      <c r="CH15" s="26"/>
      <c r="CI15" s="21"/>
      <c r="CJ15" s="54"/>
      <c r="CK15" s="54"/>
      <c r="CL15" s="54"/>
      <c r="CM15" s="54"/>
      <c r="CN15" s="54"/>
      <c r="CO15" s="54"/>
      <c r="CP15" s="54"/>
      <c r="CQ15" s="50"/>
      <c r="CR15" s="54"/>
      <c r="CS15" s="54"/>
      <c r="CT15" s="54"/>
      <c r="CU15" s="50"/>
      <c r="CV15" s="48"/>
      <c r="CW15" s="26"/>
      <c r="CX15" s="53"/>
      <c r="CY15" s="26"/>
      <c r="CZ15" s="50"/>
      <c r="DA15" s="26"/>
      <c r="DB15" s="53"/>
      <c r="DC15" s="26"/>
      <c r="DD15" s="50"/>
      <c r="DE15" s="26"/>
      <c r="DF15" s="53"/>
      <c r="DG15" s="26"/>
      <c r="DH15" s="50"/>
      <c r="DI15" s="26"/>
      <c r="DJ15" s="53"/>
      <c r="DK15" s="52"/>
    </row>
    <row r="16" customFormat="false" ht="15.75" hidden="false" customHeight="false" outlineLevel="0" collapsed="false">
      <c r="A16" s="55" t="s">
        <v>143</v>
      </c>
      <c r="B16" s="26" t="str">
        <f aca="false">'ОЛ(4)'!U24</f>
        <v>Segnetics</v>
      </c>
      <c r="C16" s="26"/>
      <c r="E16" s="0" t="s">
        <v>144</v>
      </c>
      <c r="F16" s="0" t="n">
        <f aca="false">IF(B18="Отопление",11.7,IF(B18="Вентиляция",8.6,30))*B4/6</f>
        <v>0.39</v>
      </c>
      <c r="I16" s="51" t="n">
        <f aca="false">IF($B$12&lt;12,(IF((L16&gt;4)*AND(L16&lt;16),2,0)),IF((L16&gt;4)*AND(L16&lt;20),2,0))</f>
        <v>0</v>
      </c>
      <c r="J16" s="54" t="n">
        <v>250</v>
      </c>
      <c r="K16" s="54" t="n">
        <f aca="false">1/POWER(1.14+2*LOG10((J16/1000)/($K$21/1000)),2)</f>
        <v>0.0233947353976847</v>
      </c>
      <c r="L16" s="54" t="n">
        <f aca="false">0.00638*K16*POWER($F$4,2)/(POWER(J16/1000,5)*$K$20)</f>
        <v>0.00177194182110603</v>
      </c>
      <c r="M16" s="54"/>
      <c r="N16" s="54" t="n">
        <f aca="false">IF((Q16&gt;4)*AND(Q16&lt;20),1,0)</f>
        <v>0</v>
      </c>
      <c r="O16" s="54" t="n">
        <v>250</v>
      </c>
      <c r="P16" s="54" t="n">
        <f aca="false">1/POWER(1.14+2*LOG10((O16/1000)/($K$21/1000)),2)</f>
        <v>0.0233947353976847</v>
      </c>
      <c r="Q16" s="58" t="n">
        <f aca="false">0.00638*P16*POWER($F$11,2)/(POWER(O16/1000,5)*$K$20)</f>
        <v>0.0102063848895707</v>
      </c>
      <c r="R16" s="54" t="n">
        <f aca="false">IF((U16&gt;4)*AND(U16&lt;20),1,0)</f>
        <v>0</v>
      </c>
      <c r="S16" s="54" t="n">
        <v>250</v>
      </c>
      <c r="T16" s="54" t="n">
        <f aca="false">1/POWER(1.14+2*LOG10((S16/1000)/($K$21/1000)),2)</f>
        <v>0.0233947353976847</v>
      </c>
      <c r="U16" s="58" t="n">
        <f aca="false">0.00638*T16*POWER($F$16,2)/(POWER(S16/1000,5)*$K$20)</f>
        <v>2.42561115891204E-005</v>
      </c>
      <c r="W16" s="51"/>
      <c r="X16" s="54"/>
      <c r="Y16" s="54"/>
      <c r="Z16" s="51" t="n">
        <f aca="false">IF(AB16&gt;$X$5,1,0)</f>
        <v>1</v>
      </c>
      <c r="AA16" s="63" t="n">
        <v>80</v>
      </c>
      <c r="AB16" s="58" t="n">
        <v>80</v>
      </c>
      <c r="AC16" s="51" t="n">
        <f aca="false">IF(AE16&gt;$X$5,1,0)</f>
        <v>1</v>
      </c>
      <c r="AD16" s="63" t="n">
        <v>80</v>
      </c>
      <c r="AE16" s="83" t="n">
        <v>100</v>
      </c>
      <c r="AF16" s="54" t="n">
        <f aca="false">IF(AH16&gt;$X$5,1,0)</f>
        <v>1</v>
      </c>
      <c r="AG16" s="63" t="n">
        <v>150</v>
      </c>
      <c r="AH16" s="58" t="n">
        <v>400</v>
      </c>
      <c r="AS16" s="91"/>
      <c r="AT16" s="92"/>
      <c r="AU16" s="92"/>
      <c r="AV16" s="92"/>
      <c r="AW16" s="93"/>
      <c r="AX16" s="91"/>
      <c r="AY16" s="92"/>
      <c r="AZ16" s="92"/>
      <c r="BA16" s="92"/>
      <c r="BB16" s="94"/>
      <c r="BC16" s="91"/>
      <c r="BD16" s="92"/>
      <c r="BE16" s="92"/>
      <c r="BF16" s="92"/>
      <c r="BG16" s="94"/>
      <c r="BH16" s="92"/>
      <c r="BI16" s="92"/>
      <c r="BJ16" s="92"/>
      <c r="BK16" s="92"/>
      <c r="BL16" s="94"/>
      <c r="BN16" s="47"/>
      <c r="BO16" s="26"/>
      <c r="BP16" s="48"/>
      <c r="BQ16" s="26"/>
      <c r="BR16" s="53"/>
      <c r="BS16" s="26"/>
      <c r="BT16" s="50"/>
      <c r="BU16" s="69" t="n">
        <f aca="false">IF($F$7=BX16,1,0)</f>
        <v>0</v>
      </c>
      <c r="BV16" s="53" t="s">
        <v>145</v>
      </c>
      <c r="BW16" s="26" t="n">
        <v>40</v>
      </c>
      <c r="BX16" s="52" t="n">
        <v>25</v>
      </c>
      <c r="BY16" s="48"/>
      <c r="BZ16" s="26"/>
      <c r="CA16" s="53"/>
      <c r="CB16" s="26"/>
      <c r="CC16" s="50"/>
      <c r="CD16" s="54"/>
      <c r="CE16" s="54"/>
      <c r="CF16" s="54"/>
      <c r="CG16" s="50"/>
      <c r="CH16" s="26"/>
      <c r="CI16" s="54"/>
      <c r="CJ16" s="54"/>
      <c r="CK16" s="54"/>
      <c r="CL16" s="54"/>
      <c r="CM16" s="54"/>
      <c r="CN16" s="54"/>
      <c r="CO16" s="54"/>
      <c r="CP16" s="54"/>
      <c r="CQ16" s="50"/>
      <c r="CR16" s="54"/>
      <c r="CS16" s="54"/>
      <c r="CT16" s="54"/>
      <c r="CU16" s="50"/>
      <c r="CV16" s="50"/>
      <c r="CW16" s="54"/>
      <c r="CX16" s="54"/>
      <c r="CY16" s="54"/>
      <c r="CZ16" s="50"/>
      <c r="DA16" s="54"/>
      <c r="DB16" s="54"/>
      <c r="DC16" s="54"/>
      <c r="DD16" s="50"/>
      <c r="DE16" s="54"/>
      <c r="DF16" s="54"/>
      <c r="DG16" s="54"/>
      <c r="DH16" s="50"/>
      <c r="DI16" s="54"/>
      <c r="DJ16" s="54"/>
      <c r="DK16" s="58"/>
    </row>
    <row r="17" customFormat="false" ht="15" hidden="false" customHeight="false" outlineLevel="0" collapsed="false">
      <c r="A17" s="55" t="s">
        <v>69</v>
      </c>
      <c r="B17" s="26" t="str">
        <f aca="false">'ОЛ(4)'!AA24</f>
        <v>Отдельный</v>
      </c>
      <c r="C17" s="26"/>
      <c r="E17" s="0" t="s">
        <v>52</v>
      </c>
      <c r="F17" s="0" t="n">
        <f aca="false">VLOOKUP(1,R4:U17,2,0)</f>
        <v>20</v>
      </c>
      <c r="I17" s="51" t="n">
        <f aca="false">IF($B$12&lt;12,(IF((L17&gt;4)*AND(L17&lt;16),2,0)),IF((L17&gt;4)*AND(L17&lt;20),2,0))</f>
        <v>0</v>
      </c>
      <c r="J17" s="54" t="n">
        <v>300</v>
      </c>
      <c r="K17" s="54" t="n">
        <f aca="false">1/POWER(1.14+2*LOG10((J17/1000)/($K$21/1000)),2)</f>
        <v>0.0223012841491152</v>
      </c>
      <c r="L17" s="54" t="n">
        <f aca="false">0.00638*K17*POWER($F$4,2)/(POWER(J17/1000,5)*$K$20)</f>
        <v>0.000678820519678789</v>
      </c>
      <c r="M17" s="54"/>
      <c r="N17" s="54" t="n">
        <f aca="false">IF((Q17&gt;4)*AND(Q17&lt;20),1,0)</f>
        <v>0</v>
      </c>
      <c r="O17" s="54" t="n">
        <v>300</v>
      </c>
      <c r="P17" s="54" t="n">
        <f aca="false">1/POWER(1.14+2*LOG10((O17/1000)/($K$21/1000)),2)</f>
        <v>0.0223012841491152</v>
      </c>
      <c r="Q17" s="58" t="n">
        <f aca="false">0.00638*P17*POWER($F$11,2)/(POWER(O17/1000,5)*$K$20)</f>
        <v>0.00391000619334982</v>
      </c>
      <c r="R17" s="54" t="n">
        <f aca="false">IF((U17&gt;4)*AND(U17&lt;20),1,0)</f>
        <v>0</v>
      </c>
      <c r="S17" s="54" t="n">
        <v>300</v>
      </c>
      <c r="T17" s="54" t="n">
        <f aca="false">1/POWER(1.14+2*LOG10((S17/1000)/($K$21/1000)),2)</f>
        <v>0.0223012841491152</v>
      </c>
      <c r="U17" s="58" t="n">
        <f aca="false">0.00638*T17*POWER($F$16,2)/(POWER(S17/1000,5)*$K$20)</f>
        <v>9.29237409388294E-006</v>
      </c>
      <c r="W17" s="51"/>
      <c r="X17" s="54"/>
      <c r="Y17" s="54"/>
      <c r="Z17" s="51" t="n">
        <f aca="false">IF(AB17&gt;$X$5,1,0)</f>
        <v>1</v>
      </c>
      <c r="AA17" s="63" t="n">
        <v>80</v>
      </c>
      <c r="AB17" s="58" t="n">
        <v>100</v>
      </c>
      <c r="AC17" s="77" t="n">
        <f aca="false">IF(AE17&gt;$X$5,1,0)</f>
        <v>1</v>
      </c>
      <c r="AD17" s="63" t="n">
        <v>100</v>
      </c>
      <c r="AE17" s="83" t="n">
        <v>125</v>
      </c>
      <c r="AF17" s="54"/>
      <c r="AG17" s="54"/>
      <c r="AH17" s="58"/>
      <c r="AS17" s="54"/>
      <c r="AT17" s="54"/>
      <c r="AU17" s="54"/>
      <c r="BN17" s="47"/>
      <c r="BO17" s="26"/>
      <c r="BP17" s="48"/>
      <c r="BQ17" s="26"/>
      <c r="BR17" s="53"/>
      <c r="BS17" s="26"/>
      <c r="BT17" s="50"/>
      <c r="BU17" s="69" t="n">
        <f aca="false">IF($F$7=BX17,1,0)</f>
        <v>0</v>
      </c>
      <c r="BV17" s="53" t="s">
        <v>146</v>
      </c>
      <c r="BW17" s="26" t="n">
        <v>50</v>
      </c>
      <c r="BX17" s="52" t="n">
        <v>31.5</v>
      </c>
      <c r="BY17" s="48"/>
      <c r="BZ17" s="26"/>
      <c r="CA17" s="53"/>
      <c r="CB17" s="26"/>
      <c r="CC17" s="50"/>
      <c r="CD17" s="54"/>
      <c r="CE17" s="54"/>
      <c r="CF17" s="54"/>
      <c r="CG17" s="50"/>
      <c r="CH17" s="26"/>
      <c r="CI17" s="54"/>
      <c r="CJ17" s="54"/>
      <c r="CK17" s="54"/>
      <c r="CL17" s="54"/>
      <c r="CM17" s="54"/>
      <c r="CN17" s="54"/>
      <c r="CO17" s="54"/>
      <c r="CP17" s="54"/>
      <c r="CQ17" s="50"/>
      <c r="CR17" s="54"/>
      <c r="CS17" s="54"/>
      <c r="CT17" s="54"/>
      <c r="CU17" s="50"/>
      <c r="CV17" s="50"/>
      <c r="CW17" s="54"/>
      <c r="CX17" s="54"/>
      <c r="CY17" s="54"/>
      <c r="CZ17" s="50"/>
      <c r="DA17" s="54"/>
      <c r="DB17" s="54"/>
      <c r="DC17" s="54"/>
      <c r="DD17" s="50"/>
      <c r="DE17" s="54"/>
      <c r="DF17" s="54"/>
      <c r="DG17" s="54"/>
      <c r="DH17" s="50"/>
      <c r="DI17" s="54"/>
      <c r="DJ17" s="54"/>
      <c r="DK17" s="58"/>
    </row>
    <row r="18" customFormat="false" ht="15" hidden="false" customHeight="false" outlineLevel="0" collapsed="false">
      <c r="A18" s="55" t="s">
        <v>147</v>
      </c>
      <c r="B18" s="26" t="str">
        <f aca="false">'ОЛ(4)'!A14</f>
        <v>Отопление</v>
      </c>
      <c r="C18" s="26"/>
      <c r="I18" s="51"/>
      <c r="J18" s="54"/>
      <c r="K18" s="54"/>
      <c r="L18" s="54"/>
      <c r="M18" s="54"/>
      <c r="N18" s="54"/>
      <c r="O18" s="54"/>
      <c r="P18" s="54"/>
      <c r="Q18" s="58"/>
      <c r="R18" s="54"/>
      <c r="S18" s="54"/>
      <c r="T18" s="54"/>
      <c r="U18" s="58"/>
      <c r="W18" s="51"/>
      <c r="X18" s="54"/>
      <c r="Y18" s="54"/>
      <c r="Z18" s="77" t="n">
        <f aca="false">IF(AB18&gt;$X$5,1,0)</f>
        <v>1</v>
      </c>
      <c r="AA18" s="63" t="n">
        <v>100</v>
      </c>
      <c r="AB18" s="58" t="n">
        <v>125</v>
      </c>
      <c r="AC18" s="77" t="n">
        <f aca="false">IF(AE18&gt;$X$5,1,0)</f>
        <v>1</v>
      </c>
      <c r="AD18" s="63" t="n">
        <v>100</v>
      </c>
      <c r="AE18" s="83" t="n">
        <v>160</v>
      </c>
      <c r="AF18" s="54"/>
      <c r="AG18" s="54"/>
      <c r="AH18" s="58"/>
      <c r="BN18" s="47"/>
      <c r="BO18" s="26"/>
      <c r="BP18" s="48"/>
      <c r="BQ18" s="26"/>
      <c r="BR18" s="53"/>
      <c r="BS18" s="26"/>
      <c r="BT18" s="50"/>
      <c r="BU18" s="69" t="n">
        <f aca="false">IF($F$7=BX18,1,0)</f>
        <v>0</v>
      </c>
      <c r="BV18" s="53" t="s">
        <v>148</v>
      </c>
      <c r="BW18" s="26" t="n">
        <v>50</v>
      </c>
      <c r="BX18" s="52" t="n">
        <v>40</v>
      </c>
      <c r="BY18" s="48"/>
      <c r="BZ18" s="26"/>
      <c r="CA18" s="53"/>
      <c r="CB18" s="26"/>
      <c r="CC18" s="50"/>
      <c r="CD18" s="54"/>
      <c r="CE18" s="54"/>
      <c r="CF18" s="54"/>
      <c r="CG18" s="50"/>
      <c r="CH18" s="26"/>
      <c r="CI18" s="54"/>
      <c r="CJ18" s="54"/>
      <c r="CK18" s="54"/>
      <c r="CL18" s="54"/>
      <c r="CM18" s="54"/>
      <c r="CN18" s="54"/>
      <c r="CO18" s="54"/>
      <c r="CP18" s="54"/>
      <c r="CQ18" s="50"/>
      <c r="CR18" s="54"/>
      <c r="CS18" s="54"/>
      <c r="CT18" s="54"/>
      <c r="CU18" s="50"/>
      <c r="CV18" s="50"/>
      <c r="CW18" s="54"/>
      <c r="CX18" s="54"/>
      <c r="CY18" s="54"/>
      <c r="CZ18" s="50"/>
      <c r="DA18" s="54"/>
      <c r="DB18" s="54"/>
      <c r="DC18" s="54"/>
      <c r="DD18" s="50"/>
      <c r="DE18" s="54"/>
      <c r="DF18" s="54"/>
      <c r="DG18" s="54"/>
      <c r="DH18" s="50"/>
      <c r="DI18" s="54"/>
      <c r="DJ18" s="54"/>
      <c r="DK18" s="58"/>
    </row>
    <row r="19" customFormat="false" ht="15" hidden="false" customHeight="false" outlineLevel="0" collapsed="false">
      <c r="A19" s="55"/>
      <c r="C19" s="72"/>
      <c r="I19" s="51"/>
      <c r="J19" s="95"/>
      <c r="K19" s="54"/>
      <c r="L19" s="54"/>
      <c r="M19" s="54"/>
      <c r="N19" s="54"/>
      <c r="O19" s="54"/>
      <c r="P19" s="54"/>
      <c r="Q19" s="58"/>
      <c r="R19" s="54"/>
      <c r="S19" s="54"/>
      <c r="T19" s="54"/>
      <c r="U19" s="58"/>
      <c r="W19" s="51"/>
      <c r="X19" s="54"/>
      <c r="Y19" s="54"/>
      <c r="Z19" s="77" t="n">
        <f aca="false">IF(AB19&gt;$X$5,1,0)</f>
        <v>1</v>
      </c>
      <c r="AA19" s="54" t="n">
        <v>100</v>
      </c>
      <c r="AB19" s="58" t="n">
        <v>160</v>
      </c>
      <c r="AC19" s="77" t="n">
        <f aca="false">IF(AE19&gt;$X$5,1,0)</f>
        <v>1</v>
      </c>
      <c r="AD19" s="63" t="n">
        <v>125</v>
      </c>
      <c r="AE19" s="83" t="n">
        <v>200</v>
      </c>
      <c r="AF19" s="54"/>
      <c r="AG19" s="54"/>
      <c r="AH19" s="58"/>
      <c r="BN19" s="47"/>
      <c r="BO19" s="26"/>
      <c r="BP19" s="48"/>
      <c r="BQ19" s="26"/>
      <c r="BR19" s="53"/>
      <c r="BS19" s="26"/>
      <c r="BT19" s="50"/>
      <c r="BU19" s="69" t="n">
        <f aca="false">IF($F$7=BX19,1,0)</f>
        <v>0</v>
      </c>
      <c r="BV19" s="53" t="s">
        <v>149</v>
      </c>
      <c r="BW19" s="26" t="n">
        <v>65</v>
      </c>
      <c r="BX19" s="52" t="n">
        <v>50</v>
      </c>
      <c r="BY19" s="48"/>
      <c r="BZ19" s="26"/>
      <c r="CA19" s="53"/>
      <c r="CB19" s="26"/>
      <c r="CC19" s="50"/>
      <c r="CD19" s="54"/>
      <c r="CE19" s="54"/>
      <c r="CF19" s="54"/>
      <c r="CG19" s="50"/>
      <c r="CH19" s="54"/>
      <c r="CI19" s="54"/>
      <c r="CJ19" s="54"/>
      <c r="CK19" s="54"/>
      <c r="CL19" s="54"/>
      <c r="CM19" s="54"/>
      <c r="CN19" s="54"/>
      <c r="CO19" s="54"/>
      <c r="CP19" s="54"/>
      <c r="CQ19" s="50"/>
      <c r="CR19" s="54"/>
      <c r="CS19" s="54"/>
      <c r="CT19" s="54"/>
      <c r="CU19" s="50"/>
      <c r="CV19" s="50"/>
      <c r="CW19" s="54"/>
      <c r="CX19" s="54"/>
      <c r="CY19" s="54"/>
      <c r="CZ19" s="50"/>
      <c r="DA19" s="54"/>
      <c r="DB19" s="54"/>
      <c r="DC19" s="54"/>
      <c r="DD19" s="50"/>
      <c r="DE19" s="54"/>
      <c r="DF19" s="54"/>
      <c r="DG19" s="54"/>
      <c r="DH19" s="50"/>
      <c r="DI19" s="54"/>
      <c r="DJ19" s="54"/>
      <c r="DK19" s="58"/>
    </row>
    <row r="20" customFormat="false" ht="15" hidden="false" customHeight="false" outlineLevel="0" collapsed="false">
      <c r="A20" s="55"/>
      <c r="C20" s="72"/>
      <c r="I20" s="51"/>
      <c r="J20" s="95" t="s">
        <v>150</v>
      </c>
      <c r="K20" s="54" t="n">
        <v>958.4</v>
      </c>
      <c r="L20" s="54"/>
      <c r="M20" s="54"/>
      <c r="N20" s="54"/>
      <c r="O20" s="54"/>
      <c r="P20" s="54"/>
      <c r="Q20" s="58"/>
      <c r="R20" s="54"/>
      <c r="S20" s="54"/>
      <c r="T20" s="54"/>
      <c r="U20" s="58"/>
      <c r="W20" s="51"/>
      <c r="X20" s="54"/>
      <c r="Y20" s="54"/>
      <c r="Z20" s="77" t="n">
        <f aca="false">IF(AB20&gt;$X$5,1,0)</f>
        <v>1</v>
      </c>
      <c r="AA20" s="54" t="n">
        <v>125</v>
      </c>
      <c r="AB20" s="58" t="n">
        <v>250</v>
      </c>
      <c r="AC20" s="77" t="n">
        <f aca="false">IF(AE20&gt;$X$5,1,0)</f>
        <v>1</v>
      </c>
      <c r="AD20" s="63" t="n">
        <v>125</v>
      </c>
      <c r="AE20" s="83" t="n">
        <v>250</v>
      </c>
      <c r="AF20" s="54"/>
      <c r="AG20" s="54"/>
      <c r="AH20" s="58"/>
      <c r="BN20" s="47"/>
      <c r="BO20" s="26"/>
      <c r="BP20" s="48"/>
      <c r="BQ20" s="26"/>
      <c r="BR20" s="53"/>
      <c r="BS20" s="26"/>
      <c r="BT20" s="50"/>
      <c r="BU20" s="69" t="n">
        <f aca="false">IF($F$7=BX20,1,0)</f>
        <v>0</v>
      </c>
      <c r="BV20" s="53" t="s">
        <v>151</v>
      </c>
      <c r="BW20" s="26" t="n">
        <v>65</v>
      </c>
      <c r="BX20" s="52" t="n">
        <v>63</v>
      </c>
      <c r="BY20" s="48"/>
      <c r="BZ20" s="26"/>
      <c r="CA20" s="53"/>
      <c r="CB20" s="26"/>
      <c r="CC20" s="50"/>
      <c r="CD20" s="54"/>
      <c r="CE20" s="54"/>
      <c r="CF20" s="54"/>
      <c r="CG20" s="50"/>
      <c r="CH20" s="54"/>
      <c r="CI20" s="54"/>
      <c r="CJ20" s="54"/>
      <c r="CK20" s="54"/>
      <c r="CL20" s="54"/>
      <c r="CM20" s="54"/>
      <c r="CN20" s="54"/>
      <c r="CO20" s="54"/>
      <c r="CP20" s="54"/>
      <c r="CQ20" s="50"/>
      <c r="CR20" s="54"/>
      <c r="CS20" s="54"/>
      <c r="CT20" s="54"/>
      <c r="CU20" s="50"/>
      <c r="CV20" s="50"/>
      <c r="CW20" s="54"/>
      <c r="CX20" s="54"/>
      <c r="CY20" s="54"/>
      <c r="CZ20" s="50"/>
      <c r="DA20" s="54"/>
      <c r="DB20" s="54"/>
      <c r="DC20" s="54"/>
      <c r="DD20" s="50"/>
      <c r="DE20" s="54"/>
      <c r="DF20" s="54"/>
      <c r="DG20" s="54"/>
      <c r="DH20" s="50"/>
      <c r="DI20" s="54"/>
      <c r="DJ20" s="54"/>
      <c r="DK20" s="58"/>
    </row>
    <row r="21" customFormat="false" ht="15" hidden="false" customHeight="false" outlineLevel="0" collapsed="false">
      <c r="I21" s="51"/>
      <c r="J21" s="95" t="s">
        <v>152</v>
      </c>
      <c r="K21" s="54" t="n">
        <v>0.5</v>
      </c>
      <c r="L21" s="54"/>
      <c r="M21" s="54"/>
      <c r="N21" s="54"/>
      <c r="O21" s="54"/>
      <c r="P21" s="54"/>
      <c r="Q21" s="58"/>
      <c r="R21" s="54"/>
      <c r="S21" s="54"/>
      <c r="T21" s="54"/>
      <c r="U21" s="58"/>
      <c r="W21" s="51"/>
      <c r="X21" s="54"/>
      <c r="Y21" s="54"/>
      <c r="Z21" s="77" t="n">
        <f aca="false">IF(AB21&gt;$X$5,1,0)</f>
        <v>1</v>
      </c>
      <c r="AA21" s="54" t="n">
        <v>150</v>
      </c>
      <c r="AB21" s="58" t="n">
        <v>315</v>
      </c>
      <c r="AC21" s="77" t="n">
        <f aca="false">IF(AE21&gt;$X$5,1,0)</f>
        <v>1</v>
      </c>
      <c r="AD21" s="63" t="n">
        <v>150</v>
      </c>
      <c r="AE21" s="83" t="n">
        <v>315</v>
      </c>
      <c r="AF21" s="54"/>
      <c r="AG21" s="54"/>
      <c r="AH21" s="58"/>
      <c r="BN21" s="47"/>
      <c r="BO21" s="26"/>
      <c r="BP21" s="48"/>
      <c r="BQ21" s="26"/>
      <c r="BR21" s="53"/>
      <c r="BS21" s="26"/>
      <c r="BT21" s="50"/>
      <c r="BU21" s="69" t="n">
        <f aca="false">IF($F$7=BX21,1,0)</f>
        <v>0</v>
      </c>
      <c r="BV21" s="53" t="s">
        <v>153</v>
      </c>
      <c r="BW21" s="26" t="n">
        <v>80</v>
      </c>
      <c r="BX21" s="52" t="n">
        <v>80</v>
      </c>
      <c r="BY21" s="48"/>
      <c r="BZ21" s="26"/>
      <c r="CA21" s="53"/>
      <c r="CB21" s="26"/>
      <c r="CC21" s="50"/>
      <c r="CD21" s="54"/>
      <c r="CE21" s="54"/>
      <c r="CF21" s="54"/>
      <c r="CG21" s="50"/>
      <c r="CH21" s="54"/>
      <c r="CI21" s="54"/>
      <c r="CJ21" s="54"/>
      <c r="CK21" s="54"/>
      <c r="CL21" s="54"/>
      <c r="CM21" s="54"/>
      <c r="CN21" s="54"/>
      <c r="CO21" s="54"/>
      <c r="CP21" s="54"/>
      <c r="CQ21" s="50"/>
      <c r="CR21" s="54"/>
      <c r="CS21" s="54"/>
      <c r="CT21" s="54"/>
      <c r="CU21" s="50"/>
      <c r="CV21" s="50"/>
      <c r="CW21" s="54"/>
      <c r="CX21" s="54"/>
      <c r="CY21" s="54"/>
      <c r="CZ21" s="50"/>
      <c r="DA21" s="54"/>
      <c r="DB21" s="54"/>
      <c r="DC21" s="54"/>
      <c r="DD21" s="50"/>
      <c r="DE21" s="54"/>
      <c r="DF21" s="54"/>
      <c r="DG21" s="54"/>
      <c r="DH21" s="50"/>
      <c r="DI21" s="54"/>
      <c r="DJ21" s="54"/>
      <c r="DK21" s="58"/>
    </row>
    <row r="22" customFormat="false" ht="15.75" hidden="false" customHeight="false" outlineLevel="0" collapsed="false">
      <c r="I22" s="91"/>
      <c r="J22" s="96"/>
      <c r="K22" s="92"/>
      <c r="L22" s="92"/>
      <c r="M22" s="92"/>
      <c r="N22" s="92"/>
      <c r="O22" s="92"/>
      <c r="P22" s="92"/>
      <c r="Q22" s="94"/>
      <c r="R22" s="92"/>
      <c r="S22" s="92"/>
      <c r="T22" s="92"/>
      <c r="U22" s="94"/>
      <c r="W22" s="91"/>
      <c r="X22" s="92"/>
      <c r="Y22" s="92"/>
      <c r="Z22" s="91"/>
      <c r="AA22" s="92"/>
      <c r="AB22" s="94"/>
      <c r="AC22" s="87" t="n">
        <f aca="false">IF(AE22&gt;$X$5,1,0)</f>
        <v>1</v>
      </c>
      <c r="AD22" s="97" t="n">
        <v>150</v>
      </c>
      <c r="AE22" s="98" t="n">
        <v>400</v>
      </c>
      <c r="AF22" s="92"/>
      <c r="AG22" s="92"/>
      <c r="AH22" s="94"/>
      <c r="BN22" s="47"/>
      <c r="BO22" s="26"/>
      <c r="BP22" s="48"/>
      <c r="BQ22" s="26"/>
      <c r="BR22" s="53"/>
      <c r="BS22" s="26"/>
      <c r="BT22" s="50"/>
      <c r="BU22" s="69" t="n">
        <f aca="false">IF($F$7=BX22,1,0)</f>
        <v>0</v>
      </c>
      <c r="BV22" s="53" t="s">
        <v>154</v>
      </c>
      <c r="BW22" s="26" t="n">
        <v>80</v>
      </c>
      <c r="BX22" s="52" t="n">
        <v>100</v>
      </c>
      <c r="BY22" s="48"/>
      <c r="BZ22" s="26"/>
      <c r="CA22" s="53"/>
      <c r="CB22" s="26"/>
      <c r="CC22" s="50"/>
      <c r="CD22" s="54"/>
      <c r="CE22" s="54"/>
      <c r="CF22" s="54"/>
      <c r="CG22" s="50"/>
      <c r="CH22" s="54"/>
      <c r="CI22" s="54"/>
      <c r="CJ22" s="54"/>
      <c r="CK22" s="54"/>
      <c r="CL22" s="54"/>
      <c r="CM22" s="54"/>
      <c r="CN22" s="54"/>
      <c r="CO22" s="54"/>
      <c r="CP22" s="54"/>
      <c r="CQ22" s="50"/>
      <c r="CR22" s="54"/>
      <c r="CS22" s="54"/>
      <c r="CT22" s="54"/>
      <c r="CU22" s="50"/>
      <c r="CV22" s="50"/>
      <c r="CW22" s="54"/>
      <c r="CX22" s="54"/>
      <c r="CY22" s="54"/>
      <c r="CZ22" s="50"/>
      <c r="DA22" s="54"/>
      <c r="DB22" s="54"/>
      <c r="DC22" s="54"/>
      <c r="DD22" s="50"/>
      <c r="DE22" s="54"/>
      <c r="DF22" s="54"/>
      <c r="DG22" s="54"/>
      <c r="DH22" s="50"/>
      <c r="DI22" s="54"/>
      <c r="DJ22" s="54"/>
      <c r="DK22" s="58"/>
    </row>
    <row r="23" customFormat="false" ht="15" hidden="false" customHeight="false" outlineLevel="0" collapsed="false">
      <c r="BN23" s="47"/>
      <c r="BO23" s="26"/>
      <c r="BP23" s="48"/>
      <c r="BQ23" s="26"/>
      <c r="BR23" s="53"/>
      <c r="BS23" s="26"/>
      <c r="BT23" s="50"/>
      <c r="BU23" s="69" t="n">
        <f aca="false">IF($F$7=BX23,1,0)</f>
        <v>0</v>
      </c>
      <c r="BV23" s="53" t="s">
        <v>155</v>
      </c>
      <c r="BW23" s="26" t="n">
        <v>100</v>
      </c>
      <c r="BX23" s="52" t="n">
        <v>125</v>
      </c>
      <c r="BY23" s="48"/>
      <c r="BZ23" s="26"/>
      <c r="CA23" s="53"/>
      <c r="CB23" s="26"/>
      <c r="CC23" s="50"/>
      <c r="CD23" s="54"/>
      <c r="CE23" s="54"/>
      <c r="CF23" s="54"/>
      <c r="CG23" s="50"/>
      <c r="CH23" s="54"/>
      <c r="CI23" s="54"/>
      <c r="CJ23" s="54"/>
      <c r="CK23" s="54"/>
      <c r="CL23" s="54"/>
      <c r="CM23" s="54"/>
      <c r="CN23" s="54"/>
      <c r="CO23" s="54"/>
      <c r="CP23" s="54"/>
      <c r="CQ23" s="50"/>
      <c r="CR23" s="54"/>
      <c r="CS23" s="54"/>
      <c r="CT23" s="54"/>
      <c r="CU23" s="50"/>
      <c r="CV23" s="50"/>
      <c r="CW23" s="54"/>
      <c r="CX23" s="54"/>
      <c r="CY23" s="54"/>
      <c r="CZ23" s="50"/>
      <c r="DA23" s="54"/>
      <c r="DB23" s="54"/>
      <c r="DC23" s="54"/>
      <c r="DD23" s="50"/>
      <c r="DE23" s="54"/>
      <c r="DF23" s="54"/>
      <c r="DG23" s="54"/>
      <c r="DH23" s="50"/>
      <c r="DI23" s="54"/>
      <c r="DJ23" s="54"/>
      <c r="DK23" s="58"/>
    </row>
    <row r="24" customFormat="false" ht="15" hidden="false" customHeight="false" outlineLevel="0" collapsed="false">
      <c r="BN24" s="47"/>
      <c r="BO24" s="26"/>
      <c r="BP24" s="48"/>
      <c r="BQ24" s="26"/>
      <c r="BR24" s="53"/>
      <c r="BS24" s="26"/>
      <c r="BT24" s="50"/>
      <c r="BU24" s="69" t="n">
        <f aca="false">IF($F$7=BX24,1,0)</f>
        <v>0</v>
      </c>
      <c r="BV24" s="53" t="s">
        <v>156</v>
      </c>
      <c r="BW24" s="26" t="n">
        <v>100</v>
      </c>
      <c r="BX24" s="52" t="n">
        <v>160</v>
      </c>
      <c r="BY24" s="48"/>
      <c r="BZ24" s="26"/>
      <c r="CA24" s="53"/>
      <c r="CB24" s="26"/>
      <c r="CC24" s="50"/>
      <c r="CD24" s="54"/>
      <c r="CE24" s="54"/>
      <c r="CF24" s="54"/>
      <c r="CG24" s="50"/>
      <c r="CH24" s="54"/>
      <c r="CI24" s="54"/>
      <c r="CJ24" s="54"/>
      <c r="CK24" s="54"/>
      <c r="CL24" s="54"/>
      <c r="CM24" s="54"/>
      <c r="CN24" s="54"/>
      <c r="CO24" s="54"/>
      <c r="CP24" s="54"/>
      <c r="CQ24" s="50"/>
      <c r="CR24" s="54"/>
      <c r="CS24" s="54"/>
      <c r="CT24" s="54"/>
      <c r="CU24" s="50"/>
      <c r="CV24" s="50"/>
      <c r="CW24" s="54"/>
      <c r="CX24" s="54"/>
      <c r="CY24" s="54"/>
      <c r="CZ24" s="50"/>
      <c r="DA24" s="54"/>
      <c r="DB24" s="54"/>
      <c r="DC24" s="54"/>
      <c r="DD24" s="50"/>
      <c r="DE24" s="54"/>
      <c r="DF24" s="54"/>
      <c r="DG24" s="54"/>
      <c r="DH24" s="50"/>
      <c r="DI24" s="54"/>
      <c r="DJ24" s="54"/>
      <c r="DK24" s="58"/>
    </row>
    <row r="25" customFormat="false" ht="15" hidden="false" customHeight="false" outlineLevel="0" collapsed="false">
      <c r="BN25" s="47"/>
      <c r="BO25" s="26"/>
      <c r="BP25" s="48"/>
      <c r="BQ25" s="26"/>
      <c r="BR25" s="53"/>
      <c r="BS25" s="26"/>
      <c r="BT25" s="50"/>
      <c r="BU25" s="69" t="n">
        <f aca="false">IF($F$7=BX25,1,0)</f>
        <v>0</v>
      </c>
      <c r="BV25" s="53" t="s">
        <v>157</v>
      </c>
      <c r="BW25" s="26" t="n">
        <v>125</v>
      </c>
      <c r="BX25" s="52" t="n">
        <v>250</v>
      </c>
      <c r="BY25" s="48"/>
      <c r="BZ25" s="26"/>
      <c r="CA25" s="53"/>
      <c r="CB25" s="26"/>
      <c r="CC25" s="50"/>
      <c r="CD25" s="54"/>
      <c r="CE25" s="54"/>
      <c r="CF25" s="54"/>
      <c r="CG25" s="50"/>
      <c r="CH25" s="54"/>
      <c r="CI25" s="54"/>
      <c r="CJ25" s="54"/>
      <c r="CK25" s="54"/>
      <c r="CL25" s="54"/>
      <c r="CM25" s="54"/>
      <c r="CN25" s="54"/>
      <c r="CO25" s="54"/>
      <c r="CP25" s="54"/>
      <c r="CQ25" s="50"/>
      <c r="CR25" s="54"/>
      <c r="CS25" s="54"/>
      <c r="CT25" s="54"/>
      <c r="CU25" s="50"/>
      <c r="CV25" s="50"/>
      <c r="CW25" s="54"/>
      <c r="CX25" s="54"/>
      <c r="CY25" s="54"/>
      <c r="CZ25" s="50"/>
      <c r="DA25" s="54"/>
      <c r="DB25" s="54"/>
      <c r="DC25" s="54"/>
      <c r="DD25" s="50"/>
      <c r="DE25" s="54"/>
      <c r="DF25" s="54"/>
      <c r="DG25" s="54"/>
      <c r="DH25" s="50"/>
      <c r="DI25" s="54"/>
      <c r="DJ25" s="54"/>
      <c r="DK25" s="58"/>
    </row>
    <row r="26" customFormat="false" ht="15.75" hidden="false" customHeight="false" outlineLevel="0" collapsed="false">
      <c r="BN26" s="99"/>
      <c r="BO26" s="100"/>
      <c r="BP26" s="101"/>
      <c r="BQ26" s="100"/>
      <c r="BR26" s="102"/>
      <c r="BS26" s="100"/>
      <c r="BT26" s="103"/>
      <c r="BU26" s="104" t="n">
        <f aca="false">IF($F$7=BX26,1,0)</f>
        <v>0</v>
      </c>
      <c r="BV26" s="102" t="s">
        <v>158</v>
      </c>
      <c r="BW26" s="100" t="n">
        <v>150</v>
      </c>
      <c r="BX26" s="105" t="n">
        <v>315</v>
      </c>
      <c r="BY26" s="101"/>
      <c r="BZ26" s="100"/>
      <c r="CA26" s="102"/>
      <c r="CB26" s="100"/>
      <c r="CC26" s="103"/>
      <c r="CD26" s="92"/>
      <c r="CE26" s="92"/>
      <c r="CF26" s="92"/>
      <c r="CG26" s="103"/>
      <c r="CH26" s="92"/>
      <c r="CI26" s="92"/>
      <c r="CJ26" s="92"/>
      <c r="CK26" s="92"/>
      <c r="CL26" s="92"/>
      <c r="CM26" s="92"/>
      <c r="CN26" s="92"/>
      <c r="CO26" s="92"/>
      <c r="CP26" s="92"/>
      <c r="CQ26" s="103"/>
      <c r="CR26" s="92"/>
      <c r="CS26" s="92"/>
      <c r="CT26" s="92"/>
      <c r="CU26" s="103"/>
      <c r="CV26" s="103"/>
      <c r="CW26" s="92"/>
      <c r="CX26" s="92"/>
      <c r="CY26" s="92"/>
      <c r="CZ26" s="103"/>
      <c r="DA26" s="92"/>
      <c r="DB26" s="92"/>
      <c r="DC26" s="92"/>
      <c r="DD26" s="103"/>
      <c r="DE26" s="92"/>
      <c r="DF26" s="92"/>
      <c r="DG26" s="92"/>
      <c r="DH26" s="103"/>
      <c r="DI26" s="92"/>
      <c r="DJ26" s="92"/>
      <c r="DK26" s="94"/>
    </row>
  </sheetData>
  <mergeCells count="28">
    <mergeCell ref="I2:Q2"/>
    <mergeCell ref="W2:AH2"/>
    <mergeCell ref="AJ2:AM2"/>
    <mergeCell ref="AS2:BL2"/>
    <mergeCell ref="BN2:BO2"/>
    <mergeCell ref="BR2:BS2"/>
    <mergeCell ref="BV2:BX2"/>
    <mergeCell ref="CA2:CB2"/>
    <mergeCell ref="CE2:CF2"/>
    <mergeCell ref="CI2:CP2"/>
    <mergeCell ref="CR2:CT2"/>
    <mergeCell ref="CW2:CY2"/>
    <mergeCell ref="DA2:DC2"/>
    <mergeCell ref="DE2:DG2"/>
    <mergeCell ref="DI2:DK2"/>
    <mergeCell ref="Z3:AB3"/>
    <mergeCell ref="AC3:AE3"/>
    <mergeCell ref="AF3:AH3"/>
    <mergeCell ref="AS3:AW3"/>
    <mergeCell ref="AX3:BB3"/>
    <mergeCell ref="BC3:BG3"/>
    <mergeCell ref="BH3:BL3"/>
    <mergeCell ref="B14:C14"/>
    <mergeCell ref="E14:F14"/>
    <mergeCell ref="B15:C15"/>
    <mergeCell ref="B16:C16"/>
    <mergeCell ref="B17:C17"/>
    <mergeCell ref="B18:C18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L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R1" activeCellId="0" sqref="R1"/>
    </sheetView>
  </sheetViews>
  <sheetFormatPr defaultRowHeight="15" zeroHeight="false" outlineLevelRow="0" outlineLevelCol="0"/>
  <cols>
    <col collapsed="false" customWidth="true" hidden="false" outlineLevel="0" max="1" min="1" style="0" width="7.71"/>
    <col collapsed="false" customWidth="true" hidden="false" outlineLevel="0" max="2" min="2" style="0" width="8"/>
    <col collapsed="false" customWidth="true" hidden="false" outlineLevel="0" max="4" min="3" style="0" width="8.67"/>
    <col collapsed="false" customWidth="true" hidden="false" outlineLevel="0" max="6" min="5" style="0" width="12.57"/>
    <col collapsed="false" customWidth="true" hidden="false" outlineLevel="0" max="8" min="7" style="0" width="8.67"/>
    <col collapsed="false" customWidth="true" hidden="false" outlineLevel="0" max="9" min="9" style="0" width="9.14"/>
    <col collapsed="false" customWidth="true" hidden="false" outlineLevel="0" max="10" min="10" style="0" width="6.01"/>
    <col collapsed="false" customWidth="true" hidden="false" outlineLevel="0" max="12" min="11" style="0" width="8"/>
    <col collapsed="false" customWidth="true" hidden="false" outlineLevel="0" max="13" min="13" style="0" width="4.71"/>
    <col collapsed="false" customWidth="true" hidden="false" outlineLevel="0" max="14" min="14" style="0" width="6.01"/>
    <col collapsed="false" customWidth="true" hidden="false" outlineLevel="0" max="17" min="15" style="0" width="9.14"/>
    <col collapsed="false" customWidth="true" hidden="false" outlineLevel="0" max="18" min="18" style="0" width="6.01"/>
    <col collapsed="false" customWidth="true" hidden="false" outlineLevel="0" max="35" min="19" style="0" width="9.14"/>
    <col collapsed="false" customWidth="true" hidden="false" outlineLevel="0" max="37" min="36" style="0" width="9.85"/>
    <col collapsed="false" customWidth="true" hidden="false" outlineLevel="0" max="38" min="38" style="0" width="15.71"/>
    <col collapsed="false" customWidth="true" hidden="false" outlineLevel="0" max="39" min="39" style="0" width="9.14"/>
    <col collapsed="false" customWidth="true" hidden="false" outlineLevel="0" max="40" min="40" style="0" width="25.14"/>
    <col collapsed="false" customWidth="true" hidden="false" outlineLevel="0" max="41" min="41" style="0" width="10.99"/>
    <col collapsed="false" customWidth="true" hidden="false" outlineLevel="0" max="42" min="42" style="0" width="18.29"/>
    <col collapsed="false" customWidth="true" hidden="false" outlineLevel="0" max="48" min="43" style="0" width="9.14"/>
    <col collapsed="false" customWidth="true" hidden="false" outlineLevel="0" max="49" min="49" style="1" width="9.14"/>
    <col collapsed="false" customWidth="true" hidden="false" outlineLevel="0" max="64" min="50" style="0" width="9.14"/>
    <col collapsed="false" customWidth="true" hidden="false" outlineLevel="0" max="65" min="65" style="0" width="8.67"/>
    <col collapsed="false" customWidth="true" hidden="false" outlineLevel="0" max="66" min="66" style="0" width="4.86"/>
    <col collapsed="false" customWidth="true" hidden="false" outlineLevel="0" max="67" min="67" style="0" width="12.86"/>
    <col collapsed="false" customWidth="true" hidden="false" outlineLevel="0" max="68" min="68" style="0" width="3.29"/>
    <col collapsed="false" customWidth="true" hidden="false" outlineLevel="0" max="69" min="69" style="0" width="11.29"/>
    <col collapsed="false" customWidth="true" hidden="false" outlineLevel="0" max="71" min="70" style="0" width="6.28"/>
    <col collapsed="false" customWidth="true" hidden="false" outlineLevel="0" max="72" min="72" style="0" width="3.57"/>
    <col collapsed="false" customWidth="true" hidden="false" outlineLevel="0" max="73" min="73" style="0" width="8.29"/>
    <col collapsed="false" customWidth="true" hidden="false" outlineLevel="0" max="76" min="74" style="0" width="6.15"/>
    <col collapsed="false" customWidth="true" hidden="false" outlineLevel="0" max="77" min="77" style="0" width="3.29"/>
    <col collapsed="false" customWidth="true" hidden="false" outlineLevel="0" max="78" min="78" style="0" width="9.58"/>
    <col collapsed="false" customWidth="true" hidden="false" outlineLevel="0" max="79" min="79" style="0" width="6.15"/>
    <col collapsed="false" customWidth="true" hidden="false" outlineLevel="0" max="80" min="80" style="0" width="15.29"/>
    <col collapsed="false" customWidth="true" hidden="false" outlineLevel="0" max="81" min="81" style="0" width="3.29"/>
    <col collapsed="false" customWidth="true" hidden="false" outlineLevel="0" max="82" min="82" style="0" width="8.71"/>
    <col collapsed="false" customWidth="true" hidden="false" outlineLevel="0" max="84" min="83" style="0" width="6.28"/>
    <col collapsed="false" customWidth="true" hidden="false" outlineLevel="0" max="85" min="85" style="0" width="3.29"/>
    <col collapsed="false" customWidth="true" hidden="false" outlineLevel="0" max="86" min="86" style="0" width="9.58"/>
    <col collapsed="false" customWidth="true" hidden="false" outlineLevel="0" max="87" min="87" style="0" width="6.15"/>
    <col collapsed="false" customWidth="true" hidden="false" outlineLevel="0" max="88" min="88" style="0" width="16.86"/>
    <col collapsed="false" customWidth="true" hidden="false" outlineLevel="0" max="89" min="89" style="0" width="8.57"/>
    <col collapsed="false" customWidth="true" hidden="false" outlineLevel="0" max="90" min="90" style="0" width="7"/>
    <col collapsed="false" customWidth="true" hidden="false" outlineLevel="0" max="91" min="91" style="0" width="25.14"/>
    <col collapsed="false" customWidth="true" hidden="false" outlineLevel="0" max="92" min="92" style="0" width="8.57"/>
    <col collapsed="false" customWidth="true" hidden="false" outlineLevel="0" max="93" min="93" style="0" width="6.71"/>
    <col collapsed="false" customWidth="true" hidden="false" outlineLevel="0" max="94" min="94" style="0" width="18.29"/>
    <col collapsed="false" customWidth="true" hidden="false" outlineLevel="0" max="95" min="95" style="0" width="3.57"/>
    <col collapsed="false" customWidth="true" hidden="false" outlineLevel="0" max="96" min="96" style="0" width="8.57"/>
    <col collapsed="false" customWidth="true" hidden="false" outlineLevel="0" max="97" min="97" style="0" width="5.86"/>
    <col collapsed="false" customWidth="true" hidden="false" outlineLevel="0" max="98" min="98" style="0" width="16.14"/>
    <col collapsed="false" customWidth="true" hidden="false" outlineLevel="0" max="99" min="99" style="0" width="3.71"/>
    <col collapsed="false" customWidth="true" hidden="false" outlineLevel="0" max="100" min="100" style="0" width="3.29"/>
    <col collapsed="false" customWidth="true" hidden="false" outlineLevel="0" max="101" min="101" style="0" width="8.57"/>
    <col collapsed="false" customWidth="true" hidden="false" outlineLevel="0" max="102" min="102" style="0" width="6.28"/>
    <col collapsed="false" customWidth="false" hidden="false" outlineLevel="0" max="103" min="103" style="0" width="11.42"/>
    <col collapsed="false" customWidth="true" hidden="false" outlineLevel="0" max="104" min="104" style="0" width="3.57"/>
    <col collapsed="false" customWidth="true" hidden="false" outlineLevel="0" max="105" min="105" style="0" width="8.71"/>
    <col collapsed="false" customWidth="true" hidden="false" outlineLevel="0" max="106" min="106" style="0" width="6.28"/>
    <col collapsed="false" customWidth="false" hidden="false" outlineLevel="0" max="107" min="107" style="0" width="11.42"/>
    <col collapsed="false" customWidth="true" hidden="false" outlineLevel="0" max="108" min="108" style="0" width="3.57"/>
    <col collapsed="false" customWidth="true" hidden="false" outlineLevel="0" max="109" min="109" style="0" width="8.71"/>
    <col collapsed="false" customWidth="true" hidden="false" outlineLevel="0" max="110" min="110" style="0" width="6.28"/>
    <col collapsed="false" customWidth="false" hidden="false" outlineLevel="0" max="111" min="111" style="0" width="11.42"/>
    <col collapsed="false" customWidth="true" hidden="false" outlineLevel="0" max="112" min="112" style="0" width="3.57"/>
    <col collapsed="false" customWidth="true" hidden="false" outlineLevel="0" max="113" min="113" style="0" width="8.57"/>
    <col collapsed="false" customWidth="true" hidden="false" outlineLevel="0" max="114" min="114" style="0" width="6.28"/>
    <col collapsed="false" customWidth="true" hidden="false" outlineLevel="0" max="115" min="115" style="0" width="13.7"/>
    <col collapsed="false" customWidth="true" hidden="false" outlineLevel="0" max="116" min="116" style="0" width="3.57"/>
    <col collapsed="false" customWidth="true" hidden="false" outlineLevel="0" max="1025" min="117" style="0" width="8.67"/>
  </cols>
  <sheetData>
    <row r="1" customFormat="false" ht="15.75" hidden="false" customHeight="false" outlineLevel="0" collapsed="false"/>
    <row r="2" customFormat="false" ht="15.75" hidden="false" customHeight="false" outlineLevel="0" collapsed="false">
      <c r="B2" s="0" t="s">
        <v>159</v>
      </c>
      <c r="I2" s="25" t="s">
        <v>30</v>
      </c>
      <c r="J2" s="25"/>
      <c r="K2" s="25"/>
      <c r="L2" s="25"/>
      <c r="M2" s="25"/>
      <c r="N2" s="25"/>
      <c r="O2" s="25"/>
      <c r="P2" s="25"/>
      <c r="Q2" s="25"/>
      <c r="R2" s="26"/>
      <c r="S2" s="26"/>
      <c r="T2" s="26"/>
      <c r="U2" s="26"/>
      <c r="W2" s="25" t="s">
        <v>31</v>
      </c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J2" s="25" t="s">
        <v>32</v>
      </c>
      <c r="AK2" s="25"/>
      <c r="AL2" s="25"/>
      <c r="AM2" s="25"/>
      <c r="AN2" s="27" t="s">
        <v>33</v>
      </c>
      <c r="AO2" s="27" t="s">
        <v>34</v>
      </c>
      <c r="AP2" s="28" t="s">
        <v>35</v>
      </c>
      <c r="AS2" s="29" t="s">
        <v>36</v>
      </c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N2" s="5" t="s">
        <v>37</v>
      </c>
      <c r="BO2" s="5"/>
      <c r="BP2" s="4"/>
      <c r="BQ2" s="30"/>
      <c r="BR2" s="31" t="s">
        <v>38</v>
      </c>
      <c r="BS2" s="31"/>
      <c r="BT2" s="32"/>
      <c r="BU2" s="33"/>
      <c r="BV2" s="34" t="s">
        <v>39</v>
      </c>
      <c r="BW2" s="34"/>
      <c r="BX2" s="34"/>
      <c r="BY2" s="4"/>
      <c r="BZ2" s="30"/>
      <c r="CA2" s="31" t="s">
        <v>40</v>
      </c>
      <c r="CB2" s="31"/>
      <c r="CC2" s="4"/>
      <c r="CD2" s="30"/>
      <c r="CE2" s="31" t="s">
        <v>41</v>
      </c>
      <c r="CF2" s="31"/>
      <c r="CG2" s="4"/>
      <c r="CH2" s="30"/>
      <c r="CI2" s="35" t="s">
        <v>42</v>
      </c>
      <c r="CJ2" s="35"/>
      <c r="CK2" s="35"/>
      <c r="CL2" s="35"/>
      <c r="CM2" s="35"/>
      <c r="CN2" s="35"/>
      <c r="CO2" s="35"/>
      <c r="CP2" s="35"/>
      <c r="CQ2" s="32"/>
      <c r="CR2" s="4" t="s">
        <v>43</v>
      </c>
      <c r="CS2" s="4"/>
      <c r="CT2" s="4"/>
      <c r="CU2" s="36"/>
      <c r="CV2" s="4"/>
      <c r="CW2" s="4" t="s">
        <v>44</v>
      </c>
      <c r="CX2" s="4"/>
      <c r="CY2" s="4"/>
      <c r="CZ2" s="32"/>
      <c r="DA2" s="4" t="s">
        <v>45</v>
      </c>
      <c r="DB2" s="4"/>
      <c r="DC2" s="4"/>
      <c r="DD2" s="32"/>
      <c r="DE2" s="4" t="s">
        <v>46</v>
      </c>
      <c r="DF2" s="4"/>
      <c r="DG2" s="4"/>
      <c r="DH2" s="32"/>
      <c r="DI2" s="4" t="s">
        <v>47</v>
      </c>
      <c r="DJ2" s="4"/>
      <c r="DK2" s="4"/>
      <c r="DL2" s="37"/>
    </row>
    <row r="3" customFormat="false" ht="15.75" hidden="false" customHeight="false" outlineLevel="0" collapsed="false">
      <c r="I3" s="38"/>
      <c r="J3" s="39" t="s">
        <v>48</v>
      </c>
      <c r="K3" s="40" t="s">
        <v>49</v>
      </c>
      <c r="L3" s="39" t="s">
        <v>50</v>
      </c>
      <c r="M3" s="39"/>
      <c r="N3" s="39"/>
      <c r="O3" s="39" t="s">
        <v>51</v>
      </c>
      <c r="P3" s="40" t="s">
        <v>49</v>
      </c>
      <c r="Q3" s="41" t="s">
        <v>50</v>
      </c>
      <c r="R3" s="39"/>
      <c r="S3" s="39" t="s">
        <v>52</v>
      </c>
      <c r="T3" s="40" t="s">
        <v>49</v>
      </c>
      <c r="U3" s="41" t="s">
        <v>50</v>
      </c>
      <c r="W3" s="38" t="s">
        <v>53</v>
      </c>
      <c r="X3" s="39" t="s">
        <v>54</v>
      </c>
      <c r="Y3" s="41" t="s">
        <v>55</v>
      </c>
      <c r="Z3" s="25" t="s">
        <v>53</v>
      </c>
      <c r="AA3" s="25"/>
      <c r="AB3" s="25"/>
      <c r="AC3" s="25" t="s">
        <v>54</v>
      </c>
      <c r="AD3" s="25"/>
      <c r="AE3" s="25"/>
      <c r="AF3" s="25" t="s">
        <v>55</v>
      </c>
      <c r="AG3" s="25"/>
      <c r="AH3" s="25"/>
      <c r="AJ3" s="42" t="s">
        <v>56</v>
      </c>
      <c r="AK3" s="43"/>
      <c r="AL3" s="44"/>
      <c r="AM3" s="44"/>
      <c r="AN3" s="45"/>
      <c r="AO3" s="45"/>
      <c r="AP3" s="45"/>
      <c r="AS3" s="25" t="s">
        <v>57</v>
      </c>
      <c r="AT3" s="25"/>
      <c r="AU3" s="25"/>
      <c r="AV3" s="25"/>
      <c r="AW3" s="25"/>
      <c r="AX3" s="46" t="s">
        <v>58</v>
      </c>
      <c r="AY3" s="46"/>
      <c r="AZ3" s="46"/>
      <c r="BA3" s="46"/>
      <c r="BB3" s="46"/>
      <c r="BC3" s="25" t="s">
        <v>59</v>
      </c>
      <c r="BD3" s="25"/>
      <c r="BE3" s="25"/>
      <c r="BF3" s="25"/>
      <c r="BG3" s="25"/>
      <c r="BH3" s="25" t="s">
        <v>60</v>
      </c>
      <c r="BI3" s="25"/>
      <c r="BJ3" s="25"/>
      <c r="BK3" s="25"/>
      <c r="BL3" s="25"/>
      <c r="BN3" s="47" t="s">
        <v>61</v>
      </c>
      <c r="BO3" s="26" t="s">
        <v>62</v>
      </c>
      <c r="BP3" s="48"/>
      <c r="BQ3" s="26"/>
      <c r="BR3" s="49" t="s">
        <v>61</v>
      </c>
      <c r="BS3" s="21" t="s">
        <v>63</v>
      </c>
      <c r="BT3" s="50"/>
      <c r="BU3" s="51"/>
      <c r="BV3" s="49" t="s">
        <v>61</v>
      </c>
      <c r="BW3" s="21" t="s">
        <v>63</v>
      </c>
      <c r="BX3" s="52" t="s">
        <v>64</v>
      </c>
      <c r="BY3" s="48"/>
      <c r="BZ3" s="26"/>
      <c r="CA3" s="53" t="s">
        <v>61</v>
      </c>
      <c r="CB3" s="26" t="s">
        <v>65</v>
      </c>
      <c r="CC3" s="48"/>
      <c r="CD3" s="26"/>
      <c r="CE3" s="49" t="s">
        <v>61</v>
      </c>
      <c r="CF3" s="21" t="s">
        <v>63</v>
      </c>
      <c r="CG3" s="48"/>
      <c r="CH3" s="26"/>
      <c r="CI3" s="49" t="s">
        <v>61</v>
      </c>
      <c r="CJ3" s="26" t="s">
        <v>66</v>
      </c>
      <c r="CK3" s="26"/>
      <c r="CL3" s="26"/>
      <c r="CM3" s="26" t="s">
        <v>66</v>
      </c>
      <c r="CN3" s="26"/>
      <c r="CO3" s="26"/>
      <c r="CP3" s="26" t="s">
        <v>66</v>
      </c>
      <c r="CQ3" s="50"/>
      <c r="CR3" s="54"/>
      <c r="CS3" s="53" t="s">
        <v>61</v>
      </c>
      <c r="CT3" s="26" t="s">
        <v>66</v>
      </c>
      <c r="CU3" s="50"/>
      <c r="CV3" s="48"/>
      <c r="CW3" s="26"/>
      <c r="CX3" s="49" t="s">
        <v>61</v>
      </c>
      <c r="CY3" s="21" t="s">
        <v>67</v>
      </c>
      <c r="CZ3" s="50"/>
      <c r="DA3" s="26"/>
      <c r="DB3" s="49" t="s">
        <v>61</v>
      </c>
      <c r="DC3" s="21" t="s">
        <v>68</v>
      </c>
      <c r="DD3" s="50"/>
      <c r="DE3" s="26"/>
      <c r="DF3" s="49" t="s">
        <v>61</v>
      </c>
      <c r="DG3" s="21" t="s">
        <v>68</v>
      </c>
      <c r="DH3" s="50"/>
      <c r="DI3" s="26"/>
      <c r="DJ3" s="49" t="s">
        <v>61</v>
      </c>
      <c r="DK3" s="20" t="s">
        <v>69</v>
      </c>
    </row>
    <row r="4" customFormat="false" ht="15" hidden="false" customHeight="false" outlineLevel="0" collapsed="false">
      <c r="A4" s="55" t="s">
        <v>70</v>
      </c>
      <c r="B4" s="56" t="n">
        <f aca="false">'ОЛ(4)'!C15</f>
        <v>0</v>
      </c>
      <c r="C4" s="0" t="s">
        <v>71</v>
      </c>
      <c r="E4" s="0" t="s">
        <v>72</v>
      </c>
      <c r="F4" s="57" t="n">
        <f aca="false">B4*1000/(B5-B6)</f>
        <v>0</v>
      </c>
      <c r="I4" s="51" t="n">
        <f aca="false">IF($B$12&lt;12,(IF((L4&gt;4)*AND(L4&lt;16),2,0)),IF((L4&gt;4)*AND(L4&lt;20),2,0))</f>
        <v>0</v>
      </c>
      <c r="J4" s="54" t="n">
        <v>15</v>
      </c>
      <c r="K4" s="54" t="n">
        <f aca="false">1/POWER(1.14+2*LOG10((J4/1000)/($K$21/1000)),2)</f>
        <v>0.0596558274221208</v>
      </c>
      <c r="L4" s="54" t="n">
        <f aca="false">0.00638*K4*POWER($F$4,2)/(POWER(J4/1000,5)*$K$20)</f>
        <v>0</v>
      </c>
      <c r="M4" s="54"/>
      <c r="N4" s="54" t="e">
        <f aca="false">IF((Q4&gt;4)*AND(Q4&lt;20),1,0)</f>
        <v>#DIV/0!</v>
      </c>
      <c r="O4" s="54" t="n">
        <v>15</v>
      </c>
      <c r="P4" s="54" t="n">
        <f aca="false">1/POWER(1.14+2*LOG10((O4/1000)/($K$21/1000)),2)</f>
        <v>0.0596558274221208</v>
      </c>
      <c r="Q4" s="58" t="e">
        <f aca="false">0.00638*P4*POWER($F$11,2)/(POWER(O4/1000,5)*$K$20)</f>
        <v>#DIV/0!</v>
      </c>
      <c r="R4" s="54" t="n">
        <f aca="false">IF((U4&gt;4)*AND(U4&lt;20),1,0)</f>
        <v>0</v>
      </c>
      <c r="S4" s="54" t="n">
        <v>15</v>
      </c>
      <c r="T4" s="54" t="n">
        <f aca="false">1/POWER(1.14+2*LOG10((S4/1000)/($K$21/1000)),2)</f>
        <v>0.0596558274221208</v>
      </c>
      <c r="U4" s="58" t="n">
        <f aca="false">0.00638*T4*POWER($F$16,2)/(POWER(S4/1000,5)*$K$20)</f>
        <v>0</v>
      </c>
      <c r="W4" s="59" t="s">
        <v>73</v>
      </c>
      <c r="X4" s="54" t="n">
        <f aca="false">IF(B12=0,0,IF(B12&gt;12,3,1.8))</f>
        <v>3</v>
      </c>
      <c r="Y4" s="54"/>
      <c r="Z4" s="60" t="n">
        <f aca="false">IF(AB4&gt;$X$5,1,0)</f>
        <v>1</v>
      </c>
      <c r="AA4" s="61" t="n">
        <v>15</v>
      </c>
      <c r="AB4" s="62" t="n">
        <v>1.6</v>
      </c>
      <c r="AC4" s="60" t="n">
        <f aca="false">IF(AE4&gt;$X$5,1,0)</f>
        <v>1</v>
      </c>
      <c r="AD4" s="61" t="n">
        <v>15</v>
      </c>
      <c r="AE4" s="62" t="n">
        <v>1.6</v>
      </c>
      <c r="AF4" s="54" t="n">
        <f aca="false">IF(AH4&gt;$X$5,1,0)</f>
        <v>1</v>
      </c>
      <c r="AG4" s="63" t="n">
        <v>15</v>
      </c>
      <c r="AH4" s="58" t="n">
        <v>1.6</v>
      </c>
      <c r="AJ4" s="64" t="n">
        <v>4</v>
      </c>
      <c r="AK4" s="60" t="e">
        <f aca="false">IF($F$13&lt;AJ4,1,0)</f>
        <v>#DIV/0!</v>
      </c>
      <c r="AL4" s="62" t="s">
        <v>74</v>
      </c>
      <c r="AM4" s="65" t="e">
        <f aca="false">IF($F$13&lt;AJ4,1,0)</f>
        <v>#DIV/0!</v>
      </c>
      <c r="AN4" s="66" t="s">
        <v>75</v>
      </c>
      <c r="AO4" s="60" t="e">
        <f aca="false">IF($F$13&lt;AJ4,1,0)</f>
        <v>#DIV/0!</v>
      </c>
      <c r="AP4" s="67" t="s">
        <v>76</v>
      </c>
      <c r="AS4" s="60" t="n">
        <v>0.1</v>
      </c>
      <c r="AT4" s="68" t="n">
        <f aca="false">IF($B$4&lt;AS4,1,0)</f>
        <v>1</v>
      </c>
      <c r="AU4" s="68" t="s">
        <v>77</v>
      </c>
      <c r="AV4" s="68" t="n">
        <f aca="false">IF($B$4&lt;AS4,1,0)</f>
        <v>1</v>
      </c>
      <c r="AW4" s="3" t="n">
        <v>1</v>
      </c>
      <c r="AX4" s="60" t="n">
        <v>0.1</v>
      </c>
      <c r="AY4" s="68" t="n">
        <f aca="false">IF($B$4&lt;AX4,1,0)</f>
        <v>1</v>
      </c>
      <c r="AZ4" s="68" t="s">
        <v>77</v>
      </c>
      <c r="BA4" s="68" t="n">
        <f aca="false">IF($B$4&lt;AX4,1,0)</f>
        <v>1</v>
      </c>
      <c r="BB4" s="3" t="n">
        <v>1</v>
      </c>
      <c r="BC4" s="51" t="n">
        <v>0.14</v>
      </c>
      <c r="BD4" s="54" t="n">
        <f aca="false">IF($B$4&lt;BC4,1,0)</f>
        <v>1</v>
      </c>
      <c r="BE4" s="68" t="s">
        <v>77</v>
      </c>
      <c r="BF4" s="54" t="n">
        <f aca="false">IF($B$4&lt;BC4,1,0)</f>
        <v>1</v>
      </c>
      <c r="BG4" s="52" t="n">
        <v>1</v>
      </c>
      <c r="BH4" s="54" t="n">
        <v>0.05</v>
      </c>
      <c r="BI4" s="54" t="n">
        <f aca="false">IF($B$4&lt;BH4,1,0)</f>
        <v>1</v>
      </c>
      <c r="BJ4" s="54" t="s">
        <v>77</v>
      </c>
      <c r="BK4" s="54" t="n">
        <f aca="false">IF($B$4&lt;BH4,1,0)</f>
        <v>1</v>
      </c>
      <c r="BL4" s="58" t="n">
        <v>1</v>
      </c>
      <c r="BN4" s="47" t="s">
        <v>78</v>
      </c>
      <c r="BO4" s="26" t="s">
        <v>79</v>
      </c>
      <c r="BP4" s="48"/>
      <c r="BQ4" s="26" t="e">
        <f aca="false">IF($F$5=BS4,1,0)</f>
        <v>#N/A</v>
      </c>
      <c r="BR4" s="53" t="s">
        <v>80</v>
      </c>
      <c r="BS4" s="26" t="n">
        <v>15</v>
      </c>
      <c r="BT4" s="50"/>
      <c r="BU4" s="69" t="n">
        <f aca="false">IF($F$7=BX4,1,0)</f>
        <v>0</v>
      </c>
      <c r="BV4" s="53" t="s">
        <v>80</v>
      </c>
      <c r="BW4" s="26" t="n">
        <v>15</v>
      </c>
      <c r="BX4" s="52" t="n">
        <v>0.63</v>
      </c>
      <c r="BY4" s="48"/>
      <c r="BZ4" s="26" t="n">
        <f aca="false">IF($B$14=CB4,1,0)</f>
        <v>0</v>
      </c>
      <c r="CA4" s="53" t="s">
        <v>78</v>
      </c>
      <c r="CB4" s="26" t="s">
        <v>53</v>
      </c>
      <c r="CC4" s="48"/>
      <c r="CD4" s="26" t="e">
        <f aca="false">IF($F$12=CF4,1,0)</f>
        <v>#N/A</v>
      </c>
      <c r="CE4" s="53" t="s">
        <v>80</v>
      </c>
      <c r="CF4" s="26" t="n">
        <v>15</v>
      </c>
      <c r="CG4" s="48"/>
      <c r="CH4" s="26" t="e">
        <f aca="false">IF($E$14=CJ4,1,0)</f>
        <v>#VALUE!</v>
      </c>
      <c r="CI4" s="21" t="n">
        <v>1</v>
      </c>
      <c r="CJ4" s="21" t="s">
        <v>74</v>
      </c>
      <c r="CK4" s="21" t="e">
        <f aca="false">IF($E$14=CM4,1,0)</f>
        <v>#VALUE!</v>
      </c>
      <c r="CL4" s="21" t="n">
        <v>1</v>
      </c>
      <c r="CM4" s="70" t="s">
        <v>75</v>
      </c>
      <c r="CN4" s="70" t="e">
        <f aca="false">IF($E$14=CP4,1,0)</f>
        <v>#VALUE!</v>
      </c>
      <c r="CO4" s="21" t="n">
        <v>1</v>
      </c>
      <c r="CP4" s="70" t="s">
        <v>76</v>
      </c>
      <c r="CQ4" s="50"/>
      <c r="CR4" s="0" t="e">
        <f aca="false">IF(OR(E14="DPL 80/115-2,2/2",E14="DPL 100/175-3/4"),1,0)</f>
        <v>#VALUE!</v>
      </c>
      <c r="CS4" s="1" t="n">
        <v>5</v>
      </c>
      <c r="CU4" s="50"/>
      <c r="CV4" s="48"/>
      <c r="CW4" s="26" t="n">
        <f aca="false">IF($E$9=CY4,1,0)</f>
        <v>0</v>
      </c>
      <c r="CX4" s="53" t="s">
        <v>81</v>
      </c>
      <c r="CY4" s="54" t="s">
        <v>82</v>
      </c>
      <c r="CZ4" s="50"/>
      <c r="DA4" s="26" t="n">
        <f aca="false">IF($F$9=DC4,1,0)</f>
        <v>0</v>
      </c>
      <c r="DB4" s="53" t="s">
        <v>81</v>
      </c>
      <c r="DC4" s="54" t="s">
        <v>82</v>
      </c>
      <c r="DD4" s="50"/>
      <c r="DE4" s="26" t="n">
        <f aca="false">IF($B$16=DG4,1,0)</f>
        <v>0</v>
      </c>
      <c r="DF4" s="53" t="s">
        <v>78</v>
      </c>
      <c r="DG4" s="26" t="s">
        <v>83</v>
      </c>
      <c r="DH4" s="50"/>
      <c r="DI4" s="26" t="n">
        <f aca="false">IF($B$17=DK4,1,0)</f>
        <v>0</v>
      </c>
      <c r="DJ4" s="53" t="s">
        <v>78</v>
      </c>
      <c r="DK4" s="58" t="s">
        <v>84</v>
      </c>
    </row>
    <row r="5" customFormat="false" ht="15" hidden="false" customHeight="false" outlineLevel="0" collapsed="false">
      <c r="A5" s="55" t="s">
        <v>85</v>
      </c>
      <c r="B5" s="71" t="n">
        <f aca="false">'ОЛ(4)'!N13</f>
        <v>130</v>
      </c>
      <c r="C5" s="72" t="s">
        <v>86</v>
      </c>
      <c r="E5" s="0" t="s">
        <v>48</v>
      </c>
      <c r="F5" s="73" t="e">
        <f aca="false">VLOOKUP(2,I4:L17,2,0)</f>
        <v>#N/A</v>
      </c>
      <c r="I5" s="51" t="n">
        <f aca="false">IF($B$12&lt;12,(IF((L5&gt;4)*AND(L5&lt;16),2,0)),IF((L5&gt;4)*AND(L5&lt;20),2,0))</f>
        <v>0</v>
      </c>
      <c r="J5" s="54" t="n">
        <v>20</v>
      </c>
      <c r="K5" s="54" t="n">
        <f aca="false">1/POWER(1.14+2*LOG10((J5/1000)/($K$21/1000)),2)</f>
        <v>0.0529902997834844</v>
      </c>
      <c r="L5" s="54" t="n">
        <f aca="false">0.00638*K5*POWER($F$4,2)/(POWER(J5/1000,5)*$K$20)</f>
        <v>0</v>
      </c>
      <c r="M5" s="54"/>
      <c r="N5" s="54" t="e">
        <f aca="false">IF((Q5&gt;4)*AND(Q5&lt;20),1,0)</f>
        <v>#DIV/0!</v>
      </c>
      <c r="O5" s="54" t="n">
        <v>20</v>
      </c>
      <c r="P5" s="54" t="n">
        <f aca="false">1/POWER(1.14+2*LOG10((O5/1000)/($K$21/1000)),2)</f>
        <v>0.0529902997834844</v>
      </c>
      <c r="Q5" s="58" t="e">
        <f aca="false">0.00638*P5*POWER($F$11,2)/(POWER(O5/1000,5)*$K$20)</f>
        <v>#DIV/0!</v>
      </c>
      <c r="R5" s="54" t="n">
        <f aca="false">IF((U5&gt;4)*AND(U5&lt;20),1,0)</f>
        <v>0</v>
      </c>
      <c r="S5" s="54" t="n">
        <v>20</v>
      </c>
      <c r="T5" s="54" t="n">
        <f aca="false">1/POWER(1.14+2*LOG10((S5/1000)/($K$21/1000)),2)</f>
        <v>0.0529902997834844</v>
      </c>
      <c r="U5" s="58" t="n">
        <f aca="false">0.00638*T5*POWER($F$16,2)/(POWER(S5/1000,5)*$K$20)</f>
        <v>0</v>
      </c>
      <c r="W5" s="59" t="s">
        <v>87</v>
      </c>
      <c r="X5" s="74" t="n">
        <f aca="false">F4/SQRT(0.1*X4)</f>
        <v>0</v>
      </c>
      <c r="Y5" s="74"/>
      <c r="Z5" s="51" t="n">
        <f aca="false">IF(AB5&gt;$X$5,1,0)</f>
        <v>1</v>
      </c>
      <c r="AA5" s="63" t="n">
        <v>15</v>
      </c>
      <c r="AB5" s="58" t="n">
        <v>2.5</v>
      </c>
      <c r="AC5" s="51" t="n">
        <f aca="false">IF(AE5&gt;$X$5,1,0)</f>
        <v>1</v>
      </c>
      <c r="AD5" s="63" t="n">
        <v>15</v>
      </c>
      <c r="AE5" s="58" t="n">
        <v>2.5</v>
      </c>
      <c r="AF5" s="54" t="n">
        <f aca="false">IF(AH5&gt;$X$5,1,0)</f>
        <v>1</v>
      </c>
      <c r="AG5" s="63" t="n">
        <v>15</v>
      </c>
      <c r="AH5" s="58" t="n">
        <v>2.5</v>
      </c>
      <c r="AJ5" s="69" t="n">
        <v>6</v>
      </c>
      <c r="AK5" s="51" t="e">
        <f aca="false">IF($F$13&lt;AJ5,1,0)</f>
        <v>#DIV/0!</v>
      </c>
      <c r="AL5" s="58" t="s">
        <v>88</v>
      </c>
      <c r="AM5" s="50" t="e">
        <f aca="false">IF($F$13&lt;AJ5,1,0)</f>
        <v>#DIV/0!</v>
      </c>
      <c r="AN5" s="50" t="s">
        <v>89</v>
      </c>
      <c r="AO5" s="51" t="e">
        <f aca="false">IF($F$13&lt;AJ5,1,0)</f>
        <v>#DIV/0!</v>
      </c>
      <c r="AP5" s="75" t="s">
        <v>90</v>
      </c>
      <c r="AS5" s="51" t="n">
        <v>0.25</v>
      </c>
      <c r="AT5" s="54" t="n">
        <f aca="false">IF($B$4&lt;AS5,1,0)</f>
        <v>1</v>
      </c>
      <c r="AU5" s="54" t="s">
        <v>91</v>
      </c>
      <c r="AV5" s="54" t="n">
        <f aca="false">IF($B$4&lt;AS5,1,0)</f>
        <v>1</v>
      </c>
      <c r="AW5" s="20" t="n">
        <v>1</v>
      </c>
      <c r="AX5" s="51" t="n">
        <v>0.25</v>
      </c>
      <c r="AY5" s="54" t="n">
        <f aca="false">IF($B$4&lt;AX5,1,0)</f>
        <v>1</v>
      </c>
      <c r="AZ5" s="54" t="s">
        <v>91</v>
      </c>
      <c r="BA5" s="54" t="n">
        <f aca="false">IF($B$4&lt;AX5,1,0)</f>
        <v>1</v>
      </c>
      <c r="BB5" s="20" t="n">
        <v>1</v>
      </c>
      <c r="BC5" s="51" t="n">
        <v>0.45</v>
      </c>
      <c r="BD5" s="54" t="n">
        <f aca="false">IF($B$4&lt;BC5,1,0)</f>
        <v>1</v>
      </c>
      <c r="BE5" s="54" t="s">
        <v>92</v>
      </c>
      <c r="BF5" s="54" t="n">
        <f aca="false">IF($B$4&lt;BC5,1,0)</f>
        <v>1</v>
      </c>
      <c r="BG5" s="52" t="n">
        <v>1</v>
      </c>
      <c r="BH5" s="54" t="n">
        <v>0.09</v>
      </c>
      <c r="BI5" s="54" t="n">
        <f aca="false">IF($B$4&lt;BH5,1,0)</f>
        <v>1</v>
      </c>
      <c r="BJ5" s="54" t="s">
        <v>93</v>
      </c>
      <c r="BK5" s="54" t="n">
        <f aca="false">IF($B$4&lt;BH5,1,0)</f>
        <v>1</v>
      </c>
      <c r="BL5" s="58" t="n">
        <v>1</v>
      </c>
      <c r="BN5" s="47" t="s">
        <v>94</v>
      </c>
      <c r="BO5" s="26" t="s">
        <v>95</v>
      </c>
      <c r="BP5" s="48"/>
      <c r="BQ5" s="26" t="e">
        <f aca="false">IF($F$5=BS5,1,0)</f>
        <v>#N/A</v>
      </c>
      <c r="BR5" s="53" t="s">
        <v>96</v>
      </c>
      <c r="BS5" s="26" t="n">
        <v>20</v>
      </c>
      <c r="BT5" s="50"/>
      <c r="BU5" s="69" t="n">
        <f aca="false">IF($F$7=BX5,1,0)</f>
        <v>0</v>
      </c>
      <c r="BV5" s="53" t="s">
        <v>96</v>
      </c>
      <c r="BW5" s="26" t="n">
        <v>15</v>
      </c>
      <c r="BX5" s="52" t="n">
        <v>1.25</v>
      </c>
      <c r="BY5" s="48"/>
      <c r="BZ5" s="26" t="n">
        <f aca="false">IF($B$14=CB5,1,0)</f>
        <v>0</v>
      </c>
      <c r="CA5" s="53" t="s">
        <v>94</v>
      </c>
      <c r="CB5" s="26" t="s">
        <v>55</v>
      </c>
      <c r="CC5" s="48"/>
      <c r="CD5" s="26" t="e">
        <f aca="false">IF($F$12=CF5,1,0)</f>
        <v>#N/A</v>
      </c>
      <c r="CE5" s="53" t="s">
        <v>96</v>
      </c>
      <c r="CF5" s="26" t="n">
        <v>20</v>
      </c>
      <c r="CG5" s="48"/>
      <c r="CH5" s="26" t="e">
        <f aca="false">IF($E$14=CJ5,1,0)</f>
        <v>#VALUE!</v>
      </c>
      <c r="CI5" s="21" t="n">
        <v>2</v>
      </c>
      <c r="CJ5" s="21" t="s">
        <v>88</v>
      </c>
      <c r="CK5" s="21" t="e">
        <f aca="false">IF($E$14=CM5,1,0)</f>
        <v>#VALUE!</v>
      </c>
      <c r="CL5" s="21" t="n">
        <v>2</v>
      </c>
      <c r="CM5" s="21" t="s">
        <v>89</v>
      </c>
      <c r="CN5" s="70" t="e">
        <f aca="false">IF($E$14=CP5,1,0)</f>
        <v>#VALUE!</v>
      </c>
      <c r="CO5" s="21" t="n">
        <v>2</v>
      </c>
      <c r="CP5" s="70" t="s">
        <v>90</v>
      </c>
      <c r="CQ5" s="50"/>
      <c r="CR5" s="54" t="n">
        <f aca="false">IF($B$15=CT5,1,0)</f>
        <v>0</v>
      </c>
      <c r="CS5" s="21" t="n">
        <v>1</v>
      </c>
      <c r="CT5" s="21" t="s">
        <v>33</v>
      </c>
      <c r="CU5" s="50"/>
      <c r="CV5" s="48"/>
      <c r="CW5" s="26" t="n">
        <f aca="false">IF($E$9=CY5,1,0)</f>
        <v>1</v>
      </c>
      <c r="CX5" s="53" t="s">
        <v>78</v>
      </c>
      <c r="CY5" s="26" t="s">
        <v>77</v>
      </c>
      <c r="CZ5" s="50"/>
      <c r="DA5" s="26" t="n">
        <f aca="false">IF($F$9=DC5,1,0)</f>
        <v>1</v>
      </c>
      <c r="DB5" s="53" t="s">
        <v>78</v>
      </c>
      <c r="DC5" s="26" t="n">
        <v>1</v>
      </c>
      <c r="DD5" s="50"/>
      <c r="DE5" s="26" t="n">
        <f aca="false">IF($B$16=DG5,1,0)</f>
        <v>0</v>
      </c>
      <c r="DF5" s="53" t="s">
        <v>94</v>
      </c>
      <c r="DG5" s="26" t="s">
        <v>55</v>
      </c>
      <c r="DH5" s="50"/>
      <c r="DI5" s="26" t="n">
        <f aca="false">IF($B$17=DK5,1,0)</f>
        <v>1</v>
      </c>
      <c r="DJ5" s="53" t="s">
        <v>81</v>
      </c>
      <c r="DK5" s="52" t="s">
        <v>97</v>
      </c>
    </row>
    <row r="6" customFormat="false" ht="15" hidden="false" customHeight="false" outlineLevel="0" collapsed="false">
      <c r="A6" s="55" t="s">
        <v>98</v>
      </c>
      <c r="B6" s="71" t="n">
        <f aca="false">IF(OR('ОЛ(4)'!C28="зависимая",'ОЛ(4)'!C28=0),'ОЛ(4)'!R13,IF(('ОЛ(4)'!R13-B8)&lt;5,B8+5,'ОЛ(4)'!R13))</f>
        <v>70</v>
      </c>
      <c r="C6" s="72" t="s">
        <v>86</v>
      </c>
      <c r="E6" s="0" t="s">
        <v>99</v>
      </c>
      <c r="F6" s="73" t="n">
        <f aca="false">VLOOKUP(1,IF(B14="IMI Hydronic",Z4:AB21,IF(B14="Siemens",AC4:AE22,AF4:AH16)),2,0)</f>
        <v>15</v>
      </c>
      <c r="I6" s="51" t="n">
        <f aca="false">IF($B$12&lt;12,(IF((L6&gt;4)*AND(L6&lt;16),2,0)),IF((L6&gt;4)*AND(L6&lt;20),2,0))</f>
        <v>0</v>
      </c>
      <c r="J6" s="54" t="n">
        <v>25</v>
      </c>
      <c r="K6" s="54" t="n">
        <f aca="false">1/POWER(1.14+2*LOG10((J6/1000)/($K$21/1000)),2)</f>
        <v>0.0485604272927566</v>
      </c>
      <c r="L6" s="54" t="n">
        <f aca="false">0.00638*K6*POWER($F$4,2)/(POWER(J6/1000,5)*$K$20)</f>
        <v>0</v>
      </c>
      <c r="M6" s="54"/>
      <c r="N6" s="54" t="e">
        <f aca="false">IF((Q6&gt;4)*AND(Q6&lt;20),1,0)</f>
        <v>#DIV/0!</v>
      </c>
      <c r="O6" s="54" t="n">
        <v>25</v>
      </c>
      <c r="P6" s="54" t="n">
        <f aca="false">1/POWER(1.14+2*LOG10((O6/1000)/($K$21/1000)),2)</f>
        <v>0.0485604272927566</v>
      </c>
      <c r="Q6" s="58" t="e">
        <f aca="false">0.00638*P6*POWER($F$11,2)/(POWER(O6/1000,5)*$K$20)</f>
        <v>#DIV/0!</v>
      </c>
      <c r="R6" s="54" t="n">
        <f aca="false">IF((U6&gt;4)*AND(U6&lt;20),1,0)</f>
        <v>0</v>
      </c>
      <c r="S6" s="54" t="n">
        <v>25</v>
      </c>
      <c r="T6" s="54" t="n">
        <f aca="false">1/POWER(1.14+2*LOG10((S6/1000)/($K$21/1000)),2)</f>
        <v>0.0485604272927566</v>
      </c>
      <c r="U6" s="58" t="n">
        <f aca="false">0.00638*T6*POWER($F$16,2)/(POWER(S6/1000,5)*$K$20)</f>
        <v>0</v>
      </c>
      <c r="W6" s="51"/>
      <c r="X6" s="54"/>
      <c r="Y6" s="54"/>
      <c r="Z6" s="51" t="n">
        <f aca="false">IF(AB6&gt;$X$5,1,0)</f>
        <v>1</v>
      </c>
      <c r="AA6" s="63" t="n">
        <v>15</v>
      </c>
      <c r="AB6" s="58" t="n">
        <v>4</v>
      </c>
      <c r="AC6" s="51" t="n">
        <f aca="false">IF(AE6&gt;$X$5,1,0)</f>
        <v>1</v>
      </c>
      <c r="AD6" s="63" t="n">
        <v>15</v>
      </c>
      <c r="AE6" s="58" t="n">
        <v>4</v>
      </c>
      <c r="AF6" s="54" t="n">
        <f aca="false">IF(AH6&gt;$X$5,1,0)</f>
        <v>1</v>
      </c>
      <c r="AG6" s="63" t="n">
        <v>15</v>
      </c>
      <c r="AH6" s="58" t="n">
        <v>4</v>
      </c>
      <c r="AJ6" s="69" t="n">
        <v>10</v>
      </c>
      <c r="AK6" s="51" t="e">
        <f aca="false">IF($F$13&lt;AJ6,1,0)</f>
        <v>#DIV/0!</v>
      </c>
      <c r="AL6" s="58" t="s">
        <v>100</v>
      </c>
      <c r="AM6" s="50" t="e">
        <f aca="false">IF($F$13&lt;AJ6,1,0)</f>
        <v>#DIV/0!</v>
      </c>
      <c r="AN6" s="50" t="s">
        <v>101</v>
      </c>
      <c r="AO6" s="51" t="e">
        <f aca="false">IF($F$13&lt;AJ6,1,0)</f>
        <v>#DIV/0!</v>
      </c>
      <c r="AP6" s="75" t="s">
        <v>102</v>
      </c>
      <c r="AR6" s="54"/>
      <c r="AS6" s="51" t="n">
        <v>0.67</v>
      </c>
      <c r="AT6" s="54" t="n">
        <f aca="false">IF($B$4&lt;AS6,1,0)</f>
        <v>1</v>
      </c>
      <c r="AU6" s="54" t="s">
        <v>92</v>
      </c>
      <c r="AV6" s="54" t="n">
        <f aca="false">IF($B$4&lt;AS6,1,0)</f>
        <v>1</v>
      </c>
      <c r="AW6" s="20" t="n">
        <v>1</v>
      </c>
      <c r="AX6" s="51" t="n">
        <v>0.575</v>
      </c>
      <c r="AY6" s="54" t="n">
        <f aca="false">IF($B$4&lt;AX6,1,0)</f>
        <v>1</v>
      </c>
      <c r="AZ6" s="54" t="s">
        <v>92</v>
      </c>
      <c r="BA6" s="54" t="n">
        <f aca="false">IF($B$4&lt;AX6,1,0)</f>
        <v>1</v>
      </c>
      <c r="BB6" s="20" t="n">
        <v>1</v>
      </c>
      <c r="BC6" s="51" t="n">
        <v>0.71</v>
      </c>
      <c r="BD6" s="54" t="n">
        <f aca="false">IF($B$4&lt;BC6,1,0)</f>
        <v>1</v>
      </c>
      <c r="BE6" s="54" t="s">
        <v>92</v>
      </c>
      <c r="BF6" s="54" t="n">
        <f aca="false">IF($B$4&lt;BC6,1,0)</f>
        <v>1</v>
      </c>
      <c r="BG6" s="52" t="n">
        <v>2</v>
      </c>
      <c r="BH6" s="0" t="n">
        <v>0.3</v>
      </c>
      <c r="BI6" s="54" t="n">
        <f aca="false">IF($B$4&lt;BH6,1,0)</f>
        <v>1</v>
      </c>
      <c r="BJ6" s="54" t="s">
        <v>92</v>
      </c>
      <c r="BK6" s="54" t="n">
        <f aca="false">IF($B$4&lt;BH6,1,0)</f>
        <v>1</v>
      </c>
      <c r="BL6" s="58" t="n">
        <v>1</v>
      </c>
      <c r="BN6" s="47"/>
      <c r="BO6" s="26"/>
      <c r="BP6" s="48"/>
      <c r="BQ6" s="26" t="e">
        <f aca="false">IF($F$5=BS6,1,0)</f>
        <v>#N/A</v>
      </c>
      <c r="BR6" s="53" t="s">
        <v>103</v>
      </c>
      <c r="BS6" s="26" t="n">
        <v>25</v>
      </c>
      <c r="BT6" s="50"/>
      <c r="BU6" s="69" t="n">
        <f aca="false">IF($F$7=BX6,1,0)</f>
        <v>1</v>
      </c>
      <c r="BV6" s="53" t="s">
        <v>103</v>
      </c>
      <c r="BW6" s="26" t="n">
        <v>15</v>
      </c>
      <c r="BX6" s="52" t="n">
        <v>1.6</v>
      </c>
      <c r="BY6" s="48"/>
      <c r="BZ6" s="26" t="n">
        <f aca="false">IF($B$14=CB6,1,0)</f>
        <v>0</v>
      </c>
      <c r="CA6" s="53" t="s">
        <v>104</v>
      </c>
      <c r="CB6" s="26" t="s">
        <v>54</v>
      </c>
      <c r="CC6" s="48"/>
      <c r="CD6" s="26" t="e">
        <f aca="false">IF($F$12=CF6,1,0)</f>
        <v>#N/A</v>
      </c>
      <c r="CE6" s="53" t="s">
        <v>103</v>
      </c>
      <c r="CF6" s="26" t="n">
        <v>25</v>
      </c>
      <c r="CG6" s="48"/>
      <c r="CH6" s="26" t="e">
        <f aca="false">IF($E$14=CJ6,1,0)</f>
        <v>#VALUE!</v>
      </c>
      <c r="CI6" s="21" t="n">
        <v>3</v>
      </c>
      <c r="CJ6" s="21" t="s">
        <v>100</v>
      </c>
      <c r="CK6" s="21" t="e">
        <f aca="false">IF($E$14=CM6,1,0)</f>
        <v>#VALUE!</v>
      </c>
      <c r="CL6" s="21" t="n">
        <v>3</v>
      </c>
      <c r="CM6" s="21" t="s">
        <v>101</v>
      </c>
      <c r="CN6" s="70" t="e">
        <f aca="false">IF($E$14=CP6,1,0)</f>
        <v>#VALUE!</v>
      </c>
      <c r="CO6" s="21" t="n">
        <v>3</v>
      </c>
      <c r="CP6" s="70" t="s">
        <v>102</v>
      </c>
      <c r="CQ6" s="50"/>
      <c r="CR6" s="54" t="n">
        <f aca="false">IF($B$15=CT6,1,0)</f>
        <v>0</v>
      </c>
      <c r="CS6" s="21" t="n">
        <v>2</v>
      </c>
      <c r="CT6" s="21" t="s">
        <v>34</v>
      </c>
      <c r="CU6" s="50"/>
      <c r="CV6" s="48"/>
      <c r="CW6" s="26" t="n">
        <f aca="false">IF($E$9=CY6,1,0)</f>
        <v>0</v>
      </c>
      <c r="CX6" s="53" t="s">
        <v>94</v>
      </c>
      <c r="CY6" s="26" t="s">
        <v>91</v>
      </c>
      <c r="CZ6" s="50"/>
      <c r="DA6" s="26" t="n">
        <f aca="false">IF($F$9=DC6,1,0)</f>
        <v>0</v>
      </c>
      <c r="DB6" s="53" t="s">
        <v>94</v>
      </c>
      <c r="DC6" s="26" t="n">
        <v>2</v>
      </c>
      <c r="DD6" s="50"/>
      <c r="DE6" s="26" t="n">
        <f aca="false">IF($B$16=DG6,1,0)</f>
        <v>0</v>
      </c>
      <c r="DF6" s="53" t="s">
        <v>104</v>
      </c>
      <c r="DG6" s="76" t="s">
        <v>54</v>
      </c>
      <c r="DH6" s="50"/>
      <c r="DI6" s="26"/>
      <c r="DJ6" s="53"/>
      <c r="DK6" s="52"/>
    </row>
    <row r="7" customFormat="false" ht="15" hidden="false" customHeight="false" outlineLevel="0" collapsed="false">
      <c r="A7" s="55" t="s">
        <v>105</v>
      </c>
      <c r="B7" s="71" t="n">
        <f aca="false">'ОЛ(4)'!N15</f>
        <v>0</v>
      </c>
      <c r="C7" s="72" t="s">
        <v>86</v>
      </c>
      <c r="E7" s="0" t="s">
        <v>106</v>
      </c>
      <c r="F7" s="73" t="n">
        <f aca="false">VLOOKUP(1,IF(B14="IMI Hydronic",Z4:AB21,IF(B14="Siemens",AC4:AE22,AF4:AH16)),3,0)</f>
        <v>1.6</v>
      </c>
      <c r="I7" s="51" t="n">
        <f aca="false">IF($B$12&lt;12,(IF((L7&gt;4)*AND(L7&lt;16),2,0)),IF((L7&gt;4)*AND(L7&lt;20),2,0))</f>
        <v>0</v>
      </c>
      <c r="J7" s="54" t="n">
        <v>32</v>
      </c>
      <c r="K7" s="54" t="n">
        <f aca="false">1/POWER(1.14+2*LOG10((J7/1000)/($K$21/1000)),2)</f>
        <v>0.0442773220047029</v>
      </c>
      <c r="L7" s="54" t="n">
        <f aca="false">0.00638*K7*POWER($F$4,2)/(POWER(J7/1000,5)*$K$20)</f>
        <v>0</v>
      </c>
      <c r="M7" s="54"/>
      <c r="N7" s="54" t="e">
        <f aca="false">IF((Q7&gt;4)*AND(Q7&lt;20),1,0)</f>
        <v>#DIV/0!</v>
      </c>
      <c r="O7" s="54" t="n">
        <v>32</v>
      </c>
      <c r="P7" s="54" t="n">
        <f aca="false">1/POWER(1.14+2*LOG10((O7/1000)/($K$21/1000)),2)</f>
        <v>0.0442773220047029</v>
      </c>
      <c r="Q7" s="58" t="e">
        <f aca="false">0.00638*P7*POWER($F$11,2)/(POWER(O7/1000,5)*$K$20)</f>
        <v>#DIV/0!</v>
      </c>
      <c r="R7" s="54" t="n">
        <f aca="false">IF((U7&gt;4)*AND(U7&lt;20),1,0)</f>
        <v>0</v>
      </c>
      <c r="S7" s="54" t="n">
        <v>32</v>
      </c>
      <c r="T7" s="54" t="n">
        <f aca="false">1/POWER(1.14+2*LOG10((S7/1000)/($K$21/1000)),2)</f>
        <v>0.0442773220047029</v>
      </c>
      <c r="U7" s="58" t="n">
        <f aca="false">0.00638*T7*POWER($F$16,2)/(POWER(S7/1000,5)*$K$20)</f>
        <v>0</v>
      </c>
      <c r="W7" s="51"/>
      <c r="X7" s="54"/>
      <c r="Y7" s="54"/>
      <c r="Z7" s="51" t="n">
        <f aca="false">IF(AB7&gt;$X$5,1,0)</f>
        <v>1</v>
      </c>
      <c r="AA7" s="63" t="n">
        <v>20</v>
      </c>
      <c r="AB7" s="58" t="n">
        <v>6.3</v>
      </c>
      <c r="AC7" s="51" t="n">
        <f aca="false">IF(AE7&gt;$X$5,1,0)</f>
        <v>1</v>
      </c>
      <c r="AD7" s="63" t="n">
        <v>20</v>
      </c>
      <c r="AE7" s="58" t="n">
        <v>6.3</v>
      </c>
      <c r="AF7" s="54" t="n">
        <f aca="false">IF(AH7&gt;$X$5,1,0)</f>
        <v>1</v>
      </c>
      <c r="AG7" s="63" t="n">
        <v>20</v>
      </c>
      <c r="AH7" s="58" t="n">
        <v>6.3</v>
      </c>
      <c r="AJ7" s="69" t="n">
        <v>14</v>
      </c>
      <c r="AK7" s="51" t="e">
        <f aca="false">IF($F$13&lt;AJ7,1,0)</f>
        <v>#DIV/0!</v>
      </c>
      <c r="AL7" s="58" t="s">
        <v>107</v>
      </c>
      <c r="AM7" s="50" t="e">
        <f aca="false">IF($F$13&lt;AJ7,1,0)</f>
        <v>#DIV/0!</v>
      </c>
      <c r="AN7" s="50" t="s">
        <v>108</v>
      </c>
      <c r="AO7" s="51" t="e">
        <f aca="false">IF($F$13&lt;AJ7,1,0)</f>
        <v>#DIV/0!</v>
      </c>
      <c r="AP7" s="50" t="s">
        <v>109</v>
      </c>
      <c r="AR7" s="54"/>
      <c r="AS7" s="51" t="n">
        <v>1</v>
      </c>
      <c r="AT7" s="54" t="n">
        <f aca="false">IF($B$4&lt;AS7,1,0)</f>
        <v>1</v>
      </c>
      <c r="AU7" s="54" t="s">
        <v>92</v>
      </c>
      <c r="AV7" s="54" t="n">
        <f aca="false">IF($B$4&lt;AS7,1,0)</f>
        <v>1</v>
      </c>
      <c r="AW7" s="20" t="n">
        <v>2</v>
      </c>
      <c r="AX7" s="77" t="n">
        <v>0.9</v>
      </c>
      <c r="AY7" s="54" t="n">
        <f aca="false">IF($B$4&lt;AX7,1,0)</f>
        <v>1</v>
      </c>
      <c r="AZ7" s="54" t="s">
        <v>92</v>
      </c>
      <c r="BA7" s="54" t="n">
        <f aca="false">IF($B$4&lt;AX7,1,0)</f>
        <v>1</v>
      </c>
      <c r="BB7" s="20" t="n">
        <v>2</v>
      </c>
      <c r="BC7" s="51" t="n">
        <v>0.95</v>
      </c>
      <c r="BD7" s="54" t="n">
        <f aca="false">IF($B$4&lt;BC7,1,0)</f>
        <v>1</v>
      </c>
      <c r="BE7" s="54" t="s">
        <v>92</v>
      </c>
      <c r="BF7" s="54" t="n">
        <f aca="false">IF($B$4&lt;BC7,1,0)</f>
        <v>1</v>
      </c>
      <c r="BG7" s="78" t="n">
        <v>3</v>
      </c>
      <c r="BH7" s="0" t="n">
        <v>0.48</v>
      </c>
      <c r="BI7" s="54" t="n">
        <f aca="false">IF($B$4&lt;BH7,1,0)</f>
        <v>1</v>
      </c>
      <c r="BJ7" s="54" t="s">
        <v>92</v>
      </c>
      <c r="BK7" s="54" t="n">
        <f aca="false">IF($B$4&lt;BH7,1,0)</f>
        <v>1</v>
      </c>
      <c r="BL7" s="58" t="n">
        <v>2</v>
      </c>
      <c r="BN7" s="47"/>
      <c r="BO7" s="26"/>
      <c r="BP7" s="48"/>
      <c r="BQ7" s="26" t="e">
        <f aca="false">IF($F$5=BS7,1,0)</f>
        <v>#N/A</v>
      </c>
      <c r="BR7" s="53" t="s">
        <v>110</v>
      </c>
      <c r="BS7" s="26" t="n">
        <v>32</v>
      </c>
      <c r="BT7" s="50"/>
      <c r="BU7" s="69" t="n">
        <f aca="false">IF($F$7=BX7,1,0)</f>
        <v>0</v>
      </c>
      <c r="BV7" s="53" t="s">
        <v>110</v>
      </c>
      <c r="BW7" s="26" t="n">
        <v>15</v>
      </c>
      <c r="BX7" s="52" t="n">
        <v>2.5</v>
      </c>
      <c r="BY7" s="48"/>
      <c r="BZ7" s="26"/>
      <c r="CA7" s="53"/>
      <c r="CB7" s="26"/>
      <c r="CC7" s="48"/>
      <c r="CD7" s="26" t="e">
        <f aca="false">IF($F$12=CF7,1,0)</f>
        <v>#N/A</v>
      </c>
      <c r="CE7" s="53" t="s">
        <v>110</v>
      </c>
      <c r="CF7" s="26" t="n">
        <v>32</v>
      </c>
      <c r="CG7" s="48"/>
      <c r="CH7" s="26" t="e">
        <f aca="false">IF($E$14=CJ7,1,0)</f>
        <v>#VALUE!</v>
      </c>
      <c r="CI7" s="76" t="n">
        <v>4</v>
      </c>
      <c r="CJ7" s="21" t="s">
        <v>107</v>
      </c>
      <c r="CK7" s="21" t="e">
        <f aca="false">IF($E$14=CM7,1,0)</f>
        <v>#VALUE!</v>
      </c>
      <c r="CL7" s="76" t="n">
        <v>4</v>
      </c>
      <c r="CM7" s="21" t="s">
        <v>108</v>
      </c>
      <c r="CN7" s="70" t="e">
        <f aca="false">IF($E$14=CP7,1,0)</f>
        <v>#VALUE!</v>
      </c>
      <c r="CO7" s="76" t="n">
        <v>4</v>
      </c>
      <c r="CP7" s="21" t="s">
        <v>109</v>
      </c>
      <c r="CQ7" s="50"/>
      <c r="CR7" s="54" t="n">
        <f aca="false">IF($B$15=CT7,1,0)</f>
        <v>0</v>
      </c>
      <c r="CS7" s="21" t="n">
        <v>3</v>
      </c>
      <c r="CT7" s="76" t="s">
        <v>35</v>
      </c>
      <c r="CU7" s="50"/>
      <c r="CV7" s="48"/>
      <c r="CW7" s="26" t="n">
        <f aca="false">IF($E$9=CY7,1,0)</f>
        <v>0</v>
      </c>
      <c r="CX7" s="53" t="s">
        <v>104</v>
      </c>
      <c r="CY7" s="76" t="s">
        <v>93</v>
      </c>
      <c r="CZ7" s="50"/>
      <c r="DA7" s="26" t="n">
        <f aca="false">IF($F$9=DC7,1,0)</f>
        <v>0</v>
      </c>
      <c r="DB7" s="53" t="s">
        <v>104</v>
      </c>
      <c r="DC7" s="26" t="n">
        <v>3</v>
      </c>
      <c r="DD7" s="50"/>
      <c r="DE7" s="26"/>
      <c r="DF7" s="54"/>
      <c r="DG7" s="54"/>
      <c r="DH7" s="50"/>
      <c r="DI7" s="26"/>
      <c r="DJ7" s="53"/>
      <c r="DK7" s="79"/>
    </row>
    <row r="8" customFormat="false" ht="15" hidden="false" customHeight="false" outlineLevel="0" collapsed="false">
      <c r="A8" s="55" t="s">
        <v>111</v>
      </c>
      <c r="B8" s="71" t="n">
        <f aca="false">'ОЛ(4)'!R15</f>
        <v>0</v>
      </c>
      <c r="C8" s="72" t="s">
        <v>86</v>
      </c>
      <c r="E8" s="80" t="s">
        <v>73</v>
      </c>
      <c r="F8" s="57" t="n">
        <f aca="false">(F4^2/F7^2)*10</f>
        <v>0</v>
      </c>
      <c r="I8" s="51" t="n">
        <f aca="false">IF($B$12&lt;12,(IF((L8&gt;4)*AND(L8&lt;16),2,0)),IF((L8&gt;4)*AND(L8&lt;20),2,0))</f>
        <v>0</v>
      </c>
      <c r="J8" s="54" t="n">
        <v>40</v>
      </c>
      <c r="K8" s="54" t="n">
        <f aca="false">1/POWER(1.14+2*LOG10((J8/1000)/($K$21/1000)),2)</f>
        <v>0.0408752263386062</v>
      </c>
      <c r="L8" s="54" t="n">
        <f aca="false">0.00638*K8*POWER($F$4,2)/(POWER(J8/1000,5)*$K$20)</f>
        <v>0</v>
      </c>
      <c r="M8" s="54"/>
      <c r="N8" s="54" t="e">
        <f aca="false">IF((Q8&gt;4)*AND(Q8&lt;20),1,0)</f>
        <v>#DIV/0!</v>
      </c>
      <c r="O8" s="54" t="n">
        <v>40</v>
      </c>
      <c r="P8" s="54" t="n">
        <f aca="false">1/POWER(1.14+2*LOG10((O8/1000)/($K$21/1000)),2)</f>
        <v>0.0408752263386062</v>
      </c>
      <c r="Q8" s="58" t="e">
        <f aca="false">0.00638*P8*POWER($F$11,2)/(POWER(O8/1000,5)*$K$20)</f>
        <v>#DIV/0!</v>
      </c>
      <c r="R8" s="54" t="n">
        <f aca="false">IF((U8&gt;4)*AND(U8&lt;20),1,0)</f>
        <v>0</v>
      </c>
      <c r="S8" s="54" t="n">
        <v>40</v>
      </c>
      <c r="T8" s="54" t="n">
        <f aca="false">1/POWER(1.14+2*LOG10((S8/1000)/($K$21/1000)),2)</f>
        <v>0.0408752263386062</v>
      </c>
      <c r="U8" s="58" t="n">
        <f aca="false">0.00638*T8*POWER($F$16,2)/(POWER(S8/1000,5)*$K$20)</f>
        <v>0</v>
      </c>
      <c r="W8" s="59"/>
      <c r="X8" s="54"/>
      <c r="Y8" s="74"/>
      <c r="Z8" s="51" t="n">
        <f aca="false">IF(AB8&gt;$X$5,1,0)</f>
        <v>1</v>
      </c>
      <c r="AA8" s="63" t="n">
        <v>25</v>
      </c>
      <c r="AB8" s="58" t="n">
        <v>10</v>
      </c>
      <c r="AC8" s="51" t="n">
        <f aca="false">IF(AE8&gt;$X$5,1,0)</f>
        <v>1</v>
      </c>
      <c r="AD8" s="63" t="n">
        <v>25</v>
      </c>
      <c r="AE8" s="58" t="n">
        <v>10</v>
      </c>
      <c r="AF8" s="54" t="n">
        <f aca="false">IF(AH8&gt;$X$5,1,0)</f>
        <v>1</v>
      </c>
      <c r="AG8" s="63" t="n">
        <v>25</v>
      </c>
      <c r="AH8" s="58" t="n">
        <v>10</v>
      </c>
      <c r="AJ8" s="69" t="n">
        <v>25</v>
      </c>
      <c r="AK8" s="51" t="e">
        <f aca="false">IF($F$13&lt;AJ8,1,0)</f>
        <v>#DIV/0!</v>
      </c>
      <c r="AL8" s="58" t="s">
        <v>112</v>
      </c>
      <c r="AM8" s="50" t="e">
        <f aca="false">IF($F$13&lt;AJ8,1,0)</f>
        <v>#DIV/0!</v>
      </c>
      <c r="AN8" s="50" t="s">
        <v>113</v>
      </c>
      <c r="AO8" s="51" t="e">
        <f aca="false">IF($F$13&lt;AJ8,1,0)</f>
        <v>#DIV/0!</v>
      </c>
      <c r="AP8" s="75" t="s">
        <v>114</v>
      </c>
      <c r="AR8" s="54"/>
      <c r="AS8" s="51" t="n">
        <v>1.25</v>
      </c>
      <c r="AT8" s="54" t="n">
        <f aca="false">IF($B$4&lt;AS8,1,0)</f>
        <v>1</v>
      </c>
      <c r="AU8" s="54" t="s">
        <v>92</v>
      </c>
      <c r="AV8" s="54" t="n">
        <f aca="false">IF($B$4&lt;AS8,1,0)</f>
        <v>1</v>
      </c>
      <c r="AW8" s="20" t="n">
        <v>3</v>
      </c>
      <c r="AX8" s="77" t="n">
        <v>1.16</v>
      </c>
      <c r="AY8" s="54" t="n">
        <f aca="false">IF($B$4&lt;AX8,1,0)</f>
        <v>1</v>
      </c>
      <c r="AZ8" s="54" t="s">
        <v>92</v>
      </c>
      <c r="BA8" s="54" t="n">
        <f aca="false">IF($B$4&lt;AX8,1,0)</f>
        <v>1</v>
      </c>
      <c r="BB8" s="20" t="n">
        <v>3</v>
      </c>
      <c r="BC8" s="51" t="n">
        <v>1.25</v>
      </c>
      <c r="BD8" s="54" t="n">
        <f aca="false">IF($B$4&lt;BC8,1,0)</f>
        <v>1</v>
      </c>
      <c r="BE8" s="54" t="s">
        <v>92</v>
      </c>
      <c r="BF8" s="54" t="n">
        <f aca="false">IF($B$4&lt;BC8,1,0)</f>
        <v>1</v>
      </c>
      <c r="BG8" s="78" t="n">
        <v>4</v>
      </c>
      <c r="BH8" s="0" t="n">
        <v>0.66</v>
      </c>
      <c r="BI8" s="54" t="n">
        <f aca="false">IF($B$4&lt;BH8,1,0)</f>
        <v>1</v>
      </c>
      <c r="BJ8" s="54" t="s">
        <v>92</v>
      </c>
      <c r="BK8" s="54" t="n">
        <f aca="false">IF($B$4&lt;BH8,1,0)</f>
        <v>1</v>
      </c>
      <c r="BL8" s="58" t="n">
        <v>3</v>
      </c>
      <c r="BN8" s="47"/>
      <c r="BO8" s="26"/>
      <c r="BP8" s="48"/>
      <c r="BQ8" s="26" t="e">
        <f aca="false">IF($F$5=BS8,1,0)</f>
        <v>#N/A</v>
      </c>
      <c r="BR8" s="53" t="s">
        <v>115</v>
      </c>
      <c r="BS8" s="26" t="n">
        <v>40</v>
      </c>
      <c r="BT8" s="50"/>
      <c r="BU8" s="69" t="n">
        <f aca="false">IF($F$7=BX8,1,0)</f>
        <v>0</v>
      </c>
      <c r="BV8" s="53" t="s">
        <v>115</v>
      </c>
      <c r="BW8" s="26" t="n">
        <v>15</v>
      </c>
      <c r="BX8" s="52" t="n">
        <v>4</v>
      </c>
      <c r="BY8" s="48"/>
      <c r="BZ8" s="26"/>
      <c r="CA8" s="53"/>
      <c r="CB8" s="26"/>
      <c r="CC8" s="48"/>
      <c r="CD8" s="26" t="e">
        <f aca="false">IF($F$12=CF8,1,0)</f>
        <v>#N/A</v>
      </c>
      <c r="CE8" s="53" t="s">
        <v>115</v>
      </c>
      <c r="CF8" s="26" t="n">
        <v>40</v>
      </c>
      <c r="CG8" s="48"/>
      <c r="CH8" s="26" t="e">
        <f aca="false">IF($E$14=CJ8,1,0)</f>
        <v>#VALUE!</v>
      </c>
      <c r="CI8" s="76" t="n">
        <v>5</v>
      </c>
      <c r="CJ8" s="21" t="s">
        <v>112</v>
      </c>
      <c r="CK8" s="21" t="e">
        <f aca="false">IF($E$14=CM8,1,0)</f>
        <v>#VALUE!</v>
      </c>
      <c r="CL8" s="76" t="n">
        <v>5</v>
      </c>
      <c r="CM8" s="21" t="s">
        <v>113</v>
      </c>
      <c r="CN8" s="70" t="e">
        <f aca="false">IF($E$14=CP8,1,0)</f>
        <v>#VALUE!</v>
      </c>
      <c r="CO8" s="76" t="n">
        <v>5</v>
      </c>
      <c r="CP8" s="70" t="s">
        <v>114</v>
      </c>
      <c r="CQ8" s="50"/>
      <c r="CU8" s="50"/>
      <c r="CV8" s="48"/>
      <c r="CW8" s="26" t="n">
        <f aca="false">IF($E$9=CY8,1,0)</f>
        <v>0</v>
      </c>
      <c r="CX8" s="53" t="s">
        <v>116</v>
      </c>
      <c r="CY8" s="26" t="s">
        <v>92</v>
      </c>
      <c r="CZ8" s="50"/>
      <c r="DA8" s="26" t="n">
        <f aca="false">IF($F$9=DC8,1,0)</f>
        <v>0</v>
      </c>
      <c r="DB8" s="53" t="s">
        <v>116</v>
      </c>
      <c r="DC8" s="26" t="n">
        <v>4</v>
      </c>
      <c r="DD8" s="50"/>
      <c r="DE8" s="26"/>
      <c r="DF8" s="53"/>
      <c r="DG8" s="26"/>
      <c r="DH8" s="50"/>
      <c r="DI8" s="26"/>
      <c r="DJ8" s="53"/>
      <c r="DK8" s="52"/>
    </row>
    <row r="9" customFormat="false" ht="15" hidden="false" customHeight="false" outlineLevel="0" collapsed="false">
      <c r="A9" s="55" t="s">
        <v>117</v>
      </c>
      <c r="B9" s="71" t="n">
        <f aca="false">'ОЛ(4)'!W13*100</f>
        <v>60</v>
      </c>
      <c r="C9" s="72" t="s">
        <v>118</v>
      </c>
      <c r="E9" s="81" t="str">
        <f aca="false">IF('ОЛ(4)'!C28="ЗАВИСИМАЯ","ОТСУТСТВУЕТ",VLOOKUP(1,IF(B5=150,AT4:AU11,IF(B5=130,AY4:AZ11,IF(B5=115,BD4:BE10,IF(B5=105,BI4:BJ13,0)))),2,0))</f>
        <v>НН08</v>
      </c>
      <c r="F9" s="73" t="n">
        <f aca="false">IF('ОЛ(4)'!C28="ЗАВИСИМАЯ","ОТСУТСТВУЕТ",VLOOKUP(1,IF(B5=150,AV4:AW11,IF(B5=130,BA4:BB11,IF(B5=115,BF4:BG10,IF(B5=105,BK4:BL13,0)))),2,0))</f>
        <v>1</v>
      </c>
      <c r="I9" s="51" t="n">
        <f aca="false">IF($B$12&lt;12,(IF((L9&gt;4)*AND(L9&lt;16),2,0)),IF((L9&gt;4)*AND(L9&lt;20),2,0))</f>
        <v>0</v>
      </c>
      <c r="J9" s="54" t="n">
        <v>50</v>
      </c>
      <c r="K9" s="54" t="n">
        <f aca="false">1/POWER(1.14+2*LOG10((J9/1000)/($K$21/1000)),2)</f>
        <v>0.0378506866114551</v>
      </c>
      <c r="L9" s="54" t="n">
        <f aca="false">0.00638*K9*POWER($F$4,2)/(POWER(J9/1000,5)*$K$20)</f>
        <v>0</v>
      </c>
      <c r="M9" s="54"/>
      <c r="N9" s="54" t="e">
        <f aca="false">IF((Q9&gt;4)*AND(Q9&lt;20),1,0)</f>
        <v>#DIV/0!</v>
      </c>
      <c r="O9" s="54" t="n">
        <v>50</v>
      </c>
      <c r="P9" s="54" t="n">
        <f aca="false">1/POWER(1.14+2*LOG10((O9/1000)/($K$21/1000)),2)</f>
        <v>0.0378506866114551</v>
      </c>
      <c r="Q9" s="58" t="e">
        <f aca="false">0.00638*P9*POWER($F$11,2)/(POWER(O9/1000,5)*$K$20)</f>
        <v>#DIV/0!</v>
      </c>
      <c r="R9" s="54" t="n">
        <f aca="false">IF((U9&gt;4)*AND(U9&lt;20),1,0)</f>
        <v>0</v>
      </c>
      <c r="S9" s="54" t="n">
        <v>50</v>
      </c>
      <c r="T9" s="54" t="n">
        <f aca="false">1/POWER(1.14+2*LOG10((S9/1000)/($K$21/1000)),2)</f>
        <v>0.0378506866114551</v>
      </c>
      <c r="U9" s="58" t="n">
        <f aca="false">0.00638*T9*POWER($F$16,2)/(POWER(S9/1000,5)*$K$20)</f>
        <v>0</v>
      </c>
      <c r="W9" s="59"/>
      <c r="X9" s="74"/>
      <c r="Y9" s="54"/>
      <c r="Z9" s="51" t="n">
        <f aca="false">IF(AB9&gt;$X$5,1,0)</f>
        <v>1</v>
      </c>
      <c r="AA9" s="63" t="n">
        <v>32</v>
      </c>
      <c r="AB9" s="58" t="n">
        <v>16</v>
      </c>
      <c r="AC9" s="51" t="n">
        <f aca="false">IF(AE9&gt;$X$5,1,0)</f>
        <v>1</v>
      </c>
      <c r="AD9" s="63" t="n">
        <v>32</v>
      </c>
      <c r="AE9" s="58" t="n">
        <v>16</v>
      </c>
      <c r="AF9" s="54" t="n">
        <f aca="false">IF(AH9&gt;$X$5,1,0)</f>
        <v>1</v>
      </c>
      <c r="AG9" s="63" t="n">
        <v>32</v>
      </c>
      <c r="AH9" s="58" t="n">
        <v>16</v>
      </c>
      <c r="AJ9" s="69" t="n">
        <v>30</v>
      </c>
      <c r="AK9" s="51" t="e">
        <f aca="false">IF($F$13&lt;AJ9,1,0)</f>
        <v>#DIV/0!</v>
      </c>
      <c r="AL9" s="58" t="s">
        <v>119</v>
      </c>
      <c r="AM9" s="50" t="e">
        <f aca="false">IF($F$13&lt;AJ9,1,0)</f>
        <v>#DIV/0!</v>
      </c>
      <c r="AN9" s="50" t="s">
        <v>120</v>
      </c>
      <c r="AO9" s="51" t="e">
        <f aca="false">IF($F$13&lt;AJ9,1,0)</f>
        <v>#DIV/0!</v>
      </c>
      <c r="AP9" s="75" t="s">
        <v>121</v>
      </c>
      <c r="AR9" s="54"/>
      <c r="AS9" s="51" t="n">
        <v>1.3</v>
      </c>
      <c r="AT9" s="54" t="n">
        <f aca="false">IF($B$4&lt;AS9,1,0)</f>
        <v>1</v>
      </c>
      <c r="AU9" s="54" t="s">
        <v>92</v>
      </c>
      <c r="AV9" s="54" t="n">
        <f aca="false">IF($B$4&lt;AS9,1,0)</f>
        <v>1</v>
      </c>
      <c r="AW9" s="20" t="n">
        <v>4</v>
      </c>
      <c r="AX9" s="51" t="n">
        <v>1.3</v>
      </c>
      <c r="AY9" s="54" t="n">
        <f aca="false">IF($B$4&lt;AX9,1,0)</f>
        <v>1</v>
      </c>
      <c r="AZ9" s="54" t="s">
        <v>92</v>
      </c>
      <c r="BA9" s="54" t="n">
        <f aca="false">IF($B$4&lt;AX9,1,0)</f>
        <v>1</v>
      </c>
      <c r="BB9" s="20" t="n">
        <v>4</v>
      </c>
      <c r="BC9" s="51" t="n">
        <v>1.8</v>
      </c>
      <c r="BD9" s="54" t="n">
        <f aca="false">IF($B$4&lt;BC9,1,0)</f>
        <v>1</v>
      </c>
      <c r="BE9" s="54" t="s">
        <v>122</v>
      </c>
      <c r="BF9" s="54" t="n">
        <f aca="false">IF($B$4&lt;BC9,1,0)</f>
        <v>1</v>
      </c>
      <c r="BG9" s="78" t="n">
        <v>2</v>
      </c>
      <c r="BH9" s="54" t="n">
        <v>0.91</v>
      </c>
      <c r="BI9" s="54" t="n">
        <f aca="false">IF($B$4&lt;BH9,1,0)</f>
        <v>1</v>
      </c>
      <c r="BJ9" s="54" t="s">
        <v>92</v>
      </c>
      <c r="BK9" s="54" t="n">
        <f aca="false">IF($B$4&lt;BH9,1,0)</f>
        <v>1</v>
      </c>
      <c r="BL9" s="58" t="n">
        <v>4</v>
      </c>
      <c r="BN9" s="47"/>
      <c r="BO9" s="26"/>
      <c r="BP9" s="48"/>
      <c r="BQ9" s="26" t="e">
        <f aca="false">IF($F$5=BS9,1,0)</f>
        <v>#N/A</v>
      </c>
      <c r="BR9" s="53" t="s">
        <v>123</v>
      </c>
      <c r="BS9" s="26" t="n">
        <v>50</v>
      </c>
      <c r="BT9" s="50"/>
      <c r="BU9" s="69" t="n">
        <f aca="false">IF($F$7=BX9,1,0)</f>
        <v>0</v>
      </c>
      <c r="BV9" s="53" t="s">
        <v>123</v>
      </c>
      <c r="BW9" s="26" t="n">
        <v>20</v>
      </c>
      <c r="BX9" s="52" t="n">
        <v>5</v>
      </c>
      <c r="BY9" s="48"/>
      <c r="BZ9" s="26"/>
      <c r="CA9" s="53"/>
      <c r="CB9" s="26"/>
      <c r="CC9" s="48"/>
      <c r="CD9" s="26" t="e">
        <f aca="false">IF($F$12=CF9,1,0)</f>
        <v>#N/A</v>
      </c>
      <c r="CE9" s="53" t="s">
        <v>123</v>
      </c>
      <c r="CF9" s="26" t="n">
        <v>50</v>
      </c>
      <c r="CG9" s="48"/>
      <c r="CH9" s="26" t="e">
        <f aca="false">IF($E$14=CJ9,1,0)</f>
        <v>#VALUE!</v>
      </c>
      <c r="CI9" s="76" t="n">
        <v>6</v>
      </c>
      <c r="CJ9" s="21" t="s">
        <v>119</v>
      </c>
      <c r="CK9" s="21" t="e">
        <f aca="false">IF($E$14=CM9,1,0)</f>
        <v>#VALUE!</v>
      </c>
      <c r="CL9" s="76" t="n">
        <v>6</v>
      </c>
      <c r="CM9" s="21" t="s">
        <v>120</v>
      </c>
      <c r="CN9" s="70" t="e">
        <f aca="false">IF($E$14=CP9,1,0)</f>
        <v>#VALUE!</v>
      </c>
      <c r="CO9" s="76" t="n">
        <v>6</v>
      </c>
      <c r="CP9" s="70" t="s">
        <v>121</v>
      </c>
      <c r="CQ9" s="50"/>
      <c r="CR9" s="54"/>
      <c r="CS9" s="54"/>
      <c r="CT9" s="54"/>
      <c r="CU9" s="50"/>
      <c r="CV9" s="48"/>
      <c r="CW9" s="26" t="n">
        <f aca="false">IF($E$9=CY9,1,0)</f>
        <v>0</v>
      </c>
      <c r="CX9" s="53" t="s">
        <v>124</v>
      </c>
      <c r="CY9" s="26" t="s">
        <v>122</v>
      </c>
      <c r="CZ9" s="50"/>
      <c r="DA9" s="26" t="n">
        <f aca="false">IF($F$9=DC9,1,0)</f>
        <v>0</v>
      </c>
      <c r="DB9" s="53" t="s">
        <v>124</v>
      </c>
      <c r="DC9" s="26" t="n">
        <v>5</v>
      </c>
      <c r="DD9" s="50"/>
      <c r="DE9" s="26"/>
      <c r="DF9" s="53"/>
      <c r="DG9" s="26"/>
      <c r="DH9" s="50"/>
      <c r="DI9" s="26"/>
      <c r="DJ9" s="53"/>
      <c r="DK9" s="52"/>
    </row>
    <row r="10" customFormat="false" ht="15" hidden="false" customHeight="false" outlineLevel="0" collapsed="false">
      <c r="A10" s="55" t="s">
        <v>125</v>
      </c>
      <c r="B10" s="71" t="n">
        <f aca="false">'ОЛ(4)'!AC13*100</f>
        <v>40</v>
      </c>
      <c r="C10" s="72" t="s">
        <v>118</v>
      </c>
      <c r="I10" s="51" t="n">
        <f aca="false">IF($B$12&lt;12,(IF((L10&gt;4)*AND(L10&lt;16),2,0)),IF((L10&gt;4)*AND(L10&lt;20),2,0))</f>
        <v>0</v>
      </c>
      <c r="J10" s="54" t="n">
        <v>65</v>
      </c>
      <c r="K10" s="54" t="n">
        <f aca="false">1/POWER(1.14+2*LOG10((J10/1000)/($K$21/1000)),2)</f>
        <v>0.0347051014322117</v>
      </c>
      <c r="L10" s="54" t="n">
        <f aca="false">0.00638*K10*POWER($F$4,2)/(POWER(J10/1000,5)*$K$20)</f>
        <v>0</v>
      </c>
      <c r="M10" s="54"/>
      <c r="N10" s="54" t="e">
        <f aca="false">IF((Q10&gt;4)*AND(Q10&lt;20),1,0)</f>
        <v>#DIV/0!</v>
      </c>
      <c r="O10" s="54" t="n">
        <v>65</v>
      </c>
      <c r="P10" s="54" t="n">
        <f aca="false">1/POWER(1.14+2*LOG10((O10/1000)/($K$21/1000)),2)</f>
        <v>0.0347051014322117</v>
      </c>
      <c r="Q10" s="58" t="e">
        <f aca="false">0.00638*P10*POWER($F$11,2)/(POWER(O10/1000,5)*$K$20)</f>
        <v>#DIV/0!</v>
      </c>
      <c r="R10" s="54" t="n">
        <f aca="false">IF((U10&gt;4)*AND(U10&lt;20),1,0)</f>
        <v>0</v>
      </c>
      <c r="S10" s="54" t="n">
        <v>65</v>
      </c>
      <c r="T10" s="54" t="n">
        <f aca="false">1/POWER(1.14+2*LOG10((S10/1000)/($K$21/1000)),2)</f>
        <v>0.0347051014322117</v>
      </c>
      <c r="U10" s="58" t="n">
        <f aca="false">0.00638*T10*POWER($F$16,2)/(POWER(S10/1000,5)*$K$20)</f>
        <v>0</v>
      </c>
      <c r="W10" s="51"/>
      <c r="X10" s="54"/>
      <c r="Y10" s="54"/>
      <c r="Z10" s="51" t="n">
        <f aca="false">IF(AB10&gt;$X$5,1,0)</f>
        <v>1</v>
      </c>
      <c r="AA10" s="63" t="n">
        <v>40</v>
      </c>
      <c r="AB10" s="58" t="n">
        <v>20</v>
      </c>
      <c r="AC10" s="51" t="n">
        <f aca="false">IF(AE10&gt;$X$5,1,0)</f>
        <v>1</v>
      </c>
      <c r="AD10" s="63" t="n">
        <v>40</v>
      </c>
      <c r="AE10" s="58" t="n">
        <v>25</v>
      </c>
      <c r="AF10" s="54" t="n">
        <f aca="false">IF(AH10&gt;$X$5,1,0)</f>
        <v>1</v>
      </c>
      <c r="AG10" s="63" t="n">
        <v>40</v>
      </c>
      <c r="AH10" s="58" t="n">
        <v>25</v>
      </c>
      <c r="AJ10" s="69" t="n">
        <v>40</v>
      </c>
      <c r="AK10" s="51" t="e">
        <f aca="false">IF($F$13&lt;AJ10,1,0)</f>
        <v>#DIV/0!</v>
      </c>
      <c r="AL10" s="58" t="s">
        <v>126</v>
      </c>
      <c r="AM10" s="50" t="e">
        <f aca="false">IF($F$13&lt;AJ10,1,0)</f>
        <v>#DIV/0!</v>
      </c>
      <c r="AN10" s="50" t="s">
        <v>127</v>
      </c>
      <c r="AO10" s="51" t="e">
        <f aca="false">IF($F$13&lt;AJ10,1,0)</f>
        <v>#DIV/0!</v>
      </c>
      <c r="AP10" s="75" t="s">
        <v>128</v>
      </c>
      <c r="AR10" s="54"/>
      <c r="AS10" s="51" t="n">
        <v>1.65</v>
      </c>
      <c r="AT10" s="54" t="n">
        <f aca="false">IF($B$4&lt;AS10,1,0)</f>
        <v>1</v>
      </c>
      <c r="AU10" s="54" t="s">
        <v>122</v>
      </c>
      <c r="AV10" s="54" t="n">
        <f aca="false">IF($B$4&lt;AS10,1,0)</f>
        <v>1</v>
      </c>
      <c r="AW10" s="20" t="n">
        <v>1</v>
      </c>
      <c r="AX10" s="77" t="n">
        <v>1.4</v>
      </c>
      <c r="AY10" s="54" t="n">
        <f aca="false">IF($B$4&lt;AX10,1,0)</f>
        <v>1</v>
      </c>
      <c r="AZ10" s="54" t="s">
        <v>122</v>
      </c>
      <c r="BA10" s="54" t="n">
        <f aca="false">IF($B$4&lt;AX10,1,0)</f>
        <v>1</v>
      </c>
      <c r="BB10" s="20" t="n">
        <v>1</v>
      </c>
      <c r="BC10" s="51" t="n">
        <v>2.001</v>
      </c>
      <c r="BD10" s="54" t="n">
        <f aca="false">IF($B$4&lt;BC10,1,0)</f>
        <v>1</v>
      </c>
      <c r="BE10" s="54" t="s">
        <v>129</v>
      </c>
      <c r="BF10" s="54" t="n">
        <f aca="false">IF($B$4&lt;BC10,1,0)</f>
        <v>1</v>
      </c>
      <c r="BG10" s="78" t="n">
        <v>1</v>
      </c>
      <c r="BH10" s="54" t="n">
        <v>1.1</v>
      </c>
      <c r="BI10" s="54" t="n">
        <f aca="false">IF($B$4&lt;BH10,1,0)</f>
        <v>1</v>
      </c>
      <c r="BJ10" s="54" t="s">
        <v>92</v>
      </c>
      <c r="BK10" s="54" t="n">
        <f aca="false">IF($B$4&lt;BH10,1,0)</f>
        <v>1</v>
      </c>
      <c r="BL10" s="58" t="n">
        <v>5</v>
      </c>
      <c r="BN10" s="47"/>
      <c r="BO10" s="26"/>
      <c r="BP10" s="48"/>
      <c r="BQ10" s="26" t="e">
        <f aca="false">IF($F$5=BS10,1,0)</f>
        <v>#N/A</v>
      </c>
      <c r="BR10" s="53" t="s">
        <v>130</v>
      </c>
      <c r="BS10" s="26" t="n">
        <v>65</v>
      </c>
      <c r="BT10" s="50"/>
      <c r="BU10" s="69" t="n">
        <f aca="false">IF($F$7=BX10,1,0)</f>
        <v>0</v>
      </c>
      <c r="BV10" s="53" t="s">
        <v>130</v>
      </c>
      <c r="BW10" s="26" t="n">
        <v>20</v>
      </c>
      <c r="BX10" s="52" t="n">
        <v>6.3</v>
      </c>
      <c r="BY10" s="48"/>
      <c r="BZ10" s="26"/>
      <c r="CA10" s="53"/>
      <c r="CB10" s="26"/>
      <c r="CC10" s="48"/>
      <c r="CD10" s="26" t="e">
        <f aca="false">IF($F$12=CF10,1,0)</f>
        <v>#N/A</v>
      </c>
      <c r="CE10" s="53" t="s">
        <v>130</v>
      </c>
      <c r="CF10" s="26" t="n">
        <v>65</v>
      </c>
      <c r="CG10" s="48"/>
      <c r="CH10" s="26" t="e">
        <f aca="false">IF($E$14=CJ10,1,0)</f>
        <v>#VALUE!</v>
      </c>
      <c r="CI10" s="76" t="n">
        <v>7</v>
      </c>
      <c r="CJ10" s="21" t="s">
        <v>126</v>
      </c>
      <c r="CK10" s="21" t="e">
        <f aca="false">IF($E$14=CM10,1,0)</f>
        <v>#VALUE!</v>
      </c>
      <c r="CL10" s="76" t="n">
        <v>7</v>
      </c>
      <c r="CM10" s="21" t="s">
        <v>127</v>
      </c>
      <c r="CN10" s="70" t="e">
        <f aca="false">IF($E$14=CP10,1,0)</f>
        <v>#VALUE!</v>
      </c>
      <c r="CO10" s="76" t="n">
        <v>7</v>
      </c>
      <c r="CP10" s="70" t="s">
        <v>128</v>
      </c>
      <c r="CQ10" s="50"/>
      <c r="CU10" s="50"/>
      <c r="CV10" s="48"/>
      <c r="CW10" s="26" t="n">
        <f aca="false">IF($E$9=CY10,1,0)</f>
        <v>0</v>
      </c>
      <c r="CX10" s="53" t="s">
        <v>131</v>
      </c>
      <c r="CY10" s="26" t="s">
        <v>129</v>
      </c>
      <c r="CZ10" s="50"/>
      <c r="DA10" s="26"/>
      <c r="DB10" s="53"/>
      <c r="DC10" s="26"/>
      <c r="DD10" s="50"/>
      <c r="DE10" s="26"/>
      <c r="DF10" s="53"/>
      <c r="DG10" s="26"/>
      <c r="DH10" s="50"/>
      <c r="DI10" s="26"/>
      <c r="DJ10" s="53"/>
      <c r="DK10" s="52"/>
    </row>
    <row r="11" customFormat="false" ht="15" hidden="false" customHeight="false" outlineLevel="0" collapsed="false">
      <c r="A11" s="82" t="s">
        <v>132</v>
      </c>
      <c r="B11" s="71" t="n">
        <f aca="false">'ОЛ(4)'!Z15</f>
        <v>0</v>
      </c>
      <c r="C11" s="72" t="s">
        <v>118</v>
      </c>
      <c r="E11" s="0" t="s">
        <v>133</v>
      </c>
      <c r="F11" s="57" t="e">
        <f aca="false">B4*1000/(B7-B8)</f>
        <v>#DIV/0!</v>
      </c>
      <c r="I11" s="51" t="n">
        <f aca="false">IF($B$12&lt;12,(IF((L11&gt;4)*AND(L11&lt;16),2,0)),IF((L11&gt;4)*AND(L11&lt;20),2,0))</f>
        <v>0</v>
      </c>
      <c r="J11" s="54" t="n">
        <v>80</v>
      </c>
      <c r="K11" s="54" t="n">
        <f aca="false">1/POWER(1.14+2*LOG10((J11/1000)/($K$21/1000)),2)</f>
        <v>0.032485497883736</v>
      </c>
      <c r="L11" s="54" t="n">
        <f aca="false">0.00638*K11*POWER($F$4,2)/(POWER(J11/1000,5)*$K$20)</f>
        <v>0</v>
      </c>
      <c r="M11" s="54"/>
      <c r="N11" s="54" t="e">
        <f aca="false">IF((Q11&gt;4)*AND(Q11&lt;20),1,0)</f>
        <v>#DIV/0!</v>
      </c>
      <c r="O11" s="54" t="n">
        <v>80</v>
      </c>
      <c r="P11" s="54" t="n">
        <f aca="false">1/POWER(1.14+2*LOG10((O11/1000)/($K$21/1000)),2)</f>
        <v>0.032485497883736</v>
      </c>
      <c r="Q11" s="58" t="e">
        <f aca="false">0.00638*P11*POWER($F$11,2)/(POWER(O11/1000,5)*$K$20)</f>
        <v>#DIV/0!</v>
      </c>
      <c r="R11" s="54" t="n">
        <f aca="false">IF((U11&gt;4)*AND(U11&lt;20),1,0)</f>
        <v>0</v>
      </c>
      <c r="S11" s="54" t="n">
        <v>80</v>
      </c>
      <c r="T11" s="54" t="n">
        <f aca="false">1/POWER(1.14+2*LOG10((S11/1000)/($K$21/1000)),2)</f>
        <v>0.032485497883736</v>
      </c>
      <c r="U11" s="58" t="n">
        <f aca="false">0.00638*T11*POWER($F$16,2)/(POWER(S11/1000,5)*$K$20)</f>
        <v>0</v>
      </c>
      <c r="W11" s="51"/>
      <c r="X11" s="54"/>
      <c r="Y11" s="74"/>
      <c r="Z11" s="51" t="n">
        <f aca="false">IF(AB11&gt;$X$5,1,0)</f>
        <v>1</v>
      </c>
      <c r="AA11" s="63" t="n">
        <v>40</v>
      </c>
      <c r="AB11" s="58" t="n">
        <v>25</v>
      </c>
      <c r="AC11" s="51" t="n">
        <f aca="false">IF(AE11&gt;$X$5,1,0)</f>
        <v>1</v>
      </c>
      <c r="AD11" s="63" t="n">
        <v>50</v>
      </c>
      <c r="AE11" s="83" t="n">
        <v>31.5</v>
      </c>
      <c r="AF11" s="54" t="n">
        <f aca="false">IF(AH11&gt;$X$5,1,0)</f>
        <v>1</v>
      </c>
      <c r="AG11" s="63" t="n">
        <v>50</v>
      </c>
      <c r="AH11" s="58" t="n">
        <v>40</v>
      </c>
      <c r="AJ11" s="69" t="n">
        <v>50</v>
      </c>
      <c r="AK11" s="51" t="e">
        <f aca="false">IF($F$13&lt;AJ11,1,0)</f>
        <v>#DIV/0!</v>
      </c>
      <c r="AL11" s="58" t="s">
        <v>134</v>
      </c>
      <c r="AM11" s="50" t="e">
        <f aca="false">IF($F$13&lt;AJ11,1,0)</f>
        <v>#DIV/0!</v>
      </c>
      <c r="AN11" s="50" t="s">
        <v>135</v>
      </c>
      <c r="AO11" s="51" t="e">
        <f aca="false">IF($F$13&lt;AJ11,1,0)</f>
        <v>#DIV/0!</v>
      </c>
      <c r="AP11" s="50" t="s">
        <v>135</v>
      </c>
      <c r="AS11" s="51" t="n">
        <v>2.001</v>
      </c>
      <c r="AT11" s="54" t="n">
        <f aca="false">IF($B$4&lt;AS11,1,0)</f>
        <v>1</v>
      </c>
      <c r="AU11" s="54" t="s">
        <v>122</v>
      </c>
      <c r="AV11" s="54" t="n">
        <f aca="false">IF($B$4&lt;AS11,1,0)</f>
        <v>1</v>
      </c>
      <c r="AW11" s="20" t="n">
        <v>2</v>
      </c>
      <c r="AX11" s="51" t="n">
        <v>2.001</v>
      </c>
      <c r="AY11" s="54" t="n">
        <f aca="false">IF($B$4&lt;AX11,1,0)</f>
        <v>1</v>
      </c>
      <c r="AZ11" s="54" t="s">
        <v>122</v>
      </c>
      <c r="BA11" s="54" t="n">
        <f aca="false">IF($B$4&lt;AX11,1,0)</f>
        <v>1</v>
      </c>
      <c r="BB11" s="20" t="n">
        <v>2</v>
      </c>
      <c r="BC11" s="51"/>
      <c r="BD11" s="54"/>
      <c r="BE11" s="54"/>
      <c r="BF11" s="54"/>
      <c r="BG11" s="58"/>
      <c r="BH11" s="54" t="n">
        <v>1.3</v>
      </c>
      <c r="BI11" s="54" t="n">
        <f aca="false">IF($B$4&lt;BH11,1,0)</f>
        <v>1</v>
      </c>
      <c r="BJ11" s="54" t="s">
        <v>122</v>
      </c>
      <c r="BK11" s="54" t="n">
        <f aca="false">IF($B$4&lt;BH11,1,0)</f>
        <v>1</v>
      </c>
      <c r="BL11" s="58" t="n">
        <v>2</v>
      </c>
      <c r="BN11" s="47"/>
      <c r="BO11" s="26"/>
      <c r="BP11" s="48"/>
      <c r="BQ11" s="26" t="e">
        <f aca="false">IF($F$5=BS11,1,0)</f>
        <v>#N/A</v>
      </c>
      <c r="BR11" s="53" t="s">
        <v>136</v>
      </c>
      <c r="BS11" s="26" t="n">
        <v>80</v>
      </c>
      <c r="BT11" s="50"/>
      <c r="BU11" s="69" t="n">
        <f aca="false">IF($F$7=BX11,1,0)</f>
        <v>0</v>
      </c>
      <c r="BV11" s="53" t="s">
        <v>136</v>
      </c>
      <c r="BW11" s="26" t="n">
        <v>25</v>
      </c>
      <c r="BX11" s="52" t="n">
        <v>8</v>
      </c>
      <c r="BY11" s="48"/>
      <c r="BZ11" s="26"/>
      <c r="CA11" s="53"/>
      <c r="CB11" s="26"/>
      <c r="CC11" s="48"/>
      <c r="CD11" s="26" t="e">
        <f aca="false">IF($F$12=CF11,1,0)</f>
        <v>#N/A</v>
      </c>
      <c r="CE11" s="53" t="s">
        <v>136</v>
      </c>
      <c r="CF11" s="26" t="n">
        <v>80</v>
      </c>
      <c r="CG11" s="48"/>
      <c r="CH11" s="26" t="e">
        <f aca="false">IF($E$14=CJ11,1,0)</f>
        <v>#VALUE!</v>
      </c>
      <c r="CI11" s="76" t="n">
        <v>8</v>
      </c>
      <c r="CJ11" s="21" t="s">
        <v>134</v>
      </c>
      <c r="CK11" s="21"/>
      <c r="CL11" s="21"/>
      <c r="CM11" s="21"/>
      <c r="CN11" s="21"/>
      <c r="CO11" s="21"/>
      <c r="CP11" s="21"/>
      <c r="CQ11" s="50"/>
      <c r="CU11" s="50"/>
      <c r="CV11" s="48"/>
      <c r="CW11" s="26"/>
      <c r="CX11" s="53"/>
      <c r="CY11" s="26"/>
      <c r="CZ11" s="50"/>
      <c r="DA11" s="26"/>
      <c r="DB11" s="53"/>
      <c r="DC11" s="26"/>
      <c r="DD11" s="50"/>
      <c r="DE11" s="26"/>
      <c r="DF11" s="53"/>
      <c r="DG11" s="26"/>
      <c r="DH11" s="50"/>
      <c r="DI11" s="26"/>
      <c r="DJ11" s="53"/>
      <c r="DK11" s="52"/>
    </row>
    <row r="12" customFormat="false" ht="15" hidden="false" customHeight="false" outlineLevel="0" collapsed="false">
      <c r="A12" s="82" t="s">
        <v>137</v>
      </c>
      <c r="B12" s="0" t="n">
        <f aca="false">B9-B10</f>
        <v>20</v>
      </c>
      <c r="C12" s="72" t="s">
        <v>118</v>
      </c>
      <c r="E12" s="0" t="s">
        <v>51</v>
      </c>
      <c r="F12" s="73" t="e">
        <f aca="false">VLOOKUP(1,N4:Q17,2,0)</f>
        <v>#N/A</v>
      </c>
      <c r="I12" s="51" t="n">
        <f aca="false">IF($B$12&lt;12,(IF((L12&gt;4)*AND(L12&lt;16),2,0)),IF((L12&gt;4)*AND(L12&lt;20),2,0))</f>
        <v>0</v>
      </c>
      <c r="J12" s="54" t="n">
        <v>100</v>
      </c>
      <c r="K12" s="54" t="n">
        <f aca="false">1/POWER(1.14+2*LOG10((J12/1000)/($K$21/1000)),2)</f>
        <v>0.0303294509825929</v>
      </c>
      <c r="L12" s="54" t="n">
        <f aca="false">0.00638*K12*POWER($F$4,2)/(POWER(J12/1000,5)*$K$20)</f>
        <v>0</v>
      </c>
      <c r="M12" s="54"/>
      <c r="N12" s="54" t="e">
        <f aca="false">IF((Q12&gt;4)*AND(Q12&lt;20),1,0)</f>
        <v>#DIV/0!</v>
      </c>
      <c r="O12" s="54" t="n">
        <v>100</v>
      </c>
      <c r="P12" s="54" t="n">
        <f aca="false">1/POWER(1.14+2*LOG10((O12/1000)/($K$21/1000)),2)</f>
        <v>0.0303294509825929</v>
      </c>
      <c r="Q12" s="58" t="e">
        <f aca="false">0.00638*P12*POWER($F$11,2)/(POWER(O12/1000,5)*$K$20)</f>
        <v>#DIV/0!</v>
      </c>
      <c r="R12" s="54" t="n">
        <f aca="false">IF((U12&gt;4)*AND(U12&lt;20),1,0)</f>
        <v>0</v>
      </c>
      <c r="S12" s="54" t="n">
        <v>100</v>
      </c>
      <c r="T12" s="54" t="n">
        <f aca="false">1/POWER(1.14+2*LOG10((S12/1000)/($K$21/1000)),2)</f>
        <v>0.0303294509825929</v>
      </c>
      <c r="U12" s="58" t="n">
        <f aca="false">0.00638*T12*POWER($F$16,2)/(POWER(S12/1000,5)*$K$20)</f>
        <v>0</v>
      </c>
      <c r="W12" s="59"/>
      <c r="X12" s="54"/>
      <c r="Y12" s="54"/>
      <c r="Z12" s="51" t="n">
        <f aca="false">IF(AB12&gt;$X$5,1,0)</f>
        <v>1</v>
      </c>
      <c r="AA12" s="63" t="n">
        <v>50</v>
      </c>
      <c r="AB12" s="58" t="n">
        <v>31.5</v>
      </c>
      <c r="AC12" s="51" t="n">
        <f aca="false">IF(AE12&gt;$X$5,1,0)</f>
        <v>1</v>
      </c>
      <c r="AD12" s="63" t="n">
        <v>50</v>
      </c>
      <c r="AE12" s="83" t="n">
        <v>40</v>
      </c>
      <c r="AF12" s="54" t="n">
        <f aca="false">IF(AH12&gt;$X$5,1,0)</f>
        <v>1</v>
      </c>
      <c r="AG12" s="63" t="n">
        <v>65</v>
      </c>
      <c r="AH12" s="58" t="n">
        <v>63</v>
      </c>
      <c r="AJ12" s="84" t="n">
        <v>60</v>
      </c>
      <c r="AK12" s="77" t="e">
        <f aca="false">IF($F$13&lt;AJ12,1,0)</f>
        <v>#DIV/0!</v>
      </c>
      <c r="AL12" s="83" t="s">
        <v>135</v>
      </c>
      <c r="AM12" s="50" t="e">
        <f aca="false">IF($F$13&lt;AJ12,1,0)</f>
        <v>#DIV/0!</v>
      </c>
      <c r="AN12" s="85" t="s">
        <v>135</v>
      </c>
      <c r="AO12" s="51" t="e">
        <f aca="false">IF($F$13&lt;AJ12,1,0)</f>
        <v>#DIV/0!</v>
      </c>
      <c r="AP12" s="85" t="s">
        <v>135</v>
      </c>
      <c r="AS12" s="51"/>
      <c r="AT12" s="54"/>
      <c r="AU12" s="54"/>
      <c r="AV12" s="54"/>
      <c r="AW12" s="20"/>
      <c r="AX12" s="51"/>
      <c r="AY12" s="54"/>
      <c r="AZ12" s="54"/>
      <c r="BA12" s="54"/>
      <c r="BB12" s="58"/>
      <c r="BC12" s="51"/>
      <c r="BD12" s="54"/>
      <c r="BE12" s="54"/>
      <c r="BF12" s="54"/>
      <c r="BG12" s="58"/>
      <c r="BH12" s="63" t="n">
        <v>1.45</v>
      </c>
      <c r="BI12" s="54" t="n">
        <f aca="false">IF($B$4&lt;BH12,1,0)</f>
        <v>1</v>
      </c>
      <c r="BJ12" s="54" t="s">
        <v>129</v>
      </c>
      <c r="BK12" s="54" t="n">
        <f aca="false">IF($B$4&lt;BH12,1,0)</f>
        <v>1</v>
      </c>
      <c r="BL12" s="58" t="n">
        <v>1</v>
      </c>
      <c r="BN12" s="47"/>
      <c r="BO12" s="26"/>
      <c r="BP12" s="48"/>
      <c r="BQ12" s="26" t="e">
        <f aca="false">IF($F$5=BS12,1,0)</f>
        <v>#N/A</v>
      </c>
      <c r="BR12" s="53" t="s">
        <v>138</v>
      </c>
      <c r="BS12" s="26" t="n">
        <v>100</v>
      </c>
      <c r="BT12" s="50"/>
      <c r="BU12" s="69" t="n">
        <f aca="false">IF($F$7=BX12,1,0)</f>
        <v>0</v>
      </c>
      <c r="BV12" s="53" t="s">
        <v>138</v>
      </c>
      <c r="BW12" s="26" t="n">
        <v>25</v>
      </c>
      <c r="BX12" s="52" t="n">
        <v>10</v>
      </c>
      <c r="BY12" s="48"/>
      <c r="BZ12" s="26"/>
      <c r="CA12" s="53"/>
      <c r="CB12" s="26"/>
      <c r="CC12" s="48"/>
      <c r="CD12" s="26" t="e">
        <f aca="false">IF($F$12=CF12,1,0)</f>
        <v>#N/A</v>
      </c>
      <c r="CE12" s="53" t="s">
        <v>138</v>
      </c>
      <c r="CF12" s="26" t="n">
        <v>100</v>
      </c>
      <c r="CG12" s="48"/>
      <c r="CH12" s="26" t="e">
        <f aca="false">IF($E$14=CJ12,1,0)</f>
        <v>#VALUE!</v>
      </c>
      <c r="CI12" s="21"/>
      <c r="CJ12" s="54"/>
      <c r="CK12" s="54"/>
      <c r="CL12" s="54"/>
      <c r="CM12" s="54"/>
      <c r="CN12" s="54"/>
      <c r="CO12" s="54"/>
      <c r="CP12" s="54"/>
      <c r="CQ12" s="50"/>
      <c r="CU12" s="50"/>
      <c r="CV12" s="48"/>
      <c r="CW12" s="26"/>
      <c r="CX12" s="53"/>
      <c r="CY12" s="26"/>
      <c r="CZ12" s="50"/>
      <c r="DA12" s="26"/>
      <c r="DB12" s="53"/>
      <c r="DC12" s="26"/>
      <c r="DD12" s="50"/>
      <c r="DE12" s="26"/>
      <c r="DF12" s="53"/>
      <c r="DG12" s="26"/>
      <c r="DH12" s="50"/>
      <c r="DI12" s="26"/>
      <c r="DJ12" s="53"/>
      <c r="DK12" s="52"/>
    </row>
    <row r="13" customFormat="false" ht="15.75" hidden="false" customHeight="false" outlineLevel="0" collapsed="false">
      <c r="A13" s="55"/>
      <c r="C13" s="72"/>
      <c r="E13" s="0" t="s">
        <v>56</v>
      </c>
      <c r="F13" s="57" t="e">
        <f aca="false">F11*1.1</f>
        <v>#DIV/0!</v>
      </c>
      <c r="I13" s="51" t="n">
        <f aca="false">IF($B$12&lt;12,(IF((L13&gt;4)*AND(L13&lt;16),2,0)),IF((L13&gt;4)*AND(L13&lt;20),2,0))</f>
        <v>0</v>
      </c>
      <c r="J13" s="54" t="n">
        <v>125</v>
      </c>
      <c r="K13" s="54" t="n">
        <f aca="false">1/POWER(1.14+2*LOG10((J13/1000)/($K$21/1000)),2)</f>
        <v>0.0283811358286925</v>
      </c>
      <c r="L13" s="54" t="n">
        <f aca="false">0.00638*K13*POWER($F$4,2)/(POWER(J13/1000,5)*$K$20)</f>
        <v>0</v>
      </c>
      <c r="M13" s="54"/>
      <c r="N13" s="54" t="e">
        <f aca="false">IF((Q13&gt;4)*AND(Q13&lt;20),1,0)</f>
        <v>#DIV/0!</v>
      </c>
      <c r="O13" s="54" t="n">
        <v>125</v>
      </c>
      <c r="P13" s="54" t="n">
        <f aca="false">1/POWER(1.14+2*LOG10((O13/1000)/($K$21/1000)),2)</f>
        <v>0.0283811358286925</v>
      </c>
      <c r="Q13" s="58" t="e">
        <f aca="false">0.00638*P13*POWER($F$11,2)/(POWER(O13/1000,5)*$K$20)</f>
        <v>#DIV/0!</v>
      </c>
      <c r="R13" s="54" t="n">
        <f aca="false">IF((U13&gt;4)*AND(U13&lt;20),1,0)</f>
        <v>0</v>
      </c>
      <c r="S13" s="54" t="n">
        <v>125</v>
      </c>
      <c r="T13" s="54" t="n">
        <f aca="false">1/POWER(1.14+2*LOG10((S13/1000)/($K$21/1000)),2)</f>
        <v>0.0283811358286925</v>
      </c>
      <c r="U13" s="58" t="n">
        <f aca="false">0.00638*T13*POWER($F$16,2)/(POWER(S13/1000,5)*$K$20)</f>
        <v>0</v>
      </c>
      <c r="W13" s="59"/>
      <c r="X13" s="74"/>
      <c r="Y13" s="54"/>
      <c r="Z13" s="51" t="n">
        <f aca="false">IF(AB13&gt;$X$5,1,0)</f>
        <v>1</v>
      </c>
      <c r="AA13" s="63" t="n">
        <v>50</v>
      </c>
      <c r="AB13" s="58" t="n">
        <v>40</v>
      </c>
      <c r="AC13" s="51" t="n">
        <f aca="false">IF(AE13&gt;$X$5,1,0)</f>
        <v>1</v>
      </c>
      <c r="AD13" s="63" t="n">
        <v>65</v>
      </c>
      <c r="AE13" s="83" t="n">
        <v>50</v>
      </c>
      <c r="AF13" s="54" t="n">
        <f aca="false">IF(AH13&gt;$X$5,1,0)</f>
        <v>1</v>
      </c>
      <c r="AG13" s="63" t="n">
        <v>80</v>
      </c>
      <c r="AH13" s="58" t="n">
        <v>100</v>
      </c>
      <c r="AJ13" s="86" t="n">
        <v>90</v>
      </c>
      <c r="AK13" s="87" t="e">
        <f aca="false">IF($F$13&lt;AJ13,1,0)</f>
        <v>#DIV/0!</v>
      </c>
      <c r="AL13" s="88" t="s">
        <v>139</v>
      </c>
      <c r="AM13" s="89" t="e">
        <f aca="false">IF($F$13&lt;AJ13,1,0)</f>
        <v>#DIV/0!</v>
      </c>
      <c r="AN13" s="88" t="s">
        <v>139</v>
      </c>
      <c r="AO13" s="87" t="e">
        <f aca="false">IF($F$13&lt;AJ13,1,0)</f>
        <v>#DIV/0!</v>
      </c>
      <c r="AP13" s="90" t="s">
        <v>139</v>
      </c>
      <c r="AS13" s="51"/>
      <c r="AT13" s="54"/>
      <c r="AU13" s="54"/>
      <c r="AV13" s="54"/>
      <c r="AW13" s="20"/>
      <c r="AX13" s="51"/>
      <c r="AY13" s="54"/>
      <c r="AZ13" s="54"/>
      <c r="BA13" s="54"/>
      <c r="BB13" s="58"/>
      <c r="BC13" s="51"/>
      <c r="BD13" s="54"/>
      <c r="BE13" s="54"/>
      <c r="BF13" s="54"/>
      <c r="BG13" s="58"/>
      <c r="BH13" s="51" t="n">
        <v>2.001</v>
      </c>
      <c r="BI13" s="54" t="n">
        <f aca="false">IF($B$4&lt;BH13,1,0)</f>
        <v>1</v>
      </c>
      <c r="BJ13" s="54" t="s">
        <v>129</v>
      </c>
      <c r="BK13" s="54" t="n">
        <f aca="false">IF($B$4&lt;BH13,1,0)</f>
        <v>1</v>
      </c>
      <c r="BL13" s="58" t="n">
        <v>2</v>
      </c>
      <c r="BN13" s="47"/>
      <c r="BO13" s="26"/>
      <c r="BP13" s="48"/>
      <c r="BQ13" s="26" t="e">
        <f aca="false">IF($F$5=BS13,1,0)</f>
        <v>#N/A</v>
      </c>
      <c r="BR13" s="53" t="s">
        <v>140</v>
      </c>
      <c r="BS13" s="26" t="n">
        <v>125</v>
      </c>
      <c r="BT13" s="50"/>
      <c r="BU13" s="69" t="n">
        <f aca="false">IF($F$7=BX13,1,0)</f>
        <v>0</v>
      </c>
      <c r="BV13" s="53" t="s">
        <v>140</v>
      </c>
      <c r="BW13" s="26" t="n">
        <v>32</v>
      </c>
      <c r="BX13" s="52" t="n">
        <v>12.5</v>
      </c>
      <c r="BY13" s="48"/>
      <c r="BZ13" s="26"/>
      <c r="CA13" s="53"/>
      <c r="CB13" s="26"/>
      <c r="CC13" s="48"/>
      <c r="CD13" s="26" t="e">
        <f aca="false">IF($F$12=CF13,1,0)</f>
        <v>#N/A</v>
      </c>
      <c r="CE13" s="53" t="s">
        <v>140</v>
      </c>
      <c r="CF13" s="26" t="n">
        <v>125</v>
      </c>
      <c r="CG13" s="48"/>
      <c r="CH13" s="26" t="e">
        <f aca="false">IF($E$14=CJ13,1,0)</f>
        <v>#VALUE!</v>
      </c>
      <c r="CI13" s="21" t="n">
        <v>10</v>
      </c>
      <c r="CJ13" s="76" t="s">
        <v>135</v>
      </c>
      <c r="CK13" s="26" t="e">
        <f aca="false">IF($E$14=CM13,1,0)</f>
        <v>#VALUE!</v>
      </c>
      <c r="CL13" s="21" t="n">
        <v>10</v>
      </c>
      <c r="CM13" s="76" t="s">
        <v>135</v>
      </c>
      <c r="CN13" s="26" t="e">
        <f aca="false">IF($E$14=CP13,1,0)</f>
        <v>#VALUE!</v>
      </c>
      <c r="CO13" s="21" t="n">
        <v>10</v>
      </c>
      <c r="CP13" s="76" t="s">
        <v>135</v>
      </c>
      <c r="CQ13" s="50"/>
      <c r="CR13" s="54"/>
      <c r="CS13" s="76"/>
      <c r="CT13" s="54"/>
      <c r="CU13" s="50"/>
      <c r="CV13" s="48"/>
      <c r="CW13" s="26"/>
      <c r="CX13" s="53"/>
      <c r="CY13" s="26"/>
      <c r="CZ13" s="50"/>
      <c r="DA13" s="26"/>
      <c r="DB13" s="53"/>
      <c r="DC13" s="26"/>
      <c r="DD13" s="50"/>
      <c r="DE13" s="26"/>
      <c r="DF13" s="53"/>
      <c r="DG13" s="26"/>
      <c r="DH13" s="50"/>
      <c r="DI13" s="26"/>
      <c r="DJ13" s="53"/>
      <c r="DK13" s="52"/>
    </row>
    <row r="14" customFormat="false" ht="15" hidden="false" customHeight="false" outlineLevel="0" collapsed="false">
      <c r="A14" s="55" t="s">
        <v>31</v>
      </c>
      <c r="B14" s="26" t="n">
        <f aca="false">'ОЛ(4)'!O28</f>
        <v>0</v>
      </c>
      <c r="C14" s="26"/>
      <c r="E14" s="26" t="e">
        <f aca="false">VLOOKUP(1,IF(B15="TOP-SD",AK4:AL13,IF(B15="Yonos MAXO-D",AM4:AN13,IF(B15="Stratos-D",AO4:AP13,0))),2,0)</f>
        <v>#VALUE!</v>
      </c>
      <c r="F14" s="26"/>
      <c r="I14" s="51" t="n">
        <f aca="false">IF($B$12&lt;12,(IF((L14&gt;4)*AND(L14&lt;16),2,0)),IF((L14&gt;4)*AND(L14&lt;20),2,0))</f>
        <v>0</v>
      </c>
      <c r="J14" s="54" t="n">
        <v>150</v>
      </c>
      <c r="K14" s="54" t="n">
        <f aca="false">1/POWER(1.14+2*LOG10((J14/1000)/($K$21/1000)),2)</f>
        <v>0.0269252990527845</v>
      </c>
      <c r="L14" s="54" t="n">
        <f aca="false">0.00638*K14*POWER($F$4,2)/(POWER(J14/1000,5)*$K$20)</f>
        <v>0</v>
      </c>
      <c r="M14" s="54"/>
      <c r="N14" s="54" t="e">
        <f aca="false">IF((Q14&gt;4)*AND(Q14&lt;20),1,0)</f>
        <v>#DIV/0!</v>
      </c>
      <c r="O14" s="54" t="n">
        <v>150</v>
      </c>
      <c r="P14" s="54" t="n">
        <f aca="false">1/POWER(1.14+2*LOG10((O14/1000)/($K$21/1000)),2)</f>
        <v>0.0269252990527845</v>
      </c>
      <c r="Q14" s="58" t="e">
        <f aca="false">0.00638*P14*POWER($F$11,2)/(POWER(O14/1000,5)*$K$20)</f>
        <v>#DIV/0!</v>
      </c>
      <c r="R14" s="54" t="n">
        <f aca="false">IF((U14&gt;4)*AND(U14&lt;20),1,0)</f>
        <v>0</v>
      </c>
      <c r="S14" s="54" t="n">
        <v>150</v>
      </c>
      <c r="T14" s="54" t="n">
        <f aca="false">1/POWER(1.14+2*LOG10((S14/1000)/($K$21/1000)),2)</f>
        <v>0.0269252990527845</v>
      </c>
      <c r="U14" s="58" t="n">
        <f aca="false">0.00638*T14*POWER($F$16,2)/(POWER(S14/1000,5)*$K$20)</f>
        <v>0</v>
      </c>
      <c r="W14" s="51"/>
      <c r="X14" s="54"/>
      <c r="Y14" s="54"/>
      <c r="Z14" s="51" t="n">
        <f aca="false">IF(AB14&gt;$X$5,1,0)</f>
        <v>1</v>
      </c>
      <c r="AA14" s="63" t="n">
        <v>65</v>
      </c>
      <c r="AB14" s="58" t="n">
        <v>50</v>
      </c>
      <c r="AC14" s="51" t="n">
        <f aca="false">IF(AE14&gt;$X$5,1,0)</f>
        <v>1</v>
      </c>
      <c r="AD14" s="63" t="n">
        <v>65</v>
      </c>
      <c r="AE14" s="83" t="n">
        <v>63</v>
      </c>
      <c r="AF14" s="54" t="n">
        <f aca="false">IF(AH14&gt;$X$5,1,0)</f>
        <v>1</v>
      </c>
      <c r="AG14" s="63" t="n">
        <v>100</v>
      </c>
      <c r="AH14" s="58" t="n">
        <v>160</v>
      </c>
      <c r="AS14" s="51"/>
      <c r="AT14" s="54"/>
      <c r="AU14" s="54"/>
      <c r="AV14" s="54"/>
      <c r="AW14" s="20"/>
      <c r="AX14" s="51"/>
      <c r="AY14" s="54"/>
      <c r="AZ14" s="54"/>
      <c r="BA14" s="54"/>
      <c r="BB14" s="58"/>
      <c r="BC14" s="51"/>
      <c r="BD14" s="54"/>
      <c r="BE14" s="54"/>
      <c r="BF14" s="54"/>
      <c r="BG14" s="58"/>
      <c r="BH14" s="54"/>
      <c r="BI14" s="54"/>
      <c r="BJ14" s="54"/>
      <c r="BK14" s="54"/>
      <c r="BL14" s="58"/>
      <c r="BN14" s="47"/>
      <c r="BO14" s="26"/>
      <c r="BP14" s="48"/>
      <c r="BQ14" s="26" t="e">
        <f aca="false">IF($F$5=BS14,1,0)</f>
        <v>#N/A</v>
      </c>
      <c r="BR14" s="53" t="s">
        <v>141</v>
      </c>
      <c r="BS14" s="26" t="n">
        <v>150</v>
      </c>
      <c r="BT14" s="50"/>
      <c r="BU14" s="69" t="n">
        <f aca="false">IF($F$7=BX14,1,0)</f>
        <v>0</v>
      </c>
      <c r="BV14" s="53" t="s">
        <v>141</v>
      </c>
      <c r="BW14" s="26" t="n">
        <v>32</v>
      </c>
      <c r="BX14" s="52" t="n">
        <v>16</v>
      </c>
      <c r="BY14" s="48"/>
      <c r="BZ14" s="26"/>
      <c r="CA14" s="53"/>
      <c r="CB14" s="26"/>
      <c r="CC14" s="48"/>
      <c r="CD14" s="26" t="e">
        <f aca="false">IF($F$12=CF14,1,0)</f>
        <v>#N/A</v>
      </c>
      <c r="CE14" s="53" t="s">
        <v>141</v>
      </c>
      <c r="CF14" s="26" t="n">
        <v>150</v>
      </c>
      <c r="CG14" s="48"/>
      <c r="CH14" s="26" t="e">
        <f aca="false">IF($E$14=CJ14,1,0)</f>
        <v>#VALUE!</v>
      </c>
      <c r="CI14" s="21" t="n">
        <v>11</v>
      </c>
      <c r="CJ14" s="76" t="s">
        <v>139</v>
      </c>
      <c r="CK14" s="26" t="e">
        <f aca="false">IF($E$14=CM14,1,0)</f>
        <v>#VALUE!</v>
      </c>
      <c r="CL14" s="21" t="n">
        <v>11</v>
      </c>
      <c r="CM14" s="76" t="s">
        <v>139</v>
      </c>
      <c r="CN14" s="26" t="e">
        <f aca="false">IF($E$14=CP14,1,0)</f>
        <v>#VALUE!</v>
      </c>
      <c r="CO14" s="21" t="n">
        <v>11</v>
      </c>
      <c r="CP14" s="76" t="s">
        <v>139</v>
      </c>
      <c r="CQ14" s="50"/>
      <c r="CR14" s="54"/>
      <c r="CS14" s="76"/>
      <c r="CT14" s="54"/>
      <c r="CU14" s="50"/>
      <c r="CV14" s="48"/>
      <c r="CW14" s="26"/>
      <c r="CX14" s="53"/>
      <c r="CY14" s="26"/>
      <c r="CZ14" s="50"/>
      <c r="DA14" s="26"/>
      <c r="DB14" s="53"/>
      <c r="DC14" s="26"/>
      <c r="DD14" s="50"/>
      <c r="DE14" s="26"/>
      <c r="DF14" s="53"/>
      <c r="DG14" s="26"/>
      <c r="DH14" s="50"/>
      <c r="DI14" s="26"/>
      <c r="DJ14" s="53"/>
      <c r="DK14" s="52"/>
    </row>
    <row r="15" customFormat="false" ht="15" hidden="false" customHeight="false" outlineLevel="0" collapsed="false">
      <c r="A15" s="55" t="s">
        <v>32</v>
      </c>
      <c r="B15" s="26" t="n">
        <f aca="false">'ОЛ(4)'!I28</f>
        <v>0</v>
      </c>
      <c r="C15" s="26"/>
      <c r="I15" s="51" t="n">
        <f aca="false">IF($B$12&lt;12,(IF((L15&gt;4)*AND(L15&lt;16),2,0)),IF((L15&gt;4)*AND(L15&lt;20),2,0))</f>
        <v>0</v>
      </c>
      <c r="J15" s="54" t="n">
        <v>200</v>
      </c>
      <c r="K15" s="54" t="n">
        <f aca="false">1/POWER(1.14+2*LOG10((J15/1000)/($K$21/1000)),2)</f>
        <v>0.0248460425197335</v>
      </c>
      <c r="L15" s="54" t="n">
        <f aca="false">0.00638*K15*POWER($F$4,2)/(POWER(J15/1000,5)*$K$20)</f>
        <v>0</v>
      </c>
      <c r="M15" s="54"/>
      <c r="N15" s="54" t="e">
        <f aca="false">IF((Q15&gt;4)*AND(Q15&lt;20),1,0)</f>
        <v>#DIV/0!</v>
      </c>
      <c r="O15" s="54" t="n">
        <v>200</v>
      </c>
      <c r="P15" s="54" t="n">
        <f aca="false">1/POWER(1.14+2*LOG10((O15/1000)/($K$21/1000)),2)</f>
        <v>0.0248460425197335</v>
      </c>
      <c r="Q15" s="58" t="e">
        <f aca="false">0.00638*P15*POWER($F$11,2)/(POWER(O15/1000,5)*$K$20)</f>
        <v>#DIV/0!</v>
      </c>
      <c r="R15" s="54" t="n">
        <f aca="false">IF((U15&gt;4)*AND(U15&lt;20),1,0)</f>
        <v>0</v>
      </c>
      <c r="S15" s="54" t="n">
        <v>200</v>
      </c>
      <c r="T15" s="54" t="n">
        <f aca="false">1/POWER(1.14+2*LOG10((S15/1000)/($K$21/1000)),2)</f>
        <v>0.0248460425197335</v>
      </c>
      <c r="U15" s="58" t="n">
        <f aca="false">0.00638*T15*POWER($F$16,2)/(POWER(S15/1000,5)*$K$20)</f>
        <v>0</v>
      </c>
      <c r="W15" s="51"/>
      <c r="X15" s="54"/>
      <c r="Y15" s="54"/>
      <c r="Z15" s="51" t="n">
        <f aca="false">IF(AB15&gt;$X$5,1,0)</f>
        <v>1</v>
      </c>
      <c r="AA15" s="63" t="n">
        <v>65</v>
      </c>
      <c r="AB15" s="58" t="n">
        <v>63</v>
      </c>
      <c r="AC15" s="51" t="n">
        <f aca="false">IF(AE15&gt;$X$5,1,0)</f>
        <v>1</v>
      </c>
      <c r="AD15" s="63" t="n">
        <v>80</v>
      </c>
      <c r="AE15" s="83" t="n">
        <v>80</v>
      </c>
      <c r="AF15" s="54" t="n">
        <f aca="false">IF(AH15&gt;$X$5,1,0)</f>
        <v>1</v>
      </c>
      <c r="AG15" s="63" t="n">
        <v>125</v>
      </c>
      <c r="AH15" s="58" t="n">
        <v>250</v>
      </c>
      <c r="AS15" s="51"/>
      <c r="AT15" s="54"/>
      <c r="AU15" s="54"/>
      <c r="AV15" s="54"/>
      <c r="AW15" s="20"/>
      <c r="AX15" s="51"/>
      <c r="AY15" s="54"/>
      <c r="AZ15" s="54"/>
      <c r="BA15" s="54"/>
      <c r="BB15" s="58"/>
      <c r="BC15" s="51"/>
      <c r="BD15" s="54"/>
      <c r="BE15" s="54"/>
      <c r="BF15" s="54"/>
      <c r="BG15" s="58"/>
      <c r="BH15" s="54"/>
      <c r="BI15" s="54"/>
      <c r="BJ15" s="54"/>
      <c r="BK15" s="54"/>
      <c r="BL15" s="58"/>
      <c r="BN15" s="47"/>
      <c r="BO15" s="26"/>
      <c r="BP15" s="48"/>
      <c r="BQ15" s="26" t="e">
        <f aca="false">IF($F$5=BS15,1,0)</f>
        <v>#N/A</v>
      </c>
      <c r="BR15" s="53" t="s">
        <v>142</v>
      </c>
      <c r="BS15" s="26" t="n">
        <v>200</v>
      </c>
      <c r="BT15" s="50"/>
      <c r="BU15" s="69" t="n">
        <f aca="false">IF($F$7=BX15,1,0)</f>
        <v>0</v>
      </c>
      <c r="BV15" s="53" t="s">
        <v>142</v>
      </c>
      <c r="BW15" s="26" t="n">
        <v>40</v>
      </c>
      <c r="BX15" s="52" t="n">
        <v>20</v>
      </c>
      <c r="BY15" s="48"/>
      <c r="BZ15" s="26"/>
      <c r="CA15" s="53"/>
      <c r="CB15" s="26"/>
      <c r="CC15" s="48"/>
      <c r="CD15" s="26" t="e">
        <f aca="false">IF($F$12=CF15,1,0)</f>
        <v>#N/A</v>
      </c>
      <c r="CE15" s="53" t="s">
        <v>142</v>
      </c>
      <c r="CF15" s="26" t="n">
        <v>200</v>
      </c>
      <c r="CG15" s="48"/>
      <c r="CH15" s="26"/>
      <c r="CI15" s="21"/>
      <c r="CJ15" s="54"/>
      <c r="CK15" s="54"/>
      <c r="CL15" s="54"/>
      <c r="CM15" s="54"/>
      <c r="CN15" s="54"/>
      <c r="CO15" s="54"/>
      <c r="CP15" s="54"/>
      <c r="CQ15" s="50"/>
      <c r="CR15" s="54"/>
      <c r="CS15" s="54"/>
      <c r="CT15" s="54"/>
      <c r="CU15" s="50"/>
      <c r="CV15" s="48"/>
      <c r="CW15" s="26"/>
      <c r="CX15" s="53"/>
      <c r="CY15" s="26"/>
      <c r="CZ15" s="50"/>
      <c r="DA15" s="26"/>
      <c r="DB15" s="53"/>
      <c r="DC15" s="26"/>
      <c r="DD15" s="50"/>
      <c r="DE15" s="26"/>
      <c r="DF15" s="53"/>
      <c r="DG15" s="26"/>
      <c r="DH15" s="50"/>
      <c r="DI15" s="26"/>
      <c r="DJ15" s="53"/>
      <c r="DK15" s="52"/>
    </row>
    <row r="16" customFormat="false" ht="15.75" hidden="false" customHeight="false" outlineLevel="0" collapsed="false">
      <c r="A16" s="55" t="s">
        <v>143</v>
      </c>
      <c r="B16" s="26" t="n">
        <f aca="false">'ОЛ(4)'!U28</f>
        <v>0</v>
      </c>
      <c r="C16" s="26"/>
      <c r="E16" s="0" t="s">
        <v>144</v>
      </c>
      <c r="F16" s="0" t="n">
        <f aca="false">IF(B18="Отопление",11.7,IF(B18="Вентиляция",8.6,30))*B4/6</f>
        <v>0</v>
      </c>
      <c r="I16" s="51" t="n">
        <f aca="false">IF($B$12&lt;12,(IF((L16&gt;4)*AND(L16&lt;16),2,0)),IF((L16&gt;4)*AND(L16&lt;20),2,0))</f>
        <v>0</v>
      </c>
      <c r="J16" s="54" t="n">
        <v>250</v>
      </c>
      <c r="K16" s="54" t="n">
        <f aca="false">1/POWER(1.14+2*LOG10((J16/1000)/($K$21/1000)),2)</f>
        <v>0.0233947353976847</v>
      </c>
      <c r="L16" s="54" t="n">
        <f aca="false">0.00638*K16*POWER($F$4,2)/(POWER(J16/1000,5)*$K$20)</f>
        <v>0</v>
      </c>
      <c r="M16" s="54"/>
      <c r="N16" s="54" t="e">
        <f aca="false">IF((Q16&gt;4)*AND(Q16&lt;20),1,0)</f>
        <v>#DIV/0!</v>
      </c>
      <c r="O16" s="54" t="n">
        <v>250</v>
      </c>
      <c r="P16" s="54" t="n">
        <f aca="false">1/POWER(1.14+2*LOG10((O16/1000)/($K$21/1000)),2)</f>
        <v>0.0233947353976847</v>
      </c>
      <c r="Q16" s="58" t="e">
        <f aca="false">0.00638*P16*POWER($F$11,2)/(POWER(O16/1000,5)*$K$20)</f>
        <v>#DIV/0!</v>
      </c>
      <c r="R16" s="54" t="n">
        <f aca="false">IF((U16&gt;4)*AND(U16&lt;20),1,0)</f>
        <v>0</v>
      </c>
      <c r="S16" s="54" t="n">
        <v>250</v>
      </c>
      <c r="T16" s="54" t="n">
        <f aca="false">1/POWER(1.14+2*LOG10((S16/1000)/($K$21/1000)),2)</f>
        <v>0.0233947353976847</v>
      </c>
      <c r="U16" s="58" t="n">
        <f aca="false">0.00638*T16*POWER($F$16,2)/(POWER(S16/1000,5)*$K$20)</f>
        <v>0</v>
      </c>
      <c r="W16" s="51"/>
      <c r="X16" s="54"/>
      <c r="Y16" s="54"/>
      <c r="Z16" s="51" t="n">
        <f aca="false">IF(AB16&gt;$X$5,1,0)</f>
        <v>1</v>
      </c>
      <c r="AA16" s="63" t="n">
        <v>80</v>
      </c>
      <c r="AB16" s="58" t="n">
        <v>80</v>
      </c>
      <c r="AC16" s="51" t="n">
        <f aca="false">IF(AE16&gt;$X$5,1,0)</f>
        <v>1</v>
      </c>
      <c r="AD16" s="63" t="n">
        <v>80</v>
      </c>
      <c r="AE16" s="83" t="n">
        <v>100</v>
      </c>
      <c r="AF16" s="54" t="n">
        <f aca="false">IF(AH16&gt;$X$5,1,0)</f>
        <v>1</v>
      </c>
      <c r="AG16" s="63" t="n">
        <v>150</v>
      </c>
      <c r="AH16" s="58" t="n">
        <v>400</v>
      </c>
      <c r="AS16" s="91"/>
      <c r="AT16" s="92"/>
      <c r="AU16" s="92"/>
      <c r="AV16" s="92"/>
      <c r="AW16" s="93"/>
      <c r="AX16" s="91"/>
      <c r="AY16" s="92"/>
      <c r="AZ16" s="92"/>
      <c r="BA16" s="92"/>
      <c r="BB16" s="94"/>
      <c r="BC16" s="91"/>
      <c r="BD16" s="92"/>
      <c r="BE16" s="92"/>
      <c r="BF16" s="92"/>
      <c r="BG16" s="94"/>
      <c r="BH16" s="92"/>
      <c r="BI16" s="92"/>
      <c r="BJ16" s="92"/>
      <c r="BK16" s="92"/>
      <c r="BL16" s="94"/>
      <c r="BN16" s="47"/>
      <c r="BO16" s="26"/>
      <c r="BP16" s="48"/>
      <c r="BQ16" s="26"/>
      <c r="BR16" s="53"/>
      <c r="BS16" s="26"/>
      <c r="BT16" s="50"/>
      <c r="BU16" s="69" t="n">
        <f aca="false">IF($F$7=BX16,1,0)</f>
        <v>0</v>
      </c>
      <c r="BV16" s="53" t="s">
        <v>145</v>
      </c>
      <c r="BW16" s="26" t="n">
        <v>40</v>
      </c>
      <c r="BX16" s="52" t="n">
        <v>25</v>
      </c>
      <c r="BY16" s="48"/>
      <c r="BZ16" s="26"/>
      <c r="CA16" s="53"/>
      <c r="CB16" s="26"/>
      <c r="CC16" s="50"/>
      <c r="CD16" s="54"/>
      <c r="CE16" s="54"/>
      <c r="CF16" s="54"/>
      <c r="CG16" s="50"/>
      <c r="CH16" s="26"/>
      <c r="CI16" s="54"/>
      <c r="CJ16" s="54"/>
      <c r="CK16" s="54"/>
      <c r="CL16" s="54"/>
      <c r="CM16" s="54"/>
      <c r="CN16" s="54"/>
      <c r="CO16" s="54"/>
      <c r="CP16" s="54"/>
      <c r="CQ16" s="50"/>
      <c r="CR16" s="54"/>
      <c r="CS16" s="54"/>
      <c r="CT16" s="54"/>
      <c r="CU16" s="50"/>
      <c r="CV16" s="50"/>
      <c r="CW16" s="54"/>
      <c r="CX16" s="54"/>
      <c r="CY16" s="54"/>
      <c r="CZ16" s="50"/>
      <c r="DA16" s="54"/>
      <c r="DB16" s="54"/>
      <c r="DC16" s="54"/>
      <c r="DD16" s="50"/>
      <c r="DE16" s="54"/>
      <c r="DF16" s="54"/>
      <c r="DG16" s="54"/>
      <c r="DH16" s="50"/>
      <c r="DI16" s="54"/>
      <c r="DJ16" s="54"/>
      <c r="DK16" s="58"/>
    </row>
    <row r="17" customFormat="false" ht="15" hidden="false" customHeight="false" outlineLevel="0" collapsed="false">
      <c r="A17" s="55" t="s">
        <v>69</v>
      </c>
      <c r="B17" s="26" t="str">
        <f aca="false">'ОЛ(4)'!AA28</f>
        <v>Учтен в БОВ-1</v>
      </c>
      <c r="C17" s="26"/>
      <c r="E17" s="0" t="s">
        <v>52</v>
      </c>
      <c r="F17" s="0" t="e">
        <f aca="false">VLOOKUP(1,R4:U17,2,0)</f>
        <v>#N/A</v>
      </c>
      <c r="I17" s="51" t="n">
        <f aca="false">IF($B$12&lt;12,(IF((L17&gt;4)*AND(L17&lt;16),2,0)),IF((L17&gt;4)*AND(L17&lt;20),2,0))</f>
        <v>0</v>
      </c>
      <c r="J17" s="54" t="n">
        <v>300</v>
      </c>
      <c r="K17" s="54" t="n">
        <f aca="false">1/POWER(1.14+2*LOG10((J17/1000)/($K$21/1000)),2)</f>
        <v>0.0223012841491152</v>
      </c>
      <c r="L17" s="54" t="n">
        <f aca="false">0.00638*K17*POWER($F$4,2)/(POWER(J17/1000,5)*$K$20)</f>
        <v>0</v>
      </c>
      <c r="M17" s="54"/>
      <c r="N17" s="54" t="e">
        <f aca="false">IF((Q17&gt;4)*AND(Q17&lt;20),1,0)</f>
        <v>#DIV/0!</v>
      </c>
      <c r="O17" s="54" t="n">
        <v>300</v>
      </c>
      <c r="P17" s="54" t="n">
        <f aca="false">1/POWER(1.14+2*LOG10((O17/1000)/($K$21/1000)),2)</f>
        <v>0.0223012841491152</v>
      </c>
      <c r="Q17" s="58" t="e">
        <f aca="false">0.00638*P17*POWER($F$11,2)/(POWER(O17/1000,5)*$K$20)</f>
        <v>#DIV/0!</v>
      </c>
      <c r="R17" s="54" t="n">
        <f aca="false">IF((U17&gt;4)*AND(U17&lt;20),1,0)</f>
        <v>0</v>
      </c>
      <c r="S17" s="54" t="n">
        <v>300</v>
      </c>
      <c r="T17" s="54" t="n">
        <f aca="false">1/POWER(1.14+2*LOG10((S17/1000)/($K$21/1000)),2)</f>
        <v>0.0223012841491152</v>
      </c>
      <c r="U17" s="58" t="n">
        <f aca="false">0.00638*T17*POWER($F$16,2)/(POWER(S17/1000,5)*$K$20)</f>
        <v>0</v>
      </c>
      <c r="W17" s="51"/>
      <c r="X17" s="54"/>
      <c r="Y17" s="54"/>
      <c r="Z17" s="51" t="n">
        <f aca="false">IF(AB17&gt;$X$5,1,0)</f>
        <v>1</v>
      </c>
      <c r="AA17" s="63" t="n">
        <v>80</v>
      </c>
      <c r="AB17" s="58" t="n">
        <v>100</v>
      </c>
      <c r="AC17" s="77" t="n">
        <f aca="false">IF(AE17&gt;$X$5,1,0)</f>
        <v>1</v>
      </c>
      <c r="AD17" s="63" t="n">
        <v>100</v>
      </c>
      <c r="AE17" s="83" t="n">
        <v>125</v>
      </c>
      <c r="AF17" s="54"/>
      <c r="AG17" s="54"/>
      <c r="AH17" s="58"/>
      <c r="AS17" s="54"/>
      <c r="AT17" s="54"/>
      <c r="AU17" s="54"/>
      <c r="BN17" s="47"/>
      <c r="BO17" s="26"/>
      <c r="BP17" s="48"/>
      <c r="BQ17" s="26"/>
      <c r="BR17" s="53"/>
      <c r="BS17" s="26"/>
      <c r="BT17" s="50"/>
      <c r="BU17" s="69" t="n">
        <f aca="false">IF($F$7=BX17,1,0)</f>
        <v>0</v>
      </c>
      <c r="BV17" s="53" t="s">
        <v>146</v>
      </c>
      <c r="BW17" s="26" t="n">
        <v>50</v>
      </c>
      <c r="BX17" s="52" t="n">
        <v>31.5</v>
      </c>
      <c r="BY17" s="48"/>
      <c r="BZ17" s="26"/>
      <c r="CA17" s="53"/>
      <c r="CB17" s="26"/>
      <c r="CC17" s="50"/>
      <c r="CD17" s="54"/>
      <c r="CE17" s="54"/>
      <c r="CF17" s="54"/>
      <c r="CG17" s="50"/>
      <c r="CH17" s="26"/>
      <c r="CI17" s="54"/>
      <c r="CJ17" s="54"/>
      <c r="CK17" s="54"/>
      <c r="CL17" s="54"/>
      <c r="CM17" s="54"/>
      <c r="CN17" s="54"/>
      <c r="CO17" s="54"/>
      <c r="CP17" s="54"/>
      <c r="CQ17" s="50"/>
      <c r="CR17" s="54"/>
      <c r="CS17" s="54"/>
      <c r="CT17" s="54"/>
      <c r="CU17" s="50"/>
      <c r="CV17" s="50"/>
      <c r="CW17" s="54"/>
      <c r="CX17" s="54"/>
      <c r="CY17" s="54"/>
      <c r="CZ17" s="50"/>
      <c r="DA17" s="54"/>
      <c r="DB17" s="54"/>
      <c r="DC17" s="54"/>
      <c r="DD17" s="50"/>
      <c r="DE17" s="54"/>
      <c r="DF17" s="54"/>
      <c r="DG17" s="54"/>
      <c r="DH17" s="50"/>
      <c r="DI17" s="54"/>
      <c r="DJ17" s="54"/>
      <c r="DK17" s="58"/>
    </row>
    <row r="18" customFormat="false" ht="15" hidden="false" customHeight="false" outlineLevel="0" collapsed="false">
      <c r="A18" s="55" t="s">
        <v>147</v>
      </c>
      <c r="B18" s="26" t="str">
        <f aca="false">'ОЛ(4)'!A15</f>
        <v>Вентиляция</v>
      </c>
      <c r="C18" s="26"/>
      <c r="I18" s="51"/>
      <c r="J18" s="54"/>
      <c r="K18" s="54"/>
      <c r="L18" s="54"/>
      <c r="M18" s="54"/>
      <c r="N18" s="54"/>
      <c r="O18" s="54"/>
      <c r="P18" s="54"/>
      <c r="Q18" s="58"/>
      <c r="R18" s="54"/>
      <c r="S18" s="54"/>
      <c r="T18" s="54"/>
      <c r="U18" s="58"/>
      <c r="W18" s="51"/>
      <c r="X18" s="54"/>
      <c r="Y18" s="54"/>
      <c r="Z18" s="77" t="n">
        <f aca="false">IF(AB18&gt;$X$5,1,0)</f>
        <v>1</v>
      </c>
      <c r="AA18" s="63" t="n">
        <v>100</v>
      </c>
      <c r="AB18" s="58" t="n">
        <v>125</v>
      </c>
      <c r="AC18" s="77" t="n">
        <f aca="false">IF(AE18&gt;$X$5,1,0)</f>
        <v>1</v>
      </c>
      <c r="AD18" s="63" t="n">
        <v>100</v>
      </c>
      <c r="AE18" s="83" t="n">
        <v>160</v>
      </c>
      <c r="AF18" s="54"/>
      <c r="AG18" s="54"/>
      <c r="AH18" s="58"/>
      <c r="BN18" s="47"/>
      <c r="BO18" s="26"/>
      <c r="BP18" s="48"/>
      <c r="BQ18" s="26"/>
      <c r="BR18" s="53"/>
      <c r="BS18" s="26"/>
      <c r="BT18" s="50"/>
      <c r="BU18" s="69" t="n">
        <f aca="false">IF($F$7=BX18,1,0)</f>
        <v>0</v>
      </c>
      <c r="BV18" s="53" t="s">
        <v>148</v>
      </c>
      <c r="BW18" s="26" t="n">
        <v>50</v>
      </c>
      <c r="BX18" s="52" t="n">
        <v>40</v>
      </c>
      <c r="BY18" s="48"/>
      <c r="BZ18" s="26"/>
      <c r="CA18" s="53"/>
      <c r="CB18" s="26"/>
      <c r="CC18" s="50"/>
      <c r="CD18" s="54"/>
      <c r="CE18" s="54"/>
      <c r="CF18" s="54"/>
      <c r="CG18" s="50"/>
      <c r="CH18" s="26"/>
      <c r="CI18" s="54"/>
      <c r="CJ18" s="54"/>
      <c r="CK18" s="54"/>
      <c r="CL18" s="54"/>
      <c r="CM18" s="54"/>
      <c r="CN18" s="54"/>
      <c r="CO18" s="54"/>
      <c r="CP18" s="54"/>
      <c r="CQ18" s="50"/>
      <c r="CR18" s="54"/>
      <c r="CS18" s="54"/>
      <c r="CT18" s="54"/>
      <c r="CU18" s="50"/>
      <c r="CV18" s="50"/>
      <c r="CW18" s="54"/>
      <c r="CX18" s="54"/>
      <c r="CY18" s="54"/>
      <c r="CZ18" s="50"/>
      <c r="DA18" s="54"/>
      <c r="DB18" s="54"/>
      <c r="DC18" s="54"/>
      <c r="DD18" s="50"/>
      <c r="DE18" s="54"/>
      <c r="DF18" s="54"/>
      <c r="DG18" s="54"/>
      <c r="DH18" s="50"/>
      <c r="DI18" s="54"/>
      <c r="DJ18" s="54"/>
      <c r="DK18" s="58"/>
    </row>
    <row r="19" customFormat="false" ht="15" hidden="false" customHeight="false" outlineLevel="0" collapsed="false">
      <c r="A19" s="55"/>
      <c r="C19" s="72"/>
      <c r="I19" s="51"/>
      <c r="J19" s="95"/>
      <c r="K19" s="54"/>
      <c r="L19" s="54"/>
      <c r="M19" s="54"/>
      <c r="N19" s="54"/>
      <c r="O19" s="54"/>
      <c r="P19" s="54"/>
      <c r="Q19" s="58"/>
      <c r="R19" s="54"/>
      <c r="S19" s="54"/>
      <c r="T19" s="54"/>
      <c r="U19" s="58"/>
      <c r="W19" s="51"/>
      <c r="X19" s="54"/>
      <c r="Y19" s="54"/>
      <c r="Z19" s="77" t="n">
        <f aca="false">IF(AB19&gt;$X$5,1,0)</f>
        <v>1</v>
      </c>
      <c r="AA19" s="54" t="n">
        <v>100</v>
      </c>
      <c r="AB19" s="58" t="n">
        <v>160</v>
      </c>
      <c r="AC19" s="77" t="n">
        <f aca="false">IF(AE19&gt;$X$5,1,0)</f>
        <v>1</v>
      </c>
      <c r="AD19" s="63" t="n">
        <v>125</v>
      </c>
      <c r="AE19" s="83" t="n">
        <v>200</v>
      </c>
      <c r="AF19" s="54"/>
      <c r="AG19" s="54"/>
      <c r="AH19" s="58"/>
      <c r="BN19" s="47"/>
      <c r="BO19" s="26"/>
      <c r="BP19" s="48"/>
      <c r="BQ19" s="26"/>
      <c r="BR19" s="53"/>
      <c r="BS19" s="26"/>
      <c r="BT19" s="50"/>
      <c r="BU19" s="69" t="n">
        <f aca="false">IF($F$7=BX19,1,0)</f>
        <v>0</v>
      </c>
      <c r="BV19" s="53" t="s">
        <v>149</v>
      </c>
      <c r="BW19" s="26" t="n">
        <v>65</v>
      </c>
      <c r="BX19" s="52" t="n">
        <v>50</v>
      </c>
      <c r="BY19" s="48"/>
      <c r="BZ19" s="26"/>
      <c r="CA19" s="53"/>
      <c r="CB19" s="26"/>
      <c r="CC19" s="50"/>
      <c r="CD19" s="54"/>
      <c r="CE19" s="54"/>
      <c r="CF19" s="54"/>
      <c r="CG19" s="50"/>
      <c r="CH19" s="54"/>
      <c r="CI19" s="54"/>
      <c r="CJ19" s="54"/>
      <c r="CK19" s="54"/>
      <c r="CL19" s="54"/>
      <c r="CM19" s="54"/>
      <c r="CN19" s="54"/>
      <c r="CO19" s="54"/>
      <c r="CP19" s="54"/>
      <c r="CQ19" s="50"/>
      <c r="CR19" s="54"/>
      <c r="CS19" s="54"/>
      <c r="CT19" s="54"/>
      <c r="CU19" s="50"/>
      <c r="CV19" s="50"/>
      <c r="CW19" s="54"/>
      <c r="CX19" s="54"/>
      <c r="CY19" s="54"/>
      <c r="CZ19" s="50"/>
      <c r="DA19" s="54"/>
      <c r="DB19" s="54"/>
      <c r="DC19" s="54"/>
      <c r="DD19" s="50"/>
      <c r="DE19" s="54"/>
      <c r="DF19" s="54"/>
      <c r="DG19" s="54"/>
      <c r="DH19" s="50"/>
      <c r="DI19" s="54"/>
      <c r="DJ19" s="54"/>
      <c r="DK19" s="58"/>
    </row>
    <row r="20" customFormat="false" ht="15" hidden="false" customHeight="false" outlineLevel="0" collapsed="false">
      <c r="A20" s="55"/>
      <c r="C20" s="72"/>
      <c r="I20" s="51"/>
      <c r="J20" s="95" t="s">
        <v>150</v>
      </c>
      <c r="K20" s="54" t="n">
        <v>958.4</v>
      </c>
      <c r="L20" s="54"/>
      <c r="M20" s="54"/>
      <c r="N20" s="54"/>
      <c r="O20" s="54"/>
      <c r="P20" s="54"/>
      <c r="Q20" s="58"/>
      <c r="R20" s="54"/>
      <c r="S20" s="54"/>
      <c r="T20" s="54"/>
      <c r="U20" s="58"/>
      <c r="W20" s="51"/>
      <c r="X20" s="54"/>
      <c r="Y20" s="54"/>
      <c r="Z20" s="77" t="n">
        <f aca="false">IF(AB20&gt;$X$5,1,0)</f>
        <v>1</v>
      </c>
      <c r="AA20" s="54" t="n">
        <v>125</v>
      </c>
      <c r="AB20" s="58" t="n">
        <v>250</v>
      </c>
      <c r="AC20" s="77" t="n">
        <f aca="false">IF(AE20&gt;$X$5,1,0)</f>
        <v>1</v>
      </c>
      <c r="AD20" s="63" t="n">
        <v>125</v>
      </c>
      <c r="AE20" s="83" t="n">
        <v>250</v>
      </c>
      <c r="AF20" s="54"/>
      <c r="AG20" s="54"/>
      <c r="AH20" s="58"/>
      <c r="BN20" s="47"/>
      <c r="BO20" s="26"/>
      <c r="BP20" s="48"/>
      <c r="BQ20" s="26"/>
      <c r="BR20" s="53"/>
      <c r="BS20" s="26"/>
      <c r="BT20" s="50"/>
      <c r="BU20" s="69" t="n">
        <f aca="false">IF($F$7=BX20,1,0)</f>
        <v>0</v>
      </c>
      <c r="BV20" s="53" t="s">
        <v>151</v>
      </c>
      <c r="BW20" s="26" t="n">
        <v>65</v>
      </c>
      <c r="BX20" s="52" t="n">
        <v>63</v>
      </c>
      <c r="BY20" s="48"/>
      <c r="BZ20" s="26"/>
      <c r="CA20" s="53"/>
      <c r="CB20" s="26"/>
      <c r="CC20" s="50"/>
      <c r="CD20" s="54"/>
      <c r="CE20" s="54"/>
      <c r="CF20" s="54"/>
      <c r="CG20" s="50"/>
      <c r="CH20" s="54"/>
      <c r="CI20" s="54"/>
      <c r="CJ20" s="54"/>
      <c r="CK20" s="54"/>
      <c r="CL20" s="54"/>
      <c r="CM20" s="54"/>
      <c r="CN20" s="54"/>
      <c r="CO20" s="54"/>
      <c r="CP20" s="54"/>
      <c r="CQ20" s="50"/>
      <c r="CR20" s="54"/>
      <c r="CS20" s="54"/>
      <c r="CT20" s="54"/>
      <c r="CU20" s="50"/>
      <c r="CV20" s="50"/>
      <c r="CW20" s="54"/>
      <c r="CX20" s="54"/>
      <c r="CY20" s="54"/>
      <c r="CZ20" s="50"/>
      <c r="DA20" s="54"/>
      <c r="DB20" s="54"/>
      <c r="DC20" s="54"/>
      <c r="DD20" s="50"/>
      <c r="DE20" s="54"/>
      <c r="DF20" s="54"/>
      <c r="DG20" s="54"/>
      <c r="DH20" s="50"/>
      <c r="DI20" s="54"/>
      <c r="DJ20" s="54"/>
      <c r="DK20" s="58"/>
    </row>
    <row r="21" customFormat="false" ht="15" hidden="false" customHeight="false" outlineLevel="0" collapsed="false">
      <c r="I21" s="51"/>
      <c r="J21" s="95" t="s">
        <v>152</v>
      </c>
      <c r="K21" s="54" t="n">
        <v>0.5</v>
      </c>
      <c r="L21" s="54"/>
      <c r="M21" s="54"/>
      <c r="N21" s="54"/>
      <c r="O21" s="54"/>
      <c r="P21" s="54"/>
      <c r="Q21" s="58"/>
      <c r="R21" s="54"/>
      <c r="S21" s="54"/>
      <c r="T21" s="54"/>
      <c r="U21" s="58"/>
      <c r="W21" s="51"/>
      <c r="X21" s="54"/>
      <c r="Y21" s="54"/>
      <c r="Z21" s="77" t="n">
        <f aca="false">IF(AB21&gt;$X$5,1,0)</f>
        <v>1</v>
      </c>
      <c r="AA21" s="54" t="n">
        <v>150</v>
      </c>
      <c r="AB21" s="58" t="n">
        <v>315</v>
      </c>
      <c r="AC21" s="77" t="n">
        <f aca="false">IF(AE21&gt;$X$5,1,0)</f>
        <v>1</v>
      </c>
      <c r="AD21" s="63" t="n">
        <v>150</v>
      </c>
      <c r="AE21" s="83" t="n">
        <v>315</v>
      </c>
      <c r="AF21" s="54"/>
      <c r="AG21" s="54"/>
      <c r="AH21" s="58"/>
      <c r="BN21" s="47"/>
      <c r="BO21" s="26"/>
      <c r="BP21" s="48"/>
      <c r="BQ21" s="26"/>
      <c r="BR21" s="53"/>
      <c r="BS21" s="26"/>
      <c r="BT21" s="50"/>
      <c r="BU21" s="69" t="n">
        <f aca="false">IF($F$7=BX21,1,0)</f>
        <v>0</v>
      </c>
      <c r="BV21" s="53" t="s">
        <v>153</v>
      </c>
      <c r="BW21" s="26" t="n">
        <v>80</v>
      </c>
      <c r="BX21" s="52" t="n">
        <v>80</v>
      </c>
      <c r="BY21" s="48"/>
      <c r="BZ21" s="26"/>
      <c r="CA21" s="53"/>
      <c r="CB21" s="26"/>
      <c r="CC21" s="50"/>
      <c r="CD21" s="54"/>
      <c r="CE21" s="54"/>
      <c r="CF21" s="54"/>
      <c r="CG21" s="50"/>
      <c r="CH21" s="54"/>
      <c r="CI21" s="54"/>
      <c r="CJ21" s="54"/>
      <c r="CK21" s="54"/>
      <c r="CL21" s="54"/>
      <c r="CM21" s="54"/>
      <c r="CN21" s="54"/>
      <c r="CO21" s="54"/>
      <c r="CP21" s="54"/>
      <c r="CQ21" s="50"/>
      <c r="CR21" s="54"/>
      <c r="CS21" s="54"/>
      <c r="CT21" s="54"/>
      <c r="CU21" s="50"/>
      <c r="CV21" s="50"/>
      <c r="CW21" s="54"/>
      <c r="CX21" s="54"/>
      <c r="CY21" s="54"/>
      <c r="CZ21" s="50"/>
      <c r="DA21" s="54"/>
      <c r="DB21" s="54"/>
      <c r="DC21" s="54"/>
      <c r="DD21" s="50"/>
      <c r="DE21" s="54"/>
      <c r="DF21" s="54"/>
      <c r="DG21" s="54"/>
      <c r="DH21" s="50"/>
      <c r="DI21" s="54"/>
      <c r="DJ21" s="54"/>
      <c r="DK21" s="58"/>
    </row>
    <row r="22" customFormat="false" ht="15.75" hidden="false" customHeight="false" outlineLevel="0" collapsed="false">
      <c r="I22" s="91"/>
      <c r="J22" s="96"/>
      <c r="K22" s="92"/>
      <c r="L22" s="92"/>
      <c r="M22" s="92"/>
      <c r="N22" s="92"/>
      <c r="O22" s="92"/>
      <c r="P22" s="92"/>
      <c r="Q22" s="94"/>
      <c r="R22" s="92"/>
      <c r="S22" s="92"/>
      <c r="T22" s="92"/>
      <c r="U22" s="94"/>
      <c r="W22" s="91"/>
      <c r="X22" s="92"/>
      <c r="Y22" s="92"/>
      <c r="Z22" s="91"/>
      <c r="AA22" s="92"/>
      <c r="AB22" s="94"/>
      <c r="AC22" s="87" t="n">
        <f aca="false">IF(AE22&gt;$X$5,1,0)</f>
        <v>1</v>
      </c>
      <c r="AD22" s="97" t="n">
        <v>150</v>
      </c>
      <c r="AE22" s="98" t="n">
        <v>400</v>
      </c>
      <c r="AF22" s="92"/>
      <c r="AG22" s="92"/>
      <c r="AH22" s="94"/>
      <c r="BN22" s="47"/>
      <c r="BO22" s="26"/>
      <c r="BP22" s="48"/>
      <c r="BQ22" s="26"/>
      <c r="BR22" s="53"/>
      <c r="BS22" s="26"/>
      <c r="BT22" s="50"/>
      <c r="BU22" s="69" t="n">
        <f aca="false">IF($F$7=BX22,1,0)</f>
        <v>0</v>
      </c>
      <c r="BV22" s="53" t="s">
        <v>154</v>
      </c>
      <c r="BW22" s="26" t="n">
        <v>80</v>
      </c>
      <c r="BX22" s="52" t="n">
        <v>100</v>
      </c>
      <c r="BY22" s="48"/>
      <c r="BZ22" s="26"/>
      <c r="CA22" s="53"/>
      <c r="CB22" s="26"/>
      <c r="CC22" s="50"/>
      <c r="CD22" s="54"/>
      <c r="CE22" s="54"/>
      <c r="CF22" s="54"/>
      <c r="CG22" s="50"/>
      <c r="CH22" s="54"/>
      <c r="CI22" s="54"/>
      <c r="CJ22" s="54"/>
      <c r="CK22" s="54"/>
      <c r="CL22" s="54"/>
      <c r="CM22" s="54"/>
      <c r="CN22" s="54"/>
      <c r="CO22" s="54"/>
      <c r="CP22" s="54"/>
      <c r="CQ22" s="50"/>
      <c r="CR22" s="54"/>
      <c r="CS22" s="54"/>
      <c r="CT22" s="54"/>
      <c r="CU22" s="50"/>
      <c r="CV22" s="50"/>
      <c r="CW22" s="54"/>
      <c r="CX22" s="54"/>
      <c r="CY22" s="54"/>
      <c r="CZ22" s="50"/>
      <c r="DA22" s="54"/>
      <c r="DB22" s="54"/>
      <c r="DC22" s="54"/>
      <c r="DD22" s="50"/>
      <c r="DE22" s="54"/>
      <c r="DF22" s="54"/>
      <c r="DG22" s="54"/>
      <c r="DH22" s="50"/>
      <c r="DI22" s="54"/>
      <c r="DJ22" s="54"/>
      <c r="DK22" s="58"/>
    </row>
    <row r="23" customFormat="false" ht="15" hidden="false" customHeight="false" outlineLevel="0" collapsed="false">
      <c r="BN23" s="47"/>
      <c r="BO23" s="26"/>
      <c r="BP23" s="48"/>
      <c r="BQ23" s="26"/>
      <c r="BR23" s="53"/>
      <c r="BS23" s="26"/>
      <c r="BT23" s="50"/>
      <c r="BU23" s="69" t="n">
        <f aca="false">IF($F$7=BX23,1,0)</f>
        <v>0</v>
      </c>
      <c r="BV23" s="53" t="s">
        <v>155</v>
      </c>
      <c r="BW23" s="26" t="n">
        <v>100</v>
      </c>
      <c r="BX23" s="52" t="n">
        <v>125</v>
      </c>
      <c r="BY23" s="48"/>
      <c r="BZ23" s="26"/>
      <c r="CA23" s="53"/>
      <c r="CB23" s="26"/>
      <c r="CC23" s="50"/>
      <c r="CD23" s="54"/>
      <c r="CE23" s="54"/>
      <c r="CF23" s="54"/>
      <c r="CG23" s="50"/>
      <c r="CH23" s="54"/>
      <c r="CI23" s="54"/>
      <c r="CJ23" s="54"/>
      <c r="CK23" s="54"/>
      <c r="CL23" s="54"/>
      <c r="CM23" s="54"/>
      <c r="CN23" s="54"/>
      <c r="CO23" s="54"/>
      <c r="CP23" s="54"/>
      <c r="CQ23" s="50"/>
      <c r="CR23" s="54"/>
      <c r="CS23" s="54"/>
      <c r="CT23" s="54"/>
      <c r="CU23" s="50"/>
      <c r="CV23" s="50"/>
      <c r="CW23" s="54"/>
      <c r="CX23" s="54"/>
      <c r="CY23" s="54"/>
      <c r="CZ23" s="50"/>
      <c r="DA23" s="54"/>
      <c r="DB23" s="54"/>
      <c r="DC23" s="54"/>
      <c r="DD23" s="50"/>
      <c r="DE23" s="54"/>
      <c r="DF23" s="54"/>
      <c r="DG23" s="54"/>
      <c r="DH23" s="50"/>
      <c r="DI23" s="54"/>
      <c r="DJ23" s="54"/>
      <c r="DK23" s="58"/>
    </row>
    <row r="24" customFormat="false" ht="15" hidden="false" customHeight="false" outlineLevel="0" collapsed="false">
      <c r="BN24" s="47"/>
      <c r="BO24" s="26"/>
      <c r="BP24" s="48"/>
      <c r="BQ24" s="26"/>
      <c r="BR24" s="53"/>
      <c r="BS24" s="26"/>
      <c r="BT24" s="50"/>
      <c r="BU24" s="69" t="n">
        <f aca="false">IF($F$7=BX24,1,0)</f>
        <v>0</v>
      </c>
      <c r="BV24" s="53" t="s">
        <v>156</v>
      </c>
      <c r="BW24" s="26" t="n">
        <v>100</v>
      </c>
      <c r="BX24" s="52" t="n">
        <v>160</v>
      </c>
      <c r="BY24" s="48"/>
      <c r="BZ24" s="26"/>
      <c r="CA24" s="53"/>
      <c r="CB24" s="26"/>
      <c r="CC24" s="50"/>
      <c r="CD24" s="54"/>
      <c r="CE24" s="54"/>
      <c r="CF24" s="54"/>
      <c r="CG24" s="50"/>
      <c r="CH24" s="54"/>
      <c r="CI24" s="54"/>
      <c r="CJ24" s="54"/>
      <c r="CK24" s="54"/>
      <c r="CL24" s="54"/>
      <c r="CM24" s="54"/>
      <c r="CN24" s="54"/>
      <c r="CO24" s="54"/>
      <c r="CP24" s="54"/>
      <c r="CQ24" s="50"/>
      <c r="CR24" s="54"/>
      <c r="CS24" s="54"/>
      <c r="CT24" s="54"/>
      <c r="CU24" s="50"/>
      <c r="CV24" s="50"/>
      <c r="CW24" s="54"/>
      <c r="CX24" s="54"/>
      <c r="CY24" s="54"/>
      <c r="CZ24" s="50"/>
      <c r="DA24" s="54"/>
      <c r="DB24" s="54"/>
      <c r="DC24" s="54"/>
      <c r="DD24" s="50"/>
      <c r="DE24" s="54"/>
      <c r="DF24" s="54"/>
      <c r="DG24" s="54"/>
      <c r="DH24" s="50"/>
      <c r="DI24" s="54"/>
      <c r="DJ24" s="54"/>
      <c r="DK24" s="58"/>
    </row>
    <row r="25" customFormat="false" ht="15" hidden="false" customHeight="false" outlineLevel="0" collapsed="false">
      <c r="BN25" s="47"/>
      <c r="BO25" s="26"/>
      <c r="BP25" s="48"/>
      <c r="BQ25" s="26"/>
      <c r="BR25" s="53"/>
      <c r="BS25" s="26"/>
      <c r="BT25" s="50"/>
      <c r="BU25" s="69" t="n">
        <f aca="false">IF($F$7=BX25,1,0)</f>
        <v>0</v>
      </c>
      <c r="BV25" s="53" t="s">
        <v>157</v>
      </c>
      <c r="BW25" s="26" t="n">
        <v>125</v>
      </c>
      <c r="BX25" s="52" t="n">
        <v>250</v>
      </c>
      <c r="BY25" s="48"/>
      <c r="BZ25" s="26"/>
      <c r="CA25" s="53"/>
      <c r="CB25" s="26"/>
      <c r="CC25" s="50"/>
      <c r="CD25" s="54"/>
      <c r="CE25" s="54"/>
      <c r="CF25" s="54"/>
      <c r="CG25" s="50"/>
      <c r="CH25" s="54"/>
      <c r="CI25" s="54"/>
      <c r="CJ25" s="54"/>
      <c r="CK25" s="54"/>
      <c r="CL25" s="54"/>
      <c r="CM25" s="54"/>
      <c r="CN25" s="54"/>
      <c r="CO25" s="54"/>
      <c r="CP25" s="54"/>
      <c r="CQ25" s="50"/>
      <c r="CR25" s="54"/>
      <c r="CS25" s="54"/>
      <c r="CT25" s="54"/>
      <c r="CU25" s="50"/>
      <c r="CV25" s="50"/>
      <c r="CW25" s="54"/>
      <c r="CX25" s="54"/>
      <c r="CY25" s="54"/>
      <c r="CZ25" s="50"/>
      <c r="DA25" s="54"/>
      <c r="DB25" s="54"/>
      <c r="DC25" s="54"/>
      <c r="DD25" s="50"/>
      <c r="DE25" s="54"/>
      <c r="DF25" s="54"/>
      <c r="DG25" s="54"/>
      <c r="DH25" s="50"/>
      <c r="DI25" s="54"/>
      <c r="DJ25" s="54"/>
      <c r="DK25" s="58"/>
    </row>
    <row r="26" customFormat="false" ht="15.75" hidden="false" customHeight="false" outlineLevel="0" collapsed="false">
      <c r="BN26" s="99"/>
      <c r="BO26" s="100"/>
      <c r="BP26" s="101"/>
      <c r="BQ26" s="100"/>
      <c r="BR26" s="102"/>
      <c r="BS26" s="100"/>
      <c r="BT26" s="103"/>
      <c r="BU26" s="104" t="n">
        <f aca="false">IF($F$7=BX26,1,0)</f>
        <v>0</v>
      </c>
      <c r="BV26" s="102" t="s">
        <v>158</v>
      </c>
      <c r="BW26" s="100" t="n">
        <v>150</v>
      </c>
      <c r="BX26" s="105" t="n">
        <v>315</v>
      </c>
      <c r="BY26" s="101"/>
      <c r="BZ26" s="100"/>
      <c r="CA26" s="102"/>
      <c r="CB26" s="100"/>
      <c r="CC26" s="103"/>
      <c r="CD26" s="92"/>
      <c r="CE26" s="92"/>
      <c r="CF26" s="92"/>
      <c r="CG26" s="103"/>
      <c r="CH26" s="92"/>
      <c r="CI26" s="92"/>
      <c r="CJ26" s="92"/>
      <c r="CK26" s="92"/>
      <c r="CL26" s="92"/>
      <c r="CM26" s="92"/>
      <c r="CN26" s="92"/>
      <c r="CO26" s="92"/>
      <c r="CP26" s="92"/>
      <c r="CQ26" s="103"/>
      <c r="CR26" s="92"/>
      <c r="CS26" s="92"/>
      <c r="CT26" s="92"/>
      <c r="CU26" s="103"/>
      <c r="CV26" s="103"/>
      <c r="CW26" s="92"/>
      <c r="CX26" s="92"/>
      <c r="CY26" s="92"/>
      <c r="CZ26" s="103"/>
      <c r="DA26" s="92"/>
      <c r="DB26" s="92"/>
      <c r="DC26" s="92"/>
      <c r="DD26" s="103"/>
      <c r="DE26" s="92"/>
      <c r="DF26" s="92"/>
      <c r="DG26" s="92"/>
      <c r="DH26" s="103"/>
      <c r="DI26" s="92"/>
      <c r="DJ26" s="92"/>
      <c r="DK26" s="94"/>
    </row>
  </sheetData>
  <mergeCells count="28">
    <mergeCell ref="I2:Q2"/>
    <mergeCell ref="W2:AH2"/>
    <mergeCell ref="AJ2:AM2"/>
    <mergeCell ref="AS2:BL2"/>
    <mergeCell ref="BN2:BO2"/>
    <mergeCell ref="BR2:BS2"/>
    <mergeCell ref="BV2:BX2"/>
    <mergeCell ref="CA2:CB2"/>
    <mergeCell ref="CE2:CF2"/>
    <mergeCell ref="CI2:CP2"/>
    <mergeCell ref="CR2:CT2"/>
    <mergeCell ref="CW2:CY2"/>
    <mergeCell ref="DA2:DC2"/>
    <mergeCell ref="DE2:DG2"/>
    <mergeCell ref="DI2:DK2"/>
    <mergeCell ref="Z3:AB3"/>
    <mergeCell ref="AC3:AE3"/>
    <mergeCell ref="AF3:AH3"/>
    <mergeCell ref="AS3:AW3"/>
    <mergeCell ref="AX3:BB3"/>
    <mergeCell ref="BC3:BG3"/>
    <mergeCell ref="BH3:BL3"/>
    <mergeCell ref="B14:C14"/>
    <mergeCell ref="E14:F14"/>
    <mergeCell ref="B15:C15"/>
    <mergeCell ref="B16:C16"/>
    <mergeCell ref="B17:C17"/>
    <mergeCell ref="B18:C18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L2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R1" activeCellId="0" sqref="R1"/>
    </sheetView>
  </sheetViews>
  <sheetFormatPr defaultRowHeight="15" zeroHeight="false" outlineLevelRow="0" outlineLevelCol="0"/>
  <cols>
    <col collapsed="false" customWidth="true" hidden="false" outlineLevel="0" max="1" min="1" style="0" width="7.71"/>
    <col collapsed="false" customWidth="true" hidden="false" outlineLevel="0" max="2" min="2" style="0" width="8"/>
    <col collapsed="false" customWidth="true" hidden="false" outlineLevel="0" max="4" min="3" style="0" width="8.67"/>
    <col collapsed="false" customWidth="true" hidden="false" outlineLevel="0" max="6" min="5" style="0" width="12.57"/>
    <col collapsed="false" customWidth="true" hidden="false" outlineLevel="0" max="8" min="7" style="0" width="8.67"/>
    <col collapsed="false" customWidth="true" hidden="false" outlineLevel="0" max="9" min="9" style="0" width="9.14"/>
    <col collapsed="false" customWidth="true" hidden="false" outlineLevel="0" max="10" min="10" style="0" width="6.01"/>
    <col collapsed="false" customWidth="true" hidden="false" outlineLevel="0" max="12" min="11" style="0" width="8"/>
    <col collapsed="false" customWidth="true" hidden="false" outlineLevel="0" max="13" min="13" style="0" width="4.71"/>
    <col collapsed="false" customWidth="true" hidden="false" outlineLevel="0" max="14" min="14" style="0" width="6.01"/>
    <col collapsed="false" customWidth="true" hidden="false" outlineLevel="0" max="17" min="15" style="0" width="9.14"/>
    <col collapsed="false" customWidth="true" hidden="false" outlineLevel="0" max="18" min="18" style="0" width="6.01"/>
    <col collapsed="false" customWidth="true" hidden="false" outlineLevel="0" max="35" min="19" style="0" width="9.14"/>
    <col collapsed="false" customWidth="true" hidden="false" outlineLevel="0" max="37" min="36" style="0" width="9.85"/>
    <col collapsed="false" customWidth="true" hidden="false" outlineLevel="0" max="38" min="38" style="0" width="15.71"/>
    <col collapsed="false" customWidth="true" hidden="false" outlineLevel="0" max="39" min="39" style="0" width="9.14"/>
    <col collapsed="false" customWidth="true" hidden="false" outlineLevel="0" max="40" min="40" style="0" width="25.14"/>
    <col collapsed="false" customWidth="true" hidden="false" outlineLevel="0" max="41" min="41" style="0" width="10.99"/>
    <col collapsed="false" customWidth="true" hidden="false" outlineLevel="0" max="42" min="42" style="0" width="18.29"/>
    <col collapsed="false" customWidth="true" hidden="false" outlineLevel="0" max="48" min="43" style="0" width="9.14"/>
    <col collapsed="false" customWidth="true" hidden="false" outlineLevel="0" max="49" min="49" style="1" width="9.14"/>
    <col collapsed="false" customWidth="true" hidden="false" outlineLevel="0" max="64" min="50" style="0" width="9.14"/>
    <col collapsed="false" customWidth="true" hidden="false" outlineLevel="0" max="65" min="65" style="0" width="8.67"/>
    <col collapsed="false" customWidth="true" hidden="false" outlineLevel="0" max="66" min="66" style="0" width="4.86"/>
    <col collapsed="false" customWidth="true" hidden="false" outlineLevel="0" max="67" min="67" style="0" width="12.86"/>
    <col collapsed="false" customWidth="true" hidden="false" outlineLevel="0" max="68" min="68" style="0" width="3.29"/>
    <col collapsed="false" customWidth="true" hidden="false" outlineLevel="0" max="69" min="69" style="0" width="11.29"/>
    <col collapsed="false" customWidth="true" hidden="false" outlineLevel="0" max="71" min="70" style="0" width="6.28"/>
    <col collapsed="false" customWidth="true" hidden="false" outlineLevel="0" max="72" min="72" style="0" width="3.57"/>
    <col collapsed="false" customWidth="true" hidden="false" outlineLevel="0" max="73" min="73" style="0" width="8.29"/>
    <col collapsed="false" customWidth="true" hidden="false" outlineLevel="0" max="76" min="74" style="0" width="6.15"/>
    <col collapsed="false" customWidth="true" hidden="false" outlineLevel="0" max="77" min="77" style="0" width="3.29"/>
    <col collapsed="false" customWidth="true" hidden="false" outlineLevel="0" max="78" min="78" style="0" width="9.58"/>
    <col collapsed="false" customWidth="true" hidden="false" outlineLevel="0" max="79" min="79" style="0" width="6.15"/>
    <col collapsed="false" customWidth="true" hidden="false" outlineLevel="0" max="80" min="80" style="0" width="15.29"/>
    <col collapsed="false" customWidth="true" hidden="false" outlineLevel="0" max="81" min="81" style="0" width="3.29"/>
    <col collapsed="false" customWidth="true" hidden="false" outlineLevel="0" max="82" min="82" style="0" width="8.71"/>
    <col collapsed="false" customWidth="true" hidden="false" outlineLevel="0" max="84" min="83" style="0" width="6.28"/>
    <col collapsed="false" customWidth="true" hidden="false" outlineLevel="0" max="85" min="85" style="0" width="3.29"/>
    <col collapsed="false" customWidth="true" hidden="false" outlineLevel="0" max="86" min="86" style="0" width="9.58"/>
    <col collapsed="false" customWidth="true" hidden="false" outlineLevel="0" max="87" min="87" style="0" width="6.15"/>
    <col collapsed="false" customWidth="true" hidden="false" outlineLevel="0" max="88" min="88" style="0" width="16.86"/>
    <col collapsed="false" customWidth="true" hidden="false" outlineLevel="0" max="89" min="89" style="0" width="8.57"/>
    <col collapsed="false" customWidth="true" hidden="false" outlineLevel="0" max="90" min="90" style="0" width="7"/>
    <col collapsed="false" customWidth="true" hidden="false" outlineLevel="0" max="91" min="91" style="0" width="25.14"/>
    <col collapsed="false" customWidth="true" hidden="false" outlineLevel="0" max="92" min="92" style="0" width="8.57"/>
    <col collapsed="false" customWidth="true" hidden="false" outlineLevel="0" max="93" min="93" style="0" width="6.71"/>
    <col collapsed="false" customWidth="true" hidden="false" outlineLevel="0" max="94" min="94" style="0" width="18.29"/>
    <col collapsed="false" customWidth="true" hidden="false" outlineLevel="0" max="95" min="95" style="0" width="3.57"/>
    <col collapsed="false" customWidth="true" hidden="false" outlineLevel="0" max="96" min="96" style="0" width="8.57"/>
    <col collapsed="false" customWidth="true" hidden="false" outlineLevel="0" max="97" min="97" style="0" width="5.86"/>
    <col collapsed="false" customWidth="true" hidden="false" outlineLevel="0" max="98" min="98" style="0" width="16.14"/>
    <col collapsed="false" customWidth="true" hidden="false" outlineLevel="0" max="99" min="99" style="0" width="3.71"/>
    <col collapsed="false" customWidth="true" hidden="false" outlineLevel="0" max="100" min="100" style="0" width="3.29"/>
    <col collapsed="false" customWidth="true" hidden="false" outlineLevel="0" max="101" min="101" style="0" width="8.57"/>
    <col collapsed="false" customWidth="true" hidden="false" outlineLevel="0" max="102" min="102" style="0" width="6.28"/>
    <col collapsed="false" customWidth="false" hidden="false" outlineLevel="0" max="103" min="103" style="0" width="11.42"/>
    <col collapsed="false" customWidth="true" hidden="false" outlineLevel="0" max="104" min="104" style="0" width="3.57"/>
    <col collapsed="false" customWidth="true" hidden="false" outlineLevel="0" max="105" min="105" style="0" width="8.71"/>
    <col collapsed="false" customWidth="true" hidden="false" outlineLevel="0" max="106" min="106" style="0" width="6.28"/>
    <col collapsed="false" customWidth="false" hidden="false" outlineLevel="0" max="107" min="107" style="0" width="11.42"/>
    <col collapsed="false" customWidth="true" hidden="false" outlineLevel="0" max="108" min="108" style="0" width="3.57"/>
    <col collapsed="false" customWidth="true" hidden="false" outlineLevel="0" max="109" min="109" style="0" width="8.71"/>
    <col collapsed="false" customWidth="true" hidden="false" outlineLevel="0" max="110" min="110" style="0" width="6.28"/>
    <col collapsed="false" customWidth="false" hidden="false" outlineLevel="0" max="111" min="111" style="0" width="11.42"/>
    <col collapsed="false" customWidth="true" hidden="false" outlineLevel="0" max="112" min="112" style="0" width="3.57"/>
    <col collapsed="false" customWidth="true" hidden="false" outlineLevel="0" max="113" min="113" style="0" width="8.57"/>
    <col collapsed="false" customWidth="true" hidden="false" outlineLevel="0" max="114" min="114" style="0" width="6.28"/>
    <col collapsed="false" customWidth="true" hidden="false" outlineLevel="0" max="115" min="115" style="0" width="13.7"/>
    <col collapsed="false" customWidth="true" hidden="false" outlineLevel="0" max="116" min="116" style="0" width="3.57"/>
    <col collapsed="false" customWidth="true" hidden="false" outlineLevel="0" max="1025" min="117" style="0" width="8.67"/>
  </cols>
  <sheetData>
    <row r="1" customFormat="false" ht="15.75" hidden="false" customHeight="false" outlineLevel="0" collapsed="false"/>
    <row r="2" customFormat="false" ht="15.75" hidden="false" customHeight="false" outlineLevel="0" collapsed="false">
      <c r="B2" s="0" t="s">
        <v>160</v>
      </c>
      <c r="I2" s="106" t="s">
        <v>30</v>
      </c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W2" s="25" t="s">
        <v>31</v>
      </c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J2" s="25" t="s">
        <v>32</v>
      </c>
      <c r="AK2" s="25"/>
      <c r="AL2" s="25"/>
      <c r="AM2" s="25"/>
      <c r="AN2" s="27" t="s">
        <v>33</v>
      </c>
      <c r="AO2" s="27" t="s">
        <v>34</v>
      </c>
      <c r="AP2" s="28" t="s">
        <v>35</v>
      </c>
      <c r="AS2" s="29" t="s">
        <v>36</v>
      </c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N2" s="5" t="s">
        <v>37</v>
      </c>
      <c r="BO2" s="5"/>
      <c r="BP2" s="4"/>
      <c r="BQ2" s="30"/>
      <c r="BR2" s="31" t="s">
        <v>38</v>
      </c>
      <c r="BS2" s="31"/>
      <c r="BT2" s="32"/>
      <c r="BU2" s="33"/>
      <c r="BV2" s="34" t="s">
        <v>39</v>
      </c>
      <c r="BW2" s="34"/>
      <c r="BX2" s="34"/>
      <c r="BY2" s="4"/>
      <c r="BZ2" s="30"/>
      <c r="CA2" s="31" t="s">
        <v>40</v>
      </c>
      <c r="CB2" s="31"/>
      <c r="CC2" s="4"/>
      <c r="CD2" s="30"/>
      <c r="CE2" s="31" t="s">
        <v>41</v>
      </c>
      <c r="CF2" s="31"/>
      <c r="CG2" s="4"/>
      <c r="CH2" s="30"/>
      <c r="CI2" s="35" t="s">
        <v>42</v>
      </c>
      <c r="CJ2" s="35"/>
      <c r="CK2" s="35"/>
      <c r="CL2" s="35"/>
      <c r="CM2" s="35"/>
      <c r="CN2" s="35"/>
      <c r="CO2" s="35"/>
      <c r="CP2" s="35"/>
      <c r="CQ2" s="32"/>
      <c r="CR2" s="4" t="s">
        <v>43</v>
      </c>
      <c r="CS2" s="4"/>
      <c r="CT2" s="4"/>
      <c r="CU2" s="36"/>
      <c r="CV2" s="4"/>
      <c r="CW2" s="4" t="s">
        <v>44</v>
      </c>
      <c r="CX2" s="4"/>
      <c r="CY2" s="4"/>
      <c r="CZ2" s="32"/>
      <c r="DA2" s="4" t="s">
        <v>45</v>
      </c>
      <c r="DB2" s="4"/>
      <c r="DC2" s="4"/>
      <c r="DD2" s="32"/>
      <c r="DE2" s="4" t="s">
        <v>46</v>
      </c>
      <c r="DF2" s="4"/>
      <c r="DG2" s="4"/>
      <c r="DH2" s="32"/>
      <c r="DI2" s="4" t="s">
        <v>47</v>
      </c>
      <c r="DJ2" s="4"/>
      <c r="DK2" s="4"/>
      <c r="DL2" s="37"/>
    </row>
    <row r="3" customFormat="false" ht="15.75" hidden="false" customHeight="false" outlineLevel="0" collapsed="false">
      <c r="I3" s="38"/>
      <c r="J3" s="39" t="s">
        <v>48</v>
      </c>
      <c r="K3" s="40" t="s">
        <v>49</v>
      </c>
      <c r="L3" s="39" t="s">
        <v>50</v>
      </c>
      <c r="M3" s="39"/>
      <c r="N3" s="39"/>
      <c r="O3" s="39" t="s">
        <v>51</v>
      </c>
      <c r="P3" s="40" t="s">
        <v>49</v>
      </c>
      <c r="Q3" s="41" t="s">
        <v>50</v>
      </c>
      <c r="R3" s="39"/>
      <c r="S3" s="39" t="s">
        <v>52</v>
      </c>
      <c r="T3" s="40" t="s">
        <v>49</v>
      </c>
      <c r="U3" s="41" t="s">
        <v>50</v>
      </c>
      <c r="W3" s="38" t="s">
        <v>53</v>
      </c>
      <c r="X3" s="39" t="s">
        <v>54</v>
      </c>
      <c r="Y3" s="41" t="s">
        <v>55</v>
      </c>
      <c r="Z3" s="25" t="s">
        <v>53</v>
      </c>
      <c r="AA3" s="25"/>
      <c r="AB3" s="25"/>
      <c r="AC3" s="25" t="s">
        <v>54</v>
      </c>
      <c r="AD3" s="25"/>
      <c r="AE3" s="25"/>
      <c r="AF3" s="25" t="s">
        <v>55</v>
      </c>
      <c r="AG3" s="25"/>
      <c r="AH3" s="25"/>
      <c r="AJ3" s="42" t="s">
        <v>56</v>
      </c>
      <c r="AK3" s="43"/>
      <c r="AL3" s="44"/>
      <c r="AM3" s="44"/>
      <c r="AN3" s="45"/>
      <c r="AO3" s="45"/>
      <c r="AP3" s="45"/>
      <c r="AS3" s="25" t="s">
        <v>57</v>
      </c>
      <c r="AT3" s="25"/>
      <c r="AU3" s="25"/>
      <c r="AV3" s="25"/>
      <c r="AW3" s="25"/>
      <c r="AX3" s="46" t="s">
        <v>58</v>
      </c>
      <c r="AY3" s="46"/>
      <c r="AZ3" s="46"/>
      <c r="BA3" s="46"/>
      <c r="BB3" s="46"/>
      <c r="BC3" s="25" t="s">
        <v>59</v>
      </c>
      <c r="BD3" s="25"/>
      <c r="BE3" s="25"/>
      <c r="BF3" s="25"/>
      <c r="BG3" s="25"/>
      <c r="BH3" s="25" t="s">
        <v>60</v>
      </c>
      <c r="BI3" s="25"/>
      <c r="BJ3" s="25"/>
      <c r="BK3" s="25"/>
      <c r="BL3" s="25"/>
      <c r="BN3" s="47" t="s">
        <v>61</v>
      </c>
      <c r="BO3" s="26" t="s">
        <v>62</v>
      </c>
      <c r="BP3" s="48"/>
      <c r="BQ3" s="26" t="s">
        <v>161</v>
      </c>
      <c r="BR3" s="49" t="s">
        <v>61</v>
      </c>
      <c r="BS3" s="21" t="s">
        <v>63</v>
      </c>
      <c r="BT3" s="50"/>
      <c r="BU3" s="51" t="s">
        <v>31</v>
      </c>
      <c r="BV3" s="49" t="s">
        <v>61</v>
      </c>
      <c r="BW3" s="21" t="s">
        <v>63</v>
      </c>
      <c r="BX3" s="52" t="s">
        <v>64</v>
      </c>
      <c r="BY3" s="48"/>
      <c r="BZ3" s="26" t="s">
        <v>31</v>
      </c>
      <c r="CA3" s="53" t="s">
        <v>61</v>
      </c>
      <c r="CB3" s="26" t="s">
        <v>65</v>
      </c>
      <c r="CC3" s="48"/>
      <c r="CD3" s="26" t="s">
        <v>162</v>
      </c>
      <c r="CE3" s="49" t="s">
        <v>61</v>
      </c>
      <c r="CF3" s="21" t="s">
        <v>63</v>
      </c>
      <c r="CG3" s="48"/>
      <c r="CH3" s="26"/>
      <c r="CI3" s="49" t="s">
        <v>61</v>
      </c>
      <c r="CJ3" s="26" t="s">
        <v>66</v>
      </c>
      <c r="CK3" s="26"/>
      <c r="CL3" s="26"/>
      <c r="CM3" s="26" t="s">
        <v>66</v>
      </c>
      <c r="CN3" s="26"/>
      <c r="CO3" s="26"/>
      <c r="CP3" s="26" t="s">
        <v>66</v>
      </c>
      <c r="CQ3" s="50"/>
      <c r="CR3" s="54"/>
      <c r="CS3" s="53" t="s">
        <v>61</v>
      </c>
      <c r="CT3" s="26" t="s">
        <v>66</v>
      </c>
      <c r="CU3" s="50"/>
      <c r="CV3" s="48"/>
      <c r="CW3" s="26"/>
      <c r="CX3" s="49" t="s">
        <v>61</v>
      </c>
      <c r="CY3" s="21" t="s">
        <v>67</v>
      </c>
      <c r="CZ3" s="50"/>
      <c r="DA3" s="26"/>
      <c r="DB3" s="49" t="s">
        <v>61</v>
      </c>
      <c r="DC3" s="21" t="s">
        <v>163</v>
      </c>
      <c r="DD3" s="50"/>
      <c r="DE3" s="26"/>
      <c r="DF3" s="49" t="s">
        <v>61</v>
      </c>
      <c r="DG3" s="21" t="s">
        <v>68</v>
      </c>
      <c r="DH3" s="50"/>
      <c r="DI3" s="26"/>
      <c r="DJ3" s="49" t="s">
        <v>61</v>
      </c>
      <c r="DK3" s="20" t="s">
        <v>69</v>
      </c>
    </row>
    <row r="4" customFormat="false" ht="15" hidden="false" customHeight="false" outlineLevel="0" collapsed="false">
      <c r="A4" s="55" t="s">
        <v>70</v>
      </c>
      <c r="B4" s="56" t="n">
        <f aca="false">'ОЛ(4)'!C16</f>
        <v>0</v>
      </c>
      <c r="C4" s="0" t="s">
        <v>71</v>
      </c>
      <c r="E4" s="0" t="s">
        <v>72</v>
      </c>
      <c r="F4" s="57" t="n">
        <f aca="false">B4*1000/(B5-B6)</f>
        <v>0</v>
      </c>
      <c r="I4" s="51" t="n">
        <f aca="false">IF($B$12&lt;12,(IF((L4&gt;4)*AND(L4&lt;16),2,0)),IF((L4&gt;4)*AND(L4&lt;20),2,0))</f>
        <v>0</v>
      </c>
      <c r="J4" s="54" t="n">
        <v>15</v>
      </c>
      <c r="K4" s="54" t="n">
        <f aca="false">1/POWER(1.14+2*LOG10((J4/1000)/($K$21/1000)),2)</f>
        <v>0.0596558274221208</v>
      </c>
      <c r="L4" s="54" t="n">
        <f aca="false">0.00638*K4*POWER($F$4,2)/(POWER(J4/1000,5)*$K$20)</f>
        <v>0</v>
      </c>
      <c r="M4" s="54"/>
      <c r="N4" s="54" t="e">
        <f aca="false">IF((Q4&gt;4)*AND(Q4&lt;20),1,0)</f>
        <v>#DIV/0!</v>
      </c>
      <c r="O4" s="54" t="n">
        <v>15</v>
      </c>
      <c r="P4" s="54" t="n">
        <f aca="false">1/POWER(1.14+2*LOG10((O4/1000)/($K$21/1000)),2)</f>
        <v>0.0596558274221208</v>
      </c>
      <c r="Q4" s="58" t="e">
        <f aca="false">0.00638*P4*POWER($F$11,2)/(POWER(O4/1000,5)*$K$20)</f>
        <v>#DIV/0!</v>
      </c>
      <c r="R4" s="54" t="n">
        <f aca="false">IF((U4&gt;4)*AND(U4&lt;20),1,0)</f>
        <v>0</v>
      </c>
      <c r="S4" s="54" t="n">
        <v>15</v>
      </c>
      <c r="T4" s="54" t="n">
        <f aca="false">1/POWER(1.14+2*LOG10((S4/1000)/($K$21/1000)),2)</f>
        <v>0.0596558274221208</v>
      </c>
      <c r="U4" s="58" t="n">
        <f aca="false">0.00638*T4*POWER($F$16,2)/(POWER(S4/1000,5)*$K$20)</f>
        <v>0</v>
      </c>
      <c r="W4" s="59" t="s">
        <v>73</v>
      </c>
      <c r="X4" s="54" t="n">
        <f aca="false">IF(B12=0,0,IF(B12&gt;12,3,1.8))</f>
        <v>3</v>
      </c>
      <c r="Y4" s="54"/>
      <c r="Z4" s="60" t="n">
        <f aca="false">IF(AB4&gt;$X$5,1,0)</f>
        <v>1</v>
      </c>
      <c r="AA4" s="61" t="n">
        <v>15</v>
      </c>
      <c r="AB4" s="62" t="n">
        <v>1.6</v>
      </c>
      <c r="AC4" s="60" t="n">
        <f aca="false">IF(AE4&gt;$X$5,1,0)</f>
        <v>1</v>
      </c>
      <c r="AD4" s="61" t="n">
        <v>15</v>
      </c>
      <c r="AE4" s="62" t="n">
        <v>1.6</v>
      </c>
      <c r="AF4" s="54" t="n">
        <f aca="false">IF(AH4&gt;$X$5,1,0)</f>
        <v>1</v>
      </c>
      <c r="AG4" s="63" t="n">
        <v>15</v>
      </c>
      <c r="AH4" s="58" t="n">
        <v>1.6</v>
      </c>
      <c r="AJ4" s="64" t="n">
        <v>4</v>
      </c>
      <c r="AK4" s="60" t="e">
        <f aca="false">IF($F$13&lt;AJ4,1,0)</f>
        <v>#DIV/0!</v>
      </c>
      <c r="AL4" s="62" t="s">
        <v>74</v>
      </c>
      <c r="AM4" s="65" t="e">
        <f aca="false">IF($F$13&lt;AJ4,1,0)</f>
        <v>#DIV/0!</v>
      </c>
      <c r="AN4" s="66" t="s">
        <v>75</v>
      </c>
      <c r="AO4" s="60" t="e">
        <f aca="false">IF($F$13&lt;AJ4,1,0)</f>
        <v>#DIV/0!</v>
      </c>
      <c r="AP4" s="67" t="s">
        <v>76</v>
      </c>
      <c r="AS4" s="60" t="n">
        <v>0.1</v>
      </c>
      <c r="AT4" s="68" t="n">
        <f aca="false">IF($B$4&lt;AS4,1,0)</f>
        <v>1</v>
      </c>
      <c r="AU4" s="68" t="s">
        <v>77</v>
      </c>
      <c r="AV4" s="68" t="n">
        <f aca="false">IF($B$4&lt;AS4,1,0)</f>
        <v>1</v>
      </c>
      <c r="AW4" s="3" t="n">
        <v>1</v>
      </c>
      <c r="AX4" s="60" t="n">
        <v>0.1</v>
      </c>
      <c r="AY4" s="68" t="n">
        <f aca="false">IF($B$4&lt;AX4,1,0)</f>
        <v>1</v>
      </c>
      <c r="AZ4" s="68" t="s">
        <v>77</v>
      </c>
      <c r="BA4" s="68" t="n">
        <f aca="false">IF($B$4&lt;AX4,1,0)</f>
        <v>1</v>
      </c>
      <c r="BB4" s="3" t="n">
        <v>1</v>
      </c>
      <c r="BC4" s="51" t="n">
        <v>0.14</v>
      </c>
      <c r="BD4" s="54" t="n">
        <f aca="false">IF($B$4&lt;BC4,1,0)</f>
        <v>1</v>
      </c>
      <c r="BE4" s="68" t="s">
        <v>77</v>
      </c>
      <c r="BF4" s="54" t="n">
        <f aca="false">IF($B$4&lt;BC4,1,0)</f>
        <v>1</v>
      </c>
      <c r="BG4" s="52" t="n">
        <v>1</v>
      </c>
      <c r="BH4" s="54" t="n">
        <v>0.05</v>
      </c>
      <c r="BI4" s="54" t="n">
        <f aca="false">IF($B$4&lt;BH4,1,0)</f>
        <v>1</v>
      </c>
      <c r="BJ4" s="54" t="s">
        <v>77</v>
      </c>
      <c r="BK4" s="54" t="n">
        <f aca="false">IF($B$4&lt;BH4,1,0)</f>
        <v>1</v>
      </c>
      <c r="BL4" s="58" t="n">
        <v>1</v>
      </c>
      <c r="BN4" s="47" t="s">
        <v>78</v>
      </c>
      <c r="BO4" s="26" t="s">
        <v>79</v>
      </c>
      <c r="BP4" s="48"/>
      <c r="BQ4" s="26" t="e">
        <f aca="false">IF($F$5=BS4,1,0)</f>
        <v>#N/A</v>
      </c>
      <c r="BR4" s="53" t="s">
        <v>80</v>
      </c>
      <c r="BS4" s="26" t="n">
        <v>15</v>
      </c>
      <c r="BT4" s="50"/>
      <c r="BU4" s="69" t="n">
        <f aca="false">IF($F$7=BX4,1,0)</f>
        <v>0</v>
      </c>
      <c r="BV4" s="53" t="s">
        <v>80</v>
      </c>
      <c r="BW4" s="26" t="n">
        <v>15</v>
      </c>
      <c r="BX4" s="52" t="n">
        <v>0.63</v>
      </c>
      <c r="BY4" s="48"/>
      <c r="BZ4" s="26" t="n">
        <f aca="false">IF($B$14=CB4,1,0)</f>
        <v>0</v>
      </c>
      <c r="CA4" s="53" t="s">
        <v>78</v>
      </c>
      <c r="CB4" s="26" t="s">
        <v>53</v>
      </c>
      <c r="CC4" s="48"/>
      <c r="CD4" s="26" t="e">
        <f aca="false">IF($F$12=CF4,1,0)</f>
        <v>#N/A</v>
      </c>
      <c r="CE4" s="53" t="s">
        <v>80</v>
      </c>
      <c r="CF4" s="26" t="n">
        <v>15</v>
      </c>
      <c r="CG4" s="48"/>
      <c r="CH4" s="26" t="e">
        <f aca="false">IF($E$14=CJ4,1,0)</f>
        <v>#VALUE!</v>
      </c>
      <c r="CI4" s="21" t="n">
        <v>1</v>
      </c>
      <c r="CJ4" s="21" t="s">
        <v>74</v>
      </c>
      <c r="CK4" s="21" t="e">
        <f aca="false">IF($E$14=CM4,1,0)</f>
        <v>#VALUE!</v>
      </c>
      <c r="CL4" s="21" t="n">
        <v>1</v>
      </c>
      <c r="CM4" s="70" t="s">
        <v>75</v>
      </c>
      <c r="CN4" s="70" t="e">
        <f aca="false">IF($E$14=CP4,1,0)</f>
        <v>#VALUE!</v>
      </c>
      <c r="CO4" s="21" t="n">
        <v>1</v>
      </c>
      <c r="CP4" s="70" t="s">
        <v>76</v>
      </c>
      <c r="CQ4" s="50"/>
      <c r="CR4" s="0" t="e">
        <f aca="false">IF(OR(E14="DPL 80/115-2,2/2",E14="DPL 100/175-3/4"),1,0)</f>
        <v>#VALUE!</v>
      </c>
      <c r="CS4" s="1" t="n">
        <v>5</v>
      </c>
      <c r="CU4" s="50"/>
      <c r="CV4" s="48"/>
      <c r="CW4" s="26" t="n">
        <f aca="false">IF($E$9=CY4,1,0)</f>
        <v>0</v>
      </c>
      <c r="CX4" s="53" t="s">
        <v>81</v>
      </c>
      <c r="CY4" s="54" t="s">
        <v>82</v>
      </c>
      <c r="CZ4" s="50"/>
      <c r="DA4" s="26" t="n">
        <f aca="false">IF($F$9=DC4,1,0)</f>
        <v>0</v>
      </c>
      <c r="DB4" s="53" t="s">
        <v>81</v>
      </c>
      <c r="DC4" s="54" t="s">
        <v>82</v>
      </c>
      <c r="DD4" s="50"/>
      <c r="DE4" s="26" t="n">
        <f aca="false">IF($B$16=DG4,1,0)</f>
        <v>0</v>
      </c>
      <c r="DF4" s="53" t="s">
        <v>78</v>
      </c>
      <c r="DG4" s="26" t="s">
        <v>83</v>
      </c>
      <c r="DH4" s="50"/>
      <c r="DI4" s="26" t="n">
        <f aca="false">IF($B$17=DK4,1,0)</f>
        <v>0</v>
      </c>
      <c r="DJ4" s="53" t="s">
        <v>78</v>
      </c>
      <c r="DK4" s="58" t="s">
        <v>84</v>
      </c>
    </row>
    <row r="5" customFormat="false" ht="15" hidden="false" customHeight="false" outlineLevel="0" collapsed="false">
      <c r="A5" s="55" t="s">
        <v>85</v>
      </c>
      <c r="B5" s="71" t="n">
        <f aca="false">'ОЛ(4)'!N13</f>
        <v>130</v>
      </c>
      <c r="C5" s="72" t="s">
        <v>86</v>
      </c>
      <c r="E5" s="0" t="s">
        <v>48</v>
      </c>
      <c r="F5" s="73" t="e">
        <f aca="false">VLOOKUP(2,I4:L17,2,0)</f>
        <v>#N/A</v>
      </c>
      <c r="I5" s="51" t="n">
        <f aca="false">IF($B$12&lt;12,(IF((L5&gt;4)*AND(L5&lt;16),2,0)),IF((L5&gt;4)*AND(L5&lt;20),2,0))</f>
        <v>0</v>
      </c>
      <c r="J5" s="54" t="n">
        <v>20</v>
      </c>
      <c r="K5" s="54" t="n">
        <f aca="false">1/POWER(1.14+2*LOG10((J5/1000)/($K$21/1000)),2)</f>
        <v>0.0529902997834844</v>
      </c>
      <c r="L5" s="54" t="n">
        <f aca="false">0.00638*K5*POWER($F$4,2)/(POWER(J5/1000,5)*$K$20)</f>
        <v>0</v>
      </c>
      <c r="M5" s="54"/>
      <c r="N5" s="54" t="e">
        <f aca="false">IF((Q5&gt;4)*AND(Q5&lt;20),1,0)</f>
        <v>#DIV/0!</v>
      </c>
      <c r="O5" s="54" t="n">
        <v>20</v>
      </c>
      <c r="P5" s="54" t="n">
        <f aca="false">1/POWER(1.14+2*LOG10((O5/1000)/($K$21/1000)),2)</f>
        <v>0.0529902997834844</v>
      </c>
      <c r="Q5" s="58" t="e">
        <f aca="false">0.00638*P5*POWER($F$11,2)/(POWER(O5/1000,5)*$K$20)</f>
        <v>#DIV/0!</v>
      </c>
      <c r="R5" s="54" t="n">
        <f aca="false">IF((U5&gt;4)*AND(U5&lt;20),1,0)</f>
        <v>0</v>
      </c>
      <c r="S5" s="54" t="n">
        <v>20</v>
      </c>
      <c r="T5" s="54" t="n">
        <f aca="false">1/POWER(1.14+2*LOG10((S5/1000)/($K$21/1000)),2)</f>
        <v>0.0529902997834844</v>
      </c>
      <c r="U5" s="58" t="n">
        <f aca="false">0.00638*T5*POWER($F$16,2)/(POWER(S5/1000,5)*$K$20)</f>
        <v>0</v>
      </c>
      <c r="W5" s="59" t="s">
        <v>87</v>
      </c>
      <c r="X5" s="74" t="n">
        <f aca="false">F4/SQRT(0.1*X4)</f>
        <v>0</v>
      </c>
      <c r="Y5" s="74"/>
      <c r="Z5" s="51" t="n">
        <f aca="false">IF(AB5&gt;$X$5,1,0)</f>
        <v>1</v>
      </c>
      <c r="AA5" s="63" t="n">
        <v>15</v>
      </c>
      <c r="AB5" s="58" t="n">
        <v>2.5</v>
      </c>
      <c r="AC5" s="51" t="n">
        <f aca="false">IF(AE5&gt;$X$5,1,0)</f>
        <v>1</v>
      </c>
      <c r="AD5" s="63" t="n">
        <v>15</v>
      </c>
      <c r="AE5" s="58" t="n">
        <v>2.5</v>
      </c>
      <c r="AF5" s="54" t="n">
        <f aca="false">IF(AH5&gt;$X$5,1,0)</f>
        <v>1</v>
      </c>
      <c r="AG5" s="63" t="n">
        <v>15</v>
      </c>
      <c r="AH5" s="58" t="n">
        <v>2.5</v>
      </c>
      <c r="AJ5" s="69" t="n">
        <v>6</v>
      </c>
      <c r="AK5" s="51" t="e">
        <f aca="false">IF($F$13&lt;AJ5,1,0)</f>
        <v>#DIV/0!</v>
      </c>
      <c r="AL5" s="58" t="s">
        <v>88</v>
      </c>
      <c r="AM5" s="50" t="e">
        <f aca="false">IF($F$13&lt;AJ5,1,0)</f>
        <v>#DIV/0!</v>
      </c>
      <c r="AN5" s="50" t="s">
        <v>89</v>
      </c>
      <c r="AO5" s="51" t="e">
        <f aca="false">IF($F$13&lt;AJ5,1,0)</f>
        <v>#DIV/0!</v>
      </c>
      <c r="AP5" s="75" t="s">
        <v>90</v>
      </c>
      <c r="AS5" s="51" t="n">
        <v>0.25</v>
      </c>
      <c r="AT5" s="54" t="n">
        <f aca="false">IF($B$4&lt;AS5,1,0)</f>
        <v>1</v>
      </c>
      <c r="AU5" s="54" t="s">
        <v>91</v>
      </c>
      <c r="AV5" s="54" t="n">
        <f aca="false">IF($B$4&lt;AS5,1,0)</f>
        <v>1</v>
      </c>
      <c r="AW5" s="20" t="n">
        <v>1</v>
      </c>
      <c r="AX5" s="51" t="n">
        <v>0.25</v>
      </c>
      <c r="AY5" s="54" t="n">
        <f aca="false">IF($B$4&lt;AX5,1,0)</f>
        <v>1</v>
      </c>
      <c r="AZ5" s="54" t="s">
        <v>91</v>
      </c>
      <c r="BA5" s="54" t="n">
        <f aca="false">IF($B$4&lt;AX5,1,0)</f>
        <v>1</v>
      </c>
      <c r="BB5" s="20" t="n">
        <v>1</v>
      </c>
      <c r="BC5" s="51" t="n">
        <v>0.45</v>
      </c>
      <c r="BD5" s="54" t="n">
        <f aca="false">IF($B$4&lt;BC5,1,0)</f>
        <v>1</v>
      </c>
      <c r="BE5" s="54" t="s">
        <v>92</v>
      </c>
      <c r="BF5" s="54" t="n">
        <f aca="false">IF($B$4&lt;BC5,1,0)</f>
        <v>1</v>
      </c>
      <c r="BG5" s="52" t="n">
        <v>1</v>
      </c>
      <c r="BH5" s="54" t="n">
        <v>0.09</v>
      </c>
      <c r="BI5" s="54" t="n">
        <f aca="false">IF($B$4&lt;BH5,1,0)</f>
        <v>1</v>
      </c>
      <c r="BJ5" s="54" t="s">
        <v>93</v>
      </c>
      <c r="BK5" s="54" t="n">
        <f aca="false">IF($B$4&lt;BH5,1,0)</f>
        <v>1</v>
      </c>
      <c r="BL5" s="58" t="n">
        <v>1</v>
      </c>
      <c r="BN5" s="47" t="s">
        <v>94</v>
      </c>
      <c r="BO5" s="26" t="s">
        <v>95</v>
      </c>
      <c r="BP5" s="48"/>
      <c r="BQ5" s="26" t="e">
        <f aca="false">IF($F$5=BS5,1,0)</f>
        <v>#N/A</v>
      </c>
      <c r="BR5" s="53" t="s">
        <v>96</v>
      </c>
      <c r="BS5" s="26" t="n">
        <v>20</v>
      </c>
      <c r="BT5" s="50"/>
      <c r="BU5" s="69" t="n">
        <f aca="false">IF($F$7=BX5,1,0)</f>
        <v>0</v>
      </c>
      <c r="BV5" s="53" t="s">
        <v>96</v>
      </c>
      <c r="BW5" s="26" t="n">
        <v>15</v>
      </c>
      <c r="BX5" s="52" t="n">
        <v>1.25</v>
      </c>
      <c r="BY5" s="48"/>
      <c r="BZ5" s="26" t="n">
        <f aca="false">IF($B$14=CB5,1,0)</f>
        <v>0</v>
      </c>
      <c r="CA5" s="53" t="s">
        <v>94</v>
      </c>
      <c r="CB5" s="26" t="s">
        <v>55</v>
      </c>
      <c r="CC5" s="48"/>
      <c r="CD5" s="26" t="e">
        <f aca="false">IF($F$12=CF5,1,0)</f>
        <v>#N/A</v>
      </c>
      <c r="CE5" s="53" t="s">
        <v>96</v>
      </c>
      <c r="CF5" s="26" t="n">
        <v>20</v>
      </c>
      <c r="CG5" s="48"/>
      <c r="CH5" s="26" t="e">
        <f aca="false">IF($E$14=CJ5,1,0)</f>
        <v>#VALUE!</v>
      </c>
      <c r="CI5" s="21" t="n">
        <v>2</v>
      </c>
      <c r="CJ5" s="21" t="s">
        <v>88</v>
      </c>
      <c r="CK5" s="21" t="e">
        <f aca="false">IF($E$14=CM5,1,0)</f>
        <v>#VALUE!</v>
      </c>
      <c r="CL5" s="21" t="n">
        <v>2</v>
      </c>
      <c r="CM5" s="21" t="s">
        <v>89</v>
      </c>
      <c r="CN5" s="70" t="e">
        <f aca="false">IF($E$14=CP5,1,0)</f>
        <v>#VALUE!</v>
      </c>
      <c r="CO5" s="21" t="n">
        <v>2</v>
      </c>
      <c r="CP5" s="70" t="s">
        <v>90</v>
      </c>
      <c r="CQ5" s="50"/>
      <c r="CR5" s="54" t="n">
        <f aca="false">IF($B$15=CT5,1,0)</f>
        <v>0</v>
      </c>
      <c r="CS5" s="21" t="n">
        <v>1</v>
      </c>
      <c r="CT5" s="21" t="s">
        <v>33</v>
      </c>
      <c r="CU5" s="50"/>
      <c r="CV5" s="48"/>
      <c r="CW5" s="26" t="n">
        <f aca="false">IF($E$9=CY5,1,0)</f>
        <v>1</v>
      </c>
      <c r="CX5" s="53" t="s">
        <v>78</v>
      </c>
      <c r="CY5" s="26" t="s">
        <v>77</v>
      </c>
      <c r="CZ5" s="50"/>
      <c r="DA5" s="26" t="n">
        <f aca="false">IF($F$9=DC5,1,0)</f>
        <v>1</v>
      </c>
      <c r="DB5" s="53" t="s">
        <v>78</v>
      </c>
      <c r="DC5" s="26" t="n">
        <v>1</v>
      </c>
      <c r="DD5" s="50"/>
      <c r="DE5" s="26" t="n">
        <f aca="false">IF($B$16=DG5,1,0)</f>
        <v>0</v>
      </c>
      <c r="DF5" s="53" t="s">
        <v>94</v>
      </c>
      <c r="DG5" s="26" t="s">
        <v>55</v>
      </c>
      <c r="DH5" s="50"/>
      <c r="DI5" s="26" t="n">
        <f aca="false">IF($B$17=DK5,1,0)</f>
        <v>0</v>
      </c>
      <c r="DJ5" s="53" t="s">
        <v>81</v>
      </c>
      <c r="DK5" s="52" t="s">
        <v>97</v>
      </c>
    </row>
    <row r="6" customFormat="false" ht="15" hidden="false" customHeight="false" outlineLevel="0" collapsed="false">
      <c r="A6" s="55" t="s">
        <v>98</v>
      </c>
      <c r="B6" s="71" t="n">
        <f aca="false">IF(OR('ОЛ(4)'!C32="зависимая",'ОЛ(4)'!C32=0),'ОЛ(4)'!R13,IF(('ОЛ(4)'!R13-B8)&lt;5,B8+5,'ОЛ(4)'!R13))</f>
        <v>70</v>
      </c>
      <c r="C6" s="72" t="s">
        <v>86</v>
      </c>
      <c r="E6" s="0" t="s">
        <v>99</v>
      </c>
      <c r="F6" s="73" t="n">
        <f aca="false">VLOOKUP(1,IF(B14="IMI Hydronic",Z4:AB21,IF(B14="Siemens",AC4:AE22,AF4:AH16)),2,0)</f>
        <v>15</v>
      </c>
      <c r="I6" s="51" t="n">
        <f aca="false">IF($B$12&lt;12,(IF((L6&gt;4)*AND(L6&lt;16),2,0)),IF((L6&gt;4)*AND(L6&lt;20),2,0))</f>
        <v>0</v>
      </c>
      <c r="J6" s="54" t="n">
        <v>25</v>
      </c>
      <c r="K6" s="54" t="n">
        <f aca="false">1/POWER(1.14+2*LOG10((J6/1000)/($K$21/1000)),2)</f>
        <v>0.0485604272927566</v>
      </c>
      <c r="L6" s="54" t="n">
        <f aca="false">0.00638*K6*POWER($F$4,2)/(POWER(J6/1000,5)*$K$20)</f>
        <v>0</v>
      </c>
      <c r="M6" s="54"/>
      <c r="N6" s="54" t="e">
        <f aca="false">IF((Q6&gt;4)*AND(Q6&lt;20),1,0)</f>
        <v>#DIV/0!</v>
      </c>
      <c r="O6" s="54" t="n">
        <v>25</v>
      </c>
      <c r="P6" s="54" t="n">
        <f aca="false">1/POWER(1.14+2*LOG10((O6/1000)/($K$21/1000)),2)</f>
        <v>0.0485604272927566</v>
      </c>
      <c r="Q6" s="58" t="e">
        <f aca="false">0.00638*P6*POWER($F$11,2)/(POWER(O6/1000,5)*$K$20)</f>
        <v>#DIV/0!</v>
      </c>
      <c r="R6" s="54" t="n">
        <f aca="false">IF((U6&gt;4)*AND(U6&lt;20),1,0)</f>
        <v>0</v>
      </c>
      <c r="S6" s="54" t="n">
        <v>25</v>
      </c>
      <c r="T6" s="54" t="n">
        <f aca="false">1/POWER(1.14+2*LOG10((S6/1000)/($K$21/1000)),2)</f>
        <v>0.0485604272927566</v>
      </c>
      <c r="U6" s="58" t="n">
        <f aca="false">0.00638*T6*POWER($F$16,2)/(POWER(S6/1000,5)*$K$20)</f>
        <v>0</v>
      </c>
      <c r="W6" s="51"/>
      <c r="X6" s="54"/>
      <c r="Y6" s="54"/>
      <c r="Z6" s="51" t="n">
        <f aca="false">IF(AB6&gt;$X$5,1,0)</f>
        <v>1</v>
      </c>
      <c r="AA6" s="63" t="n">
        <v>15</v>
      </c>
      <c r="AB6" s="58" t="n">
        <v>4</v>
      </c>
      <c r="AC6" s="51" t="n">
        <f aca="false">IF(AE6&gt;$X$5,1,0)</f>
        <v>1</v>
      </c>
      <c r="AD6" s="63" t="n">
        <v>15</v>
      </c>
      <c r="AE6" s="58" t="n">
        <v>4</v>
      </c>
      <c r="AF6" s="54" t="n">
        <f aca="false">IF(AH6&gt;$X$5,1,0)</f>
        <v>1</v>
      </c>
      <c r="AG6" s="63" t="n">
        <v>15</v>
      </c>
      <c r="AH6" s="58" t="n">
        <v>4</v>
      </c>
      <c r="AJ6" s="69" t="n">
        <v>10</v>
      </c>
      <c r="AK6" s="51" t="e">
        <f aca="false">IF($F$13&lt;AJ6,1,0)</f>
        <v>#DIV/0!</v>
      </c>
      <c r="AL6" s="58" t="s">
        <v>100</v>
      </c>
      <c r="AM6" s="50" t="e">
        <f aca="false">IF($F$13&lt;AJ6,1,0)</f>
        <v>#DIV/0!</v>
      </c>
      <c r="AN6" s="50" t="s">
        <v>101</v>
      </c>
      <c r="AO6" s="51" t="e">
        <f aca="false">IF($F$13&lt;AJ6,1,0)</f>
        <v>#DIV/0!</v>
      </c>
      <c r="AP6" s="75" t="s">
        <v>102</v>
      </c>
      <c r="AR6" s="54"/>
      <c r="AS6" s="51" t="n">
        <v>0.67</v>
      </c>
      <c r="AT6" s="54" t="n">
        <f aca="false">IF($B$4&lt;AS6,1,0)</f>
        <v>1</v>
      </c>
      <c r="AU6" s="54" t="s">
        <v>92</v>
      </c>
      <c r="AV6" s="54" t="n">
        <f aca="false">IF($B$4&lt;AS6,1,0)</f>
        <v>1</v>
      </c>
      <c r="AW6" s="20" t="n">
        <v>1</v>
      </c>
      <c r="AX6" s="51" t="n">
        <v>0.575</v>
      </c>
      <c r="AY6" s="54" t="n">
        <f aca="false">IF($B$4&lt;AX6,1,0)</f>
        <v>1</v>
      </c>
      <c r="AZ6" s="54" t="s">
        <v>92</v>
      </c>
      <c r="BA6" s="54" t="n">
        <f aca="false">IF($B$4&lt;AX6,1,0)</f>
        <v>1</v>
      </c>
      <c r="BB6" s="20" t="n">
        <v>1</v>
      </c>
      <c r="BC6" s="51" t="n">
        <v>0.71</v>
      </c>
      <c r="BD6" s="54" t="n">
        <f aca="false">IF($B$4&lt;BC6,1,0)</f>
        <v>1</v>
      </c>
      <c r="BE6" s="54" t="s">
        <v>92</v>
      </c>
      <c r="BF6" s="54" t="n">
        <f aca="false">IF($B$4&lt;BC6,1,0)</f>
        <v>1</v>
      </c>
      <c r="BG6" s="52" t="n">
        <v>2</v>
      </c>
      <c r="BH6" s="0" t="n">
        <v>0.3</v>
      </c>
      <c r="BI6" s="54" t="n">
        <f aca="false">IF($B$4&lt;BH6,1,0)</f>
        <v>1</v>
      </c>
      <c r="BJ6" s="54" t="s">
        <v>92</v>
      </c>
      <c r="BK6" s="54" t="n">
        <f aca="false">IF($B$4&lt;BH6,1,0)</f>
        <v>1</v>
      </c>
      <c r="BL6" s="58" t="n">
        <v>1</v>
      </c>
      <c r="BN6" s="47"/>
      <c r="BO6" s="26"/>
      <c r="BP6" s="48"/>
      <c r="BQ6" s="26" t="e">
        <f aca="false">IF($F$5=BS6,1,0)</f>
        <v>#N/A</v>
      </c>
      <c r="BR6" s="53" t="s">
        <v>103</v>
      </c>
      <c r="BS6" s="26" t="n">
        <v>25</v>
      </c>
      <c r="BT6" s="50"/>
      <c r="BU6" s="69" t="n">
        <f aca="false">IF($F$7=BX6,1,0)</f>
        <v>1</v>
      </c>
      <c r="BV6" s="53" t="s">
        <v>103</v>
      </c>
      <c r="BW6" s="26" t="n">
        <v>15</v>
      </c>
      <c r="BX6" s="52" t="n">
        <v>1.6</v>
      </c>
      <c r="BY6" s="48"/>
      <c r="BZ6" s="26" t="n">
        <f aca="false">IF($B$14=CB6,1,0)</f>
        <v>0</v>
      </c>
      <c r="CA6" s="53" t="s">
        <v>104</v>
      </c>
      <c r="CB6" s="26" t="s">
        <v>54</v>
      </c>
      <c r="CC6" s="48"/>
      <c r="CD6" s="26" t="e">
        <f aca="false">IF($F$12=CF6,1,0)</f>
        <v>#N/A</v>
      </c>
      <c r="CE6" s="53" t="s">
        <v>103</v>
      </c>
      <c r="CF6" s="26" t="n">
        <v>25</v>
      </c>
      <c r="CG6" s="48"/>
      <c r="CH6" s="26" t="e">
        <f aca="false">IF($E$14=CJ6,1,0)</f>
        <v>#VALUE!</v>
      </c>
      <c r="CI6" s="21" t="n">
        <v>3</v>
      </c>
      <c r="CJ6" s="21" t="s">
        <v>100</v>
      </c>
      <c r="CK6" s="21" t="e">
        <f aca="false">IF($E$14=CM6,1,0)</f>
        <v>#VALUE!</v>
      </c>
      <c r="CL6" s="21" t="n">
        <v>3</v>
      </c>
      <c r="CM6" s="21" t="s">
        <v>101</v>
      </c>
      <c r="CN6" s="70" t="e">
        <f aca="false">IF($E$14=CP6,1,0)</f>
        <v>#VALUE!</v>
      </c>
      <c r="CO6" s="21" t="n">
        <v>3</v>
      </c>
      <c r="CP6" s="70" t="s">
        <v>102</v>
      </c>
      <c r="CQ6" s="50"/>
      <c r="CR6" s="54" t="n">
        <f aca="false">IF($B$15=CT6,1,0)</f>
        <v>0</v>
      </c>
      <c r="CS6" s="21" t="n">
        <v>2</v>
      </c>
      <c r="CT6" s="21" t="s">
        <v>34</v>
      </c>
      <c r="CU6" s="50"/>
      <c r="CV6" s="48"/>
      <c r="CW6" s="26" t="n">
        <f aca="false">IF($E$9=CY6,1,0)</f>
        <v>0</v>
      </c>
      <c r="CX6" s="53" t="s">
        <v>94</v>
      </c>
      <c r="CY6" s="26" t="s">
        <v>91</v>
      </c>
      <c r="CZ6" s="50"/>
      <c r="DA6" s="26" t="n">
        <f aca="false">IF($F$9=DC6,1,0)</f>
        <v>0</v>
      </c>
      <c r="DB6" s="53" t="s">
        <v>94</v>
      </c>
      <c r="DC6" s="26" t="n">
        <v>2</v>
      </c>
      <c r="DD6" s="50"/>
      <c r="DE6" s="26" t="n">
        <f aca="false">IF($B$16=DG6,1,0)</f>
        <v>0</v>
      </c>
      <c r="DF6" s="53" t="s">
        <v>104</v>
      </c>
      <c r="DG6" s="76" t="s">
        <v>54</v>
      </c>
      <c r="DH6" s="50"/>
      <c r="DI6" s="26"/>
      <c r="DJ6" s="53"/>
      <c r="DK6" s="52"/>
    </row>
    <row r="7" customFormat="false" ht="15" hidden="false" customHeight="false" outlineLevel="0" collapsed="false">
      <c r="A7" s="55" t="s">
        <v>105</v>
      </c>
      <c r="B7" s="71" t="n">
        <f aca="false">'ОЛ(4)'!N16</f>
        <v>0</v>
      </c>
      <c r="C7" s="72" t="s">
        <v>86</v>
      </c>
      <c r="E7" s="0" t="s">
        <v>106</v>
      </c>
      <c r="F7" s="73" t="n">
        <f aca="false">VLOOKUP(1,IF(B14="IMI Hydronic",Z4:AB21,IF(B14="Siemens",AC4:AE22,AF4:AH16)),3,0)</f>
        <v>1.6</v>
      </c>
      <c r="I7" s="51" t="n">
        <f aca="false">IF($B$12&lt;12,(IF((L7&gt;4)*AND(L7&lt;16),2,0)),IF((L7&gt;4)*AND(L7&lt;20),2,0))</f>
        <v>0</v>
      </c>
      <c r="J7" s="54" t="n">
        <v>32</v>
      </c>
      <c r="K7" s="54" t="n">
        <f aca="false">1/POWER(1.14+2*LOG10((J7/1000)/($K$21/1000)),2)</f>
        <v>0.0442773220047029</v>
      </c>
      <c r="L7" s="54" t="n">
        <f aca="false">0.00638*K7*POWER($F$4,2)/(POWER(J7/1000,5)*$K$20)</f>
        <v>0</v>
      </c>
      <c r="M7" s="54"/>
      <c r="N7" s="54" t="e">
        <f aca="false">IF((Q7&gt;4)*AND(Q7&lt;20),1,0)</f>
        <v>#DIV/0!</v>
      </c>
      <c r="O7" s="54" t="n">
        <v>32</v>
      </c>
      <c r="P7" s="54" t="n">
        <f aca="false">1/POWER(1.14+2*LOG10((O7/1000)/($K$21/1000)),2)</f>
        <v>0.0442773220047029</v>
      </c>
      <c r="Q7" s="58" t="e">
        <f aca="false">0.00638*P7*POWER($F$11,2)/(POWER(O7/1000,5)*$K$20)</f>
        <v>#DIV/0!</v>
      </c>
      <c r="R7" s="54" t="n">
        <f aca="false">IF((U7&gt;4)*AND(U7&lt;20),1,0)</f>
        <v>0</v>
      </c>
      <c r="S7" s="54" t="n">
        <v>32</v>
      </c>
      <c r="T7" s="54" t="n">
        <f aca="false">1/POWER(1.14+2*LOG10((S7/1000)/($K$21/1000)),2)</f>
        <v>0.0442773220047029</v>
      </c>
      <c r="U7" s="58" t="n">
        <f aca="false">0.00638*T7*POWER($F$16,2)/(POWER(S7/1000,5)*$K$20)</f>
        <v>0</v>
      </c>
      <c r="W7" s="51"/>
      <c r="X7" s="54"/>
      <c r="Y7" s="54"/>
      <c r="Z7" s="51" t="n">
        <f aca="false">IF(AB7&gt;$X$5,1,0)</f>
        <v>1</v>
      </c>
      <c r="AA7" s="63" t="n">
        <v>20</v>
      </c>
      <c r="AB7" s="58" t="n">
        <v>6.3</v>
      </c>
      <c r="AC7" s="51" t="n">
        <f aca="false">IF(AE7&gt;$X$5,1,0)</f>
        <v>1</v>
      </c>
      <c r="AD7" s="63" t="n">
        <v>20</v>
      </c>
      <c r="AE7" s="58" t="n">
        <v>6.3</v>
      </c>
      <c r="AF7" s="54" t="n">
        <f aca="false">IF(AH7&gt;$X$5,1,0)</f>
        <v>1</v>
      </c>
      <c r="AG7" s="63" t="n">
        <v>20</v>
      </c>
      <c r="AH7" s="58" t="n">
        <v>6.3</v>
      </c>
      <c r="AJ7" s="69" t="n">
        <v>14</v>
      </c>
      <c r="AK7" s="51" t="e">
        <f aca="false">IF($F$13&lt;AJ7,1,0)</f>
        <v>#DIV/0!</v>
      </c>
      <c r="AL7" s="58" t="s">
        <v>107</v>
      </c>
      <c r="AM7" s="50" t="e">
        <f aca="false">IF($F$13&lt;AJ7,1,0)</f>
        <v>#DIV/0!</v>
      </c>
      <c r="AN7" s="50" t="s">
        <v>108</v>
      </c>
      <c r="AO7" s="51" t="e">
        <f aca="false">IF($F$13&lt;AJ7,1,0)</f>
        <v>#DIV/0!</v>
      </c>
      <c r="AP7" s="50" t="s">
        <v>109</v>
      </c>
      <c r="AR7" s="54"/>
      <c r="AS7" s="51" t="n">
        <v>1</v>
      </c>
      <c r="AT7" s="54" t="n">
        <f aca="false">IF($B$4&lt;AS7,1,0)</f>
        <v>1</v>
      </c>
      <c r="AU7" s="54" t="s">
        <v>92</v>
      </c>
      <c r="AV7" s="54" t="n">
        <f aca="false">IF($B$4&lt;AS7,1,0)</f>
        <v>1</v>
      </c>
      <c r="AW7" s="20" t="n">
        <v>2</v>
      </c>
      <c r="AX7" s="77" t="n">
        <v>0.9</v>
      </c>
      <c r="AY7" s="54" t="n">
        <f aca="false">IF($B$4&lt;AX7,1,0)</f>
        <v>1</v>
      </c>
      <c r="AZ7" s="54" t="s">
        <v>92</v>
      </c>
      <c r="BA7" s="54" t="n">
        <f aca="false">IF($B$4&lt;AX7,1,0)</f>
        <v>1</v>
      </c>
      <c r="BB7" s="20" t="n">
        <v>2</v>
      </c>
      <c r="BC7" s="51" t="n">
        <v>0.95</v>
      </c>
      <c r="BD7" s="54" t="n">
        <f aca="false">IF($B$4&lt;BC7,1,0)</f>
        <v>1</v>
      </c>
      <c r="BE7" s="54" t="s">
        <v>92</v>
      </c>
      <c r="BF7" s="54" t="n">
        <f aca="false">IF($B$4&lt;BC7,1,0)</f>
        <v>1</v>
      </c>
      <c r="BG7" s="78" t="n">
        <v>3</v>
      </c>
      <c r="BH7" s="0" t="n">
        <v>0.48</v>
      </c>
      <c r="BI7" s="54" t="n">
        <f aca="false">IF($B$4&lt;BH7,1,0)</f>
        <v>1</v>
      </c>
      <c r="BJ7" s="54" t="s">
        <v>92</v>
      </c>
      <c r="BK7" s="54" t="n">
        <f aca="false">IF($B$4&lt;BH7,1,0)</f>
        <v>1</v>
      </c>
      <c r="BL7" s="58" t="n">
        <v>2</v>
      </c>
      <c r="BN7" s="47"/>
      <c r="BO7" s="26"/>
      <c r="BP7" s="48"/>
      <c r="BQ7" s="26" t="e">
        <f aca="false">IF($F$5=BS7,1,0)</f>
        <v>#N/A</v>
      </c>
      <c r="BR7" s="53" t="s">
        <v>110</v>
      </c>
      <c r="BS7" s="26" t="n">
        <v>32</v>
      </c>
      <c r="BT7" s="50"/>
      <c r="BU7" s="69" t="n">
        <f aca="false">IF($F$7=BX7,1,0)</f>
        <v>0</v>
      </c>
      <c r="BV7" s="53" t="s">
        <v>110</v>
      </c>
      <c r="BW7" s="26" t="n">
        <v>15</v>
      </c>
      <c r="BX7" s="52" t="n">
        <v>2.5</v>
      </c>
      <c r="BY7" s="48"/>
      <c r="BZ7" s="26"/>
      <c r="CA7" s="53"/>
      <c r="CB7" s="26"/>
      <c r="CC7" s="48"/>
      <c r="CD7" s="26" t="e">
        <f aca="false">IF($F$12=CF7,1,0)</f>
        <v>#N/A</v>
      </c>
      <c r="CE7" s="53" t="s">
        <v>110</v>
      </c>
      <c r="CF7" s="26" t="n">
        <v>32</v>
      </c>
      <c r="CG7" s="48"/>
      <c r="CH7" s="26" t="e">
        <f aca="false">IF($E$14=CJ7,1,0)</f>
        <v>#VALUE!</v>
      </c>
      <c r="CI7" s="76" t="n">
        <v>4</v>
      </c>
      <c r="CJ7" s="21" t="s">
        <v>107</v>
      </c>
      <c r="CK7" s="21" t="e">
        <f aca="false">IF($E$14=CM7,1,0)</f>
        <v>#VALUE!</v>
      </c>
      <c r="CL7" s="76" t="n">
        <v>4</v>
      </c>
      <c r="CM7" s="21" t="s">
        <v>108</v>
      </c>
      <c r="CN7" s="70" t="e">
        <f aca="false">IF($E$14=CP7,1,0)</f>
        <v>#VALUE!</v>
      </c>
      <c r="CO7" s="76" t="n">
        <v>4</v>
      </c>
      <c r="CP7" s="21" t="s">
        <v>109</v>
      </c>
      <c r="CQ7" s="50"/>
      <c r="CR7" s="54" t="n">
        <f aca="false">IF($B$15=CT7,1,0)</f>
        <v>0</v>
      </c>
      <c r="CS7" s="21" t="n">
        <v>3</v>
      </c>
      <c r="CT7" s="76" t="s">
        <v>35</v>
      </c>
      <c r="CU7" s="50"/>
      <c r="CV7" s="48"/>
      <c r="CW7" s="26" t="n">
        <f aca="false">IF($E$9=CY7,1,0)</f>
        <v>0</v>
      </c>
      <c r="CX7" s="53" t="s">
        <v>104</v>
      </c>
      <c r="CY7" s="76" t="s">
        <v>93</v>
      </c>
      <c r="CZ7" s="50"/>
      <c r="DA7" s="26" t="n">
        <f aca="false">IF($F$9=DC7,1,0)</f>
        <v>0</v>
      </c>
      <c r="DB7" s="53" t="s">
        <v>104</v>
      </c>
      <c r="DC7" s="26" t="n">
        <v>3</v>
      </c>
      <c r="DD7" s="50"/>
      <c r="DE7" s="26"/>
      <c r="DF7" s="54"/>
      <c r="DG7" s="54"/>
      <c r="DH7" s="50"/>
      <c r="DI7" s="26"/>
      <c r="DJ7" s="53"/>
      <c r="DK7" s="79"/>
    </row>
    <row r="8" customFormat="false" ht="15" hidden="false" customHeight="false" outlineLevel="0" collapsed="false">
      <c r="A8" s="55" t="s">
        <v>111</v>
      </c>
      <c r="B8" s="71" t="n">
        <f aca="false">'ОЛ(4)'!R16</f>
        <v>0</v>
      </c>
      <c r="C8" s="72" t="s">
        <v>86</v>
      </c>
      <c r="E8" s="80" t="s">
        <v>73</v>
      </c>
      <c r="F8" s="57" t="n">
        <f aca="false">(F4^2/F7^2)*10</f>
        <v>0</v>
      </c>
      <c r="I8" s="51" t="n">
        <f aca="false">IF($B$12&lt;12,(IF((L8&gt;4)*AND(L8&lt;16),2,0)),IF((L8&gt;4)*AND(L8&lt;20),2,0))</f>
        <v>0</v>
      </c>
      <c r="J8" s="54" t="n">
        <v>40</v>
      </c>
      <c r="K8" s="54" t="n">
        <f aca="false">1/POWER(1.14+2*LOG10((J8/1000)/($K$21/1000)),2)</f>
        <v>0.0408752263386062</v>
      </c>
      <c r="L8" s="54" t="n">
        <f aca="false">0.00638*K8*POWER($F$4,2)/(POWER(J8/1000,5)*$K$20)</f>
        <v>0</v>
      </c>
      <c r="M8" s="54"/>
      <c r="N8" s="54" t="e">
        <f aca="false">IF((Q8&gt;4)*AND(Q8&lt;20),1,0)</f>
        <v>#DIV/0!</v>
      </c>
      <c r="O8" s="54" t="n">
        <v>40</v>
      </c>
      <c r="P8" s="54" t="n">
        <f aca="false">1/POWER(1.14+2*LOG10((O8/1000)/($K$21/1000)),2)</f>
        <v>0.0408752263386062</v>
      </c>
      <c r="Q8" s="58" t="e">
        <f aca="false">0.00638*P8*POWER($F$11,2)/(POWER(O8/1000,5)*$K$20)</f>
        <v>#DIV/0!</v>
      </c>
      <c r="R8" s="54" t="n">
        <f aca="false">IF((U8&gt;4)*AND(U8&lt;20),1,0)</f>
        <v>0</v>
      </c>
      <c r="S8" s="54" t="n">
        <v>40</v>
      </c>
      <c r="T8" s="54" t="n">
        <f aca="false">1/POWER(1.14+2*LOG10((S8/1000)/($K$21/1000)),2)</f>
        <v>0.0408752263386062</v>
      </c>
      <c r="U8" s="58" t="n">
        <f aca="false">0.00638*T8*POWER($F$16,2)/(POWER(S8/1000,5)*$K$20)</f>
        <v>0</v>
      </c>
      <c r="W8" s="59"/>
      <c r="X8" s="54"/>
      <c r="Y8" s="74"/>
      <c r="Z8" s="51" t="n">
        <f aca="false">IF(AB8&gt;$X$5,1,0)</f>
        <v>1</v>
      </c>
      <c r="AA8" s="63" t="n">
        <v>25</v>
      </c>
      <c r="AB8" s="58" t="n">
        <v>10</v>
      </c>
      <c r="AC8" s="51" t="n">
        <f aca="false">IF(AE8&gt;$X$5,1,0)</f>
        <v>1</v>
      </c>
      <c r="AD8" s="63" t="n">
        <v>25</v>
      </c>
      <c r="AE8" s="58" t="n">
        <v>10</v>
      </c>
      <c r="AF8" s="54" t="n">
        <f aca="false">IF(AH8&gt;$X$5,1,0)</f>
        <v>1</v>
      </c>
      <c r="AG8" s="63" t="n">
        <v>25</v>
      </c>
      <c r="AH8" s="58" t="n">
        <v>10</v>
      </c>
      <c r="AJ8" s="69" t="n">
        <v>25</v>
      </c>
      <c r="AK8" s="51" t="e">
        <f aca="false">IF($F$13&lt;AJ8,1,0)</f>
        <v>#DIV/0!</v>
      </c>
      <c r="AL8" s="58" t="s">
        <v>112</v>
      </c>
      <c r="AM8" s="50" t="e">
        <f aca="false">IF($F$13&lt;AJ8,1,0)</f>
        <v>#DIV/0!</v>
      </c>
      <c r="AN8" s="50" t="s">
        <v>113</v>
      </c>
      <c r="AO8" s="51" t="e">
        <f aca="false">IF($F$13&lt;AJ8,1,0)</f>
        <v>#DIV/0!</v>
      </c>
      <c r="AP8" s="75" t="s">
        <v>114</v>
      </c>
      <c r="AR8" s="54"/>
      <c r="AS8" s="51" t="n">
        <v>1.25</v>
      </c>
      <c r="AT8" s="54" t="n">
        <f aca="false">IF($B$4&lt;AS8,1,0)</f>
        <v>1</v>
      </c>
      <c r="AU8" s="54" t="s">
        <v>92</v>
      </c>
      <c r="AV8" s="54" t="n">
        <f aca="false">IF($B$4&lt;AS8,1,0)</f>
        <v>1</v>
      </c>
      <c r="AW8" s="20" t="n">
        <v>3</v>
      </c>
      <c r="AX8" s="77" t="n">
        <v>1.16</v>
      </c>
      <c r="AY8" s="54" t="n">
        <f aca="false">IF($B$4&lt;AX8,1,0)</f>
        <v>1</v>
      </c>
      <c r="AZ8" s="54" t="s">
        <v>92</v>
      </c>
      <c r="BA8" s="54" t="n">
        <f aca="false">IF($B$4&lt;AX8,1,0)</f>
        <v>1</v>
      </c>
      <c r="BB8" s="20" t="n">
        <v>3</v>
      </c>
      <c r="BC8" s="51" t="n">
        <v>1.25</v>
      </c>
      <c r="BD8" s="54" t="n">
        <f aca="false">IF($B$4&lt;BC8,1,0)</f>
        <v>1</v>
      </c>
      <c r="BE8" s="54" t="s">
        <v>92</v>
      </c>
      <c r="BF8" s="54" t="n">
        <f aca="false">IF($B$4&lt;BC8,1,0)</f>
        <v>1</v>
      </c>
      <c r="BG8" s="78" t="n">
        <v>4</v>
      </c>
      <c r="BH8" s="0" t="n">
        <v>0.66</v>
      </c>
      <c r="BI8" s="54" t="n">
        <f aca="false">IF($B$4&lt;BH8,1,0)</f>
        <v>1</v>
      </c>
      <c r="BJ8" s="54" t="s">
        <v>92</v>
      </c>
      <c r="BK8" s="54" t="n">
        <f aca="false">IF($B$4&lt;BH8,1,0)</f>
        <v>1</v>
      </c>
      <c r="BL8" s="58" t="n">
        <v>3</v>
      </c>
      <c r="BN8" s="47"/>
      <c r="BO8" s="26"/>
      <c r="BP8" s="48"/>
      <c r="BQ8" s="26" t="e">
        <f aca="false">IF($F$5=BS8,1,0)</f>
        <v>#N/A</v>
      </c>
      <c r="BR8" s="53" t="s">
        <v>115</v>
      </c>
      <c r="BS8" s="26" t="n">
        <v>40</v>
      </c>
      <c r="BT8" s="50"/>
      <c r="BU8" s="69" t="n">
        <f aca="false">IF($F$7=BX8,1,0)</f>
        <v>0</v>
      </c>
      <c r="BV8" s="53" t="s">
        <v>115</v>
      </c>
      <c r="BW8" s="26" t="n">
        <v>15</v>
      </c>
      <c r="BX8" s="52" t="n">
        <v>4</v>
      </c>
      <c r="BY8" s="48"/>
      <c r="BZ8" s="26"/>
      <c r="CA8" s="53"/>
      <c r="CB8" s="26"/>
      <c r="CC8" s="48"/>
      <c r="CD8" s="26" t="e">
        <f aca="false">IF($F$12=CF8,1,0)</f>
        <v>#N/A</v>
      </c>
      <c r="CE8" s="53" t="s">
        <v>115</v>
      </c>
      <c r="CF8" s="26" t="n">
        <v>40</v>
      </c>
      <c r="CG8" s="48"/>
      <c r="CH8" s="26" t="e">
        <f aca="false">IF($E$14=CJ8,1,0)</f>
        <v>#VALUE!</v>
      </c>
      <c r="CI8" s="76" t="n">
        <v>5</v>
      </c>
      <c r="CJ8" s="21" t="s">
        <v>112</v>
      </c>
      <c r="CK8" s="21" t="e">
        <f aca="false">IF($E$14=CM8,1,0)</f>
        <v>#VALUE!</v>
      </c>
      <c r="CL8" s="76" t="n">
        <v>5</v>
      </c>
      <c r="CM8" s="21" t="s">
        <v>113</v>
      </c>
      <c r="CN8" s="70" t="e">
        <f aca="false">IF($E$14=CP8,1,0)</f>
        <v>#VALUE!</v>
      </c>
      <c r="CO8" s="76" t="n">
        <v>5</v>
      </c>
      <c r="CP8" s="70" t="s">
        <v>114</v>
      </c>
      <c r="CQ8" s="50"/>
      <c r="CU8" s="50"/>
      <c r="CV8" s="48"/>
      <c r="CW8" s="26" t="n">
        <f aca="false">IF($E$9=CY8,1,0)</f>
        <v>0</v>
      </c>
      <c r="CX8" s="53" t="s">
        <v>116</v>
      </c>
      <c r="CY8" s="26" t="s">
        <v>92</v>
      </c>
      <c r="CZ8" s="50"/>
      <c r="DA8" s="26" t="n">
        <f aca="false">IF($F$9=DC8,1,0)</f>
        <v>0</v>
      </c>
      <c r="DB8" s="53" t="s">
        <v>116</v>
      </c>
      <c r="DC8" s="26" t="n">
        <v>4</v>
      </c>
      <c r="DD8" s="50"/>
      <c r="DE8" s="26"/>
      <c r="DF8" s="53"/>
      <c r="DG8" s="26"/>
      <c r="DH8" s="50"/>
      <c r="DI8" s="26"/>
      <c r="DJ8" s="53"/>
      <c r="DK8" s="52"/>
    </row>
    <row r="9" customFormat="false" ht="15" hidden="false" customHeight="false" outlineLevel="0" collapsed="false">
      <c r="A9" s="55" t="s">
        <v>117</v>
      </c>
      <c r="B9" s="71" t="n">
        <f aca="false">'ОЛ(4)'!W13*100</f>
        <v>60</v>
      </c>
      <c r="C9" s="72" t="s">
        <v>118</v>
      </c>
      <c r="E9" s="81" t="str">
        <f aca="false">IF('ОЛ(4)'!C32="ЗАВИСИМАЯ","ОТСУТСТВУЕТ",VLOOKUP(1,IF(B5=150,AT4:AU11,IF(B5=130,AY4:AZ11,IF(B5=115,BD4:BE10,IF(B5=105,BI4:BJ13,0)))),2,0))</f>
        <v>НН08</v>
      </c>
      <c r="F9" s="73" t="n">
        <f aca="false">IF('ОЛ(4)'!C32="ЗАВИСИМАЯ","ОТСУТСТВУЕТ",VLOOKUP(1,IF(B5=150,AV4:AW11,IF(B5=130,BA4:BB11,IF(B5=115,BF4:BG10,IF(B5=105,BK4:BL13,0)))),2,0))</f>
        <v>1</v>
      </c>
      <c r="I9" s="51" t="n">
        <f aca="false">IF($B$12&lt;12,(IF((L9&gt;4)*AND(L9&lt;16),2,0)),IF((L9&gt;4)*AND(L9&lt;20),2,0))</f>
        <v>0</v>
      </c>
      <c r="J9" s="54" t="n">
        <v>50</v>
      </c>
      <c r="K9" s="54" t="n">
        <f aca="false">1/POWER(1.14+2*LOG10((J9/1000)/($K$21/1000)),2)</f>
        <v>0.0378506866114551</v>
      </c>
      <c r="L9" s="54" t="n">
        <f aca="false">0.00638*K9*POWER($F$4,2)/(POWER(J9/1000,5)*$K$20)</f>
        <v>0</v>
      </c>
      <c r="M9" s="54"/>
      <c r="N9" s="54" t="e">
        <f aca="false">IF((Q9&gt;4)*AND(Q9&lt;20),1,0)</f>
        <v>#DIV/0!</v>
      </c>
      <c r="O9" s="54" t="n">
        <v>50</v>
      </c>
      <c r="P9" s="54" t="n">
        <f aca="false">1/POWER(1.14+2*LOG10((O9/1000)/($K$21/1000)),2)</f>
        <v>0.0378506866114551</v>
      </c>
      <c r="Q9" s="58" t="e">
        <f aca="false">0.00638*P9*POWER($F$11,2)/(POWER(O9/1000,5)*$K$20)</f>
        <v>#DIV/0!</v>
      </c>
      <c r="R9" s="54" t="n">
        <f aca="false">IF((U9&gt;4)*AND(U9&lt;20),1,0)</f>
        <v>0</v>
      </c>
      <c r="S9" s="54" t="n">
        <v>50</v>
      </c>
      <c r="T9" s="54" t="n">
        <f aca="false">1/POWER(1.14+2*LOG10((S9/1000)/($K$21/1000)),2)</f>
        <v>0.0378506866114551</v>
      </c>
      <c r="U9" s="58" t="n">
        <f aca="false">0.00638*T9*POWER($F$16,2)/(POWER(S9/1000,5)*$K$20)</f>
        <v>0</v>
      </c>
      <c r="W9" s="59"/>
      <c r="X9" s="74"/>
      <c r="Y9" s="54"/>
      <c r="Z9" s="51" t="n">
        <f aca="false">IF(AB9&gt;$X$5,1,0)</f>
        <v>1</v>
      </c>
      <c r="AA9" s="63" t="n">
        <v>32</v>
      </c>
      <c r="AB9" s="58" t="n">
        <v>16</v>
      </c>
      <c r="AC9" s="51" t="n">
        <f aca="false">IF(AE9&gt;$X$5,1,0)</f>
        <v>1</v>
      </c>
      <c r="AD9" s="63" t="n">
        <v>32</v>
      </c>
      <c r="AE9" s="58" t="n">
        <v>16</v>
      </c>
      <c r="AF9" s="54" t="n">
        <f aca="false">IF(AH9&gt;$X$5,1,0)</f>
        <v>1</v>
      </c>
      <c r="AG9" s="63" t="n">
        <v>32</v>
      </c>
      <c r="AH9" s="58" t="n">
        <v>16</v>
      </c>
      <c r="AJ9" s="69" t="n">
        <v>30</v>
      </c>
      <c r="AK9" s="51" t="e">
        <f aca="false">IF($F$13&lt;AJ9,1,0)</f>
        <v>#DIV/0!</v>
      </c>
      <c r="AL9" s="58" t="s">
        <v>119</v>
      </c>
      <c r="AM9" s="50" t="e">
        <f aca="false">IF($F$13&lt;AJ9,1,0)</f>
        <v>#DIV/0!</v>
      </c>
      <c r="AN9" s="50" t="s">
        <v>120</v>
      </c>
      <c r="AO9" s="51" t="e">
        <f aca="false">IF($F$13&lt;AJ9,1,0)</f>
        <v>#DIV/0!</v>
      </c>
      <c r="AP9" s="75" t="s">
        <v>121</v>
      </c>
      <c r="AR9" s="54"/>
      <c r="AS9" s="51" t="n">
        <v>1.3</v>
      </c>
      <c r="AT9" s="54" t="n">
        <f aca="false">IF($B$4&lt;AS9,1,0)</f>
        <v>1</v>
      </c>
      <c r="AU9" s="54" t="s">
        <v>92</v>
      </c>
      <c r="AV9" s="54" t="n">
        <f aca="false">IF($B$4&lt;AS9,1,0)</f>
        <v>1</v>
      </c>
      <c r="AW9" s="20" t="n">
        <v>4</v>
      </c>
      <c r="AX9" s="51" t="n">
        <v>1.3</v>
      </c>
      <c r="AY9" s="54" t="n">
        <f aca="false">IF($B$4&lt;AX9,1,0)</f>
        <v>1</v>
      </c>
      <c r="AZ9" s="54" t="s">
        <v>92</v>
      </c>
      <c r="BA9" s="54" t="n">
        <f aca="false">IF($B$4&lt;AX9,1,0)</f>
        <v>1</v>
      </c>
      <c r="BB9" s="20" t="n">
        <v>4</v>
      </c>
      <c r="BC9" s="51" t="n">
        <v>1.8</v>
      </c>
      <c r="BD9" s="54" t="n">
        <f aca="false">IF($B$4&lt;BC9,1,0)</f>
        <v>1</v>
      </c>
      <c r="BE9" s="54" t="s">
        <v>122</v>
      </c>
      <c r="BF9" s="54" t="n">
        <f aca="false">IF($B$4&lt;BC9,1,0)</f>
        <v>1</v>
      </c>
      <c r="BG9" s="78" t="n">
        <v>2</v>
      </c>
      <c r="BH9" s="54" t="n">
        <v>0.91</v>
      </c>
      <c r="BI9" s="54" t="n">
        <f aca="false">IF($B$4&lt;BH9,1,0)</f>
        <v>1</v>
      </c>
      <c r="BJ9" s="54" t="s">
        <v>92</v>
      </c>
      <c r="BK9" s="54" t="n">
        <f aca="false">IF($B$4&lt;BH9,1,0)</f>
        <v>1</v>
      </c>
      <c r="BL9" s="58" t="n">
        <v>4</v>
      </c>
      <c r="BN9" s="47"/>
      <c r="BO9" s="26"/>
      <c r="BP9" s="48"/>
      <c r="BQ9" s="26" t="e">
        <f aca="false">IF($F$5=BS9,1,0)</f>
        <v>#N/A</v>
      </c>
      <c r="BR9" s="53" t="s">
        <v>123</v>
      </c>
      <c r="BS9" s="26" t="n">
        <v>50</v>
      </c>
      <c r="BT9" s="50"/>
      <c r="BU9" s="69" t="n">
        <f aca="false">IF($F$7=BX9,1,0)</f>
        <v>0</v>
      </c>
      <c r="BV9" s="53" t="s">
        <v>123</v>
      </c>
      <c r="BW9" s="26" t="n">
        <v>20</v>
      </c>
      <c r="BX9" s="52" t="n">
        <v>5</v>
      </c>
      <c r="BY9" s="48"/>
      <c r="BZ9" s="26"/>
      <c r="CA9" s="53"/>
      <c r="CB9" s="26"/>
      <c r="CC9" s="48"/>
      <c r="CD9" s="26" t="e">
        <f aca="false">IF($F$12=CF9,1,0)</f>
        <v>#N/A</v>
      </c>
      <c r="CE9" s="53" t="s">
        <v>123</v>
      </c>
      <c r="CF9" s="26" t="n">
        <v>50</v>
      </c>
      <c r="CG9" s="48"/>
      <c r="CH9" s="26" t="e">
        <f aca="false">IF($E$14=CJ9,1,0)</f>
        <v>#VALUE!</v>
      </c>
      <c r="CI9" s="76" t="n">
        <v>6</v>
      </c>
      <c r="CJ9" s="21" t="s">
        <v>119</v>
      </c>
      <c r="CK9" s="21" t="e">
        <f aca="false">IF($E$14=CM9,1,0)</f>
        <v>#VALUE!</v>
      </c>
      <c r="CL9" s="76" t="n">
        <v>6</v>
      </c>
      <c r="CM9" s="21" t="s">
        <v>120</v>
      </c>
      <c r="CN9" s="70" t="e">
        <f aca="false">IF($E$14=CP9,1,0)</f>
        <v>#VALUE!</v>
      </c>
      <c r="CO9" s="76" t="n">
        <v>6</v>
      </c>
      <c r="CP9" s="70" t="s">
        <v>121</v>
      </c>
      <c r="CQ9" s="50"/>
      <c r="CR9" s="54"/>
      <c r="CS9" s="54"/>
      <c r="CT9" s="54"/>
      <c r="CU9" s="50"/>
      <c r="CV9" s="48"/>
      <c r="CW9" s="26" t="n">
        <f aca="false">IF($E$9=CY9,1,0)</f>
        <v>0</v>
      </c>
      <c r="CX9" s="53" t="s">
        <v>124</v>
      </c>
      <c r="CY9" s="26" t="s">
        <v>122</v>
      </c>
      <c r="CZ9" s="50"/>
      <c r="DA9" s="26" t="n">
        <f aca="false">IF($F$9=DC9,1,0)</f>
        <v>0</v>
      </c>
      <c r="DB9" s="53" t="s">
        <v>124</v>
      </c>
      <c r="DC9" s="26" t="n">
        <v>5</v>
      </c>
      <c r="DD9" s="50"/>
      <c r="DE9" s="26"/>
      <c r="DF9" s="53"/>
      <c r="DG9" s="26"/>
      <c r="DH9" s="50"/>
      <c r="DI9" s="26"/>
      <c r="DJ9" s="53"/>
      <c r="DK9" s="52"/>
    </row>
    <row r="10" customFormat="false" ht="15" hidden="false" customHeight="false" outlineLevel="0" collapsed="false">
      <c r="A10" s="55" t="s">
        <v>125</v>
      </c>
      <c r="B10" s="71" t="n">
        <f aca="false">'ОЛ(4)'!AC13*100</f>
        <v>40</v>
      </c>
      <c r="C10" s="72" t="s">
        <v>118</v>
      </c>
      <c r="I10" s="51" t="n">
        <f aca="false">IF($B$12&lt;12,(IF((L10&gt;4)*AND(L10&lt;16),2,0)),IF((L10&gt;4)*AND(L10&lt;20),2,0))</f>
        <v>0</v>
      </c>
      <c r="J10" s="54" t="n">
        <v>65</v>
      </c>
      <c r="K10" s="54" t="n">
        <f aca="false">1/POWER(1.14+2*LOG10((J10/1000)/($K$21/1000)),2)</f>
        <v>0.0347051014322117</v>
      </c>
      <c r="L10" s="54" t="n">
        <f aca="false">0.00638*K10*POWER($F$4,2)/(POWER(J10/1000,5)*$K$20)</f>
        <v>0</v>
      </c>
      <c r="M10" s="54"/>
      <c r="N10" s="54" t="e">
        <f aca="false">IF((Q10&gt;4)*AND(Q10&lt;20),1,0)</f>
        <v>#DIV/0!</v>
      </c>
      <c r="O10" s="54" t="n">
        <v>65</v>
      </c>
      <c r="P10" s="54" t="n">
        <f aca="false">1/POWER(1.14+2*LOG10((O10/1000)/($K$21/1000)),2)</f>
        <v>0.0347051014322117</v>
      </c>
      <c r="Q10" s="58" t="e">
        <f aca="false">0.00638*P10*POWER($F$11,2)/(POWER(O10/1000,5)*$K$20)</f>
        <v>#DIV/0!</v>
      </c>
      <c r="R10" s="54" t="n">
        <f aca="false">IF((U10&gt;4)*AND(U10&lt;20),1,0)</f>
        <v>0</v>
      </c>
      <c r="S10" s="54" t="n">
        <v>65</v>
      </c>
      <c r="T10" s="54" t="n">
        <f aca="false">1/POWER(1.14+2*LOG10((S10/1000)/($K$21/1000)),2)</f>
        <v>0.0347051014322117</v>
      </c>
      <c r="U10" s="58" t="n">
        <f aca="false">0.00638*T10*POWER($F$16,2)/(POWER(S10/1000,5)*$K$20)</f>
        <v>0</v>
      </c>
      <c r="W10" s="51"/>
      <c r="X10" s="54"/>
      <c r="Y10" s="54"/>
      <c r="Z10" s="51" t="n">
        <f aca="false">IF(AB10&gt;$X$5,1,0)</f>
        <v>1</v>
      </c>
      <c r="AA10" s="63" t="n">
        <v>40</v>
      </c>
      <c r="AB10" s="58" t="n">
        <v>20</v>
      </c>
      <c r="AC10" s="51" t="n">
        <f aca="false">IF(AE10&gt;$X$5,1,0)</f>
        <v>1</v>
      </c>
      <c r="AD10" s="63" t="n">
        <v>40</v>
      </c>
      <c r="AE10" s="58" t="n">
        <v>25</v>
      </c>
      <c r="AF10" s="54" t="n">
        <f aca="false">IF(AH10&gt;$X$5,1,0)</f>
        <v>1</v>
      </c>
      <c r="AG10" s="63" t="n">
        <v>40</v>
      </c>
      <c r="AH10" s="58" t="n">
        <v>25</v>
      </c>
      <c r="AJ10" s="69" t="n">
        <v>40</v>
      </c>
      <c r="AK10" s="51" t="e">
        <f aca="false">IF($F$13&lt;AJ10,1,0)</f>
        <v>#DIV/0!</v>
      </c>
      <c r="AL10" s="58" t="s">
        <v>126</v>
      </c>
      <c r="AM10" s="50" t="e">
        <f aca="false">IF($F$13&lt;AJ10,1,0)</f>
        <v>#DIV/0!</v>
      </c>
      <c r="AN10" s="50" t="s">
        <v>127</v>
      </c>
      <c r="AO10" s="51" t="e">
        <f aca="false">IF($F$13&lt;AJ10,1,0)</f>
        <v>#DIV/0!</v>
      </c>
      <c r="AP10" s="75" t="s">
        <v>128</v>
      </c>
      <c r="AR10" s="54"/>
      <c r="AS10" s="51" t="n">
        <v>1.65</v>
      </c>
      <c r="AT10" s="54" t="n">
        <f aca="false">IF($B$4&lt;AS10,1,0)</f>
        <v>1</v>
      </c>
      <c r="AU10" s="54" t="s">
        <v>122</v>
      </c>
      <c r="AV10" s="54" t="n">
        <f aca="false">IF($B$4&lt;AS10,1,0)</f>
        <v>1</v>
      </c>
      <c r="AW10" s="20" t="n">
        <v>1</v>
      </c>
      <c r="AX10" s="77" t="n">
        <v>1.4</v>
      </c>
      <c r="AY10" s="54" t="n">
        <f aca="false">IF($B$4&lt;AX10,1,0)</f>
        <v>1</v>
      </c>
      <c r="AZ10" s="54" t="s">
        <v>122</v>
      </c>
      <c r="BA10" s="54" t="n">
        <f aca="false">IF($B$4&lt;AX10,1,0)</f>
        <v>1</v>
      </c>
      <c r="BB10" s="20" t="n">
        <v>1</v>
      </c>
      <c r="BC10" s="51" t="n">
        <v>2.001</v>
      </c>
      <c r="BD10" s="54" t="n">
        <f aca="false">IF($B$4&lt;BC10,1,0)</f>
        <v>1</v>
      </c>
      <c r="BE10" s="54" t="s">
        <v>129</v>
      </c>
      <c r="BF10" s="54" t="n">
        <f aca="false">IF($B$4&lt;BC10,1,0)</f>
        <v>1</v>
      </c>
      <c r="BG10" s="78" t="n">
        <v>1</v>
      </c>
      <c r="BH10" s="54" t="n">
        <v>1.1</v>
      </c>
      <c r="BI10" s="54" t="n">
        <f aca="false">IF($B$4&lt;BH10,1,0)</f>
        <v>1</v>
      </c>
      <c r="BJ10" s="54" t="s">
        <v>92</v>
      </c>
      <c r="BK10" s="54" t="n">
        <f aca="false">IF($B$4&lt;BH10,1,0)</f>
        <v>1</v>
      </c>
      <c r="BL10" s="58" t="n">
        <v>5</v>
      </c>
      <c r="BN10" s="47"/>
      <c r="BO10" s="26"/>
      <c r="BP10" s="48"/>
      <c r="BQ10" s="26" t="e">
        <f aca="false">IF($F$5=BS10,1,0)</f>
        <v>#N/A</v>
      </c>
      <c r="BR10" s="53" t="s">
        <v>130</v>
      </c>
      <c r="BS10" s="26" t="n">
        <v>65</v>
      </c>
      <c r="BT10" s="50"/>
      <c r="BU10" s="69" t="n">
        <f aca="false">IF($F$7=BX10,1,0)</f>
        <v>0</v>
      </c>
      <c r="BV10" s="53" t="s">
        <v>130</v>
      </c>
      <c r="BW10" s="26" t="n">
        <v>20</v>
      </c>
      <c r="BX10" s="52" t="n">
        <v>6.3</v>
      </c>
      <c r="BY10" s="48"/>
      <c r="BZ10" s="26"/>
      <c r="CA10" s="53"/>
      <c r="CB10" s="26"/>
      <c r="CC10" s="48"/>
      <c r="CD10" s="26" t="e">
        <f aca="false">IF($F$12=CF10,1,0)</f>
        <v>#N/A</v>
      </c>
      <c r="CE10" s="53" t="s">
        <v>130</v>
      </c>
      <c r="CF10" s="26" t="n">
        <v>65</v>
      </c>
      <c r="CG10" s="48"/>
      <c r="CH10" s="26" t="e">
        <f aca="false">IF($E$14=CJ10,1,0)</f>
        <v>#VALUE!</v>
      </c>
      <c r="CI10" s="76" t="n">
        <v>7</v>
      </c>
      <c r="CJ10" s="21" t="s">
        <v>126</v>
      </c>
      <c r="CK10" s="21" t="e">
        <f aca="false">IF($E$14=CM10,1,0)</f>
        <v>#VALUE!</v>
      </c>
      <c r="CL10" s="76" t="n">
        <v>7</v>
      </c>
      <c r="CM10" s="21" t="s">
        <v>127</v>
      </c>
      <c r="CN10" s="70" t="e">
        <f aca="false">IF($E$14=CP10,1,0)</f>
        <v>#VALUE!</v>
      </c>
      <c r="CO10" s="76" t="n">
        <v>7</v>
      </c>
      <c r="CP10" s="70" t="s">
        <v>128</v>
      </c>
      <c r="CQ10" s="50"/>
      <c r="CU10" s="50"/>
      <c r="CV10" s="48"/>
      <c r="CW10" s="26" t="n">
        <f aca="false">IF($E$9=CY10,1,0)</f>
        <v>0</v>
      </c>
      <c r="CX10" s="53" t="s">
        <v>131</v>
      </c>
      <c r="CY10" s="26" t="s">
        <v>129</v>
      </c>
      <c r="CZ10" s="50"/>
      <c r="DA10" s="26"/>
      <c r="DB10" s="53"/>
      <c r="DC10" s="26"/>
      <c r="DD10" s="50"/>
      <c r="DE10" s="26"/>
      <c r="DF10" s="53"/>
      <c r="DG10" s="26"/>
      <c r="DH10" s="50"/>
      <c r="DI10" s="26"/>
      <c r="DJ10" s="53"/>
      <c r="DK10" s="52"/>
    </row>
    <row r="11" customFormat="false" ht="15" hidden="false" customHeight="false" outlineLevel="0" collapsed="false">
      <c r="A11" s="82" t="s">
        <v>132</v>
      </c>
      <c r="B11" s="71" t="n">
        <f aca="false">'ОЛ(4)'!Z16</f>
        <v>0</v>
      </c>
      <c r="C11" s="72" t="s">
        <v>118</v>
      </c>
      <c r="E11" s="0" t="s">
        <v>133</v>
      </c>
      <c r="F11" s="57" t="e">
        <f aca="false">B4*1000/(B7-B8)</f>
        <v>#DIV/0!</v>
      </c>
      <c r="I11" s="51" t="n">
        <f aca="false">IF($B$12&lt;12,(IF((L11&gt;4)*AND(L11&lt;16),2,0)),IF((L11&gt;4)*AND(L11&lt;20),2,0))</f>
        <v>0</v>
      </c>
      <c r="J11" s="54" t="n">
        <v>80</v>
      </c>
      <c r="K11" s="54" t="n">
        <f aca="false">1/POWER(1.14+2*LOG10((J11/1000)/($K$21/1000)),2)</f>
        <v>0.032485497883736</v>
      </c>
      <c r="L11" s="54" t="n">
        <f aca="false">0.00638*K11*POWER($F$4,2)/(POWER(J11/1000,5)*$K$20)</f>
        <v>0</v>
      </c>
      <c r="M11" s="54"/>
      <c r="N11" s="54" t="e">
        <f aca="false">IF((Q11&gt;4)*AND(Q11&lt;20),1,0)</f>
        <v>#DIV/0!</v>
      </c>
      <c r="O11" s="54" t="n">
        <v>80</v>
      </c>
      <c r="P11" s="54" t="n">
        <f aca="false">1/POWER(1.14+2*LOG10((O11/1000)/($K$21/1000)),2)</f>
        <v>0.032485497883736</v>
      </c>
      <c r="Q11" s="58" t="e">
        <f aca="false">0.00638*P11*POWER($F$11,2)/(POWER(O11/1000,5)*$K$20)</f>
        <v>#DIV/0!</v>
      </c>
      <c r="R11" s="54" t="n">
        <f aca="false">IF((U11&gt;4)*AND(U11&lt;20),1,0)</f>
        <v>0</v>
      </c>
      <c r="S11" s="54" t="n">
        <v>80</v>
      </c>
      <c r="T11" s="54" t="n">
        <f aca="false">1/POWER(1.14+2*LOG10((S11/1000)/($K$21/1000)),2)</f>
        <v>0.032485497883736</v>
      </c>
      <c r="U11" s="58" t="n">
        <f aca="false">0.00638*T11*POWER($F$16,2)/(POWER(S11/1000,5)*$K$20)</f>
        <v>0</v>
      </c>
      <c r="W11" s="51"/>
      <c r="X11" s="54"/>
      <c r="Y11" s="74"/>
      <c r="Z11" s="51" t="n">
        <f aca="false">IF(AB11&gt;$X$5,1,0)</f>
        <v>1</v>
      </c>
      <c r="AA11" s="63" t="n">
        <v>40</v>
      </c>
      <c r="AB11" s="58" t="n">
        <v>25</v>
      </c>
      <c r="AC11" s="51" t="n">
        <f aca="false">IF(AE11&gt;$X$5,1,0)</f>
        <v>1</v>
      </c>
      <c r="AD11" s="63" t="n">
        <v>50</v>
      </c>
      <c r="AE11" s="83" t="n">
        <v>31.5</v>
      </c>
      <c r="AF11" s="54" t="n">
        <f aca="false">IF(AH11&gt;$X$5,1,0)</f>
        <v>1</v>
      </c>
      <c r="AG11" s="63" t="n">
        <v>50</v>
      </c>
      <c r="AH11" s="58" t="n">
        <v>40</v>
      </c>
      <c r="AJ11" s="69" t="n">
        <v>50</v>
      </c>
      <c r="AK11" s="51" t="e">
        <f aca="false">IF($F$13&lt;AJ11,1,0)</f>
        <v>#DIV/0!</v>
      </c>
      <c r="AL11" s="58" t="s">
        <v>134</v>
      </c>
      <c r="AM11" s="50" t="e">
        <f aca="false">IF($F$13&lt;AJ11,1,0)</f>
        <v>#DIV/0!</v>
      </c>
      <c r="AN11" s="50" t="s">
        <v>135</v>
      </c>
      <c r="AO11" s="51" t="e">
        <f aca="false">IF($F$13&lt;AJ11,1,0)</f>
        <v>#DIV/0!</v>
      </c>
      <c r="AP11" s="50" t="s">
        <v>135</v>
      </c>
      <c r="AS11" s="51" t="n">
        <v>2.001</v>
      </c>
      <c r="AT11" s="54" t="n">
        <f aca="false">IF($B$4&lt;AS11,1,0)</f>
        <v>1</v>
      </c>
      <c r="AU11" s="54" t="s">
        <v>122</v>
      </c>
      <c r="AV11" s="54" t="n">
        <f aca="false">IF($B$4&lt;AS11,1,0)</f>
        <v>1</v>
      </c>
      <c r="AW11" s="20" t="n">
        <v>2</v>
      </c>
      <c r="AX11" s="51" t="n">
        <v>2.001</v>
      </c>
      <c r="AY11" s="54" t="n">
        <f aca="false">IF($B$4&lt;AX11,1,0)</f>
        <v>1</v>
      </c>
      <c r="AZ11" s="54" t="s">
        <v>122</v>
      </c>
      <c r="BA11" s="54" t="n">
        <f aca="false">IF($B$4&lt;AX11,1,0)</f>
        <v>1</v>
      </c>
      <c r="BB11" s="20" t="n">
        <v>2</v>
      </c>
      <c r="BC11" s="51"/>
      <c r="BD11" s="54"/>
      <c r="BE11" s="54"/>
      <c r="BF11" s="54"/>
      <c r="BG11" s="58"/>
      <c r="BH11" s="54" t="n">
        <v>1.3</v>
      </c>
      <c r="BI11" s="54" t="n">
        <f aca="false">IF($B$4&lt;BH11,1,0)</f>
        <v>1</v>
      </c>
      <c r="BJ11" s="54" t="s">
        <v>122</v>
      </c>
      <c r="BK11" s="54" t="n">
        <f aca="false">IF($B$4&lt;BH11,1,0)</f>
        <v>1</v>
      </c>
      <c r="BL11" s="58" t="n">
        <v>2</v>
      </c>
      <c r="BN11" s="47"/>
      <c r="BO11" s="26"/>
      <c r="BP11" s="48"/>
      <c r="BQ11" s="26" t="e">
        <f aca="false">IF($F$5=BS11,1,0)</f>
        <v>#N/A</v>
      </c>
      <c r="BR11" s="53" t="s">
        <v>136</v>
      </c>
      <c r="BS11" s="26" t="n">
        <v>80</v>
      </c>
      <c r="BT11" s="50"/>
      <c r="BU11" s="69" t="n">
        <f aca="false">IF($F$7=BX11,1,0)</f>
        <v>0</v>
      </c>
      <c r="BV11" s="53" t="s">
        <v>136</v>
      </c>
      <c r="BW11" s="26" t="n">
        <v>25</v>
      </c>
      <c r="BX11" s="52" t="n">
        <v>8</v>
      </c>
      <c r="BY11" s="48"/>
      <c r="BZ11" s="26"/>
      <c r="CA11" s="53"/>
      <c r="CB11" s="26"/>
      <c r="CC11" s="48"/>
      <c r="CD11" s="26" t="e">
        <f aca="false">IF($F$12=CF11,1,0)</f>
        <v>#N/A</v>
      </c>
      <c r="CE11" s="53" t="s">
        <v>136</v>
      </c>
      <c r="CF11" s="26" t="n">
        <v>80</v>
      </c>
      <c r="CG11" s="48"/>
      <c r="CH11" s="26" t="e">
        <f aca="false">IF($E$14=CJ11,1,0)</f>
        <v>#VALUE!</v>
      </c>
      <c r="CI11" s="76" t="n">
        <v>8</v>
      </c>
      <c r="CJ11" s="21" t="s">
        <v>134</v>
      </c>
      <c r="CK11" s="21"/>
      <c r="CL11" s="21"/>
      <c r="CM11" s="21"/>
      <c r="CN11" s="21"/>
      <c r="CO11" s="21"/>
      <c r="CP11" s="21"/>
      <c r="CQ11" s="50"/>
      <c r="CU11" s="50"/>
      <c r="CV11" s="48"/>
      <c r="CW11" s="26"/>
      <c r="CX11" s="53"/>
      <c r="CY11" s="26"/>
      <c r="CZ11" s="50"/>
      <c r="DA11" s="26"/>
      <c r="DB11" s="53"/>
      <c r="DC11" s="26"/>
      <c r="DD11" s="50"/>
      <c r="DE11" s="26"/>
      <c r="DF11" s="53"/>
      <c r="DG11" s="26"/>
      <c r="DH11" s="50"/>
      <c r="DI11" s="26"/>
      <c r="DJ11" s="53"/>
      <c r="DK11" s="52"/>
    </row>
    <row r="12" customFormat="false" ht="15" hidden="false" customHeight="false" outlineLevel="0" collapsed="false">
      <c r="A12" s="82" t="s">
        <v>137</v>
      </c>
      <c r="B12" s="0" t="n">
        <f aca="false">B9-B10</f>
        <v>20</v>
      </c>
      <c r="C12" s="72" t="s">
        <v>118</v>
      </c>
      <c r="E12" s="0" t="s">
        <v>51</v>
      </c>
      <c r="F12" s="73" t="e">
        <f aca="false">VLOOKUP(1,N4:Q17,2,0)</f>
        <v>#N/A</v>
      </c>
      <c r="I12" s="51" t="n">
        <f aca="false">IF($B$12&lt;12,(IF((L12&gt;4)*AND(L12&lt;16),2,0)),IF((L12&gt;4)*AND(L12&lt;20),2,0))</f>
        <v>0</v>
      </c>
      <c r="J12" s="54" t="n">
        <v>100</v>
      </c>
      <c r="K12" s="54" t="n">
        <f aca="false">1/POWER(1.14+2*LOG10((J12/1000)/($K$21/1000)),2)</f>
        <v>0.0303294509825929</v>
      </c>
      <c r="L12" s="54" t="n">
        <f aca="false">0.00638*K12*POWER($F$4,2)/(POWER(J12/1000,5)*$K$20)</f>
        <v>0</v>
      </c>
      <c r="M12" s="54"/>
      <c r="N12" s="54" t="e">
        <f aca="false">IF((Q12&gt;4)*AND(Q12&lt;20),1,0)</f>
        <v>#DIV/0!</v>
      </c>
      <c r="O12" s="54" t="n">
        <v>100</v>
      </c>
      <c r="P12" s="54" t="n">
        <f aca="false">1/POWER(1.14+2*LOG10((O12/1000)/($K$21/1000)),2)</f>
        <v>0.0303294509825929</v>
      </c>
      <c r="Q12" s="58" t="e">
        <f aca="false">0.00638*P12*POWER($F$11,2)/(POWER(O12/1000,5)*$K$20)</f>
        <v>#DIV/0!</v>
      </c>
      <c r="R12" s="54" t="n">
        <f aca="false">IF((U12&gt;4)*AND(U12&lt;20),1,0)</f>
        <v>0</v>
      </c>
      <c r="S12" s="54" t="n">
        <v>100</v>
      </c>
      <c r="T12" s="54" t="n">
        <f aca="false">1/POWER(1.14+2*LOG10((S12/1000)/($K$21/1000)),2)</f>
        <v>0.0303294509825929</v>
      </c>
      <c r="U12" s="58" t="n">
        <f aca="false">0.00638*T12*POWER($F$16,2)/(POWER(S12/1000,5)*$K$20)</f>
        <v>0</v>
      </c>
      <c r="W12" s="59"/>
      <c r="X12" s="54"/>
      <c r="Y12" s="54"/>
      <c r="Z12" s="51" t="n">
        <f aca="false">IF(AB12&gt;$X$5,1,0)</f>
        <v>1</v>
      </c>
      <c r="AA12" s="63" t="n">
        <v>50</v>
      </c>
      <c r="AB12" s="58" t="n">
        <v>31.5</v>
      </c>
      <c r="AC12" s="51" t="n">
        <f aca="false">IF(AE12&gt;$X$5,1,0)</f>
        <v>1</v>
      </c>
      <c r="AD12" s="63" t="n">
        <v>50</v>
      </c>
      <c r="AE12" s="83" t="n">
        <v>40</v>
      </c>
      <c r="AF12" s="54" t="n">
        <f aca="false">IF(AH12&gt;$X$5,1,0)</f>
        <v>1</v>
      </c>
      <c r="AG12" s="63" t="n">
        <v>65</v>
      </c>
      <c r="AH12" s="58" t="n">
        <v>63</v>
      </c>
      <c r="AJ12" s="84" t="n">
        <v>60</v>
      </c>
      <c r="AK12" s="77" t="e">
        <f aca="false">IF($F$13&lt;AJ12,1,0)</f>
        <v>#DIV/0!</v>
      </c>
      <c r="AL12" s="83" t="s">
        <v>135</v>
      </c>
      <c r="AM12" s="50" t="e">
        <f aca="false">IF($F$13&lt;AJ12,1,0)</f>
        <v>#DIV/0!</v>
      </c>
      <c r="AN12" s="85" t="s">
        <v>135</v>
      </c>
      <c r="AO12" s="51" t="e">
        <f aca="false">IF($F$13&lt;AJ12,1,0)</f>
        <v>#DIV/0!</v>
      </c>
      <c r="AP12" s="85" t="s">
        <v>135</v>
      </c>
      <c r="AS12" s="51"/>
      <c r="AT12" s="54"/>
      <c r="AU12" s="54"/>
      <c r="AV12" s="54"/>
      <c r="AW12" s="20"/>
      <c r="AX12" s="51"/>
      <c r="AY12" s="54"/>
      <c r="AZ12" s="54"/>
      <c r="BA12" s="54"/>
      <c r="BB12" s="58"/>
      <c r="BC12" s="51"/>
      <c r="BD12" s="54"/>
      <c r="BE12" s="54"/>
      <c r="BF12" s="54"/>
      <c r="BG12" s="58"/>
      <c r="BH12" s="63" t="n">
        <v>1.45</v>
      </c>
      <c r="BI12" s="54" t="n">
        <f aca="false">IF($B$4&lt;BH12,1,0)</f>
        <v>1</v>
      </c>
      <c r="BJ12" s="54" t="s">
        <v>129</v>
      </c>
      <c r="BK12" s="54" t="n">
        <f aca="false">IF($B$4&lt;BH12,1,0)</f>
        <v>1</v>
      </c>
      <c r="BL12" s="58" t="n">
        <v>1</v>
      </c>
      <c r="BN12" s="47"/>
      <c r="BO12" s="26"/>
      <c r="BP12" s="48"/>
      <c r="BQ12" s="26" t="e">
        <f aca="false">IF($F$5=BS12,1,0)</f>
        <v>#N/A</v>
      </c>
      <c r="BR12" s="53" t="s">
        <v>138</v>
      </c>
      <c r="BS12" s="26" t="n">
        <v>100</v>
      </c>
      <c r="BT12" s="50"/>
      <c r="BU12" s="69" t="n">
        <f aca="false">IF($F$7=BX12,1,0)</f>
        <v>0</v>
      </c>
      <c r="BV12" s="53" t="s">
        <v>138</v>
      </c>
      <c r="BW12" s="26" t="n">
        <v>25</v>
      </c>
      <c r="BX12" s="52" t="n">
        <v>10</v>
      </c>
      <c r="BY12" s="48"/>
      <c r="BZ12" s="26"/>
      <c r="CA12" s="53"/>
      <c r="CB12" s="26"/>
      <c r="CC12" s="48"/>
      <c r="CD12" s="26" t="e">
        <f aca="false">IF($F$12=CF12,1,0)</f>
        <v>#N/A</v>
      </c>
      <c r="CE12" s="53" t="s">
        <v>138</v>
      </c>
      <c r="CF12" s="26" t="n">
        <v>100</v>
      </c>
      <c r="CG12" s="48"/>
      <c r="CH12" s="26" t="e">
        <f aca="false">IF($E$14=CJ12,1,0)</f>
        <v>#VALUE!</v>
      </c>
      <c r="CI12" s="21"/>
      <c r="CJ12" s="54"/>
      <c r="CK12" s="54"/>
      <c r="CL12" s="54"/>
      <c r="CM12" s="54"/>
      <c r="CN12" s="54"/>
      <c r="CO12" s="54"/>
      <c r="CP12" s="54"/>
      <c r="CQ12" s="50"/>
      <c r="CU12" s="50"/>
      <c r="CV12" s="48"/>
      <c r="CW12" s="26"/>
      <c r="CX12" s="53"/>
      <c r="CY12" s="26"/>
      <c r="CZ12" s="50"/>
      <c r="DA12" s="26"/>
      <c r="DB12" s="53"/>
      <c r="DC12" s="26"/>
      <c r="DD12" s="50"/>
      <c r="DE12" s="26"/>
      <c r="DF12" s="53"/>
      <c r="DG12" s="26"/>
      <c r="DH12" s="50"/>
      <c r="DI12" s="26"/>
      <c r="DJ12" s="53"/>
      <c r="DK12" s="52"/>
    </row>
    <row r="13" customFormat="false" ht="15.75" hidden="false" customHeight="false" outlineLevel="0" collapsed="false">
      <c r="A13" s="55"/>
      <c r="C13" s="72"/>
      <c r="E13" s="0" t="s">
        <v>56</v>
      </c>
      <c r="F13" s="57" t="e">
        <f aca="false">F11*1.1</f>
        <v>#DIV/0!</v>
      </c>
      <c r="I13" s="51" t="n">
        <f aca="false">IF($B$12&lt;12,(IF((L13&gt;4)*AND(L13&lt;16),2,0)),IF((L13&gt;4)*AND(L13&lt;20),2,0))</f>
        <v>0</v>
      </c>
      <c r="J13" s="54" t="n">
        <v>125</v>
      </c>
      <c r="K13" s="54" t="n">
        <f aca="false">1/POWER(1.14+2*LOG10((J13/1000)/($K$21/1000)),2)</f>
        <v>0.0283811358286925</v>
      </c>
      <c r="L13" s="54" t="n">
        <f aca="false">0.00638*K13*POWER($F$4,2)/(POWER(J13/1000,5)*$K$20)</f>
        <v>0</v>
      </c>
      <c r="M13" s="54"/>
      <c r="N13" s="54" t="e">
        <f aca="false">IF((Q13&gt;4)*AND(Q13&lt;20),1,0)</f>
        <v>#DIV/0!</v>
      </c>
      <c r="O13" s="54" t="n">
        <v>125</v>
      </c>
      <c r="P13" s="54" t="n">
        <f aca="false">1/POWER(1.14+2*LOG10((O13/1000)/($K$21/1000)),2)</f>
        <v>0.0283811358286925</v>
      </c>
      <c r="Q13" s="58" t="e">
        <f aca="false">0.00638*P13*POWER($F$11,2)/(POWER(O13/1000,5)*$K$20)</f>
        <v>#DIV/0!</v>
      </c>
      <c r="R13" s="54" t="n">
        <f aca="false">IF((U13&gt;4)*AND(U13&lt;20),1,0)</f>
        <v>0</v>
      </c>
      <c r="S13" s="54" t="n">
        <v>125</v>
      </c>
      <c r="T13" s="54" t="n">
        <f aca="false">1/POWER(1.14+2*LOG10((S13/1000)/($K$21/1000)),2)</f>
        <v>0.0283811358286925</v>
      </c>
      <c r="U13" s="58" t="n">
        <f aca="false">0.00638*T13*POWER($F$16,2)/(POWER(S13/1000,5)*$K$20)</f>
        <v>0</v>
      </c>
      <c r="W13" s="59"/>
      <c r="X13" s="74"/>
      <c r="Y13" s="54"/>
      <c r="Z13" s="51" t="n">
        <f aca="false">IF(AB13&gt;$X$5,1,0)</f>
        <v>1</v>
      </c>
      <c r="AA13" s="63" t="n">
        <v>50</v>
      </c>
      <c r="AB13" s="58" t="n">
        <v>40</v>
      </c>
      <c r="AC13" s="51" t="n">
        <f aca="false">IF(AE13&gt;$X$5,1,0)</f>
        <v>1</v>
      </c>
      <c r="AD13" s="63" t="n">
        <v>65</v>
      </c>
      <c r="AE13" s="83" t="n">
        <v>50</v>
      </c>
      <c r="AF13" s="54" t="n">
        <f aca="false">IF(AH13&gt;$X$5,1,0)</f>
        <v>1</v>
      </c>
      <c r="AG13" s="63" t="n">
        <v>80</v>
      </c>
      <c r="AH13" s="58" t="n">
        <v>100</v>
      </c>
      <c r="AJ13" s="86" t="n">
        <v>90</v>
      </c>
      <c r="AK13" s="87" t="e">
        <f aca="false">IF($F$13&lt;AJ13,1,0)</f>
        <v>#DIV/0!</v>
      </c>
      <c r="AL13" s="88" t="s">
        <v>139</v>
      </c>
      <c r="AM13" s="89" t="e">
        <f aca="false">IF($F$13&lt;AJ13,1,0)</f>
        <v>#DIV/0!</v>
      </c>
      <c r="AN13" s="88" t="s">
        <v>139</v>
      </c>
      <c r="AO13" s="87" t="e">
        <f aca="false">IF($F$13&lt;AJ13,1,0)</f>
        <v>#DIV/0!</v>
      </c>
      <c r="AP13" s="90" t="s">
        <v>139</v>
      </c>
      <c r="AS13" s="51"/>
      <c r="AT13" s="54"/>
      <c r="AU13" s="54"/>
      <c r="AV13" s="54"/>
      <c r="AW13" s="20"/>
      <c r="AX13" s="51"/>
      <c r="AY13" s="54"/>
      <c r="AZ13" s="54"/>
      <c r="BA13" s="54"/>
      <c r="BB13" s="58"/>
      <c r="BC13" s="51"/>
      <c r="BD13" s="54"/>
      <c r="BE13" s="54"/>
      <c r="BF13" s="54"/>
      <c r="BG13" s="58"/>
      <c r="BH13" s="51" t="n">
        <v>2.001</v>
      </c>
      <c r="BI13" s="54" t="n">
        <f aca="false">IF($B$4&lt;BH13,1,0)</f>
        <v>1</v>
      </c>
      <c r="BJ13" s="54" t="s">
        <v>129</v>
      </c>
      <c r="BK13" s="54" t="n">
        <f aca="false">IF($B$4&lt;BH13,1,0)</f>
        <v>1</v>
      </c>
      <c r="BL13" s="58" t="n">
        <v>2</v>
      </c>
      <c r="BN13" s="47"/>
      <c r="BO13" s="26"/>
      <c r="BP13" s="48"/>
      <c r="BQ13" s="26" t="e">
        <f aca="false">IF($F$5=BS13,1,0)</f>
        <v>#N/A</v>
      </c>
      <c r="BR13" s="53" t="s">
        <v>140</v>
      </c>
      <c r="BS13" s="26" t="n">
        <v>125</v>
      </c>
      <c r="BT13" s="50"/>
      <c r="BU13" s="69" t="n">
        <f aca="false">IF($F$7=BX13,1,0)</f>
        <v>0</v>
      </c>
      <c r="BV13" s="53" t="s">
        <v>140</v>
      </c>
      <c r="BW13" s="26" t="n">
        <v>32</v>
      </c>
      <c r="BX13" s="52" t="n">
        <v>12.5</v>
      </c>
      <c r="BY13" s="48"/>
      <c r="BZ13" s="26"/>
      <c r="CA13" s="53"/>
      <c r="CB13" s="26"/>
      <c r="CC13" s="48"/>
      <c r="CD13" s="26" t="e">
        <f aca="false">IF($F$12=CF13,1,0)</f>
        <v>#N/A</v>
      </c>
      <c r="CE13" s="53" t="s">
        <v>140</v>
      </c>
      <c r="CF13" s="26" t="n">
        <v>125</v>
      </c>
      <c r="CG13" s="48"/>
      <c r="CH13" s="26" t="e">
        <f aca="false">IF($E$14=CJ13,1,0)</f>
        <v>#VALUE!</v>
      </c>
      <c r="CI13" s="21" t="n">
        <v>10</v>
      </c>
      <c r="CJ13" s="76" t="s">
        <v>135</v>
      </c>
      <c r="CK13" s="26" t="e">
        <f aca="false">IF($E$14=CM13,1,0)</f>
        <v>#VALUE!</v>
      </c>
      <c r="CL13" s="21" t="n">
        <v>10</v>
      </c>
      <c r="CM13" s="76" t="s">
        <v>135</v>
      </c>
      <c r="CN13" s="26" t="e">
        <f aca="false">IF($E$14=CP13,1,0)</f>
        <v>#VALUE!</v>
      </c>
      <c r="CO13" s="21" t="n">
        <v>10</v>
      </c>
      <c r="CP13" s="76" t="s">
        <v>135</v>
      </c>
      <c r="CQ13" s="50"/>
      <c r="CR13" s="54"/>
      <c r="CS13" s="76"/>
      <c r="CT13" s="54"/>
      <c r="CU13" s="50"/>
      <c r="CV13" s="48"/>
      <c r="CW13" s="26"/>
      <c r="CX13" s="53"/>
      <c r="CY13" s="26"/>
      <c r="CZ13" s="50"/>
      <c r="DA13" s="26"/>
      <c r="DB13" s="53"/>
      <c r="DC13" s="26"/>
      <c r="DD13" s="50"/>
      <c r="DE13" s="26"/>
      <c r="DF13" s="53"/>
      <c r="DG13" s="26"/>
      <c r="DH13" s="50"/>
      <c r="DI13" s="26"/>
      <c r="DJ13" s="53"/>
      <c r="DK13" s="52"/>
    </row>
    <row r="14" customFormat="false" ht="15" hidden="false" customHeight="false" outlineLevel="0" collapsed="false">
      <c r="A14" s="55" t="s">
        <v>31</v>
      </c>
      <c r="B14" s="26" t="n">
        <f aca="false">'ОЛ(4)'!O32</f>
        <v>0</v>
      </c>
      <c r="C14" s="26"/>
      <c r="E14" s="26" t="e">
        <f aca="false">VLOOKUP(1,IF(B15="TOP-SD",AK4:AL13,IF(B15="Yonos MAXO-D",AM4:AN13,IF(B15="Stratos-D",AO4:AP13,0))),2,0)</f>
        <v>#VALUE!</v>
      </c>
      <c r="F14" s="26"/>
      <c r="I14" s="51" t="n">
        <f aca="false">IF($B$12&lt;12,(IF((L14&gt;4)*AND(L14&lt;16),2,0)),IF((L14&gt;4)*AND(L14&lt;20),2,0))</f>
        <v>0</v>
      </c>
      <c r="J14" s="54" t="n">
        <v>150</v>
      </c>
      <c r="K14" s="54" t="n">
        <f aca="false">1/POWER(1.14+2*LOG10((J14/1000)/($K$21/1000)),2)</f>
        <v>0.0269252990527845</v>
      </c>
      <c r="L14" s="54" t="n">
        <f aca="false">0.00638*K14*POWER($F$4,2)/(POWER(J14/1000,5)*$K$20)</f>
        <v>0</v>
      </c>
      <c r="M14" s="54"/>
      <c r="N14" s="54" t="e">
        <f aca="false">IF((Q14&gt;4)*AND(Q14&lt;20),1,0)</f>
        <v>#DIV/0!</v>
      </c>
      <c r="O14" s="54" t="n">
        <v>150</v>
      </c>
      <c r="P14" s="54" t="n">
        <f aca="false">1/POWER(1.14+2*LOG10((O14/1000)/($K$21/1000)),2)</f>
        <v>0.0269252990527845</v>
      </c>
      <c r="Q14" s="58" t="e">
        <f aca="false">0.00638*P14*POWER($F$11,2)/(POWER(O14/1000,5)*$K$20)</f>
        <v>#DIV/0!</v>
      </c>
      <c r="R14" s="54" t="n">
        <f aca="false">IF((U14&gt;4)*AND(U14&lt;20),1,0)</f>
        <v>0</v>
      </c>
      <c r="S14" s="54" t="n">
        <v>150</v>
      </c>
      <c r="T14" s="54" t="n">
        <f aca="false">1/POWER(1.14+2*LOG10((S14/1000)/($K$21/1000)),2)</f>
        <v>0.0269252990527845</v>
      </c>
      <c r="U14" s="58" t="n">
        <f aca="false">0.00638*T14*POWER($F$16,2)/(POWER(S14/1000,5)*$K$20)</f>
        <v>0</v>
      </c>
      <c r="W14" s="51"/>
      <c r="X14" s="54"/>
      <c r="Y14" s="54"/>
      <c r="Z14" s="51" t="n">
        <f aca="false">IF(AB14&gt;$X$5,1,0)</f>
        <v>1</v>
      </c>
      <c r="AA14" s="63" t="n">
        <v>65</v>
      </c>
      <c r="AB14" s="58" t="n">
        <v>50</v>
      </c>
      <c r="AC14" s="51" t="n">
        <f aca="false">IF(AE14&gt;$X$5,1,0)</f>
        <v>1</v>
      </c>
      <c r="AD14" s="63" t="n">
        <v>65</v>
      </c>
      <c r="AE14" s="83" t="n">
        <v>63</v>
      </c>
      <c r="AF14" s="54" t="n">
        <f aca="false">IF(AH14&gt;$X$5,1,0)</f>
        <v>1</v>
      </c>
      <c r="AG14" s="63" t="n">
        <v>100</v>
      </c>
      <c r="AH14" s="58" t="n">
        <v>160</v>
      </c>
      <c r="AS14" s="51"/>
      <c r="AT14" s="54"/>
      <c r="AU14" s="54"/>
      <c r="AV14" s="54"/>
      <c r="AW14" s="20"/>
      <c r="AX14" s="51"/>
      <c r="AY14" s="54"/>
      <c r="AZ14" s="54"/>
      <c r="BA14" s="54"/>
      <c r="BB14" s="58"/>
      <c r="BC14" s="51"/>
      <c r="BD14" s="54"/>
      <c r="BE14" s="54"/>
      <c r="BF14" s="54"/>
      <c r="BG14" s="58"/>
      <c r="BH14" s="54"/>
      <c r="BI14" s="54"/>
      <c r="BJ14" s="54"/>
      <c r="BK14" s="54"/>
      <c r="BL14" s="58"/>
      <c r="BN14" s="47"/>
      <c r="BO14" s="26"/>
      <c r="BP14" s="48"/>
      <c r="BQ14" s="26" t="e">
        <f aca="false">IF($F$5=BS14,1,0)</f>
        <v>#N/A</v>
      </c>
      <c r="BR14" s="53" t="s">
        <v>141</v>
      </c>
      <c r="BS14" s="26" t="n">
        <v>150</v>
      </c>
      <c r="BT14" s="50"/>
      <c r="BU14" s="69" t="n">
        <f aca="false">IF($F$7=BX14,1,0)</f>
        <v>0</v>
      </c>
      <c r="BV14" s="53" t="s">
        <v>141</v>
      </c>
      <c r="BW14" s="26" t="n">
        <v>32</v>
      </c>
      <c r="BX14" s="52" t="n">
        <v>16</v>
      </c>
      <c r="BY14" s="48"/>
      <c r="BZ14" s="26"/>
      <c r="CA14" s="53"/>
      <c r="CB14" s="26"/>
      <c r="CC14" s="48"/>
      <c r="CD14" s="26" t="e">
        <f aca="false">IF($F$12=CF14,1,0)</f>
        <v>#N/A</v>
      </c>
      <c r="CE14" s="53" t="s">
        <v>141</v>
      </c>
      <c r="CF14" s="26" t="n">
        <v>150</v>
      </c>
      <c r="CG14" s="48"/>
      <c r="CH14" s="26" t="e">
        <f aca="false">IF($E$14=CJ14,1,0)</f>
        <v>#VALUE!</v>
      </c>
      <c r="CI14" s="21" t="n">
        <v>11</v>
      </c>
      <c r="CJ14" s="76" t="s">
        <v>139</v>
      </c>
      <c r="CK14" s="26" t="e">
        <f aca="false">IF($E$14=CM14,1,0)</f>
        <v>#VALUE!</v>
      </c>
      <c r="CL14" s="21" t="n">
        <v>11</v>
      </c>
      <c r="CM14" s="76" t="s">
        <v>139</v>
      </c>
      <c r="CN14" s="26" t="e">
        <f aca="false">IF($E$14=CP14,1,0)</f>
        <v>#VALUE!</v>
      </c>
      <c r="CO14" s="21" t="n">
        <v>11</v>
      </c>
      <c r="CP14" s="76" t="s">
        <v>139</v>
      </c>
      <c r="CQ14" s="50"/>
      <c r="CR14" s="54"/>
      <c r="CS14" s="76"/>
      <c r="CT14" s="54"/>
      <c r="CU14" s="50"/>
      <c r="CV14" s="48"/>
      <c r="CW14" s="26"/>
      <c r="CX14" s="53"/>
      <c r="CY14" s="26"/>
      <c r="CZ14" s="50"/>
      <c r="DA14" s="26"/>
      <c r="DB14" s="53"/>
      <c r="DC14" s="26"/>
      <c r="DD14" s="50"/>
      <c r="DE14" s="26"/>
      <c r="DF14" s="53"/>
      <c r="DG14" s="26"/>
      <c r="DH14" s="50"/>
      <c r="DI14" s="26"/>
      <c r="DJ14" s="53"/>
      <c r="DK14" s="52"/>
    </row>
    <row r="15" customFormat="false" ht="15" hidden="false" customHeight="false" outlineLevel="0" collapsed="false">
      <c r="A15" s="55" t="s">
        <v>32</v>
      </c>
      <c r="B15" s="26" t="n">
        <f aca="false">'ОЛ(4)'!I32</f>
        <v>0</v>
      </c>
      <c r="C15" s="26"/>
      <c r="I15" s="51" t="n">
        <f aca="false">IF($B$12&lt;12,(IF((L15&gt;4)*AND(L15&lt;16),2,0)),IF((L15&gt;4)*AND(L15&lt;20),2,0))</f>
        <v>0</v>
      </c>
      <c r="J15" s="54" t="n">
        <v>200</v>
      </c>
      <c r="K15" s="54" t="n">
        <f aca="false">1/POWER(1.14+2*LOG10((J15/1000)/($K$21/1000)),2)</f>
        <v>0.0248460425197335</v>
      </c>
      <c r="L15" s="54" t="n">
        <f aca="false">0.00638*K15*POWER($F$4,2)/(POWER(J15/1000,5)*$K$20)</f>
        <v>0</v>
      </c>
      <c r="M15" s="54"/>
      <c r="N15" s="54" t="e">
        <f aca="false">IF((Q15&gt;4)*AND(Q15&lt;20),1,0)</f>
        <v>#DIV/0!</v>
      </c>
      <c r="O15" s="54" t="n">
        <v>200</v>
      </c>
      <c r="P15" s="54" t="n">
        <f aca="false">1/POWER(1.14+2*LOG10((O15/1000)/($K$21/1000)),2)</f>
        <v>0.0248460425197335</v>
      </c>
      <c r="Q15" s="58" t="e">
        <f aca="false">0.00638*P15*POWER($F$11,2)/(POWER(O15/1000,5)*$K$20)</f>
        <v>#DIV/0!</v>
      </c>
      <c r="R15" s="54" t="n">
        <f aca="false">IF((U15&gt;4)*AND(U15&lt;20),1,0)</f>
        <v>0</v>
      </c>
      <c r="S15" s="54" t="n">
        <v>200</v>
      </c>
      <c r="T15" s="54" t="n">
        <f aca="false">1/POWER(1.14+2*LOG10((S15/1000)/($K$21/1000)),2)</f>
        <v>0.0248460425197335</v>
      </c>
      <c r="U15" s="58" t="n">
        <f aca="false">0.00638*T15*POWER($F$16,2)/(POWER(S15/1000,5)*$K$20)</f>
        <v>0</v>
      </c>
      <c r="W15" s="51"/>
      <c r="X15" s="54"/>
      <c r="Y15" s="54"/>
      <c r="Z15" s="51" t="n">
        <f aca="false">IF(AB15&gt;$X$5,1,0)</f>
        <v>1</v>
      </c>
      <c r="AA15" s="63" t="n">
        <v>65</v>
      </c>
      <c r="AB15" s="58" t="n">
        <v>63</v>
      </c>
      <c r="AC15" s="51" t="n">
        <f aca="false">IF(AE15&gt;$X$5,1,0)</f>
        <v>1</v>
      </c>
      <c r="AD15" s="63" t="n">
        <v>80</v>
      </c>
      <c r="AE15" s="83" t="n">
        <v>80</v>
      </c>
      <c r="AF15" s="54" t="n">
        <f aca="false">IF(AH15&gt;$X$5,1,0)</f>
        <v>1</v>
      </c>
      <c r="AG15" s="63" t="n">
        <v>125</v>
      </c>
      <c r="AH15" s="58" t="n">
        <v>250</v>
      </c>
      <c r="AS15" s="51"/>
      <c r="AT15" s="54"/>
      <c r="AU15" s="54"/>
      <c r="AV15" s="54"/>
      <c r="AW15" s="20"/>
      <c r="AX15" s="51"/>
      <c r="AY15" s="54"/>
      <c r="AZ15" s="54"/>
      <c r="BA15" s="54"/>
      <c r="BB15" s="58"/>
      <c r="BC15" s="51"/>
      <c r="BD15" s="54"/>
      <c r="BE15" s="54"/>
      <c r="BF15" s="54"/>
      <c r="BG15" s="58"/>
      <c r="BH15" s="54"/>
      <c r="BI15" s="54"/>
      <c r="BJ15" s="54"/>
      <c r="BK15" s="54"/>
      <c r="BL15" s="58"/>
      <c r="BN15" s="47"/>
      <c r="BO15" s="26"/>
      <c r="BP15" s="48"/>
      <c r="BQ15" s="26" t="e">
        <f aca="false">IF($F$5=BS15,1,0)</f>
        <v>#N/A</v>
      </c>
      <c r="BR15" s="53" t="s">
        <v>142</v>
      </c>
      <c r="BS15" s="26" t="n">
        <v>200</v>
      </c>
      <c r="BT15" s="50"/>
      <c r="BU15" s="69" t="n">
        <f aca="false">IF($F$7=BX15,1,0)</f>
        <v>0</v>
      </c>
      <c r="BV15" s="53" t="s">
        <v>142</v>
      </c>
      <c r="BW15" s="26" t="n">
        <v>40</v>
      </c>
      <c r="BX15" s="52" t="n">
        <v>20</v>
      </c>
      <c r="BY15" s="48"/>
      <c r="BZ15" s="26"/>
      <c r="CA15" s="53"/>
      <c r="CB15" s="26"/>
      <c r="CC15" s="48"/>
      <c r="CD15" s="26" t="e">
        <f aca="false">IF($F$12=CF15,1,0)</f>
        <v>#N/A</v>
      </c>
      <c r="CE15" s="53" t="s">
        <v>142</v>
      </c>
      <c r="CF15" s="26" t="n">
        <v>200</v>
      </c>
      <c r="CG15" s="48"/>
      <c r="CH15" s="26"/>
      <c r="CI15" s="21"/>
      <c r="CJ15" s="54"/>
      <c r="CK15" s="54"/>
      <c r="CL15" s="54"/>
      <c r="CM15" s="54"/>
      <c r="CN15" s="54"/>
      <c r="CO15" s="54"/>
      <c r="CP15" s="54"/>
      <c r="CQ15" s="50"/>
      <c r="CR15" s="54"/>
      <c r="CS15" s="54"/>
      <c r="CT15" s="54"/>
      <c r="CU15" s="50"/>
      <c r="CV15" s="48"/>
      <c r="CW15" s="26"/>
      <c r="CX15" s="53"/>
      <c r="CY15" s="26"/>
      <c r="CZ15" s="50"/>
      <c r="DA15" s="26"/>
      <c r="DB15" s="53"/>
      <c r="DC15" s="26"/>
      <c r="DD15" s="50"/>
      <c r="DE15" s="26"/>
      <c r="DF15" s="53"/>
      <c r="DG15" s="26"/>
      <c r="DH15" s="50"/>
      <c r="DI15" s="26"/>
      <c r="DJ15" s="53"/>
      <c r="DK15" s="52"/>
    </row>
    <row r="16" customFormat="false" ht="15.75" hidden="false" customHeight="false" outlineLevel="0" collapsed="false">
      <c r="A16" s="55" t="s">
        <v>143</v>
      </c>
      <c r="B16" s="26" t="n">
        <f aca="false">'ОЛ(4)'!U32</f>
        <v>0</v>
      </c>
      <c r="C16" s="26"/>
      <c r="E16" s="0" t="s">
        <v>144</v>
      </c>
      <c r="F16" s="0" t="n">
        <f aca="false">IF(B18="Отопление",11.7,IF(B18="Вентиляция",8.6,30))*B4/6</f>
        <v>0</v>
      </c>
      <c r="I16" s="51" t="n">
        <f aca="false">IF($B$12&lt;12,(IF((L16&gt;4)*AND(L16&lt;16),2,0)),IF((L16&gt;4)*AND(L16&lt;20),2,0))</f>
        <v>0</v>
      </c>
      <c r="J16" s="54" t="n">
        <v>250</v>
      </c>
      <c r="K16" s="54" t="n">
        <f aca="false">1/POWER(1.14+2*LOG10((J16/1000)/($K$21/1000)),2)</f>
        <v>0.0233947353976847</v>
      </c>
      <c r="L16" s="54" t="n">
        <f aca="false">0.00638*K16*POWER($F$4,2)/(POWER(J16/1000,5)*$K$20)</f>
        <v>0</v>
      </c>
      <c r="M16" s="54"/>
      <c r="N16" s="54" t="e">
        <f aca="false">IF((Q16&gt;4)*AND(Q16&lt;20),1,0)</f>
        <v>#DIV/0!</v>
      </c>
      <c r="O16" s="54" t="n">
        <v>250</v>
      </c>
      <c r="P16" s="54" t="n">
        <f aca="false">1/POWER(1.14+2*LOG10((O16/1000)/($K$21/1000)),2)</f>
        <v>0.0233947353976847</v>
      </c>
      <c r="Q16" s="58" t="e">
        <f aca="false">0.00638*P16*POWER($F$11,2)/(POWER(O16/1000,5)*$K$20)</f>
        <v>#DIV/0!</v>
      </c>
      <c r="R16" s="54" t="n">
        <f aca="false">IF((U16&gt;4)*AND(U16&lt;20),1,0)</f>
        <v>0</v>
      </c>
      <c r="S16" s="54" t="n">
        <v>250</v>
      </c>
      <c r="T16" s="54" t="n">
        <f aca="false">1/POWER(1.14+2*LOG10((S16/1000)/($K$21/1000)),2)</f>
        <v>0.0233947353976847</v>
      </c>
      <c r="U16" s="58" t="n">
        <f aca="false">0.00638*T16*POWER($F$16,2)/(POWER(S16/1000,5)*$K$20)</f>
        <v>0</v>
      </c>
      <c r="W16" s="51"/>
      <c r="X16" s="54"/>
      <c r="Y16" s="54"/>
      <c r="Z16" s="51" t="n">
        <f aca="false">IF(AB16&gt;$X$5,1,0)</f>
        <v>1</v>
      </c>
      <c r="AA16" s="63" t="n">
        <v>80</v>
      </c>
      <c r="AB16" s="58" t="n">
        <v>80</v>
      </c>
      <c r="AC16" s="51" t="n">
        <f aca="false">IF(AE16&gt;$X$5,1,0)</f>
        <v>1</v>
      </c>
      <c r="AD16" s="63" t="n">
        <v>80</v>
      </c>
      <c r="AE16" s="83" t="n">
        <v>100</v>
      </c>
      <c r="AF16" s="54" t="n">
        <f aca="false">IF(AH16&gt;$X$5,1,0)</f>
        <v>1</v>
      </c>
      <c r="AG16" s="63" t="n">
        <v>150</v>
      </c>
      <c r="AH16" s="58" t="n">
        <v>400</v>
      </c>
      <c r="AS16" s="91"/>
      <c r="AT16" s="92"/>
      <c r="AU16" s="92"/>
      <c r="AV16" s="92"/>
      <c r="AW16" s="93"/>
      <c r="AX16" s="91"/>
      <c r="AY16" s="92"/>
      <c r="AZ16" s="92"/>
      <c r="BA16" s="92"/>
      <c r="BB16" s="94"/>
      <c r="BC16" s="91"/>
      <c r="BD16" s="92"/>
      <c r="BE16" s="92"/>
      <c r="BF16" s="92"/>
      <c r="BG16" s="94"/>
      <c r="BH16" s="92"/>
      <c r="BI16" s="92"/>
      <c r="BJ16" s="92"/>
      <c r="BK16" s="92"/>
      <c r="BL16" s="94"/>
      <c r="BN16" s="47"/>
      <c r="BO16" s="26"/>
      <c r="BP16" s="48"/>
      <c r="BQ16" s="26"/>
      <c r="BR16" s="53"/>
      <c r="BS16" s="26"/>
      <c r="BT16" s="50"/>
      <c r="BU16" s="69" t="n">
        <f aca="false">IF($F$7=BX16,1,0)</f>
        <v>0</v>
      </c>
      <c r="BV16" s="53" t="s">
        <v>145</v>
      </c>
      <c r="BW16" s="26" t="n">
        <v>40</v>
      </c>
      <c r="BX16" s="52" t="n">
        <v>25</v>
      </c>
      <c r="BY16" s="48"/>
      <c r="BZ16" s="26"/>
      <c r="CA16" s="53"/>
      <c r="CB16" s="26"/>
      <c r="CC16" s="50"/>
      <c r="CD16" s="54"/>
      <c r="CE16" s="54"/>
      <c r="CF16" s="54"/>
      <c r="CG16" s="50"/>
      <c r="CH16" s="26"/>
      <c r="CI16" s="54"/>
      <c r="CJ16" s="54"/>
      <c r="CK16" s="54"/>
      <c r="CL16" s="54"/>
      <c r="CM16" s="54"/>
      <c r="CN16" s="54"/>
      <c r="CO16" s="54"/>
      <c r="CP16" s="54"/>
      <c r="CQ16" s="50"/>
      <c r="CR16" s="54"/>
      <c r="CS16" s="54"/>
      <c r="CT16" s="54"/>
      <c r="CU16" s="50"/>
      <c r="CV16" s="50"/>
      <c r="CW16" s="54"/>
      <c r="CX16" s="54"/>
      <c r="CY16" s="54"/>
      <c r="CZ16" s="50"/>
      <c r="DA16" s="54"/>
      <c r="DB16" s="54"/>
      <c r="DC16" s="54"/>
      <c r="DD16" s="50"/>
      <c r="DE16" s="54"/>
      <c r="DF16" s="54"/>
      <c r="DG16" s="54"/>
      <c r="DH16" s="50"/>
      <c r="DI16" s="54"/>
      <c r="DJ16" s="54"/>
      <c r="DK16" s="58"/>
    </row>
    <row r="17" customFormat="false" ht="15" hidden="false" customHeight="false" outlineLevel="0" collapsed="false">
      <c r="A17" s="55" t="s">
        <v>69</v>
      </c>
      <c r="B17" s="26" t="n">
        <f aca="false">'ОЛ(4)'!AA32</f>
        <v>0</v>
      </c>
      <c r="C17" s="26"/>
      <c r="E17" s="0" t="s">
        <v>52</v>
      </c>
      <c r="F17" s="0" t="e">
        <f aca="false">VLOOKUP(1,R4:U17,2,0)</f>
        <v>#N/A</v>
      </c>
      <c r="I17" s="51" t="n">
        <f aca="false">IF($B$12&lt;12,(IF((L17&gt;4)*AND(L17&lt;16),2,0)),IF((L17&gt;4)*AND(L17&lt;20),2,0))</f>
        <v>0</v>
      </c>
      <c r="J17" s="54" t="n">
        <v>300</v>
      </c>
      <c r="K17" s="54" t="n">
        <f aca="false">1/POWER(1.14+2*LOG10((J17/1000)/($K$21/1000)),2)</f>
        <v>0.0223012841491152</v>
      </c>
      <c r="L17" s="54" t="n">
        <f aca="false">0.00638*K17*POWER($F$4,2)/(POWER(J17/1000,5)*$K$20)</f>
        <v>0</v>
      </c>
      <c r="M17" s="54"/>
      <c r="N17" s="54" t="e">
        <f aca="false">IF((Q17&gt;4)*AND(Q17&lt;20),1,0)</f>
        <v>#DIV/0!</v>
      </c>
      <c r="O17" s="54" t="n">
        <v>300</v>
      </c>
      <c r="P17" s="54" t="n">
        <f aca="false">1/POWER(1.14+2*LOG10((O17/1000)/($K$21/1000)),2)</f>
        <v>0.0223012841491152</v>
      </c>
      <c r="Q17" s="58" t="e">
        <f aca="false">0.00638*P17*POWER($F$11,2)/(POWER(O17/1000,5)*$K$20)</f>
        <v>#DIV/0!</v>
      </c>
      <c r="R17" s="54" t="n">
        <f aca="false">IF((U17&gt;4)*AND(U17&lt;20),1,0)</f>
        <v>0</v>
      </c>
      <c r="S17" s="54" t="n">
        <v>300</v>
      </c>
      <c r="T17" s="54" t="n">
        <f aca="false">1/POWER(1.14+2*LOG10((S17/1000)/($K$21/1000)),2)</f>
        <v>0.0223012841491152</v>
      </c>
      <c r="U17" s="58" t="n">
        <f aca="false">0.00638*T17*POWER($F$16,2)/(POWER(S17/1000,5)*$K$20)</f>
        <v>0</v>
      </c>
      <c r="W17" s="51"/>
      <c r="X17" s="54"/>
      <c r="Y17" s="54"/>
      <c r="Z17" s="51" t="n">
        <f aca="false">IF(AB17&gt;$X$5,1,0)</f>
        <v>1</v>
      </c>
      <c r="AA17" s="63" t="n">
        <v>80</v>
      </c>
      <c r="AB17" s="58" t="n">
        <v>100</v>
      </c>
      <c r="AC17" s="77" t="n">
        <f aca="false">IF(AE17&gt;$X$5,1,0)</f>
        <v>1</v>
      </c>
      <c r="AD17" s="63" t="n">
        <v>100</v>
      </c>
      <c r="AE17" s="83" t="n">
        <v>125</v>
      </c>
      <c r="AF17" s="54"/>
      <c r="AG17" s="54"/>
      <c r="AH17" s="58"/>
      <c r="AS17" s="54"/>
      <c r="AT17" s="54"/>
      <c r="AU17" s="54"/>
      <c r="BN17" s="47"/>
      <c r="BO17" s="26"/>
      <c r="BP17" s="48"/>
      <c r="BQ17" s="26"/>
      <c r="BR17" s="53"/>
      <c r="BS17" s="26"/>
      <c r="BT17" s="50"/>
      <c r="BU17" s="69" t="n">
        <f aca="false">IF($F$7=BX17,1,0)</f>
        <v>0</v>
      </c>
      <c r="BV17" s="53" t="s">
        <v>146</v>
      </c>
      <c r="BW17" s="26" t="n">
        <v>50</v>
      </c>
      <c r="BX17" s="52" t="n">
        <v>31.5</v>
      </c>
      <c r="BY17" s="48"/>
      <c r="BZ17" s="26"/>
      <c r="CA17" s="53"/>
      <c r="CB17" s="26"/>
      <c r="CC17" s="50"/>
      <c r="CD17" s="54"/>
      <c r="CE17" s="54"/>
      <c r="CF17" s="54"/>
      <c r="CG17" s="50"/>
      <c r="CH17" s="26"/>
      <c r="CI17" s="54"/>
      <c r="CJ17" s="54"/>
      <c r="CK17" s="54"/>
      <c r="CL17" s="54"/>
      <c r="CM17" s="54"/>
      <c r="CN17" s="54"/>
      <c r="CO17" s="54"/>
      <c r="CP17" s="54"/>
      <c r="CQ17" s="50"/>
      <c r="CR17" s="54"/>
      <c r="CS17" s="54"/>
      <c r="CT17" s="54"/>
      <c r="CU17" s="50"/>
      <c r="CV17" s="50"/>
      <c r="CW17" s="54"/>
      <c r="CX17" s="54"/>
      <c r="CY17" s="54"/>
      <c r="CZ17" s="50"/>
      <c r="DA17" s="54"/>
      <c r="DB17" s="54"/>
      <c r="DC17" s="54"/>
      <c r="DD17" s="50"/>
      <c r="DE17" s="54"/>
      <c r="DF17" s="54"/>
      <c r="DG17" s="54"/>
      <c r="DH17" s="50"/>
      <c r="DI17" s="54"/>
      <c r="DJ17" s="54"/>
      <c r="DK17" s="58"/>
    </row>
    <row r="18" customFormat="false" ht="15" hidden="false" customHeight="false" outlineLevel="0" collapsed="false">
      <c r="A18" s="55" t="s">
        <v>147</v>
      </c>
      <c r="B18" s="26" t="str">
        <f aca="false">'ОЛ(4)'!A16</f>
        <v>Отопление</v>
      </c>
      <c r="C18" s="26"/>
      <c r="I18" s="51"/>
      <c r="J18" s="54"/>
      <c r="K18" s="54"/>
      <c r="L18" s="54"/>
      <c r="M18" s="54"/>
      <c r="N18" s="54"/>
      <c r="O18" s="54"/>
      <c r="P18" s="54"/>
      <c r="Q18" s="58"/>
      <c r="R18" s="54"/>
      <c r="S18" s="54"/>
      <c r="T18" s="54"/>
      <c r="U18" s="58"/>
      <c r="W18" s="51"/>
      <c r="X18" s="54"/>
      <c r="Y18" s="54"/>
      <c r="Z18" s="77" t="n">
        <f aca="false">IF(AB18&gt;$X$5,1,0)</f>
        <v>1</v>
      </c>
      <c r="AA18" s="63" t="n">
        <v>100</v>
      </c>
      <c r="AB18" s="58" t="n">
        <v>125</v>
      </c>
      <c r="AC18" s="77" t="n">
        <f aca="false">IF(AE18&gt;$X$5,1,0)</f>
        <v>1</v>
      </c>
      <c r="AD18" s="63" t="n">
        <v>100</v>
      </c>
      <c r="AE18" s="83" t="n">
        <v>160</v>
      </c>
      <c r="AF18" s="54"/>
      <c r="AG18" s="54"/>
      <c r="AH18" s="58"/>
      <c r="BN18" s="47"/>
      <c r="BO18" s="26"/>
      <c r="BP18" s="48"/>
      <c r="BQ18" s="26"/>
      <c r="BR18" s="53"/>
      <c r="BS18" s="26"/>
      <c r="BT18" s="50"/>
      <c r="BU18" s="69" t="n">
        <f aca="false">IF($F$7=BX18,1,0)</f>
        <v>0</v>
      </c>
      <c r="BV18" s="53" t="s">
        <v>148</v>
      </c>
      <c r="BW18" s="26" t="n">
        <v>50</v>
      </c>
      <c r="BX18" s="52" t="n">
        <v>40</v>
      </c>
      <c r="BY18" s="48"/>
      <c r="BZ18" s="26"/>
      <c r="CA18" s="53"/>
      <c r="CB18" s="26"/>
      <c r="CC18" s="50"/>
      <c r="CD18" s="54"/>
      <c r="CE18" s="54"/>
      <c r="CF18" s="54"/>
      <c r="CG18" s="50"/>
      <c r="CH18" s="26"/>
      <c r="CI18" s="54"/>
      <c r="CJ18" s="54"/>
      <c r="CK18" s="54"/>
      <c r="CL18" s="54"/>
      <c r="CM18" s="54"/>
      <c r="CN18" s="54"/>
      <c r="CO18" s="54"/>
      <c r="CP18" s="54"/>
      <c r="CQ18" s="50"/>
      <c r="CR18" s="54"/>
      <c r="CS18" s="54"/>
      <c r="CT18" s="54"/>
      <c r="CU18" s="50"/>
      <c r="CV18" s="50"/>
      <c r="CW18" s="54"/>
      <c r="CX18" s="54"/>
      <c r="CY18" s="54"/>
      <c r="CZ18" s="50"/>
      <c r="DA18" s="54"/>
      <c r="DB18" s="54"/>
      <c r="DC18" s="54"/>
      <c r="DD18" s="50"/>
      <c r="DE18" s="54"/>
      <c r="DF18" s="54"/>
      <c r="DG18" s="54"/>
      <c r="DH18" s="50"/>
      <c r="DI18" s="54"/>
      <c r="DJ18" s="54"/>
      <c r="DK18" s="58"/>
    </row>
    <row r="19" customFormat="false" ht="15" hidden="false" customHeight="false" outlineLevel="0" collapsed="false">
      <c r="A19" s="55"/>
      <c r="C19" s="72"/>
      <c r="I19" s="51"/>
      <c r="J19" s="95"/>
      <c r="K19" s="54"/>
      <c r="L19" s="54"/>
      <c r="M19" s="54"/>
      <c r="N19" s="54"/>
      <c r="O19" s="54"/>
      <c r="P19" s="54"/>
      <c r="Q19" s="58"/>
      <c r="R19" s="54"/>
      <c r="S19" s="54"/>
      <c r="T19" s="54"/>
      <c r="U19" s="58"/>
      <c r="W19" s="51"/>
      <c r="X19" s="54"/>
      <c r="Y19" s="54"/>
      <c r="Z19" s="77" t="n">
        <f aca="false">IF(AB19&gt;$X$5,1,0)</f>
        <v>1</v>
      </c>
      <c r="AA19" s="54" t="n">
        <v>100</v>
      </c>
      <c r="AB19" s="58" t="n">
        <v>160</v>
      </c>
      <c r="AC19" s="77" t="n">
        <f aca="false">IF(AE19&gt;$X$5,1,0)</f>
        <v>1</v>
      </c>
      <c r="AD19" s="63" t="n">
        <v>125</v>
      </c>
      <c r="AE19" s="83" t="n">
        <v>200</v>
      </c>
      <c r="AF19" s="54"/>
      <c r="AG19" s="54"/>
      <c r="AH19" s="58"/>
      <c r="BN19" s="47"/>
      <c r="BO19" s="26"/>
      <c r="BP19" s="48"/>
      <c r="BQ19" s="26"/>
      <c r="BR19" s="53"/>
      <c r="BS19" s="26"/>
      <c r="BT19" s="50"/>
      <c r="BU19" s="69" t="n">
        <f aca="false">IF($F$7=BX19,1,0)</f>
        <v>0</v>
      </c>
      <c r="BV19" s="53" t="s">
        <v>149</v>
      </c>
      <c r="BW19" s="26" t="n">
        <v>65</v>
      </c>
      <c r="BX19" s="52" t="n">
        <v>50</v>
      </c>
      <c r="BY19" s="48"/>
      <c r="BZ19" s="26"/>
      <c r="CA19" s="53"/>
      <c r="CB19" s="26"/>
      <c r="CC19" s="50"/>
      <c r="CD19" s="54"/>
      <c r="CE19" s="54"/>
      <c r="CF19" s="54"/>
      <c r="CG19" s="50"/>
      <c r="CH19" s="54"/>
      <c r="CI19" s="54"/>
      <c r="CJ19" s="54"/>
      <c r="CK19" s="54"/>
      <c r="CL19" s="54"/>
      <c r="CM19" s="54"/>
      <c r="CN19" s="54"/>
      <c r="CO19" s="54"/>
      <c r="CP19" s="54"/>
      <c r="CQ19" s="50"/>
      <c r="CR19" s="54"/>
      <c r="CS19" s="54"/>
      <c r="CT19" s="54"/>
      <c r="CU19" s="50"/>
      <c r="CV19" s="50"/>
      <c r="CW19" s="54"/>
      <c r="CX19" s="54"/>
      <c r="CY19" s="54"/>
      <c r="CZ19" s="50"/>
      <c r="DA19" s="54"/>
      <c r="DB19" s="54"/>
      <c r="DC19" s="54"/>
      <c r="DD19" s="50"/>
      <c r="DE19" s="54"/>
      <c r="DF19" s="54"/>
      <c r="DG19" s="54"/>
      <c r="DH19" s="50"/>
      <c r="DI19" s="54"/>
      <c r="DJ19" s="54"/>
      <c r="DK19" s="58"/>
    </row>
    <row r="20" customFormat="false" ht="15" hidden="false" customHeight="false" outlineLevel="0" collapsed="false">
      <c r="A20" s="55"/>
      <c r="C20" s="72"/>
      <c r="I20" s="51"/>
      <c r="J20" s="95" t="s">
        <v>150</v>
      </c>
      <c r="K20" s="54" t="n">
        <v>958.4</v>
      </c>
      <c r="L20" s="54"/>
      <c r="M20" s="54"/>
      <c r="N20" s="54"/>
      <c r="O20" s="54"/>
      <c r="P20" s="54"/>
      <c r="Q20" s="58"/>
      <c r="R20" s="54"/>
      <c r="S20" s="54"/>
      <c r="T20" s="54"/>
      <c r="U20" s="58"/>
      <c r="W20" s="51"/>
      <c r="X20" s="54"/>
      <c r="Y20" s="54"/>
      <c r="Z20" s="77" t="n">
        <f aca="false">IF(AB20&gt;$X$5,1,0)</f>
        <v>1</v>
      </c>
      <c r="AA20" s="54" t="n">
        <v>125</v>
      </c>
      <c r="AB20" s="58" t="n">
        <v>250</v>
      </c>
      <c r="AC20" s="77" t="n">
        <f aca="false">IF(AE20&gt;$X$5,1,0)</f>
        <v>1</v>
      </c>
      <c r="AD20" s="63" t="n">
        <v>125</v>
      </c>
      <c r="AE20" s="83" t="n">
        <v>250</v>
      </c>
      <c r="AF20" s="54"/>
      <c r="AG20" s="54"/>
      <c r="AH20" s="58"/>
      <c r="BN20" s="47"/>
      <c r="BO20" s="26"/>
      <c r="BP20" s="48"/>
      <c r="BQ20" s="26"/>
      <c r="BR20" s="53"/>
      <c r="BS20" s="26"/>
      <c r="BT20" s="50"/>
      <c r="BU20" s="69" t="n">
        <f aca="false">IF($F$7=BX20,1,0)</f>
        <v>0</v>
      </c>
      <c r="BV20" s="53" t="s">
        <v>151</v>
      </c>
      <c r="BW20" s="26" t="n">
        <v>65</v>
      </c>
      <c r="BX20" s="52" t="n">
        <v>63</v>
      </c>
      <c r="BY20" s="48"/>
      <c r="BZ20" s="26"/>
      <c r="CA20" s="53"/>
      <c r="CB20" s="26"/>
      <c r="CC20" s="50"/>
      <c r="CD20" s="54"/>
      <c r="CE20" s="54"/>
      <c r="CF20" s="54"/>
      <c r="CG20" s="50"/>
      <c r="CH20" s="54"/>
      <c r="CI20" s="54"/>
      <c r="CJ20" s="54"/>
      <c r="CK20" s="54"/>
      <c r="CL20" s="54"/>
      <c r="CM20" s="54"/>
      <c r="CN20" s="54"/>
      <c r="CO20" s="54"/>
      <c r="CP20" s="54"/>
      <c r="CQ20" s="50"/>
      <c r="CR20" s="54"/>
      <c r="CS20" s="54"/>
      <c r="CT20" s="54"/>
      <c r="CU20" s="50"/>
      <c r="CV20" s="50"/>
      <c r="CW20" s="54"/>
      <c r="CX20" s="54"/>
      <c r="CY20" s="54"/>
      <c r="CZ20" s="50"/>
      <c r="DA20" s="54"/>
      <c r="DB20" s="54"/>
      <c r="DC20" s="54"/>
      <c r="DD20" s="50"/>
      <c r="DE20" s="54"/>
      <c r="DF20" s="54"/>
      <c r="DG20" s="54"/>
      <c r="DH20" s="50"/>
      <c r="DI20" s="54"/>
      <c r="DJ20" s="54"/>
      <c r="DK20" s="58"/>
    </row>
    <row r="21" customFormat="false" ht="15" hidden="false" customHeight="false" outlineLevel="0" collapsed="false">
      <c r="I21" s="51"/>
      <c r="J21" s="95" t="s">
        <v>152</v>
      </c>
      <c r="K21" s="54" t="n">
        <v>0.5</v>
      </c>
      <c r="L21" s="54"/>
      <c r="M21" s="54"/>
      <c r="N21" s="54"/>
      <c r="O21" s="54"/>
      <c r="P21" s="54"/>
      <c r="Q21" s="58"/>
      <c r="R21" s="54"/>
      <c r="S21" s="54"/>
      <c r="T21" s="54"/>
      <c r="U21" s="58"/>
      <c r="W21" s="51"/>
      <c r="X21" s="54"/>
      <c r="Y21" s="54"/>
      <c r="Z21" s="77" t="n">
        <f aca="false">IF(AB21&gt;$X$5,1,0)</f>
        <v>1</v>
      </c>
      <c r="AA21" s="54" t="n">
        <v>150</v>
      </c>
      <c r="AB21" s="58" t="n">
        <v>315</v>
      </c>
      <c r="AC21" s="77" t="n">
        <f aca="false">IF(AE21&gt;$X$5,1,0)</f>
        <v>1</v>
      </c>
      <c r="AD21" s="63" t="n">
        <v>150</v>
      </c>
      <c r="AE21" s="83" t="n">
        <v>315</v>
      </c>
      <c r="AF21" s="54"/>
      <c r="AG21" s="54"/>
      <c r="AH21" s="58"/>
      <c r="BN21" s="47"/>
      <c r="BO21" s="26"/>
      <c r="BP21" s="48"/>
      <c r="BQ21" s="26"/>
      <c r="BR21" s="53"/>
      <c r="BS21" s="26"/>
      <c r="BT21" s="50"/>
      <c r="BU21" s="69" t="n">
        <f aca="false">IF($F$7=BX21,1,0)</f>
        <v>0</v>
      </c>
      <c r="BV21" s="53" t="s">
        <v>153</v>
      </c>
      <c r="BW21" s="26" t="n">
        <v>80</v>
      </c>
      <c r="BX21" s="52" t="n">
        <v>80</v>
      </c>
      <c r="BY21" s="48"/>
      <c r="BZ21" s="26"/>
      <c r="CA21" s="53"/>
      <c r="CB21" s="26"/>
      <c r="CC21" s="50"/>
      <c r="CD21" s="54"/>
      <c r="CE21" s="54"/>
      <c r="CF21" s="54"/>
      <c r="CG21" s="50"/>
      <c r="CH21" s="54"/>
      <c r="CI21" s="54"/>
      <c r="CJ21" s="54"/>
      <c r="CK21" s="54"/>
      <c r="CL21" s="54"/>
      <c r="CM21" s="54"/>
      <c r="CN21" s="54"/>
      <c r="CO21" s="54"/>
      <c r="CP21" s="54"/>
      <c r="CQ21" s="50"/>
      <c r="CR21" s="54"/>
      <c r="CS21" s="54"/>
      <c r="CT21" s="54"/>
      <c r="CU21" s="50"/>
      <c r="CV21" s="50"/>
      <c r="CW21" s="54"/>
      <c r="CX21" s="54"/>
      <c r="CY21" s="54"/>
      <c r="CZ21" s="50"/>
      <c r="DA21" s="54"/>
      <c r="DB21" s="54"/>
      <c r="DC21" s="54"/>
      <c r="DD21" s="50"/>
      <c r="DE21" s="54"/>
      <c r="DF21" s="54"/>
      <c r="DG21" s="54"/>
      <c r="DH21" s="50"/>
      <c r="DI21" s="54"/>
      <c r="DJ21" s="54"/>
      <c r="DK21" s="58"/>
    </row>
    <row r="22" customFormat="false" ht="15.75" hidden="false" customHeight="false" outlineLevel="0" collapsed="false">
      <c r="I22" s="91"/>
      <c r="J22" s="96"/>
      <c r="K22" s="92"/>
      <c r="L22" s="92"/>
      <c r="M22" s="92"/>
      <c r="N22" s="92"/>
      <c r="O22" s="92"/>
      <c r="P22" s="92"/>
      <c r="Q22" s="94"/>
      <c r="R22" s="92"/>
      <c r="S22" s="92"/>
      <c r="T22" s="92"/>
      <c r="U22" s="94"/>
      <c r="W22" s="91"/>
      <c r="X22" s="92"/>
      <c r="Y22" s="92"/>
      <c r="Z22" s="91"/>
      <c r="AA22" s="92"/>
      <c r="AB22" s="94"/>
      <c r="AC22" s="87" t="n">
        <f aca="false">IF(AE22&gt;$X$5,1,0)</f>
        <v>1</v>
      </c>
      <c r="AD22" s="97" t="n">
        <v>150</v>
      </c>
      <c r="AE22" s="98" t="n">
        <v>400</v>
      </c>
      <c r="AF22" s="92"/>
      <c r="AG22" s="92"/>
      <c r="AH22" s="94"/>
      <c r="BN22" s="47"/>
      <c r="BO22" s="26"/>
      <c r="BP22" s="48"/>
      <c r="BQ22" s="26"/>
      <c r="BR22" s="53"/>
      <c r="BS22" s="26"/>
      <c r="BT22" s="50"/>
      <c r="BU22" s="69" t="n">
        <f aca="false">IF($F$7=BX22,1,0)</f>
        <v>0</v>
      </c>
      <c r="BV22" s="53" t="s">
        <v>154</v>
      </c>
      <c r="BW22" s="26" t="n">
        <v>80</v>
      </c>
      <c r="BX22" s="52" t="n">
        <v>100</v>
      </c>
      <c r="BY22" s="48"/>
      <c r="BZ22" s="26"/>
      <c r="CA22" s="53"/>
      <c r="CB22" s="26"/>
      <c r="CC22" s="50"/>
      <c r="CD22" s="54"/>
      <c r="CE22" s="54"/>
      <c r="CF22" s="54"/>
      <c r="CG22" s="50"/>
      <c r="CH22" s="54"/>
      <c r="CI22" s="54"/>
      <c r="CJ22" s="54"/>
      <c r="CK22" s="54"/>
      <c r="CL22" s="54"/>
      <c r="CM22" s="54"/>
      <c r="CN22" s="54"/>
      <c r="CO22" s="54"/>
      <c r="CP22" s="54"/>
      <c r="CQ22" s="50"/>
      <c r="CR22" s="54"/>
      <c r="CS22" s="54"/>
      <c r="CT22" s="54"/>
      <c r="CU22" s="50"/>
      <c r="CV22" s="50"/>
      <c r="CW22" s="54"/>
      <c r="CX22" s="54"/>
      <c r="CY22" s="54"/>
      <c r="CZ22" s="50"/>
      <c r="DA22" s="54"/>
      <c r="DB22" s="54"/>
      <c r="DC22" s="54"/>
      <c r="DD22" s="50"/>
      <c r="DE22" s="54"/>
      <c r="DF22" s="54"/>
      <c r="DG22" s="54"/>
      <c r="DH22" s="50"/>
      <c r="DI22" s="54"/>
      <c r="DJ22" s="54"/>
      <c r="DK22" s="58"/>
    </row>
    <row r="23" customFormat="false" ht="15" hidden="false" customHeight="false" outlineLevel="0" collapsed="false">
      <c r="BN23" s="47"/>
      <c r="BO23" s="26"/>
      <c r="BP23" s="48"/>
      <c r="BQ23" s="26"/>
      <c r="BR23" s="53"/>
      <c r="BS23" s="26"/>
      <c r="BT23" s="50"/>
      <c r="BU23" s="69" t="n">
        <f aca="false">IF($F$7=BX23,1,0)</f>
        <v>0</v>
      </c>
      <c r="BV23" s="53" t="s">
        <v>155</v>
      </c>
      <c r="BW23" s="26" t="n">
        <v>100</v>
      </c>
      <c r="BX23" s="52" t="n">
        <v>125</v>
      </c>
      <c r="BY23" s="48"/>
      <c r="BZ23" s="26"/>
      <c r="CA23" s="53"/>
      <c r="CB23" s="26"/>
      <c r="CC23" s="50"/>
      <c r="CD23" s="54"/>
      <c r="CE23" s="54"/>
      <c r="CF23" s="54"/>
      <c r="CG23" s="50"/>
      <c r="CH23" s="54"/>
      <c r="CI23" s="54"/>
      <c r="CJ23" s="54"/>
      <c r="CK23" s="54"/>
      <c r="CL23" s="54"/>
      <c r="CM23" s="54"/>
      <c r="CN23" s="54"/>
      <c r="CO23" s="54"/>
      <c r="CP23" s="54"/>
      <c r="CQ23" s="50"/>
      <c r="CR23" s="54"/>
      <c r="CS23" s="54"/>
      <c r="CT23" s="54"/>
      <c r="CU23" s="50"/>
      <c r="CV23" s="50"/>
      <c r="CW23" s="54"/>
      <c r="CX23" s="54"/>
      <c r="CY23" s="54"/>
      <c r="CZ23" s="50"/>
      <c r="DA23" s="54"/>
      <c r="DB23" s="54"/>
      <c r="DC23" s="54"/>
      <c r="DD23" s="50"/>
      <c r="DE23" s="54"/>
      <c r="DF23" s="54"/>
      <c r="DG23" s="54"/>
      <c r="DH23" s="50"/>
      <c r="DI23" s="54"/>
      <c r="DJ23" s="54"/>
      <c r="DK23" s="58"/>
    </row>
    <row r="24" customFormat="false" ht="15" hidden="false" customHeight="false" outlineLevel="0" collapsed="false">
      <c r="BN24" s="47"/>
      <c r="BO24" s="26"/>
      <c r="BP24" s="48"/>
      <c r="BQ24" s="26"/>
      <c r="BR24" s="53"/>
      <c r="BS24" s="26"/>
      <c r="BT24" s="50"/>
      <c r="BU24" s="69" t="n">
        <f aca="false">IF($F$7=BX24,1,0)</f>
        <v>0</v>
      </c>
      <c r="BV24" s="53" t="s">
        <v>156</v>
      </c>
      <c r="BW24" s="26" t="n">
        <v>100</v>
      </c>
      <c r="BX24" s="52" t="n">
        <v>160</v>
      </c>
      <c r="BY24" s="48"/>
      <c r="BZ24" s="26"/>
      <c r="CA24" s="53"/>
      <c r="CB24" s="26"/>
      <c r="CC24" s="50"/>
      <c r="CD24" s="54"/>
      <c r="CE24" s="54"/>
      <c r="CF24" s="54"/>
      <c r="CG24" s="50"/>
      <c r="CH24" s="54"/>
      <c r="CI24" s="54"/>
      <c r="CJ24" s="54"/>
      <c r="CK24" s="54"/>
      <c r="CL24" s="54"/>
      <c r="CM24" s="54"/>
      <c r="CN24" s="54"/>
      <c r="CO24" s="54"/>
      <c r="CP24" s="54"/>
      <c r="CQ24" s="50"/>
      <c r="CR24" s="54"/>
      <c r="CS24" s="54"/>
      <c r="CT24" s="54"/>
      <c r="CU24" s="50"/>
      <c r="CV24" s="50"/>
      <c r="CW24" s="54"/>
      <c r="CX24" s="54"/>
      <c r="CY24" s="54"/>
      <c r="CZ24" s="50"/>
      <c r="DA24" s="54"/>
      <c r="DB24" s="54"/>
      <c r="DC24" s="54"/>
      <c r="DD24" s="50"/>
      <c r="DE24" s="54"/>
      <c r="DF24" s="54"/>
      <c r="DG24" s="54"/>
      <c r="DH24" s="50"/>
      <c r="DI24" s="54"/>
      <c r="DJ24" s="54"/>
      <c r="DK24" s="58"/>
    </row>
    <row r="25" customFormat="false" ht="15" hidden="false" customHeight="false" outlineLevel="0" collapsed="false">
      <c r="BN25" s="47"/>
      <c r="BO25" s="26"/>
      <c r="BP25" s="48"/>
      <c r="BQ25" s="26"/>
      <c r="BR25" s="53"/>
      <c r="BS25" s="26"/>
      <c r="BT25" s="50"/>
      <c r="BU25" s="69" t="n">
        <f aca="false">IF($F$7=BX25,1,0)</f>
        <v>0</v>
      </c>
      <c r="BV25" s="53" t="s">
        <v>157</v>
      </c>
      <c r="BW25" s="26" t="n">
        <v>125</v>
      </c>
      <c r="BX25" s="52" t="n">
        <v>250</v>
      </c>
      <c r="BY25" s="48"/>
      <c r="BZ25" s="26"/>
      <c r="CA25" s="53"/>
      <c r="CB25" s="26"/>
      <c r="CC25" s="50"/>
      <c r="CD25" s="54"/>
      <c r="CE25" s="54"/>
      <c r="CF25" s="54"/>
      <c r="CG25" s="50"/>
      <c r="CH25" s="54"/>
      <c r="CI25" s="54"/>
      <c r="CJ25" s="54"/>
      <c r="CK25" s="54"/>
      <c r="CL25" s="54"/>
      <c r="CM25" s="54"/>
      <c r="CN25" s="54"/>
      <c r="CO25" s="54"/>
      <c r="CP25" s="54"/>
      <c r="CQ25" s="50"/>
      <c r="CR25" s="54"/>
      <c r="CS25" s="54"/>
      <c r="CT25" s="54"/>
      <c r="CU25" s="50"/>
      <c r="CV25" s="50"/>
      <c r="CW25" s="54"/>
      <c r="CX25" s="54"/>
      <c r="CY25" s="54"/>
      <c r="CZ25" s="50"/>
      <c r="DA25" s="54"/>
      <c r="DB25" s="54"/>
      <c r="DC25" s="54"/>
      <c r="DD25" s="50"/>
      <c r="DE25" s="54"/>
      <c r="DF25" s="54"/>
      <c r="DG25" s="54"/>
      <c r="DH25" s="50"/>
      <c r="DI25" s="54"/>
      <c r="DJ25" s="54"/>
      <c r="DK25" s="58"/>
    </row>
    <row r="26" customFormat="false" ht="15.75" hidden="false" customHeight="false" outlineLevel="0" collapsed="false">
      <c r="BN26" s="99"/>
      <c r="BO26" s="100"/>
      <c r="BP26" s="101"/>
      <c r="BQ26" s="100"/>
      <c r="BR26" s="102"/>
      <c r="BS26" s="100"/>
      <c r="BT26" s="103"/>
      <c r="BU26" s="104" t="n">
        <f aca="false">IF($F$7=BX26,1,0)</f>
        <v>0</v>
      </c>
      <c r="BV26" s="102" t="s">
        <v>158</v>
      </c>
      <c r="BW26" s="100" t="n">
        <v>150</v>
      </c>
      <c r="BX26" s="105" t="n">
        <v>315</v>
      </c>
      <c r="BY26" s="101"/>
      <c r="BZ26" s="100"/>
      <c r="CA26" s="102"/>
      <c r="CB26" s="100"/>
      <c r="CC26" s="103"/>
      <c r="CD26" s="92"/>
      <c r="CE26" s="92"/>
      <c r="CF26" s="92"/>
      <c r="CG26" s="103"/>
      <c r="CH26" s="92"/>
      <c r="CI26" s="92"/>
      <c r="CJ26" s="92"/>
      <c r="CK26" s="92"/>
      <c r="CL26" s="92"/>
      <c r="CM26" s="92"/>
      <c r="CN26" s="92"/>
      <c r="CO26" s="92"/>
      <c r="CP26" s="92"/>
      <c r="CQ26" s="103"/>
      <c r="CR26" s="92"/>
      <c r="CS26" s="92"/>
      <c r="CT26" s="92"/>
      <c r="CU26" s="103"/>
      <c r="CV26" s="103"/>
      <c r="CW26" s="92"/>
      <c r="CX26" s="92"/>
      <c r="CY26" s="92"/>
      <c r="CZ26" s="103"/>
      <c r="DA26" s="92"/>
      <c r="DB26" s="92"/>
      <c r="DC26" s="92"/>
      <c r="DD26" s="103"/>
      <c r="DE26" s="92"/>
      <c r="DF26" s="92"/>
      <c r="DG26" s="92"/>
      <c r="DH26" s="103"/>
      <c r="DI26" s="92"/>
      <c r="DJ26" s="92"/>
      <c r="DK26" s="94"/>
    </row>
  </sheetData>
  <mergeCells count="28">
    <mergeCell ref="I2:U2"/>
    <mergeCell ref="W2:AH2"/>
    <mergeCell ref="AJ2:AM2"/>
    <mergeCell ref="AS2:BL2"/>
    <mergeCell ref="BN2:BO2"/>
    <mergeCell ref="BR2:BS2"/>
    <mergeCell ref="BV2:BX2"/>
    <mergeCell ref="CA2:CB2"/>
    <mergeCell ref="CE2:CF2"/>
    <mergeCell ref="CI2:CP2"/>
    <mergeCell ref="CR2:CT2"/>
    <mergeCell ref="CW2:CY2"/>
    <mergeCell ref="DA2:DC2"/>
    <mergeCell ref="DE2:DG2"/>
    <mergeCell ref="DI2:DK2"/>
    <mergeCell ref="Z3:AB3"/>
    <mergeCell ref="AC3:AE3"/>
    <mergeCell ref="AF3:AH3"/>
    <mergeCell ref="AS3:AW3"/>
    <mergeCell ref="AX3:BB3"/>
    <mergeCell ref="BC3:BG3"/>
    <mergeCell ref="BH3:BL3"/>
    <mergeCell ref="B14:C14"/>
    <mergeCell ref="E14:F14"/>
    <mergeCell ref="B15:C15"/>
    <mergeCell ref="B16:C16"/>
    <mergeCell ref="B17:C17"/>
    <mergeCell ref="B18:C18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C2:BI26"/>
  <sheetViews>
    <sheetView showFormulas="false" showGridLines="true" showRowColHeaders="true" showZeros="true" rightToLeft="false" tabSelected="false" showOutlineSymbols="true" defaultGridColor="true" view="normal" topLeftCell="AA1" colorId="64" zoomScale="100" zoomScaleNormal="100" zoomScalePageLayoutView="100" workbookViewId="0">
      <selection pane="topLeft" activeCell="AJ33" activeCellId="0" sqref="AJ33"/>
    </sheetView>
  </sheetViews>
  <sheetFormatPr defaultRowHeight="15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4.14"/>
    <col collapsed="false" customWidth="true" hidden="false" outlineLevel="0" max="3" min="3" style="0" width="4.71"/>
    <col collapsed="false" customWidth="true" hidden="false" outlineLevel="0" max="4" min="4" style="0" width="1.71"/>
    <col collapsed="false" customWidth="true" hidden="false" outlineLevel="0" max="5" min="5" style="0" width="3.14"/>
    <col collapsed="false" customWidth="true" hidden="false" outlineLevel="0" max="6" min="6" style="0" width="1.71"/>
    <col collapsed="false" customWidth="true" hidden="false" outlineLevel="0" max="7" min="7" style="0" width="3.14"/>
    <col collapsed="false" customWidth="true" hidden="false" outlineLevel="0" max="8" min="8" style="0" width="1.71"/>
    <col collapsed="false" customWidth="true" hidden="false" outlineLevel="0" max="9" min="9" style="0" width="3.14"/>
    <col collapsed="false" customWidth="true" hidden="false" outlineLevel="0" max="10" min="10" style="0" width="1.58"/>
    <col collapsed="false" customWidth="true" hidden="false" outlineLevel="0" max="11" min="11" style="0" width="3.14"/>
    <col collapsed="false" customWidth="true" hidden="false" outlineLevel="0" max="12" min="12" style="0" width="1.71"/>
    <col collapsed="false" customWidth="true" hidden="false" outlineLevel="0" max="13" min="13" style="0" width="3.14"/>
    <col collapsed="false" customWidth="true" hidden="false" outlineLevel="0" max="14" min="14" style="0" width="1.71"/>
    <col collapsed="false" customWidth="true" hidden="false" outlineLevel="0" max="15" min="15" style="0" width="3.14"/>
    <col collapsed="false" customWidth="true" hidden="false" outlineLevel="0" max="16" min="16" style="0" width="1.58"/>
    <col collapsed="false" customWidth="true" hidden="false" outlineLevel="0" max="17" min="17" style="0" width="3.14"/>
    <col collapsed="false" customWidth="true" hidden="false" outlineLevel="0" max="18" min="18" style="0" width="1.71"/>
    <col collapsed="false" customWidth="true" hidden="false" outlineLevel="0" max="19" min="19" style="0" width="3.14"/>
    <col collapsed="false" customWidth="true" hidden="false" outlineLevel="0" max="20" min="20" style="0" width="1.71"/>
    <col collapsed="false" customWidth="true" hidden="false" outlineLevel="0" max="21" min="21" style="0" width="3.14"/>
    <col collapsed="false" customWidth="true" hidden="false" outlineLevel="0" max="22" min="22" style="0" width="1.71"/>
    <col collapsed="false" customWidth="true" hidden="false" outlineLevel="0" max="23" min="23" style="0" width="3.71"/>
    <col collapsed="false" customWidth="true" hidden="false" outlineLevel="0" max="24" min="24" style="0" width="8.67"/>
    <col collapsed="false" customWidth="true" hidden="false" outlineLevel="0" max="25" min="25" style="107" width="4.86"/>
    <col collapsed="false" customWidth="true" hidden="false" outlineLevel="0" max="26" min="26" style="81" width="12.86"/>
    <col collapsed="false" customWidth="true" hidden="false" outlineLevel="0" max="27" min="27" style="81" width="3.29"/>
    <col collapsed="false" customWidth="true" hidden="false" outlineLevel="0" max="28" min="28" style="107" width="6.28"/>
    <col collapsed="false" customWidth="true" hidden="false" outlineLevel="0" max="29" min="29" style="81" width="6.28"/>
    <col collapsed="false" customWidth="true" hidden="false" outlineLevel="0" max="30" min="30" style="0" width="3.57"/>
    <col collapsed="false" customWidth="true" hidden="false" outlineLevel="0" max="33" min="31" style="81" width="6.15"/>
    <col collapsed="false" customWidth="true" hidden="false" outlineLevel="0" max="34" min="34" style="81" width="3.29"/>
    <col collapsed="false" customWidth="true" hidden="false" outlineLevel="0" max="35" min="35" style="107" width="6.15"/>
    <col collapsed="false" customWidth="true" hidden="false" outlineLevel="0" max="36" min="36" style="81" width="15.29"/>
    <col collapsed="false" customWidth="true" hidden="false" outlineLevel="0" max="37" min="37" style="0" width="3.29"/>
    <col collapsed="false" customWidth="true" hidden="false" outlineLevel="0" max="39" min="38" style="0" width="6.28"/>
    <col collapsed="false" customWidth="true" hidden="false" outlineLevel="0" max="40" min="40" style="0" width="3.57"/>
    <col collapsed="false" customWidth="true" hidden="false" outlineLevel="0" max="41" min="41" style="0" width="5.86"/>
    <col collapsed="false" customWidth="true" hidden="false" outlineLevel="0" max="42" min="42" style="0" width="16.14"/>
    <col collapsed="false" customWidth="true" hidden="false" outlineLevel="0" max="43" min="43" style="0" width="3.71"/>
    <col collapsed="false" customWidth="true" hidden="false" outlineLevel="0" max="44" min="44" style="0" width="6.15"/>
    <col collapsed="false" customWidth="true" hidden="false" outlineLevel="0" max="45" min="45" style="0" width="16.86"/>
    <col collapsed="false" customWidth="true" hidden="false" outlineLevel="0" max="46" min="46" style="0" width="25.14"/>
    <col collapsed="false" customWidth="true" hidden="false" outlineLevel="0" max="47" min="47" style="0" width="18.29"/>
    <col collapsed="false" customWidth="true" hidden="false" outlineLevel="0" max="48" min="48" style="0" width="3.29"/>
    <col collapsed="false" customWidth="true" hidden="false" outlineLevel="0" max="49" min="49" style="0" width="6.28"/>
    <col collapsed="false" customWidth="false" hidden="false" outlineLevel="0" max="50" min="50" style="0" width="11.42"/>
    <col collapsed="false" customWidth="true" hidden="false" outlineLevel="0" max="51" min="51" style="0" width="3.57"/>
    <col collapsed="false" customWidth="true" hidden="false" outlineLevel="0" max="52" min="52" style="81" width="4.86"/>
    <col collapsed="false" customWidth="true" hidden="false" outlineLevel="0" max="53" min="53" style="81" width="8.42"/>
    <col collapsed="false" customWidth="true" hidden="false" outlineLevel="0" max="54" min="54" style="0" width="3.29"/>
    <col collapsed="false" customWidth="true" hidden="false" outlineLevel="0" max="55" min="55" style="0" width="6.28"/>
    <col collapsed="false" customWidth="false" hidden="false" outlineLevel="0" max="56" min="56" style="0" width="11.42"/>
    <col collapsed="false" customWidth="true" hidden="false" outlineLevel="0" max="57" min="57" style="0" width="3.57"/>
    <col collapsed="false" customWidth="true" hidden="false" outlineLevel="0" max="58" min="58" style="0" width="3.29"/>
    <col collapsed="false" customWidth="true" hidden="false" outlineLevel="0" max="59" min="59" style="0" width="6.28"/>
    <col collapsed="false" customWidth="false" hidden="false" outlineLevel="0" max="60" min="60" style="0" width="11.42"/>
    <col collapsed="false" customWidth="true" hidden="false" outlineLevel="0" max="61" min="61" style="0" width="3.57"/>
    <col collapsed="false" customWidth="true" hidden="false" outlineLevel="0" max="1025" min="62" style="0" width="8.67"/>
  </cols>
  <sheetData>
    <row r="2" customFormat="false" ht="15" hidden="false" customHeight="false" outlineLevel="0" collapsed="false">
      <c r="C2" s="0" t="s">
        <v>2</v>
      </c>
      <c r="D2" s="0" t="s">
        <v>164</v>
      </c>
      <c r="E2" s="0" t="s">
        <v>37</v>
      </c>
      <c r="F2" s="0" t="s">
        <v>164</v>
      </c>
      <c r="G2" s="0" t="s">
        <v>38</v>
      </c>
      <c r="H2" s="0" t="s">
        <v>164</v>
      </c>
      <c r="I2" s="0" t="s">
        <v>39</v>
      </c>
      <c r="J2" s="0" t="s">
        <v>165</v>
      </c>
      <c r="K2" s="0" t="s">
        <v>40</v>
      </c>
      <c r="L2" s="0" t="s">
        <v>164</v>
      </c>
      <c r="M2" s="0" t="s">
        <v>41</v>
      </c>
      <c r="N2" s="0" t="s">
        <v>164</v>
      </c>
      <c r="O2" s="0" t="s">
        <v>42</v>
      </c>
      <c r="P2" s="0" t="s">
        <v>165</v>
      </c>
      <c r="Q2" s="0" t="s">
        <v>43</v>
      </c>
      <c r="R2" s="0" t="s">
        <v>164</v>
      </c>
      <c r="S2" s="0" t="s">
        <v>44</v>
      </c>
      <c r="T2" s="0" t="s">
        <v>164</v>
      </c>
      <c r="U2" s="0" t="s">
        <v>45</v>
      </c>
      <c r="V2" s="0" t="s">
        <v>164</v>
      </c>
      <c r="W2" s="0" t="s">
        <v>46</v>
      </c>
      <c r="Y2" s="108" t="s">
        <v>37</v>
      </c>
      <c r="Z2" s="108"/>
      <c r="AA2" s="1"/>
      <c r="AB2" s="108" t="s">
        <v>38</v>
      </c>
      <c r="AC2" s="108"/>
      <c r="AD2" s="37"/>
      <c r="AE2" s="108" t="s">
        <v>39</v>
      </c>
      <c r="AF2" s="108"/>
      <c r="AG2" s="108"/>
      <c r="AH2" s="1"/>
      <c r="AI2" s="108" t="s">
        <v>40</v>
      </c>
      <c r="AJ2" s="108"/>
      <c r="AK2" s="1"/>
      <c r="AL2" s="108" t="s">
        <v>41</v>
      </c>
      <c r="AM2" s="108"/>
      <c r="AN2" s="37"/>
      <c r="AO2" s="108" t="s">
        <v>42</v>
      </c>
      <c r="AP2" s="108"/>
      <c r="AR2" s="109" t="s">
        <v>43</v>
      </c>
      <c r="AS2" s="109"/>
      <c r="AT2" s="109"/>
      <c r="AU2" s="109"/>
      <c r="AV2" s="1"/>
      <c r="AW2" s="108" t="s">
        <v>44</v>
      </c>
      <c r="AX2" s="108"/>
      <c r="AY2" s="37"/>
      <c r="AZ2" s="108" t="s">
        <v>45</v>
      </c>
      <c r="BA2" s="108"/>
      <c r="BB2" s="1"/>
      <c r="BC2" s="108" t="s">
        <v>46</v>
      </c>
      <c r="BD2" s="108"/>
      <c r="BE2" s="37"/>
      <c r="BF2" s="1"/>
      <c r="BG2" s="108" t="s">
        <v>47</v>
      </c>
      <c r="BH2" s="108"/>
      <c r="BI2" s="37"/>
    </row>
    <row r="3" customFormat="false" ht="15" hidden="false" customHeight="false" outlineLevel="0" collapsed="false">
      <c r="Y3" s="107" t="s">
        <v>61</v>
      </c>
      <c r="Z3" s="81" t="s">
        <v>62</v>
      </c>
      <c r="AB3" s="110" t="s">
        <v>61</v>
      </c>
      <c r="AC3" s="1" t="s">
        <v>63</v>
      </c>
      <c r="AE3" s="110" t="s">
        <v>61</v>
      </c>
      <c r="AF3" s="1" t="s">
        <v>63</v>
      </c>
      <c r="AG3" s="81" t="s">
        <v>64</v>
      </c>
      <c r="AI3" s="107" t="s">
        <v>61</v>
      </c>
      <c r="AJ3" s="81" t="s">
        <v>65</v>
      </c>
      <c r="AK3" s="81"/>
      <c r="AL3" s="110" t="s">
        <v>61</v>
      </c>
      <c r="AM3" s="1" t="s">
        <v>63</v>
      </c>
      <c r="AO3" s="107" t="s">
        <v>61</v>
      </c>
      <c r="AP3" s="81" t="s">
        <v>66</v>
      </c>
      <c r="AQ3" s="54"/>
      <c r="AR3" s="110" t="s">
        <v>61</v>
      </c>
      <c r="AS3" s="81" t="s">
        <v>66</v>
      </c>
      <c r="AT3" s="81" t="s">
        <v>66</v>
      </c>
      <c r="AU3" s="81" t="s">
        <v>66</v>
      </c>
      <c r="AV3" s="81"/>
      <c r="AW3" s="110" t="s">
        <v>61</v>
      </c>
      <c r="AX3" s="1" t="s">
        <v>67</v>
      </c>
      <c r="AZ3" s="81" t="s">
        <v>61</v>
      </c>
      <c r="BA3" s="81" t="s">
        <v>163</v>
      </c>
      <c r="BB3" s="81"/>
      <c r="BC3" s="110" t="s">
        <v>61</v>
      </c>
      <c r="BD3" s="1" t="s">
        <v>68</v>
      </c>
      <c r="BF3" s="81"/>
      <c r="BG3" s="110" t="s">
        <v>61</v>
      </c>
      <c r="BH3" s="1" t="s">
        <v>69</v>
      </c>
    </row>
    <row r="4" customFormat="false" ht="15" hidden="false" customHeight="false" outlineLevel="0" collapsed="false">
      <c r="Y4" s="107" t="s">
        <v>78</v>
      </c>
      <c r="Z4" s="81" t="s">
        <v>79</v>
      </c>
      <c r="AB4" s="107" t="s">
        <v>80</v>
      </c>
      <c r="AC4" s="81" t="n">
        <v>15</v>
      </c>
      <c r="AE4" s="107" t="s">
        <v>80</v>
      </c>
      <c r="AF4" s="81" t="n">
        <v>15</v>
      </c>
      <c r="AG4" s="81" t="n">
        <v>0.63</v>
      </c>
      <c r="AI4" s="107" t="s">
        <v>78</v>
      </c>
      <c r="AJ4" s="81" t="s">
        <v>53</v>
      </c>
      <c r="AK4" s="81"/>
      <c r="AL4" s="107" t="s">
        <v>80</v>
      </c>
      <c r="AM4" s="81" t="n">
        <v>15</v>
      </c>
      <c r="AO4" s="21" t="n">
        <v>1</v>
      </c>
      <c r="AP4" s="21" t="s">
        <v>33</v>
      </c>
      <c r="AQ4" s="54"/>
      <c r="AR4" s="21" t="n">
        <v>1</v>
      </c>
      <c r="AS4" s="21" t="s">
        <v>74</v>
      </c>
      <c r="AT4" s="70" t="s">
        <v>75</v>
      </c>
      <c r="AU4" s="70" t="s">
        <v>76</v>
      </c>
      <c r="AV4" s="81"/>
      <c r="AW4" s="107" t="s">
        <v>81</v>
      </c>
      <c r="AX4" s="0" t="s">
        <v>82</v>
      </c>
      <c r="AZ4" s="81" t="n">
        <v>1</v>
      </c>
      <c r="BA4" s="81" t="n">
        <v>1</v>
      </c>
      <c r="BB4" s="81"/>
      <c r="BC4" s="107" t="s">
        <v>78</v>
      </c>
      <c r="BD4" s="81" t="s">
        <v>83</v>
      </c>
      <c r="BF4" s="81"/>
      <c r="BG4" s="107" t="s">
        <v>81</v>
      </c>
      <c r="BH4" s="0" t="s">
        <v>82</v>
      </c>
    </row>
    <row r="5" customFormat="false" ht="15" hidden="false" customHeight="false" outlineLevel="0" collapsed="false">
      <c r="Y5" s="107" t="s">
        <v>94</v>
      </c>
      <c r="Z5" s="81" t="s">
        <v>95</v>
      </c>
      <c r="AB5" s="107" t="s">
        <v>96</v>
      </c>
      <c r="AC5" s="81" t="n">
        <v>20</v>
      </c>
      <c r="AE5" s="107" t="s">
        <v>96</v>
      </c>
      <c r="AF5" s="81" t="n">
        <v>15</v>
      </c>
      <c r="AG5" s="81" t="n">
        <v>1.25</v>
      </c>
      <c r="AI5" s="107" t="s">
        <v>94</v>
      </c>
      <c r="AJ5" s="81" t="s">
        <v>55</v>
      </c>
      <c r="AK5" s="81"/>
      <c r="AL5" s="107" t="s">
        <v>96</v>
      </c>
      <c r="AM5" s="81" t="n">
        <v>20</v>
      </c>
      <c r="AO5" s="21" t="n">
        <v>2</v>
      </c>
      <c r="AP5" s="21" t="s">
        <v>166</v>
      </c>
      <c r="AQ5" s="54"/>
      <c r="AR5" s="21" t="n">
        <v>2</v>
      </c>
      <c r="AS5" s="21" t="s">
        <v>88</v>
      </c>
      <c r="AT5" s="21" t="s">
        <v>89</v>
      </c>
      <c r="AU5" s="70" t="s">
        <v>90</v>
      </c>
      <c r="AV5" s="81"/>
      <c r="AW5" s="107" t="s">
        <v>78</v>
      </c>
      <c r="AX5" s="81" t="s">
        <v>77</v>
      </c>
      <c r="AZ5" s="81" t="n">
        <v>2</v>
      </c>
      <c r="BA5" s="81" t="n">
        <v>2</v>
      </c>
      <c r="BB5" s="81"/>
      <c r="BC5" s="107" t="s">
        <v>94</v>
      </c>
      <c r="BD5" s="81" t="s">
        <v>55</v>
      </c>
      <c r="BF5" s="81"/>
      <c r="BG5" s="107" t="s">
        <v>78</v>
      </c>
      <c r="BH5" s="81" t="s">
        <v>167</v>
      </c>
    </row>
    <row r="6" customFormat="false" ht="15" hidden="false" customHeight="false" outlineLevel="0" collapsed="false">
      <c r="AB6" s="107" t="s">
        <v>103</v>
      </c>
      <c r="AC6" s="81" t="n">
        <v>25</v>
      </c>
      <c r="AE6" s="107" t="s">
        <v>103</v>
      </c>
      <c r="AF6" s="81" t="n">
        <v>15</v>
      </c>
      <c r="AG6" s="81" t="n">
        <v>1.6</v>
      </c>
      <c r="AI6" s="107" t="s">
        <v>104</v>
      </c>
      <c r="AJ6" s="81" t="s">
        <v>54</v>
      </c>
      <c r="AK6" s="81"/>
      <c r="AL6" s="107" t="s">
        <v>103</v>
      </c>
      <c r="AM6" s="81" t="n">
        <v>25</v>
      </c>
      <c r="AO6" s="21" t="n">
        <v>3</v>
      </c>
      <c r="AP6" s="76" t="s">
        <v>35</v>
      </c>
      <c r="AQ6" s="54"/>
      <c r="AR6" s="21" t="n">
        <v>3</v>
      </c>
      <c r="AS6" s="21" t="s">
        <v>100</v>
      </c>
      <c r="AT6" s="21" t="s">
        <v>101</v>
      </c>
      <c r="AU6" s="70" t="s">
        <v>102</v>
      </c>
      <c r="AV6" s="81"/>
      <c r="AW6" s="107" t="s">
        <v>94</v>
      </c>
      <c r="AX6" s="81" t="s">
        <v>91</v>
      </c>
      <c r="AZ6" s="81" t="n">
        <v>3</v>
      </c>
      <c r="BA6" s="81" t="n">
        <v>3</v>
      </c>
      <c r="BB6" s="81"/>
      <c r="BC6" s="107" t="s">
        <v>104</v>
      </c>
      <c r="BD6" s="76" t="s">
        <v>54</v>
      </c>
      <c r="BF6" s="81"/>
      <c r="BG6" s="107"/>
      <c r="BH6" s="81"/>
    </row>
    <row r="7" customFormat="false" ht="15" hidden="false" customHeight="false" outlineLevel="0" collapsed="false">
      <c r="AB7" s="107" t="s">
        <v>110</v>
      </c>
      <c r="AC7" s="81" t="n">
        <v>32</v>
      </c>
      <c r="AE7" s="107" t="s">
        <v>110</v>
      </c>
      <c r="AF7" s="81" t="n">
        <v>15</v>
      </c>
      <c r="AG7" s="81" t="n">
        <v>2.5</v>
      </c>
      <c r="AK7" s="81"/>
      <c r="AL7" s="107" t="s">
        <v>110</v>
      </c>
      <c r="AM7" s="81" t="n">
        <v>32</v>
      </c>
      <c r="AO7" s="54"/>
      <c r="AP7" s="54"/>
      <c r="AQ7" s="54"/>
      <c r="AR7" s="76" t="n">
        <v>4</v>
      </c>
      <c r="AS7" s="21" t="s">
        <v>107</v>
      </c>
      <c r="AT7" s="21" t="s">
        <v>108</v>
      </c>
      <c r="AU7" s="21" t="s">
        <v>109</v>
      </c>
      <c r="AV7" s="81"/>
      <c r="AW7" s="107" t="s">
        <v>104</v>
      </c>
      <c r="AX7" s="76" t="s">
        <v>93</v>
      </c>
      <c r="AZ7" s="81" t="n">
        <v>4</v>
      </c>
      <c r="BA7" s="81" t="n">
        <v>4</v>
      </c>
      <c r="BB7" s="81"/>
      <c r="BF7" s="81"/>
      <c r="BG7" s="107"/>
      <c r="BH7" s="76"/>
    </row>
    <row r="8" customFormat="false" ht="15" hidden="false" customHeight="false" outlineLevel="0" collapsed="false">
      <c r="AB8" s="107" t="s">
        <v>115</v>
      </c>
      <c r="AC8" s="81" t="n">
        <v>40</v>
      </c>
      <c r="AE8" s="107" t="s">
        <v>115</v>
      </c>
      <c r="AF8" s="81" t="n">
        <v>15</v>
      </c>
      <c r="AG8" s="81" t="n">
        <v>4</v>
      </c>
      <c r="AK8" s="81"/>
      <c r="AL8" s="107" t="s">
        <v>115</v>
      </c>
      <c r="AM8" s="81" t="n">
        <v>40</v>
      </c>
      <c r="AO8" s="54"/>
      <c r="AP8" s="54"/>
      <c r="AQ8" s="54"/>
      <c r="AR8" s="76" t="n">
        <v>5</v>
      </c>
      <c r="AS8" s="21" t="s">
        <v>112</v>
      </c>
      <c r="AT8" s="21" t="s">
        <v>113</v>
      </c>
      <c r="AU8" s="70" t="s">
        <v>114</v>
      </c>
      <c r="AV8" s="81"/>
      <c r="AW8" s="107" t="s">
        <v>116</v>
      </c>
      <c r="AX8" s="81" t="s">
        <v>92</v>
      </c>
      <c r="AZ8" s="81" t="n">
        <v>5</v>
      </c>
      <c r="BA8" s="81" t="n">
        <v>5</v>
      </c>
      <c r="BB8" s="81"/>
      <c r="BC8" s="107"/>
      <c r="BD8" s="81"/>
      <c r="BF8" s="81"/>
      <c r="BG8" s="107"/>
      <c r="BH8" s="81"/>
    </row>
    <row r="9" customFormat="false" ht="15" hidden="false" customHeight="false" outlineLevel="0" collapsed="false">
      <c r="AB9" s="107" t="s">
        <v>123</v>
      </c>
      <c r="AC9" s="81" t="n">
        <v>50</v>
      </c>
      <c r="AE9" s="107" t="s">
        <v>123</v>
      </c>
      <c r="AF9" s="81" t="n">
        <v>20</v>
      </c>
      <c r="AG9" s="81" t="n">
        <v>5</v>
      </c>
      <c r="AK9" s="81"/>
      <c r="AL9" s="107" t="s">
        <v>123</v>
      </c>
      <c r="AM9" s="81" t="n">
        <v>50</v>
      </c>
      <c r="AO9" s="54"/>
      <c r="AP9" s="54"/>
      <c r="AQ9" s="54"/>
      <c r="AR9" s="76" t="n">
        <v>6</v>
      </c>
      <c r="AS9" s="21" t="s">
        <v>119</v>
      </c>
      <c r="AT9" s="21" t="s">
        <v>120</v>
      </c>
      <c r="AU9" s="70" t="s">
        <v>121</v>
      </c>
      <c r="AV9" s="81"/>
      <c r="AW9" s="107" t="s">
        <v>124</v>
      </c>
      <c r="AX9" s="81" t="s">
        <v>122</v>
      </c>
      <c r="BB9" s="81"/>
      <c r="BC9" s="107"/>
      <c r="BD9" s="81"/>
      <c r="BF9" s="81"/>
      <c r="BG9" s="107"/>
      <c r="BH9" s="81"/>
    </row>
    <row r="10" customFormat="false" ht="15" hidden="false" customHeight="false" outlineLevel="0" collapsed="false">
      <c r="AB10" s="107" t="s">
        <v>130</v>
      </c>
      <c r="AC10" s="81" t="n">
        <v>65</v>
      </c>
      <c r="AE10" s="107" t="s">
        <v>130</v>
      </c>
      <c r="AF10" s="81" t="n">
        <v>20</v>
      </c>
      <c r="AG10" s="81" t="n">
        <v>6.3</v>
      </c>
      <c r="AK10" s="81"/>
      <c r="AL10" s="107" t="s">
        <v>130</v>
      </c>
      <c r="AM10" s="81" t="n">
        <v>65</v>
      </c>
      <c r="AO10" s="54"/>
      <c r="AP10" s="54"/>
      <c r="AQ10" s="54"/>
      <c r="AR10" s="76" t="n">
        <v>7</v>
      </c>
      <c r="AS10" s="21" t="s">
        <v>126</v>
      </c>
      <c r="AT10" s="21" t="s">
        <v>127</v>
      </c>
      <c r="AU10" s="70" t="s">
        <v>128</v>
      </c>
      <c r="AV10" s="81"/>
      <c r="AW10" s="107" t="s">
        <v>131</v>
      </c>
      <c r="AX10" s="81" t="s">
        <v>129</v>
      </c>
      <c r="BB10" s="81"/>
      <c r="BC10" s="107"/>
      <c r="BD10" s="81"/>
      <c r="BF10" s="81"/>
      <c r="BG10" s="107"/>
      <c r="BH10" s="81"/>
    </row>
    <row r="11" customFormat="false" ht="15" hidden="false" customHeight="false" outlineLevel="0" collapsed="false">
      <c r="AB11" s="107" t="s">
        <v>136</v>
      </c>
      <c r="AC11" s="81" t="n">
        <v>80</v>
      </c>
      <c r="AE11" s="107" t="s">
        <v>136</v>
      </c>
      <c r="AF11" s="81" t="n">
        <v>25</v>
      </c>
      <c r="AG11" s="81" t="n">
        <v>8</v>
      </c>
      <c r="AK11" s="81"/>
      <c r="AL11" s="107" t="s">
        <v>136</v>
      </c>
      <c r="AM11" s="81" t="n">
        <v>80</v>
      </c>
      <c r="AO11" s="54"/>
      <c r="AP11" s="54"/>
      <c r="AQ11" s="54"/>
      <c r="AR11" s="76" t="n">
        <v>8</v>
      </c>
      <c r="AS11" s="21" t="s">
        <v>134</v>
      </c>
      <c r="AT11" s="21"/>
      <c r="AU11" s="21"/>
      <c r="AV11" s="81"/>
      <c r="AW11" s="107"/>
      <c r="AX11" s="81"/>
      <c r="BB11" s="81"/>
      <c r="BC11" s="107"/>
      <c r="BD11" s="81"/>
      <c r="BF11" s="81"/>
      <c r="BG11" s="107"/>
      <c r="BH11" s="81"/>
    </row>
    <row r="12" customFormat="false" ht="15" hidden="false" customHeight="false" outlineLevel="0" collapsed="false">
      <c r="AB12" s="107" t="s">
        <v>138</v>
      </c>
      <c r="AC12" s="81" t="n">
        <v>100</v>
      </c>
      <c r="AE12" s="107" t="s">
        <v>138</v>
      </c>
      <c r="AF12" s="81" t="n">
        <v>25</v>
      </c>
      <c r="AG12" s="81" t="n">
        <v>10</v>
      </c>
      <c r="AK12" s="81"/>
      <c r="AL12" s="107" t="s">
        <v>138</v>
      </c>
      <c r="AM12" s="81" t="n">
        <v>100</v>
      </c>
      <c r="AO12" s="54"/>
      <c r="AP12" s="54"/>
      <c r="AQ12" s="54"/>
      <c r="AR12" s="21"/>
      <c r="AS12" s="54"/>
      <c r="AT12" s="54"/>
      <c r="AU12" s="54"/>
      <c r="AV12" s="81"/>
      <c r="AW12" s="107"/>
      <c r="AX12" s="81"/>
      <c r="BB12" s="81"/>
      <c r="BC12" s="107"/>
      <c r="BD12" s="81"/>
      <c r="BF12" s="81"/>
      <c r="BG12" s="107"/>
      <c r="BH12" s="81"/>
    </row>
    <row r="13" customFormat="false" ht="15" hidden="false" customHeight="false" outlineLevel="0" collapsed="false">
      <c r="AB13" s="107" t="s">
        <v>140</v>
      </c>
      <c r="AC13" s="81" t="n">
        <v>125</v>
      </c>
      <c r="AE13" s="107" t="s">
        <v>140</v>
      </c>
      <c r="AF13" s="81" t="n">
        <v>32</v>
      </c>
      <c r="AG13" s="81" t="n">
        <v>12.5</v>
      </c>
      <c r="AK13" s="81"/>
      <c r="AL13" s="107" t="s">
        <v>140</v>
      </c>
      <c r="AM13" s="81" t="n">
        <v>125</v>
      </c>
      <c r="AR13" s="1"/>
      <c r="AV13" s="81"/>
      <c r="AW13" s="107"/>
      <c r="AX13" s="81"/>
      <c r="BB13" s="81"/>
      <c r="BC13" s="107"/>
      <c r="BD13" s="81"/>
      <c r="BF13" s="81"/>
      <c r="BG13" s="107"/>
      <c r="BH13" s="81"/>
    </row>
    <row r="14" customFormat="false" ht="15" hidden="false" customHeight="false" outlineLevel="0" collapsed="false">
      <c r="AB14" s="107" t="s">
        <v>141</v>
      </c>
      <c r="AC14" s="81" t="n">
        <v>150</v>
      </c>
      <c r="AE14" s="107" t="s">
        <v>141</v>
      </c>
      <c r="AF14" s="81" t="n">
        <v>32</v>
      </c>
      <c r="AG14" s="81" t="n">
        <v>16</v>
      </c>
      <c r="AK14" s="81"/>
      <c r="AL14" s="107" t="s">
        <v>141</v>
      </c>
      <c r="AM14" s="81" t="n">
        <v>150</v>
      </c>
      <c r="AR14" s="1"/>
      <c r="AV14" s="81"/>
      <c r="AW14" s="107"/>
      <c r="AX14" s="81"/>
      <c r="BB14" s="81"/>
      <c r="BC14" s="107"/>
      <c r="BD14" s="81"/>
      <c r="BF14" s="81"/>
      <c r="BG14" s="107"/>
      <c r="BH14" s="81"/>
    </row>
    <row r="15" customFormat="false" ht="15" hidden="false" customHeight="false" outlineLevel="0" collapsed="false">
      <c r="AB15" s="107" t="s">
        <v>142</v>
      </c>
      <c r="AC15" s="81" t="n">
        <v>200</v>
      </c>
      <c r="AE15" s="107" t="s">
        <v>142</v>
      </c>
      <c r="AF15" s="81" t="n">
        <v>40</v>
      </c>
      <c r="AG15" s="81" t="n">
        <v>20</v>
      </c>
      <c r="AK15" s="81"/>
      <c r="AL15" s="107" t="s">
        <v>142</v>
      </c>
      <c r="AM15" s="81" t="n">
        <v>200</v>
      </c>
      <c r="AR15" s="1"/>
      <c r="AV15" s="81"/>
      <c r="AW15" s="107"/>
      <c r="AX15" s="81"/>
      <c r="BB15" s="81"/>
      <c r="BC15" s="107"/>
      <c r="BD15" s="81"/>
      <c r="BF15" s="81"/>
      <c r="BG15" s="107"/>
      <c r="BH15" s="81"/>
    </row>
    <row r="16" customFormat="false" ht="15" hidden="false" customHeight="false" outlineLevel="0" collapsed="false">
      <c r="AE16" s="107" t="s">
        <v>145</v>
      </c>
      <c r="AF16" s="81" t="n">
        <v>40</v>
      </c>
      <c r="AG16" s="81" t="n">
        <v>25</v>
      </c>
    </row>
    <row r="17" customFormat="false" ht="15" hidden="false" customHeight="false" outlineLevel="0" collapsed="false">
      <c r="AE17" s="107" t="s">
        <v>146</v>
      </c>
      <c r="AF17" s="81" t="n">
        <v>50</v>
      </c>
      <c r="AG17" s="81" t="n">
        <v>31.5</v>
      </c>
    </row>
    <row r="18" customFormat="false" ht="15" hidden="false" customHeight="false" outlineLevel="0" collapsed="false">
      <c r="AE18" s="107" t="s">
        <v>148</v>
      </c>
      <c r="AF18" s="81" t="n">
        <v>50</v>
      </c>
      <c r="AG18" s="81" t="n">
        <v>40</v>
      </c>
    </row>
    <row r="19" customFormat="false" ht="15" hidden="false" customHeight="false" outlineLevel="0" collapsed="false">
      <c r="AE19" s="107" t="s">
        <v>149</v>
      </c>
      <c r="AF19" s="81" t="n">
        <v>65</v>
      </c>
      <c r="AG19" s="81" t="n">
        <v>50</v>
      </c>
    </row>
    <row r="20" customFormat="false" ht="15" hidden="false" customHeight="false" outlineLevel="0" collapsed="false">
      <c r="AE20" s="107" t="s">
        <v>151</v>
      </c>
      <c r="AF20" s="81" t="n">
        <v>65</v>
      </c>
      <c r="AG20" s="81" t="n">
        <v>63</v>
      </c>
    </row>
    <row r="21" customFormat="false" ht="15" hidden="false" customHeight="false" outlineLevel="0" collapsed="false">
      <c r="AE21" s="107" t="s">
        <v>153</v>
      </c>
      <c r="AF21" s="81" t="n">
        <v>80</v>
      </c>
      <c r="AG21" s="81" t="n">
        <v>80</v>
      </c>
    </row>
    <row r="22" customFormat="false" ht="15" hidden="false" customHeight="false" outlineLevel="0" collapsed="false">
      <c r="AE22" s="107" t="s">
        <v>154</v>
      </c>
      <c r="AF22" s="81" t="n">
        <v>80</v>
      </c>
      <c r="AG22" s="81" t="n">
        <v>100</v>
      </c>
    </row>
    <row r="23" customFormat="false" ht="15" hidden="false" customHeight="false" outlineLevel="0" collapsed="false">
      <c r="AE23" s="107" t="s">
        <v>155</v>
      </c>
      <c r="AF23" s="81" t="n">
        <v>100</v>
      </c>
      <c r="AG23" s="81" t="n">
        <v>125</v>
      </c>
    </row>
    <row r="24" customFormat="false" ht="15" hidden="false" customHeight="false" outlineLevel="0" collapsed="false">
      <c r="AE24" s="107" t="s">
        <v>156</v>
      </c>
      <c r="AF24" s="81" t="n">
        <v>100</v>
      </c>
      <c r="AG24" s="81" t="n">
        <v>160</v>
      </c>
    </row>
    <row r="25" customFormat="false" ht="15" hidden="false" customHeight="false" outlineLevel="0" collapsed="false">
      <c r="AE25" s="107" t="s">
        <v>157</v>
      </c>
      <c r="AF25" s="81" t="n">
        <v>125</v>
      </c>
      <c r="AG25" s="81" t="n">
        <v>250</v>
      </c>
    </row>
    <row r="26" customFormat="false" ht="15" hidden="false" customHeight="false" outlineLevel="0" collapsed="false">
      <c r="AE26" s="107" t="s">
        <v>158</v>
      </c>
      <c r="AF26" s="81" t="n">
        <v>150</v>
      </c>
      <c r="AG26" s="81" t="n">
        <v>315</v>
      </c>
    </row>
  </sheetData>
  <mergeCells count="11">
    <mergeCell ref="Y2:Z2"/>
    <mergeCell ref="AB2:AC2"/>
    <mergeCell ref="AE2:AG2"/>
    <mergeCell ref="AI2:AJ2"/>
    <mergeCell ref="AL2:AM2"/>
    <mergeCell ref="AO2:AP2"/>
    <mergeCell ref="AR2:AU2"/>
    <mergeCell ref="AW2:AX2"/>
    <mergeCell ref="AZ2:BA2"/>
    <mergeCell ref="BC2:BD2"/>
    <mergeCell ref="BG2:BH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E2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B10" activeCellId="0" sqref="B10"/>
    </sheetView>
  </sheetViews>
  <sheetFormatPr defaultRowHeight="15" zeroHeight="false" outlineLevelRow="0" outlineLevelCol="0"/>
  <cols>
    <col collapsed="false" customWidth="true" hidden="false" outlineLevel="0" max="1" min="1" style="0" width="8.57"/>
    <col collapsed="false" customWidth="true" hidden="false" outlineLevel="0" max="2" min="2" style="0" width="8.42"/>
    <col collapsed="false" customWidth="true" hidden="false" outlineLevel="0" max="4" min="3" style="0" width="8.67"/>
    <col collapsed="false" customWidth="true" hidden="false" outlineLevel="0" max="5" min="5" style="0" width="4.86"/>
    <col collapsed="false" customWidth="true" hidden="false" outlineLevel="0" max="6" min="6" style="0" width="19.57"/>
    <col collapsed="false" customWidth="true" hidden="false" outlineLevel="0" max="8" min="7" style="0" width="8.67"/>
    <col collapsed="false" customWidth="true" hidden="false" outlineLevel="0" max="9" min="9" style="0" width="4.14"/>
    <col collapsed="false" customWidth="true" hidden="false" outlineLevel="0" max="10" min="10" style="0" width="6.01"/>
    <col collapsed="false" customWidth="true" hidden="false" outlineLevel="0" max="12" min="11" style="0" width="8"/>
    <col collapsed="false" customWidth="true" hidden="false" outlineLevel="0" max="13" min="13" style="0" width="4.71"/>
    <col collapsed="false" customWidth="true" hidden="false" outlineLevel="0" max="14" min="14" style="0" width="3.99"/>
    <col collapsed="false" customWidth="true" hidden="false" outlineLevel="0" max="15" min="15" style="0" width="5.57"/>
    <col collapsed="false" customWidth="true" hidden="false" outlineLevel="0" max="17" min="16" style="0" width="9.14"/>
    <col collapsed="false" customWidth="true" hidden="false" outlineLevel="0" max="18" min="18" style="0" width="3.57"/>
    <col collapsed="false" customWidth="true" hidden="false" outlineLevel="0" max="19" min="19" style="0" width="5.86"/>
    <col collapsed="false" customWidth="true" hidden="false" outlineLevel="0" max="21" min="20" style="0" width="9.14"/>
    <col collapsed="false" customWidth="true" hidden="false" outlineLevel="0" max="22" min="22" style="0" width="9.42"/>
    <col collapsed="false" customWidth="true" hidden="false" outlineLevel="0" max="34" min="23" style="0" width="9.14"/>
    <col collapsed="false" customWidth="true" hidden="false" outlineLevel="0" max="35" min="35" style="0" width="8.67"/>
    <col collapsed="false" customWidth="true" hidden="false" outlineLevel="0" max="36" min="36" style="0" width="9.14"/>
    <col collapsed="false" customWidth="true" hidden="false" outlineLevel="0" max="37" min="37" style="0" width="9.85"/>
    <col collapsed="false" customWidth="true" hidden="false" outlineLevel="0" max="38" min="38" style="0" width="15.71"/>
    <col collapsed="false" customWidth="true" hidden="false" outlineLevel="0" max="39" min="39" style="0" width="11.57"/>
    <col collapsed="false" customWidth="true" hidden="false" outlineLevel="0" max="40" min="40" style="0" width="23.71"/>
    <col collapsed="false" customWidth="true" hidden="false" outlineLevel="0" max="41" min="41" style="0" width="8.67"/>
    <col collapsed="false" customWidth="true" hidden="false" outlineLevel="0" max="42" min="42" style="0" width="9.14"/>
    <col collapsed="false" customWidth="true" hidden="false" outlineLevel="0" max="43" min="43" style="0" width="6.28"/>
    <col collapsed="false" customWidth="true" hidden="false" outlineLevel="0" max="44" min="44" style="0" width="15.29"/>
    <col collapsed="false" customWidth="true" hidden="false" outlineLevel="0" max="47" min="45" style="0" width="8.67"/>
    <col collapsed="false" customWidth="true" hidden="false" outlineLevel="0" max="48" min="48" style="0" width="10.58"/>
    <col collapsed="false" customWidth="true" hidden="false" outlineLevel="0" max="50" min="49" style="0" width="8.67"/>
    <col collapsed="false" customWidth="true" hidden="false" outlineLevel="0" max="51" min="51" style="0" width="4.86"/>
    <col collapsed="false" customWidth="true" hidden="false" outlineLevel="0" max="52" min="52" style="0" width="13.86"/>
    <col collapsed="false" customWidth="true" hidden="false" outlineLevel="0" max="53" min="53" style="0" width="3.29"/>
    <col collapsed="false" customWidth="true" hidden="false" outlineLevel="0" max="54" min="54" style="0" width="11.29"/>
    <col collapsed="false" customWidth="true" hidden="false" outlineLevel="0" max="56" min="55" style="0" width="6.28"/>
    <col collapsed="false" customWidth="true" hidden="false" outlineLevel="0" max="57" min="57" style="0" width="3.57"/>
    <col collapsed="false" customWidth="true" hidden="false" outlineLevel="0" max="58" min="58" style="0" width="8.29"/>
    <col collapsed="false" customWidth="true" hidden="false" outlineLevel="0" max="61" min="59" style="0" width="6.15"/>
    <col collapsed="false" customWidth="true" hidden="false" outlineLevel="0" max="62" min="62" style="0" width="3.29"/>
    <col collapsed="false" customWidth="true" hidden="false" outlineLevel="0" max="63" min="63" style="0" width="9.58"/>
    <col collapsed="false" customWidth="true" hidden="false" outlineLevel="0" max="64" min="64" style="0" width="6.15"/>
    <col collapsed="false" customWidth="true" hidden="false" outlineLevel="0" max="65" min="65" style="0" width="15.29"/>
    <col collapsed="false" customWidth="true" hidden="false" outlineLevel="0" max="66" min="66" style="0" width="3.29"/>
    <col collapsed="false" customWidth="true" hidden="false" outlineLevel="0" max="69" min="67" style="0" width="8.71"/>
    <col collapsed="false" customWidth="true" hidden="false" outlineLevel="0" max="70" min="70" style="0" width="3.29"/>
    <col collapsed="false" customWidth="true" hidden="false" outlineLevel="0" max="73" min="71" style="0" width="8.71"/>
    <col collapsed="false" customWidth="true" hidden="false" outlineLevel="0" max="74" min="74" style="0" width="3.29"/>
    <col collapsed="false" customWidth="true" hidden="false" outlineLevel="0" max="75" min="75" style="0" width="8.71"/>
    <col collapsed="false" customWidth="true" hidden="false" outlineLevel="0" max="77" min="76" style="0" width="6.28"/>
    <col collapsed="false" customWidth="true" hidden="false" outlineLevel="0" max="78" min="78" style="0" width="3.29"/>
    <col collapsed="false" customWidth="true" hidden="false" outlineLevel="0" max="79" min="79" style="0" width="8.71"/>
    <col collapsed="false" customWidth="true" hidden="false" outlineLevel="0" max="81" min="80" style="0" width="6.28"/>
    <col collapsed="false" customWidth="true" hidden="false" outlineLevel="0" max="82" min="82" style="0" width="3.29"/>
    <col collapsed="false" customWidth="true" hidden="false" outlineLevel="0" max="83" min="83" style="0" width="8.71"/>
    <col collapsed="false" customWidth="true" hidden="false" outlineLevel="0" max="84" min="84" style="0" width="6.28"/>
    <col collapsed="false" customWidth="true" hidden="false" outlineLevel="0" max="85" min="85" style="0" width="15"/>
    <col collapsed="false" customWidth="true" hidden="false" outlineLevel="0" max="86" min="86" style="0" width="3.29"/>
    <col collapsed="false" customWidth="true" hidden="false" outlineLevel="0" max="87" min="87" style="0" width="9.58"/>
    <col collapsed="false" customWidth="true" hidden="false" outlineLevel="0" max="88" min="88" style="0" width="6.15"/>
    <col collapsed="false" customWidth="true" hidden="false" outlineLevel="0" max="89" min="89" style="0" width="16.86"/>
    <col collapsed="false" customWidth="true" hidden="false" outlineLevel="0" max="90" min="90" style="0" width="8.57"/>
    <col collapsed="false" customWidth="true" hidden="false" outlineLevel="0" max="91" min="91" style="0" width="7"/>
    <col collapsed="false" customWidth="true" hidden="false" outlineLevel="0" max="92" min="92" style="0" width="25.14"/>
    <col collapsed="false" customWidth="true" hidden="false" outlineLevel="0" max="93" min="93" style="0" width="3.57"/>
    <col collapsed="false" customWidth="true" hidden="false" outlineLevel="0" max="94" min="94" style="0" width="8.57"/>
    <col collapsed="false" customWidth="true" hidden="false" outlineLevel="0" max="95" min="95" style="0" width="5.86"/>
    <col collapsed="false" customWidth="true" hidden="false" outlineLevel="0" max="96" min="96" style="0" width="16.14"/>
    <col collapsed="false" customWidth="true" hidden="false" outlineLevel="0" max="97" min="97" style="0" width="3.71"/>
    <col collapsed="false" customWidth="true" hidden="false" outlineLevel="0" max="98" min="98" style="0" width="3.29"/>
    <col collapsed="false" customWidth="true" hidden="false" outlineLevel="0" max="99" min="99" style="0" width="8.57"/>
    <col collapsed="false" customWidth="true" hidden="false" outlineLevel="0" max="100" min="100" style="0" width="6.28"/>
    <col collapsed="false" customWidth="false" hidden="false" outlineLevel="0" max="101" min="101" style="0" width="11.42"/>
    <col collapsed="false" customWidth="true" hidden="false" outlineLevel="0" max="102" min="102" style="0" width="3.57"/>
    <col collapsed="false" customWidth="true" hidden="false" outlineLevel="0" max="103" min="103" style="0" width="8.71"/>
    <col collapsed="false" customWidth="true" hidden="false" outlineLevel="0" max="104" min="104" style="0" width="6.28"/>
    <col collapsed="false" customWidth="false" hidden="false" outlineLevel="0" max="105" min="105" style="0" width="11.42"/>
    <col collapsed="false" customWidth="true" hidden="false" outlineLevel="0" max="106" min="106" style="0" width="3.57"/>
    <col collapsed="false" customWidth="true" hidden="false" outlineLevel="0" max="107" min="107" style="0" width="8.57"/>
    <col collapsed="false" customWidth="true" hidden="false" outlineLevel="0" max="108" min="108" style="0" width="6.28"/>
    <col collapsed="false" customWidth="true" hidden="false" outlineLevel="0" max="109" min="109" style="0" width="13.7"/>
    <col collapsed="false" customWidth="true" hidden="false" outlineLevel="0" max="1025" min="110" style="0" width="8.67"/>
  </cols>
  <sheetData>
    <row r="1" customFormat="false" ht="15.75" hidden="false" customHeight="false" outlineLevel="0" collapsed="false">
      <c r="AM1" s="92"/>
      <c r="AN1" s="92"/>
    </row>
    <row r="2" customFormat="false" ht="15.75" hidden="false" customHeight="false" outlineLevel="0" collapsed="false">
      <c r="B2" s="0" t="s">
        <v>3</v>
      </c>
      <c r="I2" s="29" t="s">
        <v>30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W2" s="25" t="s">
        <v>31</v>
      </c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J2" s="42" t="s">
        <v>168</v>
      </c>
      <c r="AK2" s="42"/>
      <c r="AL2" s="42"/>
      <c r="AM2" s="43"/>
      <c r="AN2" s="44"/>
      <c r="AP2" s="25" t="s">
        <v>169</v>
      </c>
      <c r="AQ2" s="25"/>
      <c r="AR2" s="25"/>
      <c r="AT2" s="25" t="s">
        <v>36</v>
      </c>
      <c r="AU2" s="25"/>
      <c r="AV2" s="25"/>
      <c r="AY2" s="5" t="s">
        <v>37</v>
      </c>
      <c r="AZ2" s="5"/>
      <c r="BA2" s="4"/>
      <c r="BB2" s="30"/>
      <c r="BC2" s="31" t="s">
        <v>38</v>
      </c>
      <c r="BD2" s="31"/>
      <c r="BE2" s="32"/>
      <c r="BF2" s="33"/>
      <c r="BG2" s="34" t="s">
        <v>39</v>
      </c>
      <c r="BH2" s="34"/>
      <c r="BI2" s="34"/>
      <c r="BJ2" s="4"/>
      <c r="BK2" s="30"/>
      <c r="BL2" s="31" t="s">
        <v>40</v>
      </c>
      <c r="BM2" s="31"/>
      <c r="BN2" s="4"/>
      <c r="BO2" s="30"/>
      <c r="BP2" s="30" t="s">
        <v>41</v>
      </c>
      <c r="BQ2" s="111"/>
      <c r="BR2" s="4"/>
      <c r="BS2" s="30"/>
      <c r="BT2" s="30" t="s">
        <v>42</v>
      </c>
      <c r="BU2" s="111"/>
      <c r="BV2" s="4"/>
      <c r="BW2" s="30"/>
      <c r="BX2" s="31" t="s">
        <v>43</v>
      </c>
      <c r="BY2" s="31"/>
      <c r="BZ2" s="4"/>
      <c r="CA2" s="30"/>
      <c r="CB2" s="31" t="s">
        <v>44</v>
      </c>
      <c r="CC2" s="31"/>
      <c r="CD2" s="4"/>
      <c r="CE2" s="30"/>
      <c r="CF2" s="31" t="s">
        <v>45</v>
      </c>
      <c r="CG2" s="31"/>
      <c r="CH2" s="4"/>
      <c r="CI2" s="30"/>
      <c r="CJ2" s="35" t="s">
        <v>46</v>
      </c>
      <c r="CK2" s="35"/>
      <c r="CL2" s="35"/>
      <c r="CM2" s="35"/>
      <c r="CN2" s="35"/>
      <c r="CO2" s="32"/>
      <c r="CP2" s="4" t="s">
        <v>47</v>
      </c>
      <c r="CQ2" s="4"/>
      <c r="CR2" s="4"/>
      <c r="CS2" s="36"/>
      <c r="CT2" s="4"/>
      <c r="CU2" s="4" t="s">
        <v>170</v>
      </c>
      <c r="CV2" s="4"/>
      <c r="CW2" s="4"/>
      <c r="CX2" s="32"/>
      <c r="CY2" s="4" t="s">
        <v>171</v>
      </c>
      <c r="CZ2" s="4"/>
      <c r="DA2" s="4"/>
      <c r="DB2" s="32"/>
      <c r="DC2" s="4" t="s">
        <v>172</v>
      </c>
      <c r="DD2" s="4"/>
      <c r="DE2" s="4"/>
    </row>
    <row r="3" customFormat="false" ht="15.75" hidden="false" customHeight="false" outlineLevel="0" collapsed="false">
      <c r="I3" s="38"/>
      <c r="J3" s="39" t="s">
        <v>48</v>
      </c>
      <c r="K3" s="40" t="s">
        <v>49</v>
      </c>
      <c r="L3" s="39" t="s">
        <v>50</v>
      </c>
      <c r="M3" s="41"/>
      <c r="N3" s="38"/>
      <c r="O3" s="39" t="s">
        <v>173</v>
      </c>
      <c r="P3" s="40" t="s">
        <v>49</v>
      </c>
      <c r="Q3" s="41" t="s">
        <v>50</v>
      </c>
      <c r="R3" s="39"/>
      <c r="S3" s="39" t="s">
        <v>174</v>
      </c>
      <c r="T3" s="40" t="s">
        <v>49</v>
      </c>
      <c r="U3" s="41" t="s">
        <v>50</v>
      </c>
      <c r="W3" s="38" t="s">
        <v>53</v>
      </c>
      <c r="X3" s="39" t="s">
        <v>54</v>
      </c>
      <c r="Y3" s="41" t="s">
        <v>55</v>
      </c>
      <c r="Z3" s="25" t="s">
        <v>53</v>
      </c>
      <c r="AA3" s="25"/>
      <c r="AB3" s="25"/>
      <c r="AC3" s="25" t="s">
        <v>54</v>
      </c>
      <c r="AD3" s="25"/>
      <c r="AE3" s="25"/>
      <c r="AF3" s="25" t="s">
        <v>55</v>
      </c>
      <c r="AG3" s="25"/>
      <c r="AH3" s="25"/>
      <c r="AJ3" s="65" t="s">
        <v>56</v>
      </c>
      <c r="AK3" s="26"/>
      <c r="AL3" s="112"/>
      <c r="AM3" s="26"/>
      <c r="AN3" s="58"/>
      <c r="AP3" s="51" t="n">
        <f aca="false">IF($F$11&lt;AQ3,1,0)</f>
        <v>0</v>
      </c>
      <c r="AQ3" s="54" t="n">
        <v>2</v>
      </c>
      <c r="AR3" s="58" t="s">
        <v>175</v>
      </c>
      <c r="AT3" s="60" t="n">
        <v>0.066</v>
      </c>
      <c r="AU3" s="68" t="n">
        <f aca="false">IF($B$4&lt;AT3,1,0)</f>
        <v>0</v>
      </c>
      <c r="AV3" s="62" t="s">
        <v>176</v>
      </c>
      <c r="AY3" s="47" t="s">
        <v>61</v>
      </c>
      <c r="AZ3" s="26" t="s">
        <v>62</v>
      </c>
      <c r="BA3" s="48"/>
      <c r="BB3" s="26" t="s">
        <v>85</v>
      </c>
      <c r="BC3" s="49" t="s">
        <v>61</v>
      </c>
      <c r="BD3" s="21" t="s">
        <v>63</v>
      </c>
      <c r="BE3" s="50"/>
      <c r="BF3" s="51" t="s">
        <v>31</v>
      </c>
      <c r="BG3" s="49" t="s">
        <v>61</v>
      </c>
      <c r="BH3" s="21" t="s">
        <v>63</v>
      </c>
      <c r="BI3" s="52" t="s">
        <v>64</v>
      </c>
      <c r="BJ3" s="48"/>
      <c r="BK3" s="26" t="s">
        <v>31</v>
      </c>
      <c r="BL3" s="53" t="s">
        <v>61</v>
      </c>
      <c r="BM3" s="26" t="s">
        <v>65</v>
      </c>
      <c r="BN3" s="48"/>
      <c r="BO3" s="64" t="s">
        <v>177</v>
      </c>
      <c r="BP3" s="113" t="s">
        <v>61</v>
      </c>
      <c r="BQ3" s="3" t="s">
        <v>63</v>
      </c>
      <c r="BR3" s="48"/>
      <c r="BS3" s="64" t="s">
        <v>98</v>
      </c>
      <c r="BT3" s="113" t="s">
        <v>61</v>
      </c>
      <c r="BU3" s="3" t="s">
        <v>63</v>
      </c>
      <c r="BV3" s="48"/>
      <c r="BW3" s="26" t="s">
        <v>178</v>
      </c>
      <c r="BX3" s="49" t="s">
        <v>61</v>
      </c>
      <c r="BY3" s="21" t="s">
        <v>63</v>
      </c>
      <c r="BZ3" s="48"/>
      <c r="CA3" s="26" t="s">
        <v>179</v>
      </c>
      <c r="CB3" s="49" t="s">
        <v>61</v>
      </c>
      <c r="CC3" s="21" t="s">
        <v>63</v>
      </c>
      <c r="CD3" s="48"/>
      <c r="CE3" s="26" t="s">
        <v>180</v>
      </c>
      <c r="CF3" s="49" t="s">
        <v>61</v>
      </c>
      <c r="CG3" s="21" t="s">
        <v>63</v>
      </c>
      <c r="CH3" s="48"/>
      <c r="CI3" s="26"/>
      <c r="CJ3" s="49" t="s">
        <v>61</v>
      </c>
      <c r="CK3" s="26" t="s">
        <v>66</v>
      </c>
      <c r="CL3" s="26"/>
      <c r="CM3" s="26"/>
      <c r="CN3" s="26" t="s">
        <v>66</v>
      </c>
      <c r="CO3" s="50"/>
      <c r="CP3" s="54"/>
      <c r="CQ3" s="53" t="s">
        <v>61</v>
      </c>
      <c r="CR3" s="26" t="s">
        <v>66</v>
      </c>
      <c r="CS3" s="50"/>
      <c r="CT3" s="48"/>
      <c r="CU3" s="26"/>
      <c r="CV3" s="49" t="s">
        <v>61</v>
      </c>
      <c r="CW3" s="21" t="s">
        <v>67</v>
      </c>
      <c r="CX3" s="50"/>
      <c r="CY3" s="26"/>
      <c r="CZ3" s="49" t="s">
        <v>61</v>
      </c>
      <c r="DA3" s="21" t="s">
        <v>68</v>
      </c>
      <c r="DB3" s="50"/>
      <c r="DC3" s="26"/>
      <c r="DD3" s="49" t="s">
        <v>61</v>
      </c>
      <c r="DE3" s="20" t="s">
        <v>69</v>
      </c>
    </row>
    <row r="4" customFormat="false" ht="15" hidden="false" customHeight="false" outlineLevel="0" collapsed="false">
      <c r="A4" s="55" t="s">
        <v>70</v>
      </c>
      <c r="B4" s="71" t="n">
        <f aca="false">IF('ОЛ(4)'!D37=1,'ОЛ(4)'!C17,0)</f>
        <v>0.4</v>
      </c>
      <c r="C4" s="0" t="s">
        <v>71</v>
      </c>
      <c r="E4" s="0" t="s">
        <v>72</v>
      </c>
      <c r="F4" s="114" t="n">
        <f aca="false">B4*1000/(B5-B6)</f>
        <v>10</v>
      </c>
      <c r="I4" s="51" t="n">
        <f aca="false">IF($B$11&lt;12,(IF((L4&gt;4)*AND(L4&lt;16),2,0)),IF((L4&gt;4)*AND(L4&lt;20),2,0))</f>
        <v>0</v>
      </c>
      <c r="J4" s="54" t="n">
        <v>15</v>
      </c>
      <c r="K4" s="54" t="n">
        <f aca="false">1/POWER(1.14+2*LOG10((J4/1000)/($K$21/1000)),2)</f>
        <v>0.0596558274221208</v>
      </c>
      <c r="L4" s="54" t="n">
        <f aca="false">0.00638*K4*POWER($F$4,2)/(POWER(J4/1000,5)*$K$20)</f>
        <v>52296.2384431021</v>
      </c>
      <c r="M4" s="58"/>
      <c r="N4" s="51" t="n">
        <f aca="false">IF((Q4&gt;4)*AND(Q4&lt;16),1,0)</f>
        <v>0</v>
      </c>
      <c r="O4" s="54" t="n">
        <v>15</v>
      </c>
      <c r="P4" s="54" t="n">
        <f aca="false">1/POWER(1.14+2*LOG10((O4/1000)/($K$21/1000)),2)</f>
        <v>0.0596558274221208</v>
      </c>
      <c r="Q4" s="58" t="n">
        <f aca="false">0.00638*P4*POWER($F$11,2)/(POWER(O4/1000,5)*$K$20)</f>
        <v>3346959.26035854</v>
      </c>
      <c r="R4" s="54" t="n">
        <f aca="false">N4</f>
        <v>0</v>
      </c>
      <c r="S4" s="54" t="n">
        <v>15</v>
      </c>
      <c r="T4" s="54"/>
      <c r="U4" s="58"/>
      <c r="W4" s="59" t="s">
        <v>73</v>
      </c>
      <c r="X4" s="54" t="n">
        <f aca="false">IF(B11&gt;12,3,1.8)</f>
        <v>3</v>
      </c>
      <c r="Y4" s="54"/>
      <c r="Z4" s="60" t="n">
        <f aca="false">IF(AB4&gt;$X$5,1,0)</f>
        <v>0</v>
      </c>
      <c r="AA4" s="61" t="n">
        <v>15</v>
      </c>
      <c r="AB4" s="62" t="n">
        <v>1.6</v>
      </c>
      <c r="AC4" s="60" t="n">
        <f aca="false">IF(AE4&gt;$X$5,1,0)</f>
        <v>0</v>
      </c>
      <c r="AD4" s="61" t="n">
        <v>15</v>
      </c>
      <c r="AE4" s="62" t="n">
        <v>1.6</v>
      </c>
      <c r="AF4" s="54" t="n">
        <f aca="false">IF(AH4&gt;$X$5,1,0)</f>
        <v>0</v>
      </c>
      <c r="AG4" s="63" t="n">
        <v>15</v>
      </c>
      <c r="AH4" s="58" t="n">
        <v>1.6</v>
      </c>
      <c r="AJ4" s="50" t="n">
        <v>1.5</v>
      </c>
      <c r="AK4" s="54" t="n">
        <f aca="false">IF($F$17&lt;AJ4,1,0)</f>
        <v>0</v>
      </c>
      <c r="AL4" s="58" t="s">
        <v>181</v>
      </c>
      <c r="AM4" s="54" t="n">
        <f aca="false">IF($F$17&lt;AJ4,1,0)</f>
        <v>0</v>
      </c>
      <c r="AN4" s="115" t="s">
        <v>182</v>
      </c>
      <c r="AP4" s="51" t="n">
        <f aca="false">IF($F$11&lt;AQ4,1,0)</f>
        <v>0</v>
      </c>
      <c r="AQ4" s="54" t="n">
        <v>3</v>
      </c>
      <c r="AR4" s="58" t="s">
        <v>183</v>
      </c>
      <c r="AT4" s="51" t="n">
        <v>0.375</v>
      </c>
      <c r="AU4" s="54" t="n">
        <f aca="false">IF($B$4&lt;AT4,1,0)</f>
        <v>0</v>
      </c>
      <c r="AV4" s="58" t="s">
        <v>184</v>
      </c>
      <c r="AY4" s="47" t="s">
        <v>78</v>
      </c>
      <c r="AZ4" s="26" t="s">
        <v>185</v>
      </c>
      <c r="BA4" s="48"/>
      <c r="BB4" s="26" t="n">
        <f aca="false">IF($F$5=BD4,1,0)</f>
        <v>0</v>
      </c>
      <c r="BC4" s="53" t="s">
        <v>80</v>
      </c>
      <c r="BD4" s="26" t="n">
        <v>15</v>
      </c>
      <c r="BE4" s="50"/>
      <c r="BF4" s="69" t="n">
        <f aca="false">IF($F$7=BI4,1,0)</f>
        <v>0</v>
      </c>
      <c r="BG4" s="53" t="s">
        <v>80</v>
      </c>
      <c r="BH4" s="26" t="n">
        <v>15</v>
      </c>
      <c r="BI4" s="52" t="n">
        <v>0.63</v>
      </c>
      <c r="BJ4" s="48"/>
      <c r="BK4" s="26" t="n">
        <f aca="false">IF($B$14=BM4,1,0)</f>
        <v>0</v>
      </c>
      <c r="BL4" s="53" t="s">
        <v>78</v>
      </c>
      <c r="BM4" s="26" t="s">
        <v>53</v>
      </c>
      <c r="BN4" s="48"/>
      <c r="BO4" s="69" t="n">
        <f aca="false">IF($F$5=BQ4,1,0)</f>
        <v>0</v>
      </c>
      <c r="BP4" s="53" t="s">
        <v>81</v>
      </c>
      <c r="BQ4" s="52" t="n">
        <v>15</v>
      </c>
      <c r="BR4" s="48"/>
      <c r="BS4" s="69" t="n">
        <f aca="false">IF($F$5=BU4,1,0)</f>
        <v>0</v>
      </c>
      <c r="BT4" s="53" t="s">
        <v>81</v>
      </c>
      <c r="BU4" s="52" t="n">
        <v>15</v>
      </c>
      <c r="BV4" s="48"/>
      <c r="BW4" s="26" t="n">
        <f aca="false">IF($F$12=BY4,1,0)</f>
        <v>0</v>
      </c>
      <c r="BX4" s="53" t="s">
        <v>80</v>
      </c>
      <c r="BY4" s="26" t="n">
        <v>15</v>
      </c>
      <c r="BZ4" s="48"/>
      <c r="CA4" s="26" t="n">
        <f aca="false">IF($F$16=CC4,1,0)</f>
        <v>0</v>
      </c>
      <c r="CB4" s="53" t="s">
        <v>80</v>
      </c>
      <c r="CC4" s="26" t="n">
        <v>15</v>
      </c>
      <c r="CD4" s="48"/>
      <c r="CE4" s="26" t="e">
        <f aca="false">IF($E$13=CG4,1,0)</f>
        <v>#N/A</v>
      </c>
      <c r="CF4" s="53" t="s">
        <v>78</v>
      </c>
      <c r="CG4" s="58" t="s">
        <v>175</v>
      </c>
      <c r="CH4" s="48"/>
      <c r="CI4" s="26" t="e">
        <f aca="false">IF($E$18=CK4,1,0)</f>
        <v>#VALUE!</v>
      </c>
      <c r="CJ4" s="21" t="n">
        <v>1</v>
      </c>
      <c r="CK4" s="54" t="s">
        <v>181</v>
      </c>
      <c r="CL4" s="21" t="e">
        <f aca="false">IF($E$18=CN4,1,0)</f>
        <v>#VALUE!</v>
      </c>
      <c r="CM4" s="21" t="n">
        <v>1</v>
      </c>
      <c r="CN4" s="115" t="s">
        <v>182</v>
      </c>
      <c r="CO4" s="50"/>
      <c r="CQ4" s="1"/>
      <c r="CS4" s="50"/>
      <c r="CT4" s="48"/>
      <c r="CU4" s="26"/>
      <c r="CV4" s="53"/>
      <c r="CX4" s="50"/>
      <c r="CY4" s="26" t="n">
        <f aca="false">IF($B$16=DA4,1,0)</f>
        <v>0</v>
      </c>
      <c r="CZ4" s="53" t="s">
        <v>78</v>
      </c>
      <c r="DA4" s="26" t="s">
        <v>83</v>
      </c>
      <c r="DB4" s="50"/>
      <c r="DC4" s="26" t="n">
        <f aca="false">IF($B$17=DE4,1,0)</f>
        <v>0</v>
      </c>
      <c r="DD4" s="53" t="s">
        <v>78</v>
      </c>
      <c r="DE4" s="58" t="s">
        <v>84</v>
      </c>
    </row>
    <row r="5" customFormat="false" ht="15" hidden="false" customHeight="false" outlineLevel="0" collapsed="false">
      <c r="A5" s="55" t="s">
        <v>85</v>
      </c>
      <c r="B5" s="71" t="n">
        <v>70</v>
      </c>
      <c r="C5" s="72" t="s">
        <v>86</v>
      </c>
      <c r="E5" s="0" t="s">
        <v>48</v>
      </c>
      <c r="F5" s="0" t="n">
        <f aca="false">VLOOKUP(2,I4:L17,2,0)</f>
        <v>65</v>
      </c>
      <c r="I5" s="51" t="n">
        <f aca="false">IF($B$11&lt;12,(IF((L5&gt;4)*AND(L5&lt;16),2,0)),IF((L5&gt;4)*AND(L5&lt;20),2,0))</f>
        <v>0</v>
      </c>
      <c r="J5" s="54" t="n">
        <v>20</v>
      </c>
      <c r="K5" s="54" t="n">
        <f aca="false">1/POWER(1.14+2*LOG10((J5/1000)/($K$21/1000)),2)</f>
        <v>0.0529902997834844</v>
      </c>
      <c r="L5" s="54" t="n">
        <f aca="false">0.00638*K5*POWER($F$4,2)/(POWER(J5/1000,5)*$K$20)</f>
        <v>11023.5194275169</v>
      </c>
      <c r="M5" s="58"/>
      <c r="N5" s="51" t="n">
        <f aca="false">IF((Q5&gt;4)*AND(Q5&lt;16),1,0)</f>
        <v>0</v>
      </c>
      <c r="O5" s="54" t="n">
        <v>20</v>
      </c>
      <c r="P5" s="54" t="n">
        <f aca="false">1/POWER(1.14+2*LOG10((O5/1000)/($K$21/1000)),2)</f>
        <v>0.0529902997834844</v>
      </c>
      <c r="Q5" s="58" t="n">
        <f aca="false">0.00638*P5*POWER($F$11,2)/(POWER(O5/1000,5)*$K$20)</f>
        <v>705505.243361082</v>
      </c>
      <c r="R5" s="54" t="n">
        <f aca="false">N5</f>
        <v>0</v>
      </c>
      <c r="S5" s="54" t="n">
        <v>15</v>
      </c>
      <c r="T5" s="54"/>
      <c r="U5" s="58"/>
      <c r="W5" s="59" t="s">
        <v>87</v>
      </c>
      <c r="X5" s="74" t="n">
        <f aca="false">F4/SQRT(0.1*X4)</f>
        <v>18.2574185835055</v>
      </c>
      <c r="Y5" s="74"/>
      <c r="Z5" s="51" t="n">
        <f aca="false">IF(AB5&gt;$X$5,1,0)</f>
        <v>0</v>
      </c>
      <c r="AA5" s="63" t="n">
        <v>15</v>
      </c>
      <c r="AB5" s="58" t="n">
        <v>2.5</v>
      </c>
      <c r="AC5" s="51" t="n">
        <f aca="false">IF(AE5&gt;$X$5,1,0)</f>
        <v>0</v>
      </c>
      <c r="AD5" s="63" t="n">
        <v>15</v>
      </c>
      <c r="AE5" s="58" t="n">
        <v>2.5</v>
      </c>
      <c r="AF5" s="54" t="n">
        <f aca="false">IF(AH5&gt;$X$5,1,0)</f>
        <v>0</v>
      </c>
      <c r="AG5" s="63" t="n">
        <v>15</v>
      </c>
      <c r="AH5" s="58" t="n">
        <v>2.5</v>
      </c>
      <c r="AJ5" s="50" t="n">
        <v>4</v>
      </c>
      <c r="AK5" s="54" t="n">
        <f aca="false">IF($F$17&lt;AJ5,1,0)</f>
        <v>1</v>
      </c>
      <c r="AL5" s="58" t="s">
        <v>186</v>
      </c>
      <c r="AM5" s="54" t="n">
        <f aca="false">IF($F$17&lt;AJ5,1,0)</f>
        <v>1</v>
      </c>
      <c r="AN5" s="115" t="s">
        <v>187</v>
      </c>
      <c r="AP5" s="51" t="n">
        <f aca="false">IF($F$11&lt;AQ5,1,0)</f>
        <v>0</v>
      </c>
      <c r="AQ5" s="54" t="n">
        <v>5</v>
      </c>
      <c r="AR5" s="58" t="s">
        <v>188</v>
      </c>
      <c r="AT5" s="51" t="n">
        <v>0.61</v>
      </c>
      <c r="AU5" s="54" t="n">
        <f aca="false">IF($B$4&lt;AT5,1,0)</f>
        <v>1</v>
      </c>
      <c r="AV5" s="58" t="s">
        <v>189</v>
      </c>
      <c r="AY5" s="47" t="s">
        <v>94</v>
      </c>
      <c r="AZ5" s="26" t="s">
        <v>190</v>
      </c>
      <c r="BA5" s="48"/>
      <c r="BB5" s="26" t="n">
        <f aca="false">IF($F$5=BD5,1,0)</f>
        <v>0</v>
      </c>
      <c r="BC5" s="53" t="s">
        <v>96</v>
      </c>
      <c r="BD5" s="26" t="n">
        <v>20</v>
      </c>
      <c r="BE5" s="50"/>
      <c r="BF5" s="69" t="n">
        <f aca="false">IF($F$7=BI5,1,0)</f>
        <v>0</v>
      </c>
      <c r="BG5" s="53" t="s">
        <v>96</v>
      </c>
      <c r="BH5" s="26" t="n">
        <v>15</v>
      </c>
      <c r="BI5" s="52" t="n">
        <v>1.25</v>
      </c>
      <c r="BJ5" s="48"/>
      <c r="BK5" s="26" t="n">
        <f aca="false">IF($B$14=BM5,1,0)</f>
        <v>0</v>
      </c>
      <c r="BL5" s="53" t="s">
        <v>94</v>
      </c>
      <c r="BM5" s="26" t="s">
        <v>55</v>
      </c>
      <c r="BN5" s="48"/>
      <c r="BO5" s="69" t="n">
        <f aca="false">IF($F$5=BQ5,1,0)</f>
        <v>0</v>
      </c>
      <c r="BP5" s="53" t="s">
        <v>81</v>
      </c>
      <c r="BQ5" s="52" t="n">
        <v>20</v>
      </c>
      <c r="BR5" s="48"/>
      <c r="BS5" s="69" t="n">
        <f aca="false">IF($F$5=BU5,1,0)</f>
        <v>0</v>
      </c>
      <c r="BT5" s="53" t="s">
        <v>81</v>
      </c>
      <c r="BU5" s="52" t="n">
        <v>20</v>
      </c>
      <c r="BV5" s="48"/>
      <c r="BW5" s="26" t="n">
        <f aca="false">IF($F$12=BY5,1,0)</f>
        <v>0</v>
      </c>
      <c r="BX5" s="53" t="s">
        <v>96</v>
      </c>
      <c r="BY5" s="26" t="n">
        <v>20</v>
      </c>
      <c r="BZ5" s="48"/>
      <c r="CA5" s="26" t="n">
        <f aca="false">IF($F$16=CC5,1,0)</f>
        <v>0</v>
      </c>
      <c r="CB5" s="53" t="s">
        <v>96</v>
      </c>
      <c r="CC5" s="26" t="n">
        <v>20</v>
      </c>
      <c r="CD5" s="48"/>
      <c r="CE5" s="26" t="e">
        <f aca="false">IF($E$13=CG5,1,0)</f>
        <v>#N/A</v>
      </c>
      <c r="CF5" s="53" t="s">
        <v>94</v>
      </c>
      <c r="CG5" s="58" t="s">
        <v>183</v>
      </c>
      <c r="CH5" s="48"/>
      <c r="CI5" s="26" t="e">
        <f aca="false">IF($E$18=CK5,1,0)</f>
        <v>#VALUE!</v>
      </c>
      <c r="CJ5" s="21"/>
      <c r="CK5" s="54"/>
      <c r="CL5" s="21" t="e">
        <f aca="false">IF($E$18=CN5,1,0)</f>
        <v>#VALUE!</v>
      </c>
      <c r="CM5" s="21" t="n">
        <v>2</v>
      </c>
      <c r="CN5" s="115" t="s">
        <v>187</v>
      </c>
      <c r="CO5" s="50"/>
      <c r="CP5" s="54" t="n">
        <f aca="false">IF($B$15=CR5,1,0)</f>
        <v>0</v>
      </c>
      <c r="CQ5" s="21" t="n">
        <v>1</v>
      </c>
      <c r="CR5" s="21" t="s">
        <v>191</v>
      </c>
      <c r="CS5" s="50"/>
      <c r="CT5" s="48"/>
      <c r="CU5" s="26" t="n">
        <f aca="false">IF($E$9=CW5,1,0)</f>
        <v>0</v>
      </c>
      <c r="CV5" s="53" t="s">
        <v>80</v>
      </c>
      <c r="CW5" s="58" t="s">
        <v>176</v>
      </c>
      <c r="CX5" s="50"/>
      <c r="CY5" s="26" t="n">
        <f aca="false">IF($B$16=DA5,1,0)</f>
        <v>0</v>
      </c>
      <c r="CZ5" s="53" t="s">
        <v>94</v>
      </c>
      <c r="DA5" s="26" t="s">
        <v>55</v>
      </c>
      <c r="DB5" s="50"/>
      <c r="DC5" s="26" t="n">
        <f aca="false">IF($B$17=DE5,1,0)</f>
        <v>0</v>
      </c>
      <c r="DD5" s="53" t="s">
        <v>81</v>
      </c>
      <c r="DE5" s="52" t="s">
        <v>97</v>
      </c>
    </row>
    <row r="6" customFormat="false" ht="15" hidden="false" customHeight="false" outlineLevel="0" collapsed="false">
      <c r="A6" s="55" t="s">
        <v>98</v>
      </c>
      <c r="B6" s="71" t="n">
        <v>30</v>
      </c>
      <c r="C6" s="72" t="s">
        <v>86</v>
      </c>
      <c r="E6" s="0" t="s">
        <v>99</v>
      </c>
      <c r="F6" s="0" t="n">
        <f aca="false">VLOOKUP(1,IF(B14="IMI Hydronic",Z4:AB21,IF(B14="Siemens",AC4:AE22,AF4:AH16)),2,0)</f>
        <v>40</v>
      </c>
      <c r="I6" s="51" t="n">
        <f aca="false">IF($B$11&lt;12,(IF((L6&gt;4)*AND(L6&lt;16),2,0)),IF((L6&gt;4)*AND(L6&lt;20),2,0))</f>
        <v>0</v>
      </c>
      <c r="J6" s="54" t="n">
        <v>25</v>
      </c>
      <c r="K6" s="54" t="n">
        <f aca="false">1/POWER(1.14+2*LOG10((J6/1000)/($K$21/1000)),2)</f>
        <v>0.0485604272927566</v>
      </c>
      <c r="L6" s="54" t="n">
        <f aca="false">0.00638*K6*POWER($F$4,2)/(POWER(J6/1000,5)*$K$20)</f>
        <v>3310.21597198303</v>
      </c>
      <c r="M6" s="58"/>
      <c r="N6" s="51" t="n">
        <f aca="false">IF((Q6&gt;4)*AND(Q6&lt;16),1,0)</f>
        <v>0</v>
      </c>
      <c r="O6" s="54" t="n">
        <v>25</v>
      </c>
      <c r="P6" s="54" t="n">
        <f aca="false">1/POWER(1.14+2*LOG10((O6/1000)/($K$21/1000)),2)</f>
        <v>0.0485604272927566</v>
      </c>
      <c r="Q6" s="58" t="n">
        <f aca="false">0.00638*P6*POWER($F$11,2)/(POWER(O6/1000,5)*$K$20)</f>
        <v>211853.822206914</v>
      </c>
      <c r="R6" s="54" t="n">
        <f aca="false">N6</f>
        <v>0</v>
      </c>
      <c r="S6" s="54" t="n">
        <v>20</v>
      </c>
      <c r="T6" s="54"/>
      <c r="U6" s="58"/>
      <c r="W6" s="51"/>
      <c r="X6" s="54"/>
      <c r="Y6" s="54"/>
      <c r="Z6" s="51" t="n">
        <f aca="false">IF(AB6&gt;$X$5,1,0)</f>
        <v>0</v>
      </c>
      <c r="AA6" s="63" t="n">
        <v>15</v>
      </c>
      <c r="AB6" s="58" t="n">
        <v>4</v>
      </c>
      <c r="AC6" s="51" t="n">
        <f aca="false">IF(AE6&gt;$X$5,1,0)</f>
        <v>0</v>
      </c>
      <c r="AD6" s="63" t="n">
        <v>15</v>
      </c>
      <c r="AE6" s="58" t="n">
        <v>4</v>
      </c>
      <c r="AF6" s="54" t="n">
        <f aca="false">IF(AH6&gt;$X$5,1,0)</f>
        <v>0</v>
      </c>
      <c r="AG6" s="63" t="n">
        <v>15</v>
      </c>
      <c r="AH6" s="58" t="n">
        <v>4</v>
      </c>
      <c r="AJ6" s="50" t="n">
        <v>6</v>
      </c>
      <c r="AK6" s="54" t="n">
        <f aca="false">IF($F$17&lt;AJ6,1,0)</f>
        <v>1</v>
      </c>
      <c r="AL6" s="58" t="s">
        <v>186</v>
      </c>
      <c r="AM6" s="54" t="n">
        <f aca="false">IF($F$17&lt;AJ6,1,0)</f>
        <v>1</v>
      </c>
      <c r="AN6" s="115" t="s">
        <v>192</v>
      </c>
      <c r="AP6" s="51" t="n">
        <f aca="false">IF($F$11&lt;AQ6,1,0)</f>
        <v>0</v>
      </c>
      <c r="AQ6" s="54" t="n">
        <v>8</v>
      </c>
      <c r="AR6" s="58" t="s">
        <v>193</v>
      </c>
      <c r="AT6" s="51" t="n">
        <v>0.835</v>
      </c>
      <c r="AU6" s="54" t="n">
        <f aca="false">IF($B$4&lt;AT6,1,0)</f>
        <v>1</v>
      </c>
      <c r="AV6" s="58" t="s">
        <v>194</v>
      </c>
      <c r="AY6" s="47"/>
      <c r="AZ6" s="26"/>
      <c r="BA6" s="48"/>
      <c r="BB6" s="26" t="n">
        <f aca="false">IF($F$5=BD6,1,0)</f>
        <v>0</v>
      </c>
      <c r="BC6" s="53" t="s">
        <v>103</v>
      </c>
      <c r="BD6" s="26" t="n">
        <v>25</v>
      </c>
      <c r="BE6" s="50"/>
      <c r="BF6" s="69" t="n">
        <f aca="false">IF($F$7=BI6,1,0)</f>
        <v>0</v>
      </c>
      <c r="BG6" s="53" t="s">
        <v>103</v>
      </c>
      <c r="BH6" s="26" t="n">
        <v>15</v>
      </c>
      <c r="BI6" s="52" t="n">
        <v>1.6</v>
      </c>
      <c r="BJ6" s="48"/>
      <c r="BK6" s="26" t="n">
        <f aca="false">IF($B$14=BM6,1,0)</f>
        <v>0</v>
      </c>
      <c r="BL6" s="53" t="s">
        <v>104</v>
      </c>
      <c r="BM6" s="26" t="s">
        <v>54</v>
      </c>
      <c r="BN6" s="48"/>
      <c r="BO6" s="69" t="n">
        <f aca="false">IF($F$5=BQ6,1,0)</f>
        <v>0</v>
      </c>
      <c r="BP6" s="53" t="s">
        <v>81</v>
      </c>
      <c r="BQ6" s="52" t="n">
        <v>25</v>
      </c>
      <c r="BR6" s="48"/>
      <c r="BS6" s="69" t="n">
        <f aca="false">IF($F$5=BU6,1,0)</f>
        <v>0</v>
      </c>
      <c r="BT6" s="53" t="s">
        <v>81</v>
      </c>
      <c r="BU6" s="52" t="n">
        <v>25</v>
      </c>
      <c r="BV6" s="48"/>
      <c r="BW6" s="26" t="n">
        <f aca="false">IF($F$12=BY6,1,0)</f>
        <v>0</v>
      </c>
      <c r="BX6" s="53" t="s">
        <v>103</v>
      </c>
      <c r="BY6" s="26" t="n">
        <v>25</v>
      </c>
      <c r="BZ6" s="48"/>
      <c r="CA6" s="26" t="n">
        <f aca="false">IF($F$16=CC6,1,0)</f>
        <v>0</v>
      </c>
      <c r="CB6" s="53" t="s">
        <v>103</v>
      </c>
      <c r="CC6" s="26" t="n">
        <v>25</v>
      </c>
      <c r="CD6" s="48"/>
      <c r="CE6" s="26" t="e">
        <f aca="false">IF($E$13=CG6,1,0)</f>
        <v>#N/A</v>
      </c>
      <c r="CF6" s="53" t="s">
        <v>104</v>
      </c>
      <c r="CG6" s="58" t="s">
        <v>188</v>
      </c>
      <c r="CH6" s="48"/>
      <c r="CI6" s="26" t="e">
        <f aca="false">IF($E$18=CK6,1,0)</f>
        <v>#VALUE!</v>
      </c>
      <c r="CJ6" s="21" t="n">
        <v>3</v>
      </c>
      <c r="CK6" s="54" t="s">
        <v>186</v>
      </c>
      <c r="CL6" s="21" t="e">
        <f aca="false">IF($E$18=CN6,1,0)</f>
        <v>#VALUE!</v>
      </c>
      <c r="CM6" s="21" t="n">
        <v>3</v>
      </c>
      <c r="CN6" s="115" t="s">
        <v>192</v>
      </c>
      <c r="CO6" s="50"/>
      <c r="CP6" s="54" t="n">
        <f aca="false">IF($B$15=CR6,1,0)</f>
        <v>0</v>
      </c>
      <c r="CQ6" s="21" t="n">
        <v>2</v>
      </c>
      <c r="CR6" s="76" t="s">
        <v>195</v>
      </c>
      <c r="CS6" s="50"/>
      <c r="CT6" s="48"/>
      <c r="CU6" s="26" t="n">
        <f aca="false">IF($E$9=CW6,1,0)</f>
        <v>0</v>
      </c>
      <c r="CV6" s="53" t="s">
        <v>96</v>
      </c>
      <c r="CW6" s="58" t="s">
        <v>196</v>
      </c>
      <c r="CX6" s="50"/>
      <c r="CY6" s="26" t="n">
        <f aca="false">IF($B$16=DA6,1,0)</f>
        <v>0</v>
      </c>
      <c r="CZ6" s="53" t="s">
        <v>104</v>
      </c>
      <c r="DA6" s="76" t="s">
        <v>54</v>
      </c>
      <c r="DB6" s="50"/>
      <c r="DC6" s="26"/>
      <c r="DD6" s="53"/>
      <c r="DE6" s="52"/>
    </row>
    <row r="7" customFormat="false" ht="15" hidden="false" customHeight="false" outlineLevel="0" collapsed="false">
      <c r="A7" s="55" t="s">
        <v>178</v>
      </c>
      <c r="B7" s="71" t="n">
        <f aca="false">IF(('ОЛ(4)'!N17-B8)&lt;5,B8+5,'ОЛ(4)'!N17)</f>
        <v>5</v>
      </c>
      <c r="C7" s="72" t="s">
        <v>86</v>
      </c>
      <c r="E7" s="0" t="s">
        <v>106</v>
      </c>
      <c r="F7" s="0" t="n">
        <f aca="false">VLOOKUP(1,IF(B14="IMI Hydronic",Z4:AB21,IF(B14="Siemens",AC4:AE22,AF4:AH16)),3,0)</f>
        <v>25</v>
      </c>
      <c r="I7" s="51" t="n">
        <f aca="false">IF($B$11&lt;12,(IF((L7&gt;4)*AND(L7&lt;16),2,0)),IF((L7&gt;4)*AND(L7&lt;20),2,0))</f>
        <v>0</v>
      </c>
      <c r="J7" s="54" t="n">
        <v>32</v>
      </c>
      <c r="K7" s="54" t="n">
        <f aca="false">1/POWER(1.14+2*LOG10((J7/1000)/($K$21/1000)),2)</f>
        <v>0.0442773220047029</v>
      </c>
      <c r="L7" s="54" t="n">
        <f aca="false">0.00638*K7*POWER($F$4,2)/(POWER(J7/1000,5)*$K$20)</f>
        <v>878.426295756461</v>
      </c>
      <c r="M7" s="58"/>
      <c r="N7" s="51" t="n">
        <f aca="false">IF((Q7&gt;4)*AND(Q7&lt;16),1,0)</f>
        <v>0</v>
      </c>
      <c r="O7" s="54" t="n">
        <v>32</v>
      </c>
      <c r="P7" s="54" t="n">
        <f aca="false">1/POWER(1.14+2*LOG10((O7/1000)/($K$21/1000)),2)</f>
        <v>0.0442773220047029</v>
      </c>
      <c r="Q7" s="58" t="n">
        <f aca="false">0.00638*P7*POWER($F$11,2)/(POWER(O7/1000,5)*$K$20)</f>
        <v>56219.2829284135</v>
      </c>
      <c r="R7" s="54" t="n">
        <f aca="false">N7</f>
        <v>0</v>
      </c>
      <c r="S7" s="54" t="n">
        <v>25</v>
      </c>
      <c r="T7" s="54"/>
      <c r="U7" s="58"/>
      <c r="W7" s="51"/>
      <c r="X7" s="54"/>
      <c r="Y7" s="54"/>
      <c r="Z7" s="51" t="n">
        <f aca="false">IF(AB7&gt;$X$5,1,0)</f>
        <v>0</v>
      </c>
      <c r="AA7" s="63" t="n">
        <v>20</v>
      </c>
      <c r="AB7" s="58" t="n">
        <v>6.3</v>
      </c>
      <c r="AC7" s="51" t="n">
        <f aca="false">IF(AE7&gt;$X$5,1,0)</f>
        <v>0</v>
      </c>
      <c r="AD7" s="63" t="n">
        <v>20</v>
      </c>
      <c r="AE7" s="58" t="n">
        <v>6.3</v>
      </c>
      <c r="AF7" s="54" t="n">
        <f aca="false">IF(AH7&gt;$X$5,1,0)</f>
        <v>0</v>
      </c>
      <c r="AG7" s="63" t="n">
        <v>20</v>
      </c>
      <c r="AH7" s="58" t="n">
        <v>6.3</v>
      </c>
      <c r="AJ7" s="50" t="n">
        <v>12</v>
      </c>
      <c r="AK7" s="54" t="n">
        <f aca="false">IF($F$17&lt;AJ7,1,0)</f>
        <v>1</v>
      </c>
      <c r="AL7" s="58" t="s">
        <v>197</v>
      </c>
      <c r="AM7" s="54" t="n">
        <f aca="false">IF($F$17&lt;AJ7,1,0)</f>
        <v>1</v>
      </c>
      <c r="AN7" s="115" t="s">
        <v>198</v>
      </c>
      <c r="AP7" s="51" t="n">
        <f aca="false">IF($F$11&lt;AQ7,1,0)</f>
        <v>0</v>
      </c>
      <c r="AQ7" s="54" t="n">
        <v>14</v>
      </c>
      <c r="AR7" s="58" t="s">
        <v>199</v>
      </c>
      <c r="AT7" s="51" t="n">
        <v>1.001</v>
      </c>
      <c r="AU7" s="54" t="n">
        <f aca="false">IF($B$4&lt;AT7,1,0)</f>
        <v>1</v>
      </c>
      <c r="AV7" s="58" t="s">
        <v>200</v>
      </c>
      <c r="AY7" s="47"/>
      <c r="AZ7" s="26"/>
      <c r="BA7" s="48"/>
      <c r="BB7" s="26" t="n">
        <f aca="false">IF($F$5=BD7,1,0)</f>
        <v>0</v>
      </c>
      <c r="BC7" s="53" t="s">
        <v>110</v>
      </c>
      <c r="BD7" s="26" t="n">
        <v>32</v>
      </c>
      <c r="BE7" s="50"/>
      <c r="BF7" s="69" t="n">
        <f aca="false">IF($F$7=BI7,1,0)</f>
        <v>0</v>
      </c>
      <c r="BG7" s="53" t="s">
        <v>110</v>
      </c>
      <c r="BH7" s="26" t="n">
        <v>15</v>
      </c>
      <c r="BI7" s="52" t="n">
        <v>2.5</v>
      </c>
      <c r="BJ7" s="48"/>
      <c r="BK7" s="26"/>
      <c r="BL7" s="53"/>
      <c r="BM7" s="26"/>
      <c r="BN7" s="48"/>
      <c r="BO7" s="69" t="n">
        <f aca="false">IF($F$5=BQ7,1,0)</f>
        <v>0</v>
      </c>
      <c r="BP7" s="53" t="s">
        <v>81</v>
      </c>
      <c r="BQ7" s="52" t="n">
        <v>32</v>
      </c>
      <c r="BR7" s="48"/>
      <c r="BS7" s="69" t="n">
        <f aca="false">IF($F$5=BU7,1,0)</f>
        <v>0</v>
      </c>
      <c r="BT7" s="53" t="s">
        <v>81</v>
      </c>
      <c r="BU7" s="52" t="n">
        <v>32</v>
      </c>
      <c r="BV7" s="48"/>
      <c r="BW7" s="26" t="n">
        <f aca="false">IF($F$12=BY7,1,0)</f>
        <v>0</v>
      </c>
      <c r="BX7" s="53" t="s">
        <v>110</v>
      </c>
      <c r="BY7" s="26" t="n">
        <v>32</v>
      </c>
      <c r="BZ7" s="48"/>
      <c r="CA7" s="26" t="n">
        <f aca="false">IF($F$16=CC7,1,0)</f>
        <v>0</v>
      </c>
      <c r="CB7" s="53" t="s">
        <v>110</v>
      </c>
      <c r="CC7" s="26" t="n">
        <v>32</v>
      </c>
      <c r="CD7" s="48"/>
      <c r="CE7" s="26" t="e">
        <f aca="false">IF($E$13=CG7,1,0)</f>
        <v>#N/A</v>
      </c>
      <c r="CF7" s="53" t="s">
        <v>116</v>
      </c>
      <c r="CG7" s="58" t="s">
        <v>193</v>
      </c>
      <c r="CH7" s="48"/>
      <c r="CI7" s="26" t="e">
        <f aca="false">IF($E$18=CK7,1,0)</f>
        <v>#VALUE!</v>
      </c>
      <c r="CJ7" s="76" t="n">
        <v>4</v>
      </c>
      <c r="CK7" s="54" t="s">
        <v>197</v>
      </c>
      <c r="CL7" s="21" t="e">
        <f aca="false">IF($E$18=CN7,1,0)</f>
        <v>#VALUE!</v>
      </c>
      <c r="CM7" s="76" t="n">
        <v>4</v>
      </c>
      <c r="CN7" s="115" t="s">
        <v>198</v>
      </c>
      <c r="CO7" s="50"/>
      <c r="CP7" s="54"/>
      <c r="CQ7" s="21"/>
      <c r="CS7" s="50"/>
      <c r="CT7" s="48"/>
      <c r="CU7" s="26" t="n">
        <f aca="false">IF($E$9=CW7,1,0)</f>
        <v>0</v>
      </c>
      <c r="CV7" s="53" t="s">
        <v>103</v>
      </c>
      <c r="CW7" s="58" t="s">
        <v>201</v>
      </c>
      <c r="CX7" s="50"/>
      <c r="CY7" s="26"/>
      <c r="CZ7" s="54"/>
      <c r="DA7" s="54"/>
      <c r="DB7" s="50"/>
      <c r="DC7" s="26"/>
      <c r="DD7" s="53"/>
      <c r="DE7" s="79"/>
    </row>
    <row r="8" customFormat="false" ht="15" hidden="false" customHeight="false" outlineLevel="0" collapsed="false">
      <c r="A8" s="55" t="s">
        <v>202</v>
      </c>
      <c r="B8" s="71" t="n">
        <f aca="false">'ОЛ(4)'!R17</f>
        <v>0</v>
      </c>
      <c r="C8" s="72" t="s">
        <v>86</v>
      </c>
      <c r="E8" s="80" t="s">
        <v>73</v>
      </c>
      <c r="F8" s="114" t="n">
        <f aca="false">(F4^2/F7^2)*10</f>
        <v>1.6</v>
      </c>
      <c r="I8" s="51" t="n">
        <f aca="false">IF($B$11&lt;12,(IF((L8&gt;4)*AND(L8&lt;16),2,0)),IF((L8&gt;4)*AND(L8&lt;20),2,0))</f>
        <v>0</v>
      </c>
      <c r="J8" s="54" t="n">
        <v>40</v>
      </c>
      <c r="K8" s="54" t="n">
        <f aca="false">1/POWER(1.14+2*LOG10((J8/1000)/($K$21/1000)),2)</f>
        <v>0.0408752263386062</v>
      </c>
      <c r="L8" s="54" t="n">
        <f aca="false">0.00638*K8*POWER($F$4,2)/(POWER(J8/1000,5)*$K$20)</f>
        <v>265.726022904699</v>
      </c>
      <c r="M8" s="58"/>
      <c r="N8" s="51" t="n">
        <f aca="false">IF((Q8&gt;4)*AND(Q8&lt;16),1,0)</f>
        <v>0</v>
      </c>
      <c r="O8" s="54" t="n">
        <v>40</v>
      </c>
      <c r="P8" s="54" t="n">
        <f aca="false">1/POWER(1.14+2*LOG10((O8/1000)/($K$21/1000)),2)</f>
        <v>0.0408752263386062</v>
      </c>
      <c r="Q8" s="58" t="n">
        <f aca="false">0.00638*P8*POWER($F$11,2)/(POWER(O8/1000,5)*$K$20)</f>
        <v>17006.4654659007</v>
      </c>
      <c r="R8" s="54" t="n">
        <f aca="false">N8</f>
        <v>0</v>
      </c>
      <c r="S8" s="54" t="n">
        <v>32</v>
      </c>
      <c r="T8" s="54"/>
      <c r="U8" s="58"/>
      <c r="W8" s="59"/>
      <c r="X8" s="54"/>
      <c r="Y8" s="74"/>
      <c r="Z8" s="51" t="n">
        <f aca="false">IF(AB8&gt;$X$5,1,0)</f>
        <v>0</v>
      </c>
      <c r="AA8" s="63" t="n">
        <v>25</v>
      </c>
      <c r="AB8" s="58" t="n">
        <v>10</v>
      </c>
      <c r="AC8" s="51" t="n">
        <f aca="false">IF(AE8&gt;$X$5,1,0)</f>
        <v>0</v>
      </c>
      <c r="AD8" s="63" t="n">
        <v>25</v>
      </c>
      <c r="AE8" s="58" t="n">
        <v>10</v>
      </c>
      <c r="AF8" s="54" t="n">
        <f aca="false">IF(AH8&gt;$X$5,1,0)</f>
        <v>0</v>
      </c>
      <c r="AG8" s="63" t="n">
        <v>25</v>
      </c>
      <c r="AH8" s="58" t="n">
        <v>10</v>
      </c>
      <c r="AJ8" s="50"/>
      <c r="AK8" s="26"/>
      <c r="AL8" s="58"/>
      <c r="AM8" s="54"/>
      <c r="AN8" s="58"/>
      <c r="AP8" s="51" t="n">
        <f aca="false">IF($F$11&lt;AQ8,1,0)</f>
        <v>0</v>
      </c>
      <c r="AQ8" s="54" t="n">
        <v>20</v>
      </c>
      <c r="AR8" s="58" t="s">
        <v>203</v>
      </c>
      <c r="AT8" s="51"/>
      <c r="AU8" s="54"/>
      <c r="AV8" s="58"/>
      <c r="AY8" s="47"/>
      <c r="AZ8" s="26"/>
      <c r="BA8" s="48"/>
      <c r="BB8" s="26" t="n">
        <f aca="false">IF($F$5=BD8,1,0)</f>
        <v>0</v>
      </c>
      <c r="BC8" s="53" t="s">
        <v>115</v>
      </c>
      <c r="BD8" s="26" t="n">
        <v>40</v>
      </c>
      <c r="BE8" s="50"/>
      <c r="BF8" s="69" t="n">
        <f aca="false">IF($F$7=BI8,1,0)</f>
        <v>0</v>
      </c>
      <c r="BG8" s="53" t="s">
        <v>115</v>
      </c>
      <c r="BH8" s="26" t="n">
        <v>15</v>
      </c>
      <c r="BI8" s="52" t="n">
        <v>4</v>
      </c>
      <c r="BJ8" s="48"/>
      <c r="BK8" s="26"/>
      <c r="BL8" s="53"/>
      <c r="BM8" s="26"/>
      <c r="BN8" s="48"/>
      <c r="BO8" s="69" t="n">
        <f aca="false">IF($F$5=BQ8,1,0)</f>
        <v>0</v>
      </c>
      <c r="BP8" s="53" t="s">
        <v>81</v>
      </c>
      <c r="BQ8" s="52" t="n">
        <v>40</v>
      </c>
      <c r="BR8" s="48"/>
      <c r="BS8" s="69" t="n">
        <f aca="false">IF($F$5=BU8,1,0)</f>
        <v>0</v>
      </c>
      <c r="BT8" s="53" t="s">
        <v>81</v>
      </c>
      <c r="BU8" s="52" t="n">
        <v>40</v>
      </c>
      <c r="BV8" s="48"/>
      <c r="BW8" s="26" t="n">
        <f aca="false">IF($F$12=BY8,1,0)</f>
        <v>0</v>
      </c>
      <c r="BX8" s="53" t="s">
        <v>115</v>
      </c>
      <c r="BY8" s="26" t="n">
        <v>40</v>
      </c>
      <c r="BZ8" s="48"/>
      <c r="CA8" s="26" t="n">
        <f aca="false">IF($F$16=CC8,1,0)</f>
        <v>0</v>
      </c>
      <c r="CB8" s="53" t="s">
        <v>115</v>
      </c>
      <c r="CC8" s="26" t="n">
        <v>40</v>
      </c>
      <c r="CD8" s="48"/>
      <c r="CE8" s="26" t="e">
        <f aca="false">IF($E$13=CG8,1,0)</f>
        <v>#N/A</v>
      </c>
      <c r="CF8" s="53" t="s">
        <v>124</v>
      </c>
      <c r="CG8" s="58" t="s">
        <v>199</v>
      </c>
      <c r="CH8" s="48"/>
      <c r="CI8" s="26"/>
      <c r="CJ8" s="76"/>
      <c r="CK8" s="21"/>
      <c r="CL8" s="21"/>
      <c r="CM8" s="76"/>
      <c r="CN8" s="21"/>
      <c r="CO8" s="50"/>
      <c r="CS8" s="50"/>
      <c r="CT8" s="48"/>
      <c r="CU8" s="26" t="n">
        <f aca="false">IF($E$9=CW8,1,0)</f>
        <v>0</v>
      </c>
      <c r="CV8" s="53" t="s">
        <v>110</v>
      </c>
      <c r="CW8" s="58" t="s">
        <v>204</v>
      </c>
      <c r="CX8" s="50"/>
      <c r="CY8" s="26"/>
      <c r="CZ8" s="53"/>
      <c r="DA8" s="26"/>
      <c r="DB8" s="50"/>
      <c r="DC8" s="26"/>
      <c r="DD8" s="53"/>
      <c r="DE8" s="52"/>
    </row>
    <row r="9" customFormat="false" ht="15.75" hidden="false" customHeight="false" outlineLevel="0" collapsed="false">
      <c r="A9" s="55" t="s">
        <v>117</v>
      </c>
      <c r="B9" s="71" t="n">
        <f aca="false">'ОЛ(4)'!W13*100</f>
        <v>60</v>
      </c>
      <c r="C9" s="72" t="s">
        <v>118</v>
      </c>
      <c r="E9" s="26" t="str">
        <f aca="false">VLOOKUP(1,AU3:AV7,2,0)</f>
        <v>НН19-16/2</v>
      </c>
      <c r="F9" s="26"/>
      <c r="I9" s="51" t="n">
        <f aca="false">IF($B$11&lt;12,(IF((L9&gt;4)*AND(L9&lt;16),2,0)),IF((L9&gt;4)*AND(L9&lt;20),2,0))</f>
        <v>0</v>
      </c>
      <c r="J9" s="54" t="n">
        <v>50</v>
      </c>
      <c r="K9" s="54" t="n">
        <f aca="false">1/POWER(1.14+2*LOG10((J9/1000)/($K$21/1000)),2)</f>
        <v>0.0378506866114551</v>
      </c>
      <c r="L9" s="54" t="n">
        <f aca="false">0.00638*K9*POWER($F$4,2)/(POWER(J9/1000,5)*$K$20)</f>
        <v>80.6301771556206</v>
      </c>
      <c r="M9" s="58"/>
      <c r="N9" s="51" t="n">
        <f aca="false">IF((Q9&gt;4)*AND(Q9&lt;16),1,0)</f>
        <v>0</v>
      </c>
      <c r="O9" s="54" t="n">
        <v>50</v>
      </c>
      <c r="P9" s="54" t="n">
        <f aca="false">1/POWER(1.14+2*LOG10((O9/1000)/($K$21/1000)),2)</f>
        <v>0.0378506866114551</v>
      </c>
      <c r="Q9" s="58" t="n">
        <f aca="false">0.00638*P9*POWER($F$11,2)/(POWER(O9/1000,5)*$K$20)</f>
        <v>5160.33133795972</v>
      </c>
      <c r="R9" s="54" t="n">
        <f aca="false">N9</f>
        <v>0</v>
      </c>
      <c r="S9" s="54" t="n">
        <v>40</v>
      </c>
      <c r="T9" s="54"/>
      <c r="U9" s="58"/>
      <c r="W9" s="59"/>
      <c r="X9" s="74"/>
      <c r="Y9" s="54"/>
      <c r="Z9" s="51" t="n">
        <f aca="false">IF(AB9&gt;$X$5,1,0)</f>
        <v>0</v>
      </c>
      <c r="AA9" s="63" t="n">
        <v>32</v>
      </c>
      <c r="AB9" s="58" t="n">
        <v>16</v>
      </c>
      <c r="AC9" s="51" t="n">
        <f aca="false">IF(AE9&gt;$X$5,1,0)</f>
        <v>0</v>
      </c>
      <c r="AD9" s="63" t="n">
        <v>32</v>
      </c>
      <c r="AE9" s="58" t="n">
        <v>16</v>
      </c>
      <c r="AF9" s="54" t="n">
        <f aca="false">IF(AH9&gt;$X$5,1,0)</f>
        <v>0</v>
      </c>
      <c r="AG9" s="63" t="n">
        <v>32</v>
      </c>
      <c r="AH9" s="58" t="n">
        <v>16</v>
      </c>
      <c r="AJ9" s="50"/>
      <c r="AK9" s="26"/>
      <c r="AL9" s="58"/>
      <c r="AM9" s="54"/>
      <c r="AN9" s="58"/>
      <c r="AP9" s="91"/>
      <c r="AQ9" s="92"/>
      <c r="AR9" s="94"/>
      <c r="AT9" s="91"/>
      <c r="AU9" s="92"/>
      <c r="AV9" s="94"/>
      <c r="AY9" s="47"/>
      <c r="AZ9" s="26"/>
      <c r="BA9" s="48"/>
      <c r="BB9" s="26" t="n">
        <f aca="false">IF($F$5=BD9,1,0)</f>
        <v>0</v>
      </c>
      <c r="BC9" s="53" t="s">
        <v>123</v>
      </c>
      <c r="BD9" s="26" t="n">
        <v>50</v>
      </c>
      <c r="BE9" s="50"/>
      <c r="BF9" s="69" t="n">
        <f aca="false">IF($F$7=BI9,1,0)</f>
        <v>0</v>
      </c>
      <c r="BG9" s="53" t="s">
        <v>123</v>
      </c>
      <c r="BH9" s="26" t="n">
        <v>20</v>
      </c>
      <c r="BI9" s="52" t="n">
        <v>5</v>
      </c>
      <c r="BJ9" s="48"/>
      <c r="BK9" s="26"/>
      <c r="BL9" s="53"/>
      <c r="BM9" s="26"/>
      <c r="BN9" s="48"/>
      <c r="BO9" s="69" t="n">
        <f aca="false">IF($F$5=BQ9,1,0)</f>
        <v>0</v>
      </c>
      <c r="BP9" s="53" t="s">
        <v>81</v>
      </c>
      <c r="BQ9" s="52" t="n">
        <v>50</v>
      </c>
      <c r="BR9" s="48"/>
      <c r="BS9" s="69" t="n">
        <f aca="false">IF($F$5=BU9,1,0)</f>
        <v>0</v>
      </c>
      <c r="BT9" s="53" t="s">
        <v>81</v>
      </c>
      <c r="BU9" s="52" t="n">
        <v>50</v>
      </c>
      <c r="BV9" s="48"/>
      <c r="BW9" s="26" t="n">
        <f aca="false">IF($F$12=BY9,1,0)</f>
        <v>0</v>
      </c>
      <c r="BX9" s="53" t="s">
        <v>123</v>
      </c>
      <c r="BY9" s="26" t="n">
        <v>50</v>
      </c>
      <c r="BZ9" s="48"/>
      <c r="CA9" s="26" t="n">
        <f aca="false">IF($F$16=CC9,1,0)</f>
        <v>0</v>
      </c>
      <c r="CB9" s="53" t="s">
        <v>123</v>
      </c>
      <c r="CC9" s="26" t="n">
        <v>50</v>
      </c>
      <c r="CD9" s="48"/>
      <c r="CE9" s="26" t="e">
        <f aca="false">IF($E$13=CG9,1,0)</f>
        <v>#N/A</v>
      </c>
      <c r="CF9" s="53" t="s">
        <v>131</v>
      </c>
      <c r="CG9" s="58" t="s">
        <v>203</v>
      </c>
      <c r="CH9" s="48"/>
      <c r="CI9" s="26"/>
      <c r="CJ9" s="76"/>
      <c r="CK9" s="21"/>
      <c r="CL9" s="21"/>
      <c r="CM9" s="76"/>
      <c r="CN9" s="21"/>
      <c r="CO9" s="50"/>
      <c r="CP9" s="54"/>
      <c r="CQ9" s="54"/>
      <c r="CR9" s="54"/>
      <c r="CS9" s="50"/>
      <c r="CT9" s="48"/>
      <c r="CU9" s="26" t="n">
        <f aca="false">IF($E$9=CW9,1,0)</f>
        <v>0</v>
      </c>
      <c r="CV9" s="53" t="s">
        <v>115</v>
      </c>
      <c r="CW9" s="58" t="s">
        <v>184</v>
      </c>
      <c r="CX9" s="50"/>
      <c r="CY9" s="26"/>
      <c r="CZ9" s="53"/>
      <c r="DA9" s="26"/>
      <c r="DB9" s="50"/>
      <c r="DC9" s="26"/>
      <c r="DD9" s="53"/>
      <c r="DE9" s="52"/>
    </row>
    <row r="10" customFormat="false" ht="15" hidden="false" customHeight="false" outlineLevel="0" collapsed="false">
      <c r="A10" s="55" t="s">
        <v>125</v>
      </c>
      <c r="B10" s="71" t="n">
        <f aca="false">'ОЛ(4)'!AC13*100</f>
        <v>40</v>
      </c>
      <c r="C10" s="72" t="s">
        <v>118</v>
      </c>
      <c r="I10" s="51" t="n">
        <f aca="false">IF($B$11&lt;12,(IF((L10&gt;4)*AND(L10&lt;16),2,0)),IF((L10&gt;4)*AND(L10&lt;20),2,0))</f>
        <v>2</v>
      </c>
      <c r="J10" s="54" t="n">
        <v>65</v>
      </c>
      <c r="K10" s="54" t="n">
        <f aca="false">1/POWER(1.14+2*LOG10((J10/1000)/($K$21/1000)),2)</f>
        <v>0.0347051014322117</v>
      </c>
      <c r="L10" s="54" t="n">
        <f aca="false">0.00638*K10*POWER($F$4,2)/(POWER(J10/1000,5)*$K$20)</f>
        <v>19.9113363415347</v>
      </c>
      <c r="M10" s="58"/>
      <c r="N10" s="51" t="n">
        <f aca="false">IF((Q10&gt;4)*AND(Q10&lt;16),1,0)</f>
        <v>0</v>
      </c>
      <c r="O10" s="54" t="n">
        <v>65</v>
      </c>
      <c r="P10" s="54" t="n">
        <f aca="false">1/POWER(1.14+2*LOG10((O10/1000)/($K$21/1000)),2)</f>
        <v>0.0347051014322117</v>
      </c>
      <c r="Q10" s="58" t="n">
        <f aca="false">0.00638*P10*POWER($F$11,2)/(POWER(O10/1000,5)*$K$20)</f>
        <v>1274.32552585822</v>
      </c>
      <c r="R10" s="54" t="n">
        <f aca="false">N10</f>
        <v>0</v>
      </c>
      <c r="S10" s="54" t="n">
        <v>50</v>
      </c>
      <c r="T10" s="54"/>
      <c r="U10" s="58"/>
      <c r="W10" s="51"/>
      <c r="X10" s="54"/>
      <c r="Y10" s="54"/>
      <c r="Z10" s="51" t="n">
        <f aca="false">IF(AB10&gt;$X$5,1,0)</f>
        <v>1</v>
      </c>
      <c r="AA10" s="63" t="n">
        <v>40</v>
      </c>
      <c r="AB10" s="58" t="n">
        <v>20</v>
      </c>
      <c r="AC10" s="51" t="n">
        <f aca="false">IF(AE10&gt;$X$5,1,0)</f>
        <v>1</v>
      </c>
      <c r="AD10" s="63" t="n">
        <v>40</v>
      </c>
      <c r="AE10" s="58" t="n">
        <v>25</v>
      </c>
      <c r="AF10" s="54" t="n">
        <f aca="false">IF(AH10&gt;$X$5,1,0)</f>
        <v>1</v>
      </c>
      <c r="AG10" s="63" t="n">
        <v>40</v>
      </c>
      <c r="AH10" s="58" t="n">
        <v>25</v>
      </c>
      <c r="AJ10" s="50"/>
      <c r="AK10" s="26"/>
      <c r="AL10" s="58"/>
      <c r="AM10" s="54"/>
      <c r="AN10" s="58"/>
      <c r="AY10" s="47"/>
      <c r="AZ10" s="26"/>
      <c r="BA10" s="48"/>
      <c r="BB10" s="26" t="n">
        <f aca="false">IF($F$5=BD10,1,0)</f>
        <v>1</v>
      </c>
      <c r="BC10" s="53" t="s">
        <v>130</v>
      </c>
      <c r="BD10" s="26" t="n">
        <v>65</v>
      </c>
      <c r="BE10" s="50"/>
      <c r="BF10" s="69" t="n">
        <f aca="false">IF($F$7=BI10,1,0)</f>
        <v>0</v>
      </c>
      <c r="BG10" s="53" t="s">
        <v>130</v>
      </c>
      <c r="BH10" s="26" t="n">
        <v>20</v>
      </c>
      <c r="BI10" s="52" t="n">
        <v>6.3</v>
      </c>
      <c r="BJ10" s="48"/>
      <c r="BK10" s="26"/>
      <c r="BL10" s="53"/>
      <c r="BM10" s="26"/>
      <c r="BN10" s="48"/>
      <c r="BO10" s="69" t="n">
        <f aca="false">IF($F$5=BQ10,1,0)</f>
        <v>1</v>
      </c>
      <c r="BP10" s="53" t="s">
        <v>81</v>
      </c>
      <c r="BQ10" s="52" t="n">
        <v>65</v>
      </c>
      <c r="BR10" s="48"/>
      <c r="BS10" s="69" t="n">
        <f aca="false">IF($F$5=BU10,1,0)</f>
        <v>1</v>
      </c>
      <c r="BT10" s="53" t="s">
        <v>81</v>
      </c>
      <c r="BU10" s="52" t="n">
        <v>65</v>
      </c>
      <c r="BV10" s="48"/>
      <c r="BW10" s="26" t="n">
        <f aca="false">IF($F$12=BY10,1,0)</f>
        <v>0</v>
      </c>
      <c r="BX10" s="53" t="s">
        <v>130</v>
      </c>
      <c r="BY10" s="26" t="n">
        <v>65</v>
      </c>
      <c r="BZ10" s="48"/>
      <c r="CA10" s="26" t="n">
        <f aca="false">IF($F$16=CC10,1,0)</f>
        <v>0</v>
      </c>
      <c r="CB10" s="53" t="s">
        <v>130</v>
      </c>
      <c r="CC10" s="26" t="n">
        <v>65</v>
      </c>
      <c r="CD10" s="48"/>
      <c r="CE10" s="26"/>
      <c r="CF10" s="53"/>
      <c r="CG10" s="26"/>
      <c r="CH10" s="48"/>
      <c r="CI10" s="26"/>
      <c r="CJ10" s="76"/>
      <c r="CK10" s="21"/>
      <c r="CL10" s="21"/>
      <c r="CM10" s="76"/>
      <c r="CN10" s="21"/>
      <c r="CO10" s="50"/>
      <c r="CS10" s="50"/>
      <c r="CT10" s="48"/>
      <c r="CU10" s="26" t="n">
        <f aca="false">IF($E$9=CW10,1,0)</f>
        <v>1</v>
      </c>
      <c r="CV10" s="53" t="s">
        <v>123</v>
      </c>
      <c r="CW10" s="58" t="s">
        <v>189</v>
      </c>
      <c r="CX10" s="50"/>
      <c r="CY10" s="26"/>
      <c r="CZ10" s="53"/>
      <c r="DA10" s="26"/>
      <c r="DB10" s="50"/>
      <c r="DC10" s="26"/>
      <c r="DD10" s="53"/>
      <c r="DE10" s="52"/>
    </row>
    <row r="11" customFormat="false" ht="15.75" hidden="false" customHeight="false" outlineLevel="0" collapsed="false">
      <c r="A11" s="82" t="s">
        <v>137</v>
      </c>
      <c r="B11" s="0" t="n">
        <f aca="false">B9-B10</f>
        <v>20</v>
      </c>
      <c r="C11" s="72" t="s">
        <v>118</v>
      </c>
      <c r="E11" s="0" t="s">
        <v>205</v>
      </c>
      <c r="F11" s="114" t="n">
        <f aca="false">B4*1000/(B7-B8)</f>
        <v>80</v>
      </c>
      <c r="I11" s="51" t="n">
        <f aca="false">IF($B$11&lt;12,(IF((L11&gt;4)*AND(L11&lt;16),2,0)),IF((L11&gt;4)*AND(L11&lt;20),2,0))</f>
        <v>2</v>
      </c>
      <c r="J11" s="54" t="n">
        <v>80</v>
      </c>
      <c r="K11" s="54" t="n">
        <f aca="false">1/POWER(1.14+2*LOG10((J11/1000)/($K$21/1000)),2)</f>
        <v>0.032485497883736</v>
      </c>
      <c r="L11" s="54" t="n">
        <f aca="false">0.00638*K11*POWER($F$4,2)/(POWER(J11/1000,5)*$K$20)</f>
        <v>6.59953696893287</v>
      </c>
      <c r="M11" s="58"/>
      <c r="N11" s="51" t="n">
        <f aca="false">IF((Q11&gt;4)*AND(Q11&lt;16),1,0)</f>
        <v>0</v>
      </c>
      <c r="O11" s="54" t="n">
        <v>80</v>
      </c>
      <c r="P11" s="54" t="n">
        <f aca="false">1/POWER(1.14+2*LOG10((O11/1000)/($K$21/1000)),2)</f>
        <v>0.032485497883736</v>
      </c>
      <c r="Q11" s="58" t="n">
        <f aca="false">0.00638*P11*POWER($F$11,2)/(POWER(O11/1000,5)*$K$20)</f>
        <v>422.370366011704</v>
      </c>
      <c r="R11" s="54" t="n">
        <f aca="false">N11</f>
        <v>0</v>
      </c>
      <c r="S11" s="54" t="n">
        <v>65</v>
      </c>
      <c r="T11" s="54"/>
      <c r="U11" s="58"/>
      <c r="W11" s="51"/>
      <c r="X11" s="54"/>
      <c r="Y11" s="74"/>
      <c r="Z11" s="51" t="n">
        <f aca="false">IF(AB11&gt;$X$5,1,0)</f>
        <v>1</v>
      </c>
      <c r="AA11" s="63" t="n">
        <v>40</v>
      </c>
      <c r="AB11" s="58" t="n">
        <v>25</v>
      </c>
      <c r="AC11" s="51" t="n">
        <f aca="false">IF(AE11&gt;$X$5,1,0)</f>
        <v>1</v>
      </c>
      <c r="AD11" s="63" t="n">
        <v>50</v>
      </c>
      <c r="AE11" s="83" t="n">
        <v>31.5</v>
      </c>
      <c r="AF11" s="54" t="n">
        <f aca="false">IF(AH11&gt;$X$5,1,0)</f>
        <v>1</v>
      </c>
      <c r="AG11" s="63" t="n">
        <v>50</v>
      </c>
      <c r="AH11" s="58" t="n">
        <v>40</v>
      </c>
      <c r="AJ11" s="103"/>
      <c r="AK11" s="100"/>
      <c r="AL11" s="94"/>
      <c r="AM11" s="92"/>
      <c r="AN11" s="94"/>
      <c r="AY11" s="47"/>
      <c r="AZ11" s="26"/>
      <c r="BA11" s="48"/>
      <c r="BB11" s="26" t="n">
        <f aca="false">IF($F$5=BD11,1,0)</f>
        <v>0</v>
      </c>
      <c r="BC11" s="53" t="s">
        <v>136</v>
      </c>
      <c r="BD11" s="26" t="n">
        <v>80</v>
      </c>
      <c r="BE11" s="50"/>
      <c r="BF11" s="69" t="n">
        <f aca="false">IF($F$7=BI11,1,0)</f>
        <v>0</v>
      </c>
      <c r="BG11" s="53" t="s">
        <v>136</v>
      </c>
      <c r="BH11" s="26" t="n">
        <v>25</v>
      </c>
      <c r="BI11" s="52" t="n">
        <v>8</v>
      </c>
      <c r="BJ11" s="48"/>
      <c r="BK11" s="26"/>
      <c r="BL11" s="53"/>
      <c r="BM11" s="26"/>
      <c r="BN11" s="48"/>
      <c r="BO11" s="69" t="n">
        <f aca="false">IF($F$5=BQ11,1,0)</f>
        <v>0</v>
      </c>
      <c r="BP11" s="53" t="s">
        <v>81</v>
      </c>
      <c r="BQ11" s="52" t="n">
        <v>80</v>
      </c>
      <c r="BR11" s="48"/>
      <c r="BS11" s="69" t="n">
        <f aca="false">IF($F$5=BU11,1,0)</f>
        <v>0</v>
      </c>
      <c r="BT11" s="53" t="s">
        <v>81</v>
      </c>
      <c r="BU11" s="52" t="n">
        <v>80</v>
      </c>
      <c r="BV11" s="48"/>
      <c r="BW11" s="26" t="n">
        <f aca="false">IF($F$12=BY11,1,0)</f>
        <v>0</v>
      </c>
      <c r="BX11" s="53" t="s">
        <v>136</v>
      </c>
      <c r="BY11" s="26" t="n">
        <v>80</v>
      </c>
      <c r="BZ11" s="48"/>
      <c r="CA11" s="26" t="n">
        <f aca="false">IF($F$16=CC11,1,0)</f>
        <v>0</v>
      </c>
      <c r="CB11" s="53" t="s">
        <v>136</v>
      </c>
      <c r="CC11" s="26" t="n">
        <v>80</v>
      </c>
      <c r="CD11" s="48"/>
      <c r="CE11" s="26"/>
      <c r="CF11" s="53"/>
      <c r="CG11" s="26"/>
      <c r="CH11" s="48"/>
      <c r="CI11" s="26"/>
      <c r="CJ11" s="76"/>
      <c r="CK11" s="21"/>
      <c r="CL11" s="21"/>
      <c r="CM11" s="21"/>
      <c r="CN11" s="21"/>
      <c r="CO11" s="50"/>
      <c r="CS11" s="50"/>
      <c r="CT11" s="48"/>
      <c r="CU11" s="26" t="n">
        <f aca="false">IF($E$9=CW11,1,0)</f>
        <v>0</v>
      </c>
      <c r="CV11" s="53" t="s">
        <v>130</v>
      </c>
      <c r="CW11" s="58" t="s">
        <v>194</v>
      </c>
      <c r="CX11" s="50"/>
      <c r="CY11" s="26"/>
      <c r="CZ11" s="53"/>
      <c r="DA11" s="26"/>
      <c r="DB11" s="50"/>
      <c r="DC11" s="26"/>
      <c r="DD11" s="53"/>
      <c r="DE11" s="52"/>
    </row>
    <row r="12" customFormat="false" ht="15" hidden="false" customHeight="false" outlineLevel="0" collapsed="false">
      <c r="E12" s="0" t="s">
        <v>173</v>
      </c>
      <c r="F12" s="0" t="n">
        <f aca="false">VLOOKUP(1,N4:Q17,2,0)</f>
        <v>150</v>
      </c>
      <c r="I12" s="51" t="n">
        <f aca="false">IF($B$11&lt;12,(IF((L12&gt;4)*AND(L12&lt;16),2,0)),IF((L12&gt;4)*AND(L12&lt;20),2,0))</f>
        <v>0</v>
      </c>
      <c r="J12" s="54" t="n">
        <v>100</v>
      </c>
      <c r="K12" s="54" t="n">
        <f aca="false">1/POWER(1.14+2*LOG10((J12/1000)/($K$21/1000)),2)</f>
        <v>0.0303294509825929</v>
      </c>
      <c r="L12" s="54" t="n">
        <f aca="false">0.00638*K12*POWER($F$4,2)/(POWER(J12/1000,5)*$K$20)</f>
        <v>2.01900977951735</v>
      </c>
      <c r="M12" s="58"/>
      <c r="N12" s="51" t="n">
        <f aca="false">IF((Q12&gt;4)*AND(Q12&lt;16),1,0)</f>
        <v>0</v>
      </c>
      <c r="O12" s="54" t="n">
        <v>100</v>
      </c>
      <c r="P12" s="54" t="n">
        <f aca="false">1/POWER(1.14+2*LOG10((O12/1000)/($K$21/1000)),2)</f>
        <v>0.0303294509825929</v>
      </c>
      <c r="Q12" s="58" t="n">
        <f aca="false">0.00638*P12*POWER($F$11,2)/(POWER(O12/1000,5)*$K$20)</f>
        <v>129.21662588911</v>
      </c>
      <c r="R12" s="54" t="n">
        <f aca="false">N12</f>
        <v>0</v>
      </c>
      <c r="S12" s="54" t="n">
        <v>80</v>
      </c>
      <c r="T12" s="54"/>
      <c r="U12" s="58"/>
      <c r="W12" s="59"/>
      <c r="X12" s="54"/>
      <c r="Y12" s="54"/>
      <c r="Z12" s="51" t="n">
        <f aca="false">IF(AB12&gt;$X$5,1,0)</f>
        <v>1</v>
      </c>
      <c r="AA12" s="63" t="n">
        <v>50</v>
      </c>
      <c r="AB12" s="58" t="n">
        <v>31.5</v>
      </c>
      <c r="AC12" s="51" t="n">
        <f aca="false">IF(AE12&gt;$X$5,1,0)</f>
        <v>1</v>
      </c>
      <c r="AD12" s="63" t="n">
        <v>50</v>
      </c>
      <c r="AE12" s="83" t="n">
        <v>40</v>
      </c>
      <c r="AF12" s="54" t="n">
        <f aca="false">IF(AH12&gt;$X$5,1,0)</f>
        <v>1</v>
      </c>
      <c r="AG12" s="63" t="n">
        <v>65</v>
      </c>
      <c r="AH12" s="58" t="n">
        <v>63</v>
      </c>
      <c r="AY12" s="47"/>
      <c r="AZ12" s="26"/>
      <c r="BA12" s="48"/>
      <c r="BB12" s="26" t="n">
        <f aca="false">IF($F$5=BD12,1,0)</f>
        <v>0</v>
      </c>
      <c r="BC12" s="53" t="s">
        <v>138</v>
      </c>
      <c r="BD12" s="26" t="n">
        <v>100</v>
      </c>
      <c r="BE12" s="50"/>
      <c r="BF12" s="69" t="n">
        <f aca="false">IF($F$7=BI12,1,0)</f>
        <v>0</v>
      </c>
      <c r="BG12" s="53" t="s">
        <v>138</v>
      </c>
      <c r="BH12" s="26" t="n">
        <v>25</v>
      </c>
      <c r="BI12" s="52" t="n">
        <v>10</v>
      </c>
      <c r="BJ12" s="48"/>
      <c r="BK12" s="26"/>
      <c r="BL12" s="53"/>
      <c r="BM12" s="26"/>
      <c r="BN12" s="48"/>
      <c r="BO12" s="69" t="n">
        <f aca="false">IF($F$5=BQ12,1,0)</f>
        <v>0</v>
      </c>
      <c r="BP12" s="53" t="s">
        <v>81</v>
      </c>
      <c r="BQ12" s="52" t="n">
        <v>100</v>
      </c>
      <c r="BR12" s="48"/>
      <c r="BS12" s="69" t="n">
        <f aca="false">IF($F$5=BU12,1,0)</f>
        <v>0</v>
      </c>
      <c r="BT12" s="53" t="s">
        <v>81</v>
      </c>
      <c r="BU12" s="52" t="n">
        <v>100</v>
      </c>
      <c r="BV12" s="48"/>
      <c r="BW12" s="26" t="n">
        <f aca="false">IF($F$12=BY12,1,0)</f>
        <v>0</v>
      </c>
      <c r="BX12" s="53" t="s">
        <v>138</v>
      </c>
      <c r="BY12" s="26" t="n">
        <v>100</v>
      </c>
      <c r="BZ12" s="48"/>
      <c r="CA12" s="26" t="n">
        <f aca="false">IF($F$16=CC12,1,0)</f>
        <v>0</v>
      </c>
      <c r="CB12" s="53" t="s">
        <v>138</v>
      </c>
      <c r="CC12" s="26" t="n">
        <v>100</v>
      </c>
      <c r="CD12" s="48"/>
      <c r="CE12" s="26"/>
      <c r="CF12" s="53"/>
      <c r="CG12" s="26"/>
      <c r="CH12" s="48"/>
      <c r="CI12" s="26"/>
      <c r="CJ12" s="21"/>
      <c r="CK12" s="54"/>
      <c r="CL12" s="54"/>
      <c r="CM12" s="54"/>
      <c r="CN12" s="54"/>
      <c r="CO12" s="50"/>
      <c r="CS12" s="50"/>
      <c r="CT12" s="48"/>
      <c r="CU12" s="26" t="n">
        <f aca="false">IF($E$9=CW12,1,0)</f>
        <v>0</v>
      </c>
      <c r="CV12" s="53" t="s">
        <v>136</v>
      </c>
      <c r="CW12" s="58" t="s">
        <v>200</v>
      </c>
      <c r="CX12" s="50"/>
      <c r="CY12" s="26"/>
      <c r="CZ12" s="53"/>
      <c r="DA12" s="26"/>
      <c r="DB12" s="50"/>
      <c r="DC12" s="26"/>
      <c r="DD12" s="53"/>
      <c r="DE12" s="52"/>
    </row>
    <row r="13" customFormat="false" ht="15" hidden="false" customHeight="false" outlineLevel="0" collapsed="false">
      <c r="A13" s="55"/>
      <c r="C13" s="72"/>
      <c r="E13" s="26" t="e">
        <f aca="false">VLOOKUP(1,AP3:AR9,3,0)</f>
        <v>#N/A</v>
      </c>
      <c r="F13" s="26"/>
      <c r="I13" s="51" t="n">
        <f aca="false">IF($B$11&lt;12,(IF((L13&gt;4)*AND(L13&lt;16),2,0)),IF((L13&gt;4)*AND(L13&lt;20),2,0))</f>
        <v>0</v>
      </c>
      <c r="J13" s="54" t="n">
        <v>125</v>
      </c>
      <c r="K13" s="54" t="n">
        <f aca="false">1/POWER(1.14+2*LOG10((J13/1000)/($K$21/1000)),2)</f>
        <v>0.0283811358286925</v>
      </c>
      <c r="L13" s="54" t="n">
        <f aca="false">0.00638*K13*POWER($F$4,2)/(POWER(J13/1000,5)*$K$20)</f>
        <v>0.619089703189141</v>
      </c>
      <c r="M13" s="58"/>
      <c r="N13" s="51" t="n">
        <f aca="false">IF((Q13&gt;4)*AND(Q13&lt;16),1,0)</f>
        <v>0</v>
      </c>
      <c r="O13" s="54" t="n">
        <v>125</v>
      </c>
      <c r="P13" s="54" t="n">
        <f aca="false">1/POWER(1.14+2*LOG10((O13/1000)/($K$21/1000)),2)</f>
        <v>0.0283811358286925</v>
      </c>
      <c r="Q13" s="58" t="n">
        <f aca="false">0.00638*P13*POWER($F$11,2)/(POWER(O13/1000,5)*$K$20)</f>
        <v>39.621741004105</v>
      </c>
      <c r="R13" s="54" t="n">
        <f aca="false">N13</f>
        <v>0</v>
      </c>
      <c r="S13" s="54" t="n">
        <v>100</v>
      </c>
      <c r="T13" s="54"/>
      <c r="U13" s="58"/>
      <c r="W13" s="59"/>
      <c r="X13" s="74"/>
      <c r="Y13" s="54"/>
      <c r="Z13" s="51" t="n">
        <f aca="false">IF(AB13&gt;$X$5,1,0)</f>
        <v>1</v>
      </c>
      <c r="AA13" s="63" t="n">
        <v>50</v>
      </c>
      <c r="AB13" s="58" t="n">
        <v>40</v>
      </c>
      <c r="AC13" s="51" t="n">
        <f aca="false">IF(AE13&gt;$X$5,1,0)</f>
        <v>1</v>
      </c>
      <c r="AD13" s="63" t="n">
        <v>65</v>
      </c>
      <c r="AE13" s="83" t="n">
        <v>50</v>
      </c>
      <c r="AF13" s="54" t="n">
        <f aca="false">IF(AH13&gt;$X$5,1,0)</f>
        <v>1</v>
      </c>
      <c r="AG13" s="63" t="n">
        <v>80</v>
      </c>
      <c r="AH13" s="58" t="n">
        <v>100</v>
      </c>
      <c r="AY13" s="47"/>
      <c r="AZ13" s="26"/>
      <c r="BA13" s="48"/>
      <c r="BB13" s="26" t="n">
        <f aca="false">IF($F$5=BD13,1,0)</f>
        <v>0</v>
      </c>
      <c r="BC13" s="53" t="s">
        <v>140</v>
      </c>
      <c r="BD13" s="26" t="n">
        <v>125</v>
      </c>
      <c r="BE13" s="50"/>
      <c r="BF13" s="69" t="n">
        <f aca="false">IF($F$7=BI13,1,0)</f>
        <v>0</v>
      </c>
      <c r="BG13" s="53" t="s">
        <v>140</v>
      </c>
      <c r="BH13" s="26" t="n">
        <v>32</v>
      </c>
      <c r="BI13" s="52" t="n">
        <v>12.5</v>
      </c>
      <c r="BJ13" s="48"/>
      <c r="BK13" s="26"/>
      <c r="BL13" s="53"/>
      <c r="BM13" s="26"/>
      <c r="BN13" s="48"/>
      <c r="BO13" s="69" t="n">
        <f aca="false">IF($F$5=BQ13,1,0)</f>
        <v>0</v>
      </c>
      <c r="BP13" s="53" t="s">
        <v>81</v>
      </c>
      <c r="BQ13" s="52" t="n">
        <v>125</v>
      </c>
      <c r="BR13" s="48"/>
      <c r="BS13" s="69" t="n">
        <f aca="false">IF($F$5=BU13,1,0)</f>
        <v>0</v>
      </c>
      <c r="BT13" s="53" t="s">
        <v>81</v>
      </c>
      <c r="BU13" s="52" t="n">
        <v>125</v>
      </c>
      <c r="BV13" s="48"/>
      <c r="BW13" s="26" t="n">
        <f aca="false">IF($F$12=BY13,1,0)</f>
        <v>0</v>
      </c>
      <c r="BX13" s="53" t="s">
        <v>140</v>
      </c>
      <c r="BY13" s="26" t="n">
        <v>125</v>
      </c>
      <c r="BZ13" s="48"/>
      <c r="CA13" s="26" t="n">
        <f aca="false">IF($F$16=CC13,1,0)</f>
        <v>1</v>
      </c>
      <c r="CB13" s="53" t="s">
        <v>140</v>
      </c>
      <c r="CC13" s="26" t="n">
        <v>125</v>
      </c>
      <c r="CD13" s="48"/>
      <c r="CE13" s="26"/>
      <c r="CF13" s="53"/>
      <c r="CG13" s="26"/>
      <c r="CH13" s="48"/>
      <c r="CI13" s="26"/>
      <c r="CJ13" s="21"/>
      <c r="CK13" s="76"/>
      <c r="CL13" s="26"/>
      <c r="CM13" s="21"/>
      <c r="CN13" s="76"/>
      <c r="CO13" s="50"/>
      <c r="CP13" s="54"/>
      <c r="CQ13" s="76"/>
      <c r="CR13" s="54"/>
      <c r="CS13" s="50"/>
      <c r="CT13" s="48"/>
      <c r="CU13" s="26" t="n">
        <f aca="false">IF($E$9=CW13,1,0)</f>
        <v>0</v>
      </c>
      <c r="CV13" s="53" t="s">
        <v>138</v>
      </c>
      <c r="CW13" s="58" t="s">
        <v>206</v>
      </c>
      <c r="CX13" s="50"/>
      <c r="CY13" s="26"/>
      <c r="CZ13" s="53"/>
      <c r="DA13" s="26"/>
      <c r="DB13" s="50"/>
      <c r="DC13" s="26"/>
      <c r="DD13" s="53"/>
      <c r="DE13" s="52"/>
    </row>
    <row r="14" customFormat="false" ht="15" hidden="false" customHeight="false" outlineLevel="0" collapsed="false">
      <c r="A14" s="55" t="s">
        <v>31</v>
      </c>
      <c r="B14" s="26" t="n">
        <f aca="false">'ОЛ(4)'!O36</f>
        <v>0</v>
      </c>
      <c r="C14" s="26"/>
      <c r="I14" s="51" t="n">
        <f aca="false">IF($B$11&lt;12,(IF((L14&gt;4)*AND(L14&lt;16),2,0)),IF((L14&gt;4)*AND(L14&lt;20),2,0))</f>
        <v>0</v>
      </c>
      <c r="J14" s="54" t="n">
        <v>150</v>
      </c>
      <c r="K14" s="54" t="n">
        <f aca="false">1/POWER(1.14+2*LOG10((J14/1000)/($K$21/1000)),2)</f>
        <v>0.0269252990527845</v>
      </c>
      <c r="L14" s="54" t="n">
        <f aca="false">0.00638*K14*POWER($F$4,2)/(POWER(J14/1000,5)*$K$20)</f>
        <v>0.236035928133673</v>
      </c>
      <c r="M14" s="58"/>
      <c r="N14" s="51" t="n">
        <f aca="false">IF((Q14&gt;4)*AND(Q14&lt;16),1,0)</f>
        <v>1</v>
      </c>
      <c r="O14" s="54" t="n">
        <v>150</v>
      </c>
      <c r="P14" s="54" t="n">
        <f aca="false">1/POWER(1.14+2*LOG10((O14/1000)/($K$21/1000)),2)</f>
        <v>0.0269252990527845</v>
      </c>
      <c r="Q14" s="58" t="n">
        <f aca="false">0.00638*P14*POWER($F$11,2)/(POWER(O14/1000,5)*$K$20)</f>
        <v>15.106299400555</v>
      </c>
      <c r="R14" s="54" t="n">
        <f aca="false">N14</f>
        <v>1</v>
      </c>
      <c r="S14" s="54" t="n">
        <v>125</v>
      </c>
      <c r="T14" s="54"/>
      <c r="U14" s="58"/>
      <c r="W14" s="51"/>
      <c r="X14" s="54"/>
      <c r="Y14" s="54"/>
      <c r="Z14" s="51" t="n">
        <f aca="false">IF(AB14&gt;$X$5,1,0)</f>
        <v>1</v>
      </c>
      <c r="AA14" s="63" t="n">
        <v>65</v>
      </c>
      <c r="AB14" s="58" t="n">
        <v>50</v>
      </c>
      <c r="AC14" s="51" t="n">
        <f aca="false">IF(AE14&gt;$X$5,1,0)</f>
        <v>1</v>
      </c>
      <c r="AD14" s="63" t="n">
        <v>65</v>
      </c>
      <c r="AE14" s="83" t="n">
        <v>63</v>
      </c>
      <c r="AF14" s="54" t="n">
        <f aca="false">IF(AH14&gt;$X$5,1,0)</f>
        <v>1</v>
      </c>
      <c r="AG14" s="63" t="n">
        <v>100</v>
      </c>
      <c r="AH14" s="58" t="n">
        <v>160</v>
      </c>
      <c r="AY14" s="47"/>
      <c r="AZ14" s="26"/>
      <c r="BA14" s="48"/>
      <c r="BB14" s="26" t="n">
        <f aca="false">IF($F$5=BD14,1,0)</f>
        <v>0</v>
      </c>
      <c r="BC14" s="53" t="s">
        <v>141</v>
      </c>
      <c r="BD14" s="26" t="n">
        <v>150</v>
      </c>
      <c r="BE14" s="50"/>
      <c r="BF14" s="69" t="n">
        <f aca="false">IF($F$7=BI14,1,0)</f>
        <v>0</v>
      </c>
      <c r="BG14" s="53" t="s">
        <v>141</v>
      </c>
      <c r="BH14" s="26" t="n">
        <v>32</v>
      </c>
      <c r="BI14" s="52" t="n">
        <v>16</v>
      </c>
      <c r="BJ14" s="48"/>
      <c r="BK14" s="26"/>
      <c r="BL14" s="53"/>
      <c r="BM14" s="26"/>
      <c r="BN14" s="48"/>
      <c r="BO14" s="69" t="n">
        <f aca="false">IF($F$5=BQ14,1,0)</f>
        <v>0</v>
      </c>
      <c r="BP14" s="53" t="s">
        <v>81</v>
      </c>
      <c r="BQ14" s="52" t="n">
        <v>150</v>
      </c>
      <c r="BR14" s="48"/>
      <c r="BS14" s="69" t="n">
        <f aca="false">IF($F$5=BU14,1,0)</f>
        <v>0</v>
      </c>
      <c r="BT14" s="53" t="s">
        <v>81</v>
      </c>
      <c r="BU14" s="52" t="n">
        <v>150</v>
      </c>
      <c r="BV14" s="48"/>
      <c r="BW14" s="26" t="n">
        <f aca="false">IF($F$12=BY14,1,0)</f>
        <v>1</v>
      </c>
      <c r="BX14" s="53" t="s">
        <v>141</v>
      </c>
      <c r="BY14" s="26" t="n">
        <v>150</v>
      </c>
      <c r="BZ14" s="48"/>
      <c r="CA14" s="26" t="n">
        <f aca="false">IF($F$16=CC14,1,0)</f>
        <v>0</v>
      </c>
      <c r="CB14" s="53" t="s">
        <v>141</v>
      </c>
      <c r="CC14" s="26" t="n">
        <v>150</v>
      </c>
      <c r="CD14" s="48"/>
      <c r="CE14" s="26"/>
      <c r="CF14" s="53"/>
      <c r="CG14" s="26"/>
      <c r="CH14" s="48"/>
      <c r="CI14" s="26"/>
      <c r="CJ14" s="21"/>
      <c r="CK14" s="76"/>
      <c r="CL14" s="26"/>
      <c r="CM14" s="21"/>
      <c r="CN14" s="76"/>
      <c r="CO14" s="50"/>
      <c r="CP14" s="54"/>
      <c r="CQ14" s="76"/>
      <c r="CR14" s="54"/>
      <c r="CS14" s="50"/>
      <c r="CT14" s="48"/>
      <c r="CU14" s="26" t="n">
        <f aca="false">IF($E$9=CW14,1,0)</f>
        <v>0</v>
      </c>
      <c r="CV14" s="53" t="s">
        <v>140</v>
      </c>
      <c r="CW14" s="58" t="s">
        <v>207</v>
      </c>
      <c r="CX14" s="50"/>
      <c r="CY14" s="26"/>
      <c r="CZ14" s="53"/>
      <c r="DA14" s="26"/>
      <c r="DB14" s="50"/>
      <c r="DC14" s="26"/>
      <c r="DD14" s="53"/>
      <c r="DE14" s="52"/>
    </row>
    <row r="15" customFormat="false" ht="15" hidden="false" customHeight="false" outlineLevel="0" collapsed="false">
      <c r="A15" s="55" t="s">
        <v>32</v>
      </c>
      <c r="B15" s="26" t="n">
        <f aca="false">'ОЛ(4)'!I36</f>
        <v>0</v>
      </c>
      <c r="C15" s="26"/>
      <c r="E15" s="0" t="s">
        <v>208</v>
      </c>
      <c r="F15" s="114" t="n">
        <f aca="false">3.6*B4*1.163/0.42</f>
        <v>3.98742857142857</v>
      </c>
      <c r="I15" s="51" t="n">
        <f aca="false">IF($B$11&lt;12,(IF((L15&gt;4)*AND(L15&lt;16),2,0)),IF((L15&gt;4)*AND(L15&lt;20),2,0))</f>
        <v>0</v>
      </c>
      <c r="J15" s="54" t="n">
        <v>200</v>
      </c>
      <c r="K15" s="54" t="n">
        <f aca="false">1/POWER(1.14+2*LOG10((J15/1000)/($K$21/1000)),2)</f>
        <v>0.0248460425197335</v>
      </c>
      <c r="L15" s="54" t="n">
        <f aca="false">0.00638*K15*POWER($F$4,2)/(POWER(J15/1000,5)*$K$20)</f>
        <v>0.0516869754525446</v>
      </c>
      <c r="M15" s="58"/>
      <c r="N15" s="51" t="n">
        <f aca="false">IF((Q15&gt;4)*AND(Q15&lt;16),1,0)</f>
        <v>0</v>
      </c>
      <c r="O15" s="54" t="n">
        <v>200</v>
      </c>
      <c r="P15" s="54" t="n">
        <f aca="false">1/POWER(1.14+2*LOG10((O15/1000)/($K$21/1000)),2)</f>
        <v>0.0248460425197335</v>
      </c>
      <c r="Q15" s="58" t="n">
        <f aca="false">0.00638*P15*POWER($F$11,2)/(POWER(O15/1000,5)*$K$20)</f>
        <v>3.30796642896285</v>
      </c>
      <c r="R15" s="54" t="n">
        <f aca="false">N15</f>
        <v>0</v>
      </c>
      <c r="S15" s="54" t="n">
        <v>150</v>
      </c>
      <c r="T15" s="54"/>
      <c r="U15" s="58"/>
      <c r="W15" s="51"/>
      <c r="X15" s="54"/>
      <c r="Y15" s="54"/>
      <c r="Z15" s="51" t="n">
        <f aca="false">IF(AB15&gt;$X$5,1,0)</f>
        <v>1</v>
      </c>
      <c r="AA15" s="63" t="n">
        <v>65</v>
      </c>
      <c r="AB15" s="58" t="n">
        <v>63</v>
      </c>
      <c r="AC15" s="51" t="n">
        <f aca="false">IF(AE15&gt;$X$5,1,0)</f>
        <v>1</v>
      </c>
      <c r="AD15" s="63" t="n">
        <v>80</v>
      </c>
      <c r="AE15" s="83" t="n">
        <v>80</v>
      </c>
      <c r="AF15" s="54" t="n">
        <f aca="false">IF(AH15&gt;$X$5,1,0)</f>
        <v>1</v>
      </c>
      <c r="AG15" s="63" t="n">
        <v>125</v>
      </c>
      <c r="AH15" s="58" t="n">
        <v>250</v>
      </c>
      <c r="AY15" s="47"/>
      <c r="AZ15" s="26"/>
      <c r="BA15" s="48"/>
      <c r="BB15" s="26" t="n">
        <f aca="false">IF($F$5=BD15,1,0)</f>
        <v>0</v>
      </c>
      <c r="BC15" s="53" t="s">
        <v>142</v>
      </c>
      <c r="BD15" s="26" t="n">
        <v>200</v>
      </c>
      <c r="BE15" s="50"/>
      <c r="BF15" s="69" t="n">
        <f aca="false">IF($F$7=BI15,1,0)</f>
        <v>0</v>
      </c>
      <c r="BG15" s="53" t="s">
        <v>142</v>
      </c>
      <c r="BH15" s="26" t="n">
        <v>40</v>
      </c>
      <c r="BI15" s="52" t="n">
        <v>20</v>
      </c>
      <c r="BJ15" s="48"/>
      <c r="BK15" s="26"/>
      <c r="BL15" s="53"/>
      <c r="BM15" s="26"/>
      <c r="BN15" s="48"/>
      <c r="BO15" s="69" t="n">
        <f aca="false">IF($F$5=BQ15,1,0)</f>
        <v>0</v>
      </c>
      <c r="BP15" s="53" t="s">
        <v>81</v>
      </c>
      <c r="BQ15" s="52" t="n">
        <v>200</v>
      </c>
      <c r="BR15" s="48"/>
      <c r="BS15" s="69" t="n">
        <f aca="false">IF($F$5=BU15,1,0)</f>
        <v>0</v>
      </c>
      <c r="BT15" s="53" t="s">
        <v>81</v>
      </c>
      <c r="BU15" s="52" t="n">
        <v>200</v>
      </c>
      <c r="BV15" s="48"/>
      <c r="BW15" s="26" t="n">
        <f aca="false">IF($F$12=BY15,1,0)</f>
        <v>0</v>
      </c>
      <c r="BX15" s="53" t="s">
        <v>142</v>
      </c>
      <c r="BY15" s="26" t="n">
        <v>200</v>
      </c>
      <c r="BZ15" s="48"/>
      <c r="CA15" s="26" t="n">
        <f aca="false">IF($F$16=CC15,1,0)</f>
        <v>0</v>
      </c>
      <c r="CB15" s="53" t="s">
        <v>142</v>
      </c>
      <c r="CC15" s="26" t="n">
        <v>200</v>
      </c>
      <c r="CD15" s="48"/>
      <c r="CE15" s="26"/>
      <c r="CF15" s="53"/>
      <c r="CG15" s="26"/>
      <c r="CH15" s="48"/>
      <c r="CI15" s="26"/>
      <c r="CJ15" s="21"/>
      <c r="CK15" s="54"/>
      <c r="CL15" s="54"/>
      <c r="CM15" s="54"/>
      <c r="CN15" s="54"/>
      <c r="CO15" s="50"/>
      <c r="CP15" s="54"/>
      <c r="CQ15" s="54"/>
      <c r="CR15" s="54"/>
      <c r="CS15" s="50"/>
      <c r="CT15" s="48"/>
      <c r="CU15" s="26" t="n">
        <f aca="false">IF($E$9=CW15,1,0)</f>
        <v>0</v>
      </c>
      <c r="CV15" s="53" t="s">
        <v>141</v>
      </c>
      <c r="CW15" s="58" t="s">
        <v>209</v>
      </c>
      <c r="CX15" s="50"/>
      <c r="CY15" s="26"/>
      <c r="CZ15" s="53"/>
      <c r="DA15" s="26"/>
      <c r="DB15" s="50"/>
      <c r="DC15" s="26"/>
      <c r="DD15" s="53"/>
      <c r="DE15" s="52"/>
    </row>
    <row r="16" customFormat="false" ht="15" hidden="false" customHeight="false" outlineLevel="0" collapsed="false">
      <c r="A16" s="55" t="s">
        <v>143</v>
      </c>
      <c r="B16" s="26" t="n">
        <f aca="false">'ОЛ(4)'!U36</f>
        <v>0</v>
      </c>
      <c r="C16" s="26"/>
      <c r="E16" s="0" t="s">
        <v>174</v>
      </c>
      <c r="F16" s="0" t="n">
        <f aca="false">VLOOKUP(1,R4:U17,2,0)</f>
        <v>125</v>
      </c>
      <c r="I16" s="51" t="n">
        <f aca="false">IF($B$11&lt;12,(IF((L16&gt;4)*AND(L16&lt;16),2,0)),IF((L16&gt;4)*AND(L16&lt;20),2,0))</f>
        <v>0</v>
      </c>
      <c r="J16" s="54" t="n">
        <v>250</v>
      </c>
      <c r="K16" s="54" t="n">
        <f aca="false">1/POWER(1.14+2*LOG10((J16/1000)/($K$21/1000)),2)</f>
        <v>0.0233947353976847</v>
      </c>
      <c r="L16" s="54" t="n">
        <f aca="false">0.00638*K16*POWER($F$4,2)/(POWER(J16/1000,5)*$K$20)</f>
        <v>0.0159474763899543</v>
      </c>
      <c r="M16" s="58"/>
      <c r="N16" s="51" t="n">
        <f aca="false">IF((Q16&gt;4)*AND(Q16&lt;16),1,0)</f>
        <v>0</v>
      </c>
      <c r="O16" s="54" t="n">
        <v>250</v>
      </c>
      <c r="P16" s="54" t="n">
        <f aca="false">1/POWER(1.14+2*LOG10((O16/1000)/($K$21/1000)),2)</f>
        <v>0.0233947353976847</v>
      </c>
      <c r="Q16" s="58" t="n">
        <f aca="false">0.00638*P16*POWER($F$11,2)/(POWER(O16/1000,5)*$K$20)</f>
        <v>1.02063848895707</v>
      </c>
      <c r="R16" s="54" t="n">
        <f aca="false">N16</f>
        <v>0</v>
      </c>
      <c r="S16" s="54" t="n">
        <v>200</v>
      </c>
      <c r="T16" s="54"/>
      <c r="U16" s="58"/>
      <c r="W16" s="51"/>
      <c r="X16" s="54"/>
      <c r="Y16" s="54"/>
      <c r="Z16" s="51" t="n">
        <f aca="false">IF(AB16&gt;$X$5,1,0)</f>
        <v>1</v>
      </c>
      <c r="AA16" s="63" t="n">
        <v>80</v>
      </c>
      <c r="AB16" s="58" t="n">
        <v>80</v>
      </c>
      <c r="AC16" s="51" t="n">
        <f aca="false">IF(AE16&gt;$X$5,1,0)</f>
        <v>1</v>
      </c>
      <c r="AD16" s="63" t="n">
        <v>80</v>
      </c>
      <c r="AE16" s="83" t="n">
        <v>100</v>
      </c>
      <c r="AF16" s="54" t="n">
        <f aca="false">IF(AH16&gt;$X$5,1,0)</f>
        <v>1</v>
      </c>
      <c r="AG16" s="63" t="n">
        <v>150</v>
      </c>
      <c r="AH16" s="58" t="n">
        <v>400</v>
      </c>
      <c r="AY16" s="47"/>
      <c r="AZ16" s="26"/>
      <c r="BA16" s="48"/>
      <c r="BB16" s="26"/>
      <c r="BC16" s="53"/>
      <c r="BD16" s="26"/>
      <c r="BE16" s="50"/>
      <c r="BF16" s="69" t="n">
        <f aca="false">IF($F$7=BI16,1,0)</f>
        <v>1</v>
      </c>
      <c r="BG16" s="53" t="s">
        <v>145</v>
      </c>
      <c r="BH16" s="26" t="n">
        <v>40</v>
      </c>
      <c r="BI16" s="52" t="n">
        <v>25</v>
      </c>
      <c r="BJ16" s="48"/>
      <c r="BK16" s="26"/>
      <c r="BL16" s="53"/>
      <c r="BM16" s="26"/>
      <c r="BN16" s="50"/>
      <c r="BO16" s="51"/>
      <c r="BP16" s="54"/>
      <c r="BQ16" s="58"/>
      <c r="BR16" s="50"/>
      <c r="BS16" s="54"/>
      <c r="BT16" s="54"/>
      <c r="BU16" s="58"/>
      <c r="BV16" s="50"/>
      <c r="BW16" s="54"/>
      <c r="BX16" s="54"/>
      <c r="BY16" s="54"/>
      <c r="BZ16" s="50"/>
      <c r="CA16" s="54"/>
      <c r="CB16" s="54"/>
      <c r="CC16" s="54"/>
      <c r="CD16" s="50"/>
      <c r="CE16" s="54"/>
      <c r="CF16" s="54"/>
      <c r="CG16" s="54"/>
      <c r="CH16" s="50"/>
      <c r="CI16" s="26"/>
      <c r="CJ16" s="54"/>
      <c r="CK16" s="54"/>
      <c r="CL16" s="54"/>
      <c r="CM16" s="54"/>
      <c r="CN16" s="54"/>
      <c r="CO16" s="50"/>
      <c r="CP16" s="54"/>
      <c r="CQ16" s="54"/>
      <c r="CR16" s="54"/>
      <c r="CS16" s="50"/>
      <c r="CT16" s="50"/>
      <c r="CU16" s="26" t="n">
        <f aca="false">IF($E$9=CW16,1,0)</f>
        <v>0</v>
      </c>
      <c r="CV16" s="53" t="s">
        <v>142</v>
      </c>
      <c r="CW16" s="58" t="s">
        <v>210</v>
      </c>
      <c r="CX16" s="50"/>
      <c r="CY16" s="54"/>
      <c r="CZ16" s="54"/>
      <c r="DA16" s="54"/>
      <c r="DB16" s="50"/>
      <c r="DC16" s="54"/>
      <c r="DD16" s="54"/>
      <c r="DE16" s="58"/>
    </row>
    <row r="17" customFormat="false" ht="15" hidden="false" customHeight="false" outlineLevel="0" collapsed="false">
      <c r="A17" s="55" t="s">
        <v>69</v>
      </c>
      <c r="B17" s="26" t="n">
        <f aca="false">'ОЛ(4)'!AA36</f>
        <v>0</v>
      </c>
      <c r="C17" s="26"/>
      <c r="E17" s="0" t="s">
        <v>56</v>
      </c>
      <c r="F17" s="114" t="n">
        <f aca="false">F15</f>
        <v>3.98742857142857</v>
      </c>
      <c r="I17" s="51" t="n">
        <f aca="false">IF($B$11&lt;12,(IF((L17&gt;4)*AND(L17&lt;16),2,0)),IF((L17&gt;4)*AND(L17&lt;20),2,0))</f>
        <v>0</v>
      </c>
      <c r="J17" s="54" t="n">
        <v>300</v>
      </c>
      <c r="K17" s="54" t="n">
        <f aca="false">1/POWER(1.14+2*LOG10((J17/1000)/($K$21/1000)),2)</f>
        <v>0.0223012841491152</v>
      </c>
      <c r="L17" s="54" t="n">
        <f aca="false">0.00638*K17*POWER($F$4,2)/(POWER(J17/1000,5)*$K$20)</f>
        <v>0.0061093846771091</v>
      </c>
      <c r="M17" s="58"/>
      <c r="N17" s="51" t="n">
        <f aca="false">IF((Q17&gt;4)*AND(Q17&lt;16),1,0)</f>
        <v>0</v>
      </c>
      <c r="O17" s="54" t="n">
        <v>300</v>
      </c>
      <c r="P17" s="54" t="n">
        <f aca="false">1/POWER(1.14+2*LOG10((O17/1000)/($K$21/1000)),2)</f>
        <v>0.0223012841491152</v>
      </c>
      <c r="Q17" s="58" t="n">
        <f aca="false">0.00638*P17*POWER($F$11,2)/(POWER(O17/1000,5)*$K$20)</f>
        <v>0.391000619334982</v>
      </c>
      <c r="R17" s="54" t="n">
        <f aca="false">N17</f>
        <v>0</v>
      </c>
      <c r="S17" s="54" t="n">
        <v>250</v>
      </c>
      <c r="T17" s="54"/>
      <c r="U17" s="58"/>
      <c r="W17" s="51"/>
      <c r="X17" s="54"/>
      <c r="Y17" s="54"/>
      <c r="Z17" s="51" t="n">
        <f aca="false">IF(AB17&gt;$X$5,1,0)</f>
        <v>1</v>
      </c>
      <c r="AA17" s="63" t="n">
        <v>80</v>
      </c>
      <c r="AB17" s="58" t="n">
        <v>100</v>
      </c>
      <c r="AC17" s="77" t="n">
        <f aca="false">IF(AE17&gt;$X$5,1,0)</f>
        <v>1</v>
      </c>
      <c r="AD17" s="63" t="n">
        <v>100</v>
      </c>
      <c r="AE17" s="83" t="n">
        <v>125</v>
      </c>
      <c r="AF17" s="54"/>
      <c r="AG17" s="54"/>
      <c r="AH17" s="58"/>
      <c r="AY17" s="47"/>
      <c r="AZ17" s="26"/>
      <c r="BA17" s="48"/>
      <c r="BB17" s="26"/>
      <c r="BC17" s="53"/>
      <c r="BD17" s="26"/>
      <c r="BE17" s="50"/>
      <c r="BF17" s="69" t="n">
        <f aca="false">IF($F$7=BI17,1,0)</f>
        <v>0</v>
      </c>
      <c r="BG17" s="53" t="s">
        <v>146</v>
      </c>
      <c r="BH17" s="26" t="n">
        <v>50</v>
      </c>
      <c r="BI17" s="52" t="n">
        <v>31.5</v>
      </c>
      <c r="BJ17" s="48"/>
      <c r="BK17" s="26"/>
      <c r="BL17" s="53"/>
      <c r="BM17" s="26"/>
      <c r="BN17" s="50"/>
      <c r="BO17" s="51"/>
      <c r="BP17" s="54"/>
      <c r="BQ17" s="58"/>
      <c r="BR17" s="50"/>
      <c r="BS17" s="54"/>
      <c r="BT17" s="54"/>
      <c r="BU17" s="58"/>
      <c r="BV17" s="50"/>
      <c r="BW17" s="54"/>
      <c r="BX17" s="54"/>
      <c r="BY17" s="54"/>
      <c r="BZ17" s="50"/>
      <c r="CA17" s="54"/>
      <c r="CB17" s="54"/>
      <c r="CC17" s="54"/>
      <c r="CD17" s="50"/>
      <c r="CE17" s="54"/>
      <c r="CF17" s="54"/>
      <c r="CG17" s="54"/>
      <c r="CH17" s="50"/>
      <c r="CI17" s="26"/>
      <c r="CJ17" s="54"/>
      <c r="CK17" s="54"/>
      <c r="CL17" s="54"/>
      <c r="CM17" s="54"/>
      <c r="CN17" s="54"/>
      <c r="CO17" s="50"/>
      <c r="CP17" s="54"/>
      <c r="CQ17" s="54"/>
      <c r="CR17" s="54"/>
      <c r="CS17" s="50"/>
      <c r="CT17" s="50"/>
      <c r="CU17" s="26" t="n">
        <f aca="false">IF($E$9=CW17,1,0)</f>
        <v>0</v>
      </c>
      <c r="CV17" s="53" t="s">
        <v>145</v>
      </c>
      <c r="CW17" s="58" t="s">
        <v>211</v>
      </c>
      <c r="CX17" s="50"/>
      <c r="CY17" s="54"/>
      <c r="CZ17" s="54"/>
      <c r="DA17" s="54"/>
      <c r="DB17" s="50"/>
      <c r="DC17" s="54"/>
      <c r="DD17" s="54"/>
      <c r="DE17" s="58"/>
    </row>
    <row r="18" customFormat="false" ht="15" hidden="false" customHeight="false" outlineLevel="0" collapsed="false">
      <c r="A18" s="55"/>
      <c r="C18" s="72"/>
      <c r="E18" s="26" t="e">
        <f aca="false">VLOOKUP(1,IF(B15="Stratos-Z",AK4:AL8,IF(B15="Yonos MAXO-Z",AM4:AN8,0)),2,0)</f>
        <v>#VALUE!</v>
      </c>
      <c r="F18" s="26"/>
      <c r="I18" s="51"/>
      <c r="J18" s="54"/>
      <c r="K18" s="54"/>
      <c r="L18" s="54"/>
      <c r="M18" s="58"/>
      <c r="N18" s="51"/>
      <c r="O18" s="54"/>
      <c r="P18" s="54"/>
      <c r="Q18" s="58"/>
      <c r="R18" s="54"/>
      <c r="S18" s="54"/>
      <c r="T18" s="54"/>
      <c r="U18" s="58"/>
      <c r="W18" s="51"/>
      <c r="X18" s="54"/>
      <c r="Y18" s="54"/>
      <c r="Z18" s="77" t="n">
        <f aca="false">IF(AB18&gt;$X$5,1,0)</f>
        <v>1</v>
      </c>
      <c r="AA18" s="63" t="n">
        <v>100</v>
      </c>
      <c r="AB18" s="58" t="n">
        <v>125</v>
      </c>
      <c r="AC18" s="77" t="n">
        <f aca="false">IF(AE18&gt;$X$5,1,0)</f>
        <v>1</v>
      </c>
      <c r="AD18" s="63" t="n">
        <v>100</v>
      </c>
      <c r="AE18" s="83" t="n">
        <v>160</v>
      </c>
      <c r="AF18" s="54"/>
      <c r="AG18" s="54"/>
      <c r="AH18" s="58"/>
      <c r="AY18" s="47"/>
      <c r="AZ18" s="26"/>
      <c r="BA18" s="48"/>
      <c r="BB18" s="26"/>
      <c r="BC18" s="53"/>
      <c r="BD18" s="26"/>
      <c r="BE18" s="50"/>
      <c r="BF18" s="69" t="n">
        <f aca="false">IF($F$7=BI18,1,0)</f>
        <v>0</v>
      </c>
      <c r="BG18" s="53" t="s">
        <v>148</v>
      </c>
      <c r="BH18" s="26" t="n">
        <v>50</v>
      </c>
      <c r="BI18" s="52" t="n">
        <v>40</v>
      </c>
      <c r="BJ18" s="48"/>
      <c r="BK18" s="26"/>
      <c r="BL18" s="53"/>
      <c r="BM18" s="26"/>
      <c r="BN18" s="50"/>
      <c r="BO18" s="51"/>
      <c r="BP18" s="54"/>
      <c r="BQ18" s="58"/>
      <c r="BR18" s="50"/>
      <c r="BS18" s="54"/>
      <c r="BT18" s="54"/>
      <c r="BU18" s="58"/>
      <c r="BV18" s="50"/>
      <c r="BW18" s="54"/>
      <c r="BX18" s="54"/>
      <c r="BY18" s="54"/>
      <c r="BZ18" s="50"/>
      <c r="CA18" s="54"/>
      <c r="CB18" s="54"/>
      <c r="CC18" s="54"/>
      <c r="CD18" s="50"/>
      <c r="CE18" s="54"/>
      <c r="CF18" s="54"/>
      <c r="CG18" s="54"/>
      <c r="CH18" s="50"/>
      <c r="CI18" s="26"/>
      <c r="CJ18" s="54"/>
      <c r="CK18" s="54"/>
      <c r="CL18" s="54"/>
      <c r="CM18" s="54"/>
      <c r="CN18" s="54"/>
      <c r="CO18" s="50"/>
      <c r="CP18" s="54"/>
      <c r="CQ18" s="54"/>
      <c r="CR18" s="54"/>
      <c r="CS18" s="50"/>
      <c r="CT18" s="50"/>
      <c r="CU18" s="26" t="n">
        <f aca="false">IF($E$9=CW18,1,0)</f>
        <v>0</v>
      </c>
      <c r="CV18" s="53" t="s">
        <v>146</v>
      </c>
      <c r="CW18" s="58" t="s">
        <v>212</v>
      </c>
      <c r="CX18" s="50"/>
      <c r="CY18" s="54"/>
      <c r="CZ18" s="54"/>
      <c r="DA18" s="54"/>
      <c r="DB18" s="50"/>
      <c r="DC18" s="54"/>
      <c r="DD18" s="54"/>
      <c r="DE18" s="58"/>
    </row>
    <row r="19" customFormat="false" ht="15" hidden="false" customHeight="false" outlineLevel="0" collapsed="false">
      <c r="A19" s="55"/>
      <c r="C19" s="72"/>
      <c r="I19" s="51"/>
      <c r="J19" s="95"/>
      <c r="K19" s="54"/>
      <c r="L19" s="54"/>
      <c r="M19" s="58"/>
      <c r="N19" s="51"/>
      <c r="O19" s="54"/>
      <c r="P19" s="54"/>
      <c r="Q19" s="58"/>
      <c r="R19" s="54"/>
      <c r="S19" s="54"/>
      <c r="T19" s="54"/>
      <c r="U19" s="58"/>
      <c r="W19" s="51"/>
      <c r="X19" s="54"/>
      <c r="Y19" s="54"/>
      <c r="Z19" s="77" t="n">
        <f aca="false">IF(AB19&gt;$X$5,1,0)</f>
        <v>1</v>
      </c>
      <c r="AA19" s="54" t="n">
        <v>100</v>
      </c>
      <c r="AB19" s="58" t="n">
        <v>160</v>
      </c>
      <c r="AC19" s="77" t="n">
        <f aca="false">IF(AE19&gt;$X$5,1,0)</f>
        <v>1</v>
      </c>
      <c r="AD19" s="63" t="n">
        <v>125</v>
      </c>
      <c r="AE19" s="83" t="n">
        <v>200</v>
      </c>
      <c r="AF19" s="54"/>
      <c r="AG19" s="54"/>
      <c r="AH19" s="58"/>
      <c r="AY19" s="47"/>
      <c r="AZ19" s="26"/>
      <c r="BA19" s="48"/>
      <c r="BB19" s="26"/>
      <c r="BC19" s="53"/>
      <c r="BD19" s="26"/>
      <c r="BE19" s="50"/>
      <c r="BF19" s="69" t="n">
        <f aca="false">IF($F$7=BI19,1,0)</f>
        <v>0</v>
      </c>
      <c r="BG19" s="53" t="s">
        <v>149</v>
      </c>
      <c r="BH19" s="26" t="n">
        <v>65</v>
      </c>
      <c r="BI19" s="52" t="n">
        <v>50</v>
      </c>
      <c r="BJ19" s="48"/>
      <c r="BK19" s="26"/>
      <c r="BL19" s="53"/>
      <c r="BM19" s="26"/>
      <c r="BN19" s="50"/>
      <c r="BO19" s="51"/>
      <c r="BP19" s="54"/>
      <c r="BQ19" s="58"/>
      <c r="BR19" s="50"/>
      <c r="BS19" s="54"/>
      <c r="BT19" s="54"/>
      <c r="BU19" s="58"/>
      <c r="BV19" s="50"/>
      <c r="BW19" s="54"/>
      <c r="BX19" s="54"/>
      <c r="BY19" s="54"/>
      <c r="BZ19" s="50"/>
      <c r="CA19" s="54"/>
      <c r="CB19" s="54"/>
      <c r="CC19" s="54"/>
      <c r="CD19" s="50"/>
      <c r="CE19" s="54"/>
      <c r="CF19" s="54"/>
      <c r="CG19" s="54"/>
      <c r="CH19" s="50"/>
      <c r="CI19" s="54"/>
      <c r="CJ19" s="54"/>
      <c r="CK19" s="54"/>
      <c r="CL19" s="54"/>
      <c r="CM19" s="54"/>
      <c r="CN19" s="54"/>
      <c r="CO19" s="50"/>
      <c r="CP19" s="54"/>
      <c r="CQ19" s="54"/>
      <c r="CR19" s="54"/>
      <c r="CS19" s="50"/>
      <c r="CT19" s="50"/>
      <c r="CU19" s="26" t="n">
        <f aca="false">IF($E$9=CW19,1,0)</f>
        <v>0</v>
      </c>
      <c r="CV19" s="53" t="s">
        <v>148</v>
      </c>
      <c r="CW19" s="58" t="s">
        <v>213</v>
      </c>
      <c r="CX19" s="50"/>
      <c r="CY19" s="54"/>
      <c r="CZ19" s="54"/>
      <c r="DA19" s="54"/>
      <c r="DB19" s="50"/>
      <c r="DC19" s="54"/>
      <c r="DD19" s="54"/>
      <c r="DE19" s="58"/>
    </row>
    <row r="20" customFormat="false" ht="15" hidden="false" customHeight="false" outlineLevel="0" collapsed="false">
      <c r="A20" s="55"/>
      <c r="C20" s="72"/>
      <c r="I20" s="51"/>
      <c r="J20" s="95" t="s">
        <v>150</v>
      </c>
      <c r="K20" s="54" t="n">
        <v>958.4</v>
      </c>
      <c r="L20" s="54"/>
      <c r="M20" s="58"/>
      <c r="N20" s="51"/>
      <c r="O20" s="54"/>
      <c r="P20" s="54"/>
      <c r="Q20" s="58"/>
      <c r="R20" s="54"/>
      <c r="S20" s="54"/>
      <c r="T20" s="54"/>
      <c r="U20" s="58"/>
      <c r="W20" s="51"/>
      <c r="X20" s="54"/>
      <c r="Y20" s="54"/>
      <c r="Z20" s="77" t="n">
        <f aca="false">IF(AB20&gt;$X$5,1,0)</f>
        <v>1</v>
      </c>
      <c r="AA20" s="54" t="n">
        <v>125</v>
      </c>
      <c r="AB20" s="58" t="n">
        <v>250</v>
      </c>
      <c r="AC20" s="77" t="n">
        <f aca="false">IF(AE20&gt;$X$5,1,0)</f>
        <v>1</v>
      </c>
      <c r="AD20" s="63" t="n">
        <v>125</v>
      </c>
      <c r="AE20" s="83" t="n">
        <v>250</v>
      </c>
      <c r="AF20" s="54"/>
      <c r="AG20" s="54"/>
      <c r="AH20" s="58"/>
      <c r="AY20" s="47"/>
      <c r="AZ20" s="26"/>
      <c r="BA20" s="48"/>
      <c r="BB20" s="26"/>
      <c r="BC20" s="53"/>
      <c r="BD20" s="26"/>
      <c r="BE20" s="50"/>
      <c r="BF20" s="69" t="n">
        <f aca="false">IF($F$7=BI20,1,0)</f>
        <v>0</v>
      </c>
      <c r="BG20" s="53" t="s">
        <v>151</v>
      </c>
      <c r="BH20" s="26" t="n">
        <v>65</v>
      </c>
      <c r="BI20" s="52" t="n">
        <v>63</v>
      </c>
      <c r="BJ20" s="48"/>
      <c r="BK20" s="26"/>
      <c r="BL20" s="53"/>
      <c r="BM20" s="26"/>
      <c r="BN20" s="50"/>
      <c r="BO20" s="51"/>
      <c r="BP20" s="54"/>
      <c r="BQ20" s="58"/>
      <c r="BR20" s="50"/>
      <c r="BS20" s="54"/>
      <c r="BT20" s="54"/>
      <c r="BU20" s="58"/>
      <c r="BV20" s="50"/>
      <c r="BW20" s="54"/>
      <c r="BX20" s="54"/>
      <c r="BY20" s="54"/>
      <c r="BZ20" s="50"/>
      <c r="CA20" s="54"/>
      <c r="CB20" s="54"/>
      <c r="CC20" s="54"/>
      <c r="CD20" s="50"/>
      <c r="CE20" s="54"/>
      <c r="CF20" s="54"/>
      <c r="CG20" s="54"/>
      <c r="CH20" s="50"/>
      <c r="CI20" s="54"/>
      <c r="CJ20" s="54"/>
      <c r="CK20" s="54"/>
      <c r="CL20" s="54"/>
      <c r="CM20" s="54"/>
      <c r="CN20" s="54"/>
      <c r="CO20" s="50"/>
      <c r="CP20" s="54"/>
      <c r="CQ20" s="54"/>
      <c r="CR20" s="54"/>
      <c r="CS20" s="50"/>
      <c r="CT20" s="50"/>
      <c r="CU20" s="54"/>
      <c r="CV20" s="54"/>
      <c r="CW20" s="54"/>
      <c r="CX20" s="50"/>
      <c r="CY20" s="54"/>
      <c r="CZ20" s="54"/>
      <c r="DA20" s="54"/>
      <c r="DB20" s="50"/>
      <c r="DC20" s="54"/>
      <c r="DD20" s="54"/>
      <c r="DE20" s="58"/>
    </row>
    <row r="21" customFormat="false" ht="15.75" hidden="false" customHeight="false" outlineLevel="0" collapsed="false">
      <c r="I21" s="91"/>
      <c r="J21" s="96" t="s">
        <v>152</v>
      </c>
      <c r="K21" s="92" t="n">
        <v>0.5</v>
      </c>
      <c r="L21" s="92"/>
      <c r="M21" s="94"/>
      <c r="N21" s="91"/>
      <c r="O21" s="92"/>
      <c r="P21" s="92"/>
      <c r="Q21" s="94"/>
      <c r="R21" s="92"/>
      <c r="S21" s="92"/>
      <c r="T21" s="92"/>
      <c r="U21" s="94"/>
      <c r="W21" s="51"/>
      <c r="X21" s="54"/>
      <c r="Y21" s="54"/>
      <c r="Z21" s="77" t="n">
        <f aca="false">IF(AB21&gt;$X$5,1,0)</f>
        <v>1</v>
      </c>
      <c r="AA21" s="54" t="n">
        <v>150</v>
      </c>
      <c r="AB21" s="58" t="n">
        <v>315</v>
      </c>
      <c r="AC21" s="77" t="n">
        <f aca="false">IF(AE21&gt;$X$5,1,0)</f>
        <v>1</v>
      </c>
      <c r="AD21" s="63" t="n">
        <v>150</v>
      </c>
      <c r="AE21" s="83" t="n">
        <v>315</v>
      </c>
      <c r="AF21" s="54"/>
      <c r="AG21" s="54"/>
      <c r="AH21" s="58"/>
      <c r="AY21" s="47"/>
      <c r="AZ21" s="26"/>
      <c r="BA21" s="48"/>
      <c r="BB21" s="26"/>
      <c r="BC21" s="53"/>
      <c r="BD21" s="26"/>
      <c r="BE21" s="50"/>
      <c r="BF21" s="69" t="n">
        <f aca="false">IF($F$7=BI21,1,0)</f>
        <v>0</v>
      </c>
      <c r="BG21" s="53" t="s">
        <v>153</v>
      </c>
      <c r="BH21" s="26" t="n">
        <v>80</v>
      </c>
      <c r="BI21" s="52" t="n">
        <v>80</v>
      </c>
      <c r="BJ21" s="48"/>
      <c r="BK21" s="26"/>
      <c r="BL21" s="53"/>
      <c r="BM21" s="26"/>
      <c r="BN21" s="50"/>
      <c r="BO21" s="51"/>
      <c r="BP21" s="54"/>
      <c r="BQ21" s="58"/>
      <c r="BR21" s="50"/>
      <c r="BS21" s="54"/>
      <c r="BT21" s="54"/>
      <c r="BU21" s="58"/>
      <c r="BV21" s="50"/>
      <c r="BW21" s="54"/>
      <c r="BX21" s="54"/>
      <c r="BY21" s="54"/>
      <c r="BZ21" s="50"/>
      <c r="CA21" s="54"/>
      <c r="CB21" s="54"/>
      <c r="CC21" s="54"/>
      <c r="CD21" s="50"/>
      <c r="CE21" s="54"/>
      <c r="CF21" s="54"/>
      <c r="CG21" s="54"/>
      <c r="CH21" s="50"/>
      <c r="CI21" s="54"/>
      <c r="CJ21" s="54"/>
      <c r="CK21" s="54"/>
      <c r="CL21" s="54"/>
      <c r="CM21" s="54"/>
      <c r="CN21" s="54"/>
      <c r="CO21" s="50"/>
      <c r="CP21" s="54"/>
      <c r="CQ21" s="54"/>
      <c r="CR21" s="54"/>
      <c r="CS21" s="50"/>
      <c r="CT21" s="50"/>
      <c r="CU21" s="54"/>
      <c r="CV21" s="54"/>
      <c r="CW21" s="54"/>
      <c r="CX21" s="50"/>
      <c r="CY21" s="54"/>
      <c r="CZ21" s="54"/>
      <c r="DA21" s="54"/>
      <c r="DB21" s="50"/>
      <c r="DC21" s="54"/>
      <c r="DD21" s="54"/>
      <c r="DE21" s="58"/>
    </row>
    <row r="22" customFormat="false" ht="15.75" hidden="false" customHeight="false" outlineLevel="0" collapsed="false">
      <c r="I22" s="54"/>
      <c r="J22" s="95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W22" s="91"/>
      <c r="X22" s="92"/>
      <c r="Y22" s="92"/>
      <c r="Z22" s="91"/>
      <c r="AA22" s="92"/>
      <c r="AB22" s="94"/>
      <c r="AC22" s="87" t="n">
        <f aca="false">IF(AE22&gt;$X$5,1,0)</f>
        <v>1</v>
      </c>
      <c r="AD22" s="97" t="n">
        <v>150</v>
      </c>
      <c r="AE22" s="98" t="n">
        <v>400</v>
      </c>
      <c r="AF22" s="92"/>
      <c r="AG22" s="92"/>
      <c r="AH22" s="94"/>
      <c r="AY22" s="47"/>
      <c r="AZ22" s="26"/>
      <c r="BA22" s="48"/>
      <c r="BB22" s="26"/>
      <c r="BC22" s="53"/>
      <c r="BD22" s="26"/>
      <c r="BE22" s="50"/>
      <c r="BF22" s="69" t="n">
        <f aca="false">IF($F$7=BI22,1,0)</f>
        <v>0</v>
      </c>
      <c r="BG22" s="53" t="s">
        <v>154</v>
      </c>
      <c r="BH22" s="26" t="n">
        <v>80</v>
      </c>
      <c r="BI22" s="52" t="n">
        <v>100</v>
      </c>
      <c r="BJ22" s="48"/>
      <c r="BK22" s="26"/>
      <c r="BL22" s="53"/>
      <c r="BM22" s="26"/>
      <c r="BN22" s="50"/>
      <c r="BO22" s="51"/>
      <c r="BP22" s="54"/>
      <c r="BQ22" s="58"/>
      <c r="BR22" s="50"/>
      <c r="BS22" s="54"/>
      <c r="BT22" s="54"/>
      <c r="BU22" s="58"/>
      <c r="BV22" s="50"/>
      <c r="BW22" s="54"/>
      <c r="BX22" s="54"/>
      <c r="BY22" s="54"/>
      <c r="BZ22" s="50"/>
      <c r="CA22" s="54"/>
      <c r="CB22" s="54"/>
      <c r="CC22" s="54"/>
      <c r="CD22" s="50"/>
      <c r="CE22" s="54"/>
      <c r="CF22" s="54"/>
      <c r="CG22" s="54"/>
      <c r="CH22" s="50"/>
      <c r="CI22" s="54"/>
      <c r="CJ22" s="54"/>
      <c r="CK22" s="54"/>
      <c r="CL22" s="54"/>
      <c r="CM22" s="54"/>
      <c r="CN22" s="54"/>
      <c r="CO22" s="50"/>
      <c r="CP22" s="54"/>
      <c r="CQ22" s="54"/>
      <c r="CR22" s="54"/>
      <c r="CS22" s="50"/>
      <c r="CT22" s="50"/>
      <c r="CU22" s="54"/>
      <c r="CV22" s="54"/>
      <c r="CW22" s="54"/>
      <c r="CX22" s="50"/>
      <c r="CY22" s="54"/>
      <c r="CZ22" s="54"/>
      <c r="DA22" s="54"/>
      <c r="DB22" s="50"/>
      <c r="DC22" s="54"/>
      <c r="DD22" s="54"/>
      <c r="DE22" s="58"/>
    </row>
    <row r="23" customFormat="false" ht="15" hidden="false" customHeight="false" outlineLevel="0" collapsed="false">
      <c r="AY23" s="47"/>
      <c r="AZ23" s="26"/>
      <c r="BA23" s="48"/>
      <c r="BB23" s="26"/>
      <c r="BC23" s="53"/>
      <c r="BD23" s="26"/>
      <c r="BE23" s="50"/>
      <c r="BF23" s="69" t="n">
        <f aca="false">IF($F$7=BI23,1,0)</f>
        <v>0</v>
      </c>
      <c r="BG23" s="53" t="s">
        <v>155</v>
      </c>
      <c r="BH23" s="26" t="n">
        <v>100</v>
      </c>
      <c r="BI23" s="52" t="n">
        <v>125</v>
      </c>
      <c r="BJ23" s="48"/>
      <c r="BK23" s="26"/>
      <c r="BL23" s="53"/>
      <c r="BM23" s="26"/>
      <c r="BN23" s="50"/>
      <c r="BO23" s="51"/>
      <c r="BP23" s="54"/>
      <c r="BQ23" s="58"/>
      <c r="BR23" s="50"/>
      <c r="BS23" s="54"/>
      <c r="BT23" s="54"/>
      <c r="BU23" s="58"/>
      <c r="BV23" s="50"/>
      <c r="BW23" s="54"/>
      <c r="BX23" s="54"/>
      <c r="BY23" s="54"/>
      <c r="BZ23" s="50"/>
      <c r="CA23" s="54"/>
      <c r="CB23" s="54"/>
      <c r="CC23" s="54"/>
      <c r="CD23" s="50"/>
      <c r="CE23" s="54"/>
      <c r="CF23" s="54"/>
      <c r="CG23" s="54"/>
      <c r="CH23" s="50"/>
      <c r="CI23" s="54"/>
      <c r="CJ23" s="54"/>
      <c r="CK23" s="54"/>
      <c r="CL23" s="54"/>
      <c r="CM23" s="54"/>
      <c r="CN23" s="54"/>
      <c r="CO23" s="50"/>
      <c r="CP23" s="54"/>
      <c r="CQ23" s="54"/>
      <c r="CR23" s="54"/>
      <c r="CS23" s="50"/>
      <c r="CT23" s="50"/>
      <c r="CU23" s="54"/>
      <c r="CV23" s="54"/>
      <c r="CW23" s="54"/>
      <c r="CX23" s="50"/>
      <c r="CY23" s="54"/>
      <c r="CZ23" s="54"/>
      <c r="DA23" s="54"/>
      <c r="DB23" s="50"/>
      <c r="DC23" s="54"/>
      <c r="DD23" s="54"/>
      <c r="DE23" s="58"/>
    </row>
    <row r="24" customFormat="false" ht="15" hidden="false" customHeight="false" outlineLevel="0" collapsed="false">
      <c r="AY24" s="47"/>
      <c r="AZ24" s="26"/>
      <c r="BA24" s="48"/>
      <c r="BB24" s="26"/>
      <c r="BC24" s="53"/>
      <c r="BD24" s="26"/>
      <c r="BE24" s="50"/>
      <c r="BF24" s="69" t="n">
        <f aca="false">IF($F$7=BI24,1,0)</f>
        <v>0</v>
      </c>
      <c r="BG24" s="53" t="s">
        <v>156</v>
      </c>
      <c r="BH24" s="26" t="n">
        <v>100</v>
      </c>
      <c r="BI24" s="52" t="n">
        <v>160</v>
      </c>
      <c r="BJ24" s="48"/>
      <c r="BK24" s="26"/>
      <c r="BL24" s="53"/>
      <c r="BM24" s="26"/>
      <c r="BN24" s="50"/>
      <c r="BO24" s="51"/>
      <c r="BP24" s="54"/>
      <c r="BQ24" s="58"/>
      <c r="BR24" s="50"/>
      <c r="BS24" s="54"/>
      <c r="BT24" s="54"/>
      <c r="BU24" s="58"/>
      <c r="BV24" s="50"/>
      <c r="BW24" s="54"/>
      <c r="BX24" s="54"/>
      <c r="BY24" s="54"/>
      <c r="BZ24" s="50"/>
      <c r="CA24" s="54"/>
      <c r="CB24" s="54"/>
      <c r="CC24" s="54"/>
      <c r="CD24" s="50"/>
      <c r="CE24" s="54"/>
      <c r="CF24" s="54"/>
      <c r="CG24" s="54"/>
      <c r="CH24" s="50"/>
      <c r="CI24" s="54"/>
      <c r="CJ24" s="54"/>
      <c r="CK24" s="54"/>
      <c r="CL24" s="54"/>
      <c r="CM24" s="54"/>
      <c r="CN24" s="54"/>
      <c r="CO24" s="50"/>
      <c r="CP24" s="54"/>
      <c r="CQ24" s="54"/>
      <c r="CR24" s="54"/>
      <c r="CS24" s="50"/>
      <c r="CT24" s="50"/>
      <c r="CU24" s="54"/>
      <c r="CV24" s="54"/>
      <c r="CW24" s="54"/>
      <c r="CX24" s="50"/>
      <c r="CY24" s="54"/>
      <c r="CZ24" s="54"/>
      <c r="DA24" s="54"/>
      <c r="DB24" s="50"/>
      <c r="DC24" s="54"/>
      <c r="DD24" s="54"/>
      <c r="DE24" s="58"/>
    </row>
    <row r="25" customFormat="false" ht="15" hidden="false" customHeight="false" outlineLevel="0" collapsed="false">
      <c r="AY25" s="47"/>
      <c r="AZ25" s="26"/>
      <c r="BA25" s="48"/>
      <c r="BB25" s="26"/>
      <c r="BC25" s="53"/>
      <c r="BD25" s="26"/>
      <c r="BE25" s="50"/>
      <c r="BF25" s="69" t="n">
        <f aca="false">IF($F$7=BI25,1,0)</f>
        <v>0</v>
      </c>
      <c r="BG25" s="53" t="s">
        <v>157</v>
      </c>
      <c r="BH25" s="26" t="n">
        <v>125</v>
      </c>
      <c r="BI25" s="52" t="n">
        <v>250</v>
      </c>
      <c r="BJ25" s="48"/>
      <c r="BK25" s="26"/>
      <c r="BL25" s="53"/>
      <c r="BM25" s="26"/>
      <c r="BN25" s="50"/>
      <c r="BO25" s="51"/>
      <c r="BP25" s="54"/>
      <c r="BQ25" s="58"/>
      <c r="BR25" s="50"/>
      <c r="BS25" s="54"/>
      <c r="BT25" s="54"/>
      <c r="BU25" s="58"/>
      <c r="BV25" s="50"/>
      <c r="BW25" s="54"/>
      <c r="BX25" s="54"/>
      <c r="BY25" s="54"/>
      <c r="BZ25" s="50"/>
      <c r="CA25" s="54"/>
      <c r="CB25" s="54"/>
      <c r="CC25" s="54"/>
      <c r="CD25" s="50"/>
      <c r="CE25" s="54"/>
      <c r="CF25" s="54"/>
      <c r="CG25" s="54"/>
      <c r="CH25" s="50"/>
      <c r="CI25" s="54"/>
      <c r="CJ25" s="54"/>
      <c r="CK25" s="54"/>
      <c r="CL25" s="54"/>
      <c r="CM25" s="54"/>
      <c r="CN25" s="54"/>
      <c r="CO25" s="50"/>
      <c r="CP25" s="54"/>
      <c r="CQ25" s="54"/>
      <c r="CR25" s="54"/>
      <c r="CS25" s="50"/>
      <c r="CT25" s="50"/>
      <c r="CU25" s="54"/>
      <c r="CV25" s="54"/>
      <c r="CW25" s="54"/>
      <c r="CX25" s="50"/>
      <c r="CY25" s="54"/>
      <c r="CZ25" s="54"/>
      <c r="DA25" s="54"/>
      <c r="DB25" s="50"/>
      <c r="DC25" s="54"/>
      <c r="DD25" s="54"/>
      <c r="DE25" s="58"/>
    </row>
    <row r="26" customFormat="false" ht="15.75" hidden="false" customHeight="false" outlineLevel="0" collapsed="false">
      <c r="AY26" s="99"/>
      <c r="AZ26" s="100"/>
      <c r="BA26" s="101"/>
      <c r="BB26" s="100"/>
      <c r="BC26" s="102"/>
      <c r="BD26" s="100"/>
      <c r="BE26" s="103"/>
      <c r="BF26" s="104" t="n">
        <f aca="false">IF($F$7=BI26,1,0)</f>
        <v>0</v>
      </c>
      <c r="BG26" s="102" t="s">
        <v>158</v>
      </c>
      <c r="BH26" s="100" t="n">
        <v>150</v>
      </c>
      <c r="BI26" s="105" t="n">
        <v>315</v>
      </c>
      <c r="BJ26" s="101"/>
      <c r="BK26" s="100"/>
      <c r="BL26" s="102"/>
      <c r="BM26" s="100"/>
      <c r="BN26" s="103"/>
      <c r="BO26" s="91"/>
      <c r="BP26" s="92"/>
      <c r="BQ26" s="94"/>
      <c r="BR26" s="103"/>
      <c r="BS26" s="92"/>
      <c r="BT26" s="92"/>
      <c r="BU26" s="94"/>
      <c r="BV26" s="103"/>
      <c r="BW26" s="92"/>
      <c r="BX26" s="92"/>
      <c r="BY26" s="92"/>
      <c r="BZ26" s="103"/>
      <c r="CA26" s="92"/>
      <c r="CB26" s="92"/>
      <c r="CC26" s="92"/>
      <c r="CD26" s="103"/>
      <c r="CE26" s="92"/>
      <c r="CF26" s="92"/>
      <c r="CG26" s="92"/>
      <c r="CH26" s="103"/>
      <c r="CI26" s="92"/>
      <c r="CJ26" s="92"/>
      <c r="CK26" s="92"/>
      <c r="CL26" s="92"/>
      <c r="CM26" s="92"/>
      <c r="CN26" s="92"/>
      <c r="CO26" s="103"/>
      <c r="CP26" s="92"/>
      <c r="CQ26" s="92"/>
      <c r="CR26" s="92"/>
      <c r="CS26" s="103"/>
      <c r="CT26" s="103"/>
      <c r="CU26" s="92"/>
      <c r="CV26" s="92"/>
      <c r="CW26" s="92"/>
      <c r="CX26" s="103"/>
      <c r="CY26" s="92"/>
      <c r="CZ26" s="92"/>
      <c r="DA26" s="92"/>
      <c r="DB26" s="103"/>
      <c r="DC26" s="92"/>
      <c r="DD26" s="92"/>
      <c r="DE26" s="94"/>
    </row>
  </sheetData>
  <mergeCells count="27">
    <mergeCell ref="I2:U2"/>
    <mergeCell ref="W2:AH2"/>
    <mergeCell ref="AJ2:AL2"/>
    <mergeCell ref="AP2:AR2"/>
    <mergeCell ref="AT2:AV2"/>
    <mergeCell ref="AY2:AZ2"/>
    <mergeCell ref="BC2:BD2"/>
    <mergeCell ref="BG2:BI2"/>
    <mergeCell ref="BL2:BM2"/>
    <mergeCell ref="BX2:BY2"/>
    <mergeCell ref="CB2:CC2"/>
    <mergeCell ref="CF2:CG2"/>
    <mergeCell ref="CJ2:CN2"/>
    <mergeCell ref="CP2:CR2"/>
    <mergeCell ref="CU2:CW2"/>
    <mergeCell ref="CY2:DA2"/>
    <mergeCell ref="DC2:DE2"/>
    <mergeCell ref="Z3:AB3"/>
    <mergeCell ref="AC3:AE3"/>
    <mergeCell ref="AF3:AH3"/>
    <mergeCell ref="E9:F9"/>
    <mergeCell ref="E13:F13"/>
    <mergeCell ref="B14:C14"/>
    <mergeCell ref="B15:C15"/>
    <mergeCell ref="B16:C16"/>
    <mergeCell ref="B17:C17"/>
    <mergeCell ref="E18:F18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P9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R9" activeCellId="0" sqref="R9"/>
    </sheetView>
  </sheetViews>
  <sheetFormatPr defaultRowHeight="15" zeroHeight="false" outlineLevelRow="0" outlineLevelCol="0"/>
  <cols>
    <col collapsed="false" customWidth="true" hidden="false" outlineLevel="0" max="1" min="1" style="0" width="6.71"/>
    <col collapsed="false" customWidth="true" hidden="false" outlineLevel="0" max="2" min="2" style="0" width="6.42"/>
    <col collapsed="false" customWidth="true" hidden="false" outlineLevel="0" max="4" min="3" style="0" width="8.67"/>
    <col collapsed="false" customWidth="true" hidden="false" outlineLevel="0" max="5" min="5" style="0" width="4.86"/>
    <col collapsed="false" customWidth="true" hidden="false" outlineLevel="0" max="6" min="6" style="0" width="11.86"/>
    <col collapsed="false" customWidth="true" hidden="false" outlineLevel="0" max="8" min="7" style="0" width="8.67"/>
    <col collapsed="false" customWidth="true" hidden="false" outlineLevel="0" max="9" min="9" style="0" width="4.14"/>
    <col collapsed="false" customWidth="true" hidden="false" outlineLevel="0" max="10" min="10" style="0" width="6.01"/>
    <col collapsed="false" customWidth="true" hidden="false" outlineLevel="0" max="12" min="11" style="0" width="8"/>
    <col collapsed="false" customWidth="true" hidden="false" outlineLevel="0" max="13" min="13" style="0" width="4.71"/>
    <col collapsed="false" customWidth="true" hidden="false" outlineLevel="0" max="14" min="14" style="0" width="2.71"/>
    <col collapsed="false" customWidth="true" hidden="false" outlineLevel="0" max="15" min="15" style="0" width="5.57"/>
    <col collapsed="false" customWidth="true" hidden="false" outlineLevel="0" max="17" min="16" style="0" width="9.14"/>
    <col collapsed="false" customWidth="true" hidden="false" outlineLevel="0" max="18" min="18" style="0" width="3.57"/>
    <col collapsed="false" customWidth="true" hidden="false" outlineLevel="0" max="19" min="19" style="0" width="5.86"/>
    <col collapsed="false" customWidth="true" hidden="false" outlineLevel="0" max="21" min="20" style="0" width="9.14"/>
    <col collapsed="false" customWidth="true" hidden="false" outlineLevel="0" max="22" min="22" style="0" width="4.86"/>
    <col collapsed="false" customWidth="true" hidden="false" outlineLevel="0" max="23" min="23" style="0" width="6.01"/>
    <col collapsed="false" customWidth="true" hidden="false" outlineLevel="0" max="25" min="24" style="0" width="9.14"/>
    <col collapsed="false" customWidth="true" hidden="false" outlineLevel="0" max="26" min="26" style="0" width="4.14"/>
    <col collapsed="false" customWidth="true" hidden="false" outlineLevel="0" max="27" min="27" style="0" width="6.15"/>
    <col collapsed="false" customWidth="true" hidden="false" outlineLevel="0" max="29" min="28" style="0" width="9.14"/>
    <col collapsed="false" customWidth="true" hidden="false" outlineLevel="0" max="30" min="30" style="0" width="9.42"/>
    <col collapsed="false" customWidth="true" hidden="false" outlineLevel="0" max="42" min="31" style="0" width="9.14"/>
    <col collapsed="false" customWidth="true" hidden="false" outlineLevel="0" max="43" min="43" style="0" width="8.67"/>
    <col collapsed="false" customWidth="true" hidden="false" outlineLevel="0" max="44" min="44" style="0" width="9.14"/>
    <col collapsed="false" customWidth="true" hidden="false" outlineLevel="0" max="45" min="45" style="0" width="9.85"/>
    <col collapsed="false" customWidth="true" hidden="false" outlineLevel="0" max="46" min="46" style="0" width="15.71"/>
    <col collapsed="false" customWidth="true" hidden="false" outlineLevel="0" max="47" min="47" style="0" width="11.57"/>
    <col collapsed="false" customWidth="true" hidden="false" outlineLevel="0" max="48" min="48" style="0" width="23.71"/>
    <col collapsed="false" customWidth="true" hidden="false" outlineLevel="0" max="49" min="49" style="0" width="8.67"/>
    <col collapsed="false" customWidth="true" hidden="false" outlineLevel="0" max="50" min="50" style="0" width="9.14"/>
    <col collapsed="false" customWidth="true" hidden="false" outlineLevel="0" max="51" min="51" style="0" width="6.28"/>
    <col collapsed="false" customWidth="true" hidden="false" outlineLevel="0" max="52" min="52" style="0" width="15.29"/>
    <col collapsed="false" customWidth="true" hidden="false" outlineLevel="0" max="58" min="53" style="0" width="8.67"/>
    <col collapsed="false" customWidth="true" hidden="false" outlineLevel="0" max="59" min="59" style="0" width="10.58"/>
    <col collapsed="false" customWidth="true" hidden="false" outlineLevel="0" max="61" min="60" style="0" width="8.67"/>
    <col collapsed="false" customWidth="true" hidden="false" outlineLevel="0" max="62" min="62" style="0" width="4.86"/>
    <col collapsed="false" customWidth="true" hidden="false" outlineLevel="0" max="63" min="63" style="0" width="13.86"/>
    <col collapsed="false" customWidth="true" hidden="false" outlineLevel="0" max="64" min="64" style="0" width="3.29"/>
    <col collapsed="false" customWidth="true" hidden="false" outlineLevel="0" max="65" min="65" style="0" width="11.29"/>
    <col collapsed="false" customWidth="true" hidden="false" outlineLevel="0" max="67" min="66" style="0" width="6.28"/>
    <col collapsed="false" customWidth="true" hidden="false" outlineLevel="0" max="68" min="68" style="0" width="3.57"/>
    <col collapsed="false" customWidth="true" hidden="false" outlineLevel="0" max="69" min="69" style="0" width="8.29"/>
    <col collapsed="false" customWidth="true" hidden="false" outlineLevel="0" max="72" min="70" style="0" width="6.15"/>
    <col collapsed="false" customWidth="true" hidden="false" outlineLevel="0" max="73" min="73" style="0" width="3.29"/>
    <col collapsed="false" customWidth="true" hidden="false" outlineLevel="0" max="74" min="74" style="0" width="9.58"/>
    <col collapsed="false" customWidth="true" hidden="false" outlineLevel="0" max="75" min="75" style="0" width="6.15"/>
    <col collapsed="false" customWidth="true" hidden="false" outlineLevel="0" max="76" min="76" style="0" width="15.29"/>
    <col collapsed="false" customWidth="true" hidden="false" outlineLevel="0" max="77" min="77" style="0" width="3.29"/>
    <col collapsed="false" customWidth="true" hidden="false" outlineLevel="0" max="80" min="78" style="0" width="8.71"/>
    <col collapsed="false" customWidth="true" hidden="false" outlineLevel="0" max="81" min="81" style="0" width="3.29"/>
    <col collapsed="false" customWidth="true" hidden="false" outlineLevel="0" max="84" min="82" style="0" width="8.71"/>
    <col collapsed="false" customWidth="true" hidden="false" outlineLevel="0" max="85" min="85" style="0" width="3.29"/>
    <col collapsed="false" customWidth="true" hidden="false" outlineLevel="0" max="86" min="86" style="0" width="8.71"/>
    <col collapsed="false" customWidth="true" hidden="false" outlineLevel="0" max="88" min="87" style="0" width="6.28"/>
    <col collapsed="false" customWidth="true" hidden="false" outlineLevel="0" max="89" min="89" style="0" width="3.29"/>
    <col collapsed="false" customWidth="true" hidden="false" outlineLevel="0" max="90" min="90" style="0" width="8.71"/>
    <col collapsed="false" customWidth="true" hidden="false" outlineLevel="0" max="92" min="91" style="0" width="6.28"/>
    <col collapsed="false" customWidth="true" hidden="false" outlineLevel="0" max="93" min="93" style="0" width="3.29"/>
    <col collapsed="false" customWidth="true" hidden="false" outlineLevel="0" max="94" min="94" style="0" width="8.71"/>
    <col collapsed="false" customWidth="true" hidden="false" outlineLevel="0" max="95" min="95" style="0" width="6.28"/>
    <col collapsed="false" customWidth="true" hidden="false" outlineLevel="0" max="96" min="96" style="0" width="15"/>
    <col collapsed="false" customWidth="true" hidden="false" outlineLevel="0" max="97" min="97" style="0" width="3.29"/>
    <col collapsed="false" customWidth="true" hidden="false" outlineLevel="0" max="98" min="98" style="0" width="9.58"/>
    <col collapsed="false" customWidth="true" hidden="false" outlineLevel="0" max="99" min="99" style="0" width="6.15"/>
    <col collapsed="false" customWidth="true" hidden="false" outlineLevel="0" max="100" min="100" style="0" width="16.86"/>
    <col collapsed="false" customWidth="true" hidden="false" outlineLevel="0" max="101" min="101" style="0" width="8.57"/>
    <col collapsed="false" customWidth="true" hidden="false" outlineLevel="0" max="102" min="102" style="0" width="7"/>
    <col collapsed="false" customWidth="true" hidden="false" outlineLevel="0" max="103" min="103" style="0" width="25.14"/>
    <col collapsed="false" customWidth="true" hidden="false" outlineLevel="0" max="104" min="104" style="0" width="3.57"/>
    <col collapsed="false" customWidth="true" hidden="false" outlineLevel="0" max="105" min="105" style="0" width="8.57"/>
    <col collapsed="false" customWidth="true" hidden="false" outlineLevel="0" max="106" min="106" style="0" width="5.86"/>
    <col collapsed="false" customWidth="true" hidden="false" outlineLevel="0" max="107" min="107" style="0" width="16.14"/>
    <col collapsed="false" customWidth="true" hidden="false" outlineLevel="0" max="108" min="108" style="0" width="3.71"/>
    <col collapsed="false" customWidth="true" hidden="false" outlineLevel="0" max="109" min="109" style="0" width="3.29"/>
    <col collapsed="false" customWidth="true" hidden="false" outlineLevel="0" max="110" min="110" style="0" width="8.57"/>
    <col collapsed="false" customWidth="true" hidden="false" outlineLevel="0" max="111" min="111" style="0" width="6.28"/>
    <col collapsed="false" customWidth="false" hidden="false" outlineLevel="0" max="112" min="112" style="0" width="11.42"/>
    <col collapsed="false" customWidth="true" hidden="false" outlineLevel="0" max="113" min="113" style="0" width="3.57"/>
    <col collapsed="false" customWidth="true" hidden="false" outlineLevel="0" max="114" min="114" style="0" width="8.71"/>
    <col collapsed="false" customWidth="true" hidden="false" outlineLevel="0" max="115" min="115" style="0" width="6.28"/>
    <col collapsed="false" customWidth="false" hidden="false" outlineLevel="0" max="116" min="116" style="0" width="11.42"/>
    <col collapsed="false" customWidth="true" hidden="false" outlineLevel="0" max="117" min="117" style="0" width="3.57"/>
    <col collapsed="false" customWidth="true" hidden="false" outlineLevel="0" max="118" min="118" style="0" width="8.57"/>
    <col collapsed="false" customWidth="true" hidden="false" outlineLevel="0" max="119" min="119" style="0" width="6.28"/>
    <col collapsed="false" customWidth="true" hidden="false" outlineLevel="0" max="120" min="120" style="0" width="13.7"/>
    <col collapsed="false" customWidth="true" hidden="false" outlineLevel="0" max="1025" min="121" style="0" width="8.67"/>
  </cols>
  <sheetData>
    <row r="1" customFormat="false" ht="15.75" hidden="false" customHeight="false" outlineLevel="0" collapsed="false">
      <c r="AU1" s="92"/>
      <c r="AV1" s="92"/>
    </row>
    <row r="2" customFormat="false" ht="15.75" hidden="false" customHeight="false" outlineLevel="0" collapsed="false">
      <c r="B2" s="0" t="s">
        <v>214</v>
      </c>
      <c r="I2" s="25" t="s">
        <v>30</v>
      </c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E2" s="25" t="s">
        <v>31</v>
      </c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R2" s="42" t="s">
        <v>168</v>
      </c>
      <c r="AS2" s="42"/>
      <c r="AT2" s="42"/>
      <c r="AU2" s="43"/>
      <c r="AV2" s="44"/>
      <c r="AX2" s="25" t="s">
        <v>169</v>
      </c>
      <c r="AY2" s="25"/>
      <c r="AZ2" s="25"/>
      <c r="BB2" s="25" t="s">
        <v>36</v>
      </c>
      <c r="BC2" s="25"/>
      <c r="BD2" s="25"/>
      <c r="BE2" s="25"/>
      <c r="BF2" s="25"/>
      <c r="BG2" s="25"/>
      <c r="BJ2" s="5" t="s">
        <v>37</v>
      </c>
      <c r="BK2" s="5"/>
      <c r="BL2" s="4"/>
      <c r="BM2" s="30"/>
      <c r="BN2" s="31" t="s">
        <v>38</v>
      </c>
      <c r="BO2" s="31"/>
      <c r="BP2" s="32"/>
      <c r="BQ2" s="33"/>
      <c r="BR2" s="34" t="s">
        <v>39</v>
      </c>
      <c r="BS2" s="34"/>
      <c r="BT2" s="34"/>
      <c r="BU2" s="4"/>
      <c r="BV2" s="30"/>
      <c r="BW2" s="31" t="s">
        <v>40</v>
      </c>
      <c r="BX2" s="31"/>
      <c r="BY2" s="4"/>
      <c r="BZ2" s="30"/>
      <c r="CA2" s="30" t="s">
        <v>41</v>
      </c>
      <c r="CB2" s="111"/>
      <c r="CC2" s="4"/>
      <c r="CD2" s="30"/>
      <c r="CE2" s="30" t="s">
        <v>42</v>
      </c>
      <c r="CF2" s="111"/>
      <c r="CG2" s="4"/>
      <c r="CH2" s="30"/>
      <c r="CI2" s="31" t="s">
        <v>43</v>
      </c>
      <c r="CJ2" s="31"/>
      <c r="CK2" s="4"/>
      <c r="CL2" s="30"/>
      <c r="CM2" s="31" t="s">
        <v>44</v>
      </c>
      <c r="CN2" s="31"/>
      <c r="CO2" s="4"/>
      <c r="CP2" s="30"/>
      <c r="CQ2" s="31" t="s">
        <v>45</v>
      </c>
      <c r="CR2" s="31"/>
      <c r="CS2" s="4"/>
      <c r="CT2" s="30"/>
      <c r="CU2" s="35" t="s">
        <v>46</v>
      </c>
      <c r="CV2" s="35"/>
      <c r="CW2" s="35"/>
      <c r="CX2" s="35"/>
      <c r="CY2" s="35"/>
      <c r="CZ2" s="32"/>
      <c r="DA2" s="4" t="s">
        <v>47</v>
      </c>
      <c r="DB2" s="4"/>
      <c r="DC2" s="4"/>
      <c r="DD2" s="36"/>
      <c r="DE2" s="4"/>
      <c r="DF2" s="4" t="s">
        <v>170</v>
      </c>
      <c r="DG2" s="4"/>
      <c r="DH2" s="4"/>
      <c r="DI2" s="32"/>
      <c r="DJ2" s="4" t="s">
        <v>171</v>
      </c>
      <c r="DK2" s="4"/>
      <c r="DL2" s="4"/>
      <c r="DM2" s="32"/>
      <c r="DN2" s="4" t="s">
        <v>172</v>
      </c>
      <c r="DO2" s="4"/>
      <c r="DP2" s="4"/>
    </row>
    <row r="3" customFormat="false" ht="15.75" hidden="false" customHeight="false" outlineLevel="0" collapsed="false">
      <c r="I3" s="38"/>
      <c r="J3" s="39" t="s">
        <v>48</v>
      </c>
      <c r="K3" s="40" t="s">
        <v>49</v>
      </c>
      <c r="L3" s="39" t="s">
        <v>50</v>
      </c>
      <c r="M3" s="41"/>
      <c r="N3" s="38"/>
      <c r="O3" s="39" t="s">
        <v>215</v>
      </c>
      <c r="P3" s="40" t="s">
        <v>49</v>
      </c>
      <c r="Q3" s="41" t="s">
        <v>50</v>
      </c>
      <c r="R3" s="39"/>
      <c r="S3" s="39" t="s">
        <v>51</v>
      </c>
      <c r="T3" s="40" t="s">
        <v>49</v>
      </c>
      <c r="U3" s="41" t="s">
        <v>50</v>
      </c>
      <c r="V3" s="39"/>
      <c r="W3" s="39" t="s">
        <v>173</v>
      </c>
      <c r="X3" s="40" t="s">
        <v>49</v>
      </c>
      <c r="Y3" s="41" t="s">
        <v>50</v>
      </c>
      <c r="Z3" s="39"/>
      <c r="AA3" s="39" t="s">
        <v>174</v>
      </c>
      <c r="AB3" s="40"/>
      <c r="AC3" s="41"/>
      <c r="AE3" s="38" t="s">
        <v>53</v>
      </c>
      <c r="AF3" s="39" t="s">
        <v>54</v>
      </c>
      <c r="AG3" s="41" t="s">
        <v>55</v>
      </c>
      <c r="AH3" s="25" t="s">
        <v>53</v>
      </c>
      <c r="AI3" s="25"/>
      <c r="AJ3" s="25"/>
      <c r="AK3" s="25" t="s">
        <v>54</v>
      </c>
      <c r="AL3" s="25"/>
      <c r="AM3" s="25"/>
      <c r="AN3" s="25" t="s">
        <v>55</v>
      </c>
      <c r="AO3" s="25"/>
      <c r="AP3" s="25"/>
      <c r="AR3" s="65" t="s">
        <v>56</v>
      </c>
      <c r="AS3" s="26"/>
      <c r="AT3" s="112"/>
      <c r="AU3" s="26"/>
      <c r="AV3" s="58"/>
      <c r="AX3" s="51" t="n">
        <f aca="false">IF($F$17&lt;AY3,1,0)</f>
        <v>1</v>
      </c>
      <c r="AY3" s="54" t="n">
        <v>2</v>
      </c>
      <c r="AZ3" s="58" t="s">
        <v>175</v>
      </c>
      <c r="BA3" s="50"/>
      <c r="BB3" s="64"/>
      <c r="BC3" s="116"/>
      <c r="BD3" s="116" t="s">
        <v>216</v>
      </c>
      <c r="BE3" s="116"/>
      <c r="BF3" s="116" t="s">
        <v>217</v>
      </c>
      <c r="BG3" s="112" t="s">
        <v>218</v>
      </c>
      <c r="BJ3" s="47" t="s">
        <v>61</v>
      </c>
      <c r="BK3" s="26" t="s">
        <v>62</v>
      </c>
      <c r="BL3" s="48"/>
      <c r="BM3" s="26" t="s">
        <v>85</v>
      </c>
      <c r="BN3" s="49" t="s">
        <v>61</v>
      </c>
      <c r="BO3" s="21" t="s">
        <v>63</v>
      </c>
      <c r="BP3" s="50"/>
      <c r="BQ3" s="51" t="s">
        <v>31</v>
      </c>
      <c r="BR3" s="49" t="s">
        <v>61</v>
      </c>
      <c r="BS3" s="21" t="s">
        <v>63</v>
      </c>
      <c r="BT3" s="52" t="s">
        <v>64</v>
      </c>
      <c r="BU3" s="48"/>
      <c r="BV3" s="26" t="s">
        <v>31</v>
      </c>
      <c r="BW3" s="53" t="s">
        <v>61</v>
      </c>
      <c r="BX3" s="26" t="s">
        <v>65</v>
      </c>
      <c r="BY3" s="48"/>
      <c r="BZ3" s="64" t="s">
        <v>177</v>
      </c>
      <c r="CA3" s="113" t="s">
        <v>61</v>
      </c>
      <c r="CB3" s="3" t="s">
        <v>63</v>
      </c>
      <c r="CC3" s="48"/>
      <c r="CD3" s="64" t="s">
        <v>98</v>
      </c>
      <c r="CE3" s="113" t="s">
        <v>61</v>
      </c>
      <c r="CF3" s="3" t="s">
        <v>63</v>
      </c>
      <c r="CG3" s="48"/>
      <c r="CH3" s="26" t="s">
        <v>178</v>
      </c>
      <c r="CI3" s="49" t="s">
        <v>61</v>
      </c>
      <c r="CJ3" s="21" t="s">
        <v>63</v>
      </c>
      <c r="CK3" s="48"/>
      <c r="CL3" s="26" t="s">
        <v>179</v>
      </c>
      <c r="CM3" s="49" t="s">
        <v>61</v>
      </c>
      <c r="CN3" s="21" t="s">
        <v>63</v>
      </c>
      <c r="CO3" s="48"/>
      <c r="CP3" s="26" t="s">
        <v>180</v>
      </c>
      <c r="CQ3" s="49" t="s">
        <v>61</v>
      </c>
      <c r="CR3" s="21" t="s">
        <v>63</v>
      </c>
      <c r="CS3" s="48"/>
      <c r="CT3" s="26"/>
      <c r="CU3" s="49" t="s">
        <v>61</v>
      </c>
      <c r="CV3" s="26" t="s">
        <v>66</v>
      </c>
      <c r="CW3" s="26"/>
      <c r="CX3" s="26"/>
      <c r="CY3" s="26" t="s">
        <v>66</v>
      </c>
      <c r="CZ3" s="50"/>
      <c r="DA3" s="54"/>
      <c r="DB3" s="53" t="s">
        <v>61</v>
      </c>
      <c r="DC3" s="26" t="s">
        <v>66</v>
      </c>
      <c r="DD3" s="50"/>
      <c r="DE3" s="48"/>
      <c r="DF3" s="26"/>
      <c r="DG3" s="49" t="s">
        <v>61</v>
      </c>
      <c r="DH3" s="21" t="s">
        <v>67</v>
      </c>
      <c r="DI3" s="50"/>
      <c r="DJ3" s="26"/>
      <c r="DK3" s="49" t="s">
        <v>61</v>
      </c>
      <c r="DL3" s="21" t="s">
        <v>68</v>
      </c>
      <c r="DM3" s="50"/>
      <c r="DN3" s="26"/>
      <c r="DO3" s="49" t="s">
        <v>61</v>
      </c>
      <c r="DP3" s="20" t="s">
        <v>69</v>
      </c>
    </row>
    <row r="4" customFormat="false" ht="15" hidden="false" customHeight="false" outlineLevel="0" collapsed="false">
      <c r="A4" s="55" t="s">
        <v>70</v>
      </c>
      <c r="B4" s="71" t="n">
        <f aca="false">IF('ОЛ(4)'!D37=2,'ОЛ(4)'!C17,0)</f>
        <v>0</v>
      </c>
      <c r="C4" s="0" t="s">
        <v>71</v>
      </c>
      <c r="E4" s="0" t="s">
        <v>72</v>
      </c>
      <c r="F4" s="114" t="n">
        <f aca="false">F17*1.2</f>
        <v>0</v>
      </c>
      <c r="I4" s="51" t="n">
        <f aca="false">IF($B$11&lt;12,(IF((L4&gt;4)*AND(L4&lt;16),2,0)),IF((L4&gt;4)*AND(L4&lt;20),2,0))</f>
        <v>0</v>
      </c>
      <c r="J4" s="54" t="n">
        <v>15</v>
      </c>
      <c r="K4" s="54" t="n">
        <f aca="false">1/POWER(1.14+2*LOG10((J4/1000)/($K$21/1000)),2)</f>
        <v>0.0596558274221208</v>
      </c>
      <c r="L4" s="54" t="n">
        <f aca="false">0.00638*K4*POWER($F$4,2)/(POWER(J4/1000,5)*$K$20)</f>
        <v>0</v>
      </c>
      <c r="M4" s="58"/>
      <c r="N4" s="51" t="n">
        <f aca="false">IF((Q4&gt;4)*AND(Q4&lt;18),1,0)</f>
        <v>0</v>
      </c>
      <c r="O4" s="54" t="n">
        <v>15</v>
      </c>
      <c r="P4" s="54" t="n">
        <f aca="false">1/POWER(1.14+2*LOG10((O4/1000)/($K$21/1000)),2)</f>
        <v>0.0596558274221208</v>
      </c>
      <c r="Q4" s="58" t="n">
        <f aca="false">0.00638*P4*POWER($F$11,2)/(POWER(O4/1000,5)*$K$20)</f>
        <v>5810.69316034468</v>
      </c>
      <c r="R4" s="54" t="n">
        <f aca="false">IF((U4&gt;4)*AND(U4&lt;16),1,0)</f>
        <v>0</v>
      </c>
      <c r="S4" s="54" t="n">
        <v>15</v>
      </c>
      <c r="T4" s="54" t="n">
        <f aca="false">1/POWER(1.14+2*LOG10((S4/1000)/($K$21/1000)),2)</f>
        <v>0.0596558274221208</v>
      </c>
      <c r="U4" s="58" t="n">
        <f aca="false">0.00638*T4*POWER($F$14,2)/(POWER(S4/1000,5)*$K$20)</f>
        <v>5810.69316034468</v>
      </c>
      <c r="V4" s="54" t="n">
        <f aca="false">IF((Y4&gt;4)*AND(Y4&lt;16),1,0)</f>
        <v>0</v>
      </c>
      <c r="W4" s="54" t="n">
        <v>15</v>
      </c>
      <c r="X4" s="54" t="n">
        <f aca="false">1/POWER(1.14+2*LOG10((W4/1000)/($K$21/1000)),2)</f>
        <v>0.0596558274221208</v>
      </c>
      <c r="Y4" s="58" t="n">
        <f aca="false">0.00638*X4*POWER($F$17,2)/(POWER(W4/1000,5)*$K$20)</f>
        <v>0</v>
      </c>
      <c r="Z4" s="54" t="n">
        <f aca="false">V4</f>
        <v>0</v>
      </c>
      <c r="AA4" s="54" t="n">
        <v>15</v>
      </c>
      <c r="AB4" s="54"/>
      <c r="AC4" s="58"/>
      <c r="AE4" s="59" t="s">
        <v>73</v>
      </c>
      <c r="AF4" s="54" t="n">
        <f aca="false">IF(B11&gt;12,3,1.8)</f>
        <v>3</v>
      </c>
      <c r="AG4" s="54"/>
      <c r="AH4" s="60" t="n">
        <f aca="false">IF(AJ4&gt;$AF$5,1,0)</f>
        <v>1</v>
      </c>
      <c r="AI4" s="61" t="n">
        <v>15</v>
      </c>
      <c r="AJ4" s="62" t="n">
        <v>1.6</v>
      </c>
      <c r="AK4" s="60" t="n">
        <f aca="false">IF(AM4&gt;$AF$5,1,0)</f>
        <v>1</v>
      </c>
      <c r="AL4" s="61" t="n">
        <v>15</v>
      </c>
      <c r="AM4" s="62" t="n">
        <v>1.6</v>
      </c>
      <c r="AN4" s="54" t="n">
        <f aca="false">IF(AP4&gt;$AF$5,1,0)</f>
        <v>1</v>
      </c>
      <c r="AO4" s="63" t="n">
        <v>15</v>
      </c>
      <c r="AP4" s="58" t="n">
        <v>1.6</v>
      </c>
      <c r="AR4" s="50" t="n">
        <v>1.5</v>
      </c>
      <c r="AS4" s="54" t="n">
        <f aca="false">IF($F$23&lt;AR4,1,0)</f>
        <v>1</v>
      </c>
      <c r="AT4" s="58" t="s">
        <v>181</v>
      </c>
      <c r="AU4" s="54" t="n">
        <f aca="false">IF($F$23&lt;AR4,1,0)</f>
        <v>1</v>
      </c>
      <c r="AV4" s="115" t="s">
        <v>182</v>
      </c>
      <c r="AX4" s="51" t="n">
        <f aca="false">IF($F$17&lt;AY4,1,0)</f>
        <v>1</v>
      </c>
      <c r="AY4" s="54" t="n">
        <v>3</v>
      </c>
      <c r="AZ4" s="58" t="s">
        <v>183</v>
      </c>
      <c r="BA4" s="50"/>
      <c r="BB4" s="54" t="n">
        <f aca="false">IF(AND(BC4=1,BE4=1),1,0)</f>
        <v>0</v>
      </c>
      <c r="BC4" s="54" t="n">
        <f aca="false">IF(BD4&gt;$B$4,1,0)</f>
        <v>1</v>
      </c>
      <c r="BD4" s="54" t="n">
        <v>0.01</v>
      </c>
      <c r="BE4" s="54" t="n">
        <f aca="false">IF(BF4&gt;$F$11,1,0)</f>
        <v>0</v>
      </c>
      <c r="BF4" s="0" t="n">
        <v>2</v>
      </c>
      <c r="BG4" s="58" t="s">
        <v>176</v>
      </c>
      <c r="BJ4" s="47" t="s">
        <v>78</v>
      </c>
      <c r="BK4" s="26" t="s">
        <v>185</v>
      </c>
      <c r="BL4" s="48"/>
      <c r="BM4" s="26" t="e">
        <f aca="false">IF($F$5=BO4,1,0)</f>
        <v>#N/A</v>
      </c>
      <c r="BN4" s="53" t="s">
        <v>80</v>
      </c>
      <c r="BO4" s="26" t="n">
        <v>15</v>
      </c>
      <c r="BP4" s="50"/>
      <c r="BQ4" s="69" t="n">
        <f aca="false">IF($F$7=BT4,1,0)</f>
        <v>0</v>
      </c>
      <c r="BR4" s="53" t="s">
        <v>80</v>
      </c>
      <c r="BS4" s="26" t="n">
        <v>15</v>
      </c>
      <c r="BT4" s="52" t="n">
        <v>0.63</v>
      </c>
      <c r="BU4" s="48"/>
      <c r="BV4" s="26" t="n">
        <f aca="false">IF($B$14=BX4,1,0)</f>
        <v>0</v>
      </c>
      <c r="BW4" s="53" t="s">
        <v>78</v>
      </c>
      <c r="BX4" s="26" t="s">
        <v>53</v>
      </c>
      <c r="BY4" s="48"/>
      <c r="BZ4" s="69" t="n">
        <f aca="false">IF($F$12=CB4,1,0)</f>
        <v>0</v>
      </c>
      <c r="CA4" s="53" t="s">
        <v>80</v>
      </c>
      <c r="CB4" s="52" t="n">
        <v>15</v>
      </c>
      <c r="CC4" s="48"/>
      <c r="CD4" s="69" t="n">
        <f aca="false">IF($F$15=CF4,1,0)</f>
        <v>0</v>
      </c>
      <c r="CE4" s="53" t="s">
        <v>80</v>
      </c>
      <c r="CF4" s="52" t="n">
        <v>15</v>
      </c>
      <c r="CG4" s="48"/>
      <c r="CH4" s="26" t="e">
        <f aca="false">IF($F$18=CJ4,1,0)</f>
        <v>#N/A</v>
      </c>
      <c r="CI4" s="53" t="s">
        <v>80</v>
      </c>
      <c r="CJ4" s="26" t="n">
        <v>15</v>
      </c>
      <c r="CK4" s="48"/>
      <c r="CL4" s="26" t="e">
        <f aca="false">IF($F$22=CN4,1,0)</f>
        <v>#N/A</v>
      </c>
      <c r="CM4" s="53" t="s">
        <v>80</v>
      </c>
      <c r="CN4" s="26" t="n">
        <v>15</v>
      </c>
      <c r="CO4" s="48"/>
      <c r="CP4" s="26" t="n">
        <f aca="false">IF($E$19=CR4,1,0)</f>
        <v>1</v>
      </c>
      <c r="CQ4" s="53" t="s">
        <v>78</v>
      </c>
      <c r="CR4" s="58" t="s">
        <v>175</v>
      </c>
      <c r="CS4" s="48"/>
      <c r="CT4" s="26" t="e">
        <f aca="false">IF($E$24=CV4,1,0)</f>
        <v>#VALUE!</v>
      </c>
      <c r="CU4" s="21" t="n">
        <v>1</v>
      </c>
      <c r="CV4" s="54" t="s">
        <v>181</v>
      </c>
      <c r="CW4" s="21" t="e">
        <f aca="false">IF($E$24=CY4,1,0)</f>
        <v>#VALUE!</v>
      </c>
      <c r="CX4" s="21" t="n">
        <v>1</v>
      </c>
      <c r="CY4" s="115" t="s">
        <v>182</v>
      </c>
      <c r="CZ4" s="50"/>
      <c r="DB4" s="1"/>
      <c r="DD4" s="50"/>
      <c r="DE4" s="48"/>
      <c r="DF4" s="26"/>
      <c r="DG4" s="53"/>
      <c r="DI4" s="50"/>
      <c r="DJ4" s="26" t="n">
        <f aca="false">IF($B$16=DL4,1,0)</f>
        <v>0</v>
      </c>
      <c r="DK4" s="53" t="s">
        <v>78</v>
      </c>
      <c r="DL4" s="26" t="s">
        <v>83</v>
      </c>
      <c r="DM4" s="50"/>
      <c r="DN4" s="26" t="n">
        <f aca="false">IF($B$17=DP4,1,0)</f>
        <v>0</v>
      </c>
      <c r="DO4" s="53" t="s">
        <v>78</v>
      </c>
      <c r="DP4" s="58" t="s">
        <v>84</v>
      </c>
    </row>
    <row r="5" customFormat="false" ht="15" hidden="false" customHeight="false" outlineLevel="0" collapsed="false">
      <c r="A5" s="55"/>
      <c r="B5" s="71"/>
      <c r="C5" s="72"/>
      <c r="E5" s="0" t="s">
        <v>48</v>
      </c>
      <c r="F5" s="0" t="e">
        <f aca="false">VLOOKUP(2,I4:L17,2,0)</f>
        <v>#N/A</v>
      </c>
      <c r="I5" s="51" t="n">
        <f aca="false">IF($B$11&lt;12,(IF((L5&gt;4)*AND(L5&lt;16),2,0)),IF((L5&gt;4)*AND(L5&lt;20),2,0))</f>
        <v>0</v>
      </c>
      <c r="J5" s="54" t="n">
        <v>20</v>
      </c>
      <c r="K5" s="54" t="n">
        <f aca="false">1/POWER(1.14+2*LOG10((J5/1000)/($K$21/1000)),2)</f>
        <v>0.0529902997834844</v>
      </c>
      <c r="L5" s="54" t="n">
        <f aca="false">0.00638*K5*POWER($F$4,2)/(POWER(J5/1000,5)*$K$20)</f>
        <v>0</v>
      </c>
      <c r="M5" s="58"/>
      <c r="N5" s="51" t="n">
        <f aca="false">IF((Q5&gt;4)*AND(Q5&lt;18),1,0)</f>
        <v>0</v>
      </c>
      <c r="O5" s="54" t="n">
        <v>20</v>
      </c>
      <c r="P5" s="54" t="n">
        <f aca="false">1/POWER(1.14+2*LOG10((O5/1000)/($K$21/1000)),2)</f>
        <v>0.0529902997834844</v>
      </c>
      <c r="Q5" s="58" t="n">
        <f aca="false">0.00638*P5*POWER($F$11,2)/(POWER(O5/1000,5)*$K$20)</f>
        <v>1224.83549194632</v>
      </c>
      <c r="R5" s="54" t="n">
        <f aca="false">IF((U5&gt;4)*AND(U5&lt;16),1,0)</f>
        <v>0</v>
      </c>
      <c r="S5" s="54" t="n">
        <v>20</v>
      </c>
      <c r="T5" s="54" t="n">
        <f aca="false">1/POWER(1.14+2*LOG10((S5/1000)/($K$21/1000)),2)</f>
        <v>0.0529902997834844</v>
      </c>
      <c r="U5" s="58" t="n">
        <f aca="false">0.00638*T5*POWER($F$14,2)/(POWER(S5/1000,5)*$K$20)</f>
        <v>1224.83549194632</v>
      </c>
      <c r="V5" s="54" t="n">
        <f aca="false">IF((Y5&gt;4)*AND(Y5&lt;16),1,0)</f>
        <v>0</v>
      </c>
      <c r="W5" s="54" t="n">
        <v>20</v>
      </c>
      <c r="X5" s="54" t="n">
        <f aca="false">1/POWER(1.14+2*LOG10((W5/1000)/($K$21/1000)),2)</f>
        <v>0.0529902997834844</v>
      </c>
      <c r="Y5" s="58" t="n">
        <f aca="false">0.00638*X5*POWER($F$17,2)/(POWER(W5/1000,5)*$K$20)</f>
        <v>0</v>
      </c>
      <c r="Z5" s="54" t="n">
        <f aca="false">V5</f>
        <v>0</v>
      </c>
      <c r="AA5" s="54" t="n">
        <v>15</v>
      </c>
      <c r="AB5" s="54"/>
      <c r="AC5" s="58"/>
      <c r="AE5" s="59" t="s">
        <v>87</v>
      </c>
      <c r="AF5" s="74" t="n">
        <f aca="false">F4/SQRT(0.1*AF4)</f>
        <v>0</v>
      </c>
      <c r="AG5" s="74"/>
      <c r="AH5" s="51" t="n">
        <f aca="false">IF(AJ5&gt;$AF$5,1,0)</f>
        <v>1</v>
      </c>
      <c r="AI5" s="63" t="n">
        <v>15</v>
      </c>
      <c r="AJ5" s="58" t="n">
        <v>2.5</v>
      </c>
      <c r="AK5" s="51" t="n">
        <f aca="false">IF(AM5&gt;$AF$5,1,0)</f>
        <v>1</v>
      </c>
      <c r="AL5" s="63" t="n">
        <v>15</v>
      </c>
      <c r="AM5" s="58" t="n">
        <v>2.5</v>
      </c>
      <c r="AN5" s="54" t="n">
        <f aca="false">IF(AP5&gt;$AF$5,1,0)</f>
        <v>1</v>
      </c>
      <c r="AO5" s="63" t="n">
        <v>15</v>
      </c>
      <c r="AP5" s="58" t="n">
        <v>2.5</v>
      </c>
      <c r="AR5" s="50" t="n">
        <v>4</v>
      </c>
      <c r="AS5" s="54" t="n">
        <f aca="false">IF($F$23&lt;AR5,1,0)</f>
        <v>1</v>
      </c>
      <c r="AT5" s="58" t="s">
        <v>186</v>
      </c>
      <c r="AU5" s="54" t="n">
        <f aca="false">IF($F$23&lt;AR5,1,0)</f>
        <v>1</v>
      </c>
      <c r="AV5" s="115" t="s">
        <v>187</v>
      </c>
      <c r="AX5" s="51" t="n">
        <f aca="false">IF($F$17&lt;AY5,1,0)</f>
        <v>1</v>
      </c>
      <c r="AY5" s="54" t="n">
        <v>5</v>
      </c>
      <c r="AZ5" s="58" t="s">
        <v>188</v>
      </c>
      <c r="BA5" s="50"/>
      <c r="BB5" s="54" t="n">
        <f aca="false">IF(AND(BC5=1,BE5=1),1,0)</f>
        <v>0</v>
      </c>
      <c r="BC5" s="54" t="n">
        <f aca="false">IF(BD5&gt;$B$4,1,0)</f>
        <v>1</v>
      </c>
      <c r="BD5" s="54" t="n">
        <v>0.02</v>
      </c>
      <c r="BE5" s="54" t="n">
        <f aca="false">IF(BF5&gt;$F$11,1,0)</f>
        <v>0</v>
      </c>
      <c r="BF5" s="0" t="n">
        <v>2</v>
      </c>
      <c r="BG5" s="58" t="s">
        <v>176</v>
      </c>
      <c r="BJ5" s="47" t="s">
        <v>94</v>
      </c>
      <c r="BK5" s="26" t="s">
        <v>190</v>
      </c>
      <c r="BL5" s="48"/>
      <c r="BM5" s="26" t="e">
        <f aca="false">IF($F$5=BO5,1,0)</f>
        <v>#N/A</v>
      </c>
      <c r="BN5" s="53" t="s">
        <v>96</v>
      </c>
      <c r="BO5" s="26" t="n">
        <v>20</v>
      </c>
      <c r="BP5" s="50"/>
      <c r="BQ5" s="69" t="n">
        <f aca="false">IF($F$7=BT5,1,0)</f>
        <v>0</v>
      </c>
      <c r="BR5" s="53" t="s">
        <v>96</v>
      </c>
      <c r="BS5" s="26" t="n">
        <v>15</v>
      </c>
      <c r="BT5" s="52" t="n">
        <v>1.25</v>
      </c>
      <c r="BU5" s="48"/>
      <c r="BV5" s="26" t="n">
        <f aca="false">IF($B$14=BX5,1,0)</f>
        <v>0</v>
      </c>
      <c r="BW5" s="53" t="s">
        <v>94</v>
      </c>
      <c r="BX5" s="26" t="s">
        <v>55</v>
      </c>
      <c r="BY5" s="48"/>
      <c r="BZ5" s="69" t="n">
        <f aca="false">IF($F$12=CB5,1,0)</f>
        <v>0</v>
      </c>
      <c r="CA5" s="53" t="s">
        <v>96</v>
      </c>
      <c r="CB5" s="52" t="n">
        <v>20</v>
      </c>
      <c r="CC5" s="48"/>
      <c r="CD5" s="69" t="n">
        <f aca="false">IF($F$15=CF5,1,0)</f>
        <v>0</v>
      </c>
      <c r="CE5" s="53" t="s">
        <v>96</v>
      </c>
      <c r="CF5" s="52" t="n">
        <v>20</v>
      </c>
      <c r="CG5" s="48"/>
      <c r="CH5" s="26" t="e">
        <f aca="false">IF($F$18=CJ5,1,0)</f>
        <v>#N/A</v>
      </c>
      <c r="CI5" s="53" t="s">
        <v>96</v>
      </c>
      <c r="CJ5" s="26" t="n">
        <v>20</v>
      </c>
      <c r="CK5" s="48"/>
      <c r="CL5" s="26" t="e">
        <f aca="false">IF($F$22=CN5,1,0)</f>
        <v>#N/A</v>
      </c>
      <c r="CM5" s="53" t="s">
        <v>96</v>
      </c>
      <c r="CN5" s="26" t="n">
        <v>20</v>
      </c>
      <c r="CO5" s="48"/>
      <c r="CP5" s="26" t="n">
        <f aca="false">IF($E$19=CR5,1,0)</f>
        <v>0</v>
      </c>
      <c r="CQ5" s="53" t="s">
        <v>94</v>
      </c>
      <c r="CR5" s="58" t="s">
        <v>183</v>
      </c>
      <c r="CS5" s="48"/>
      <c r="CT5" s="26" t="e">
        <f aca="false">IF($E$24=CV5,1,0)</f>
        <v>#VALUE!</v>
      </c>
      <c r="CU5" s="21"/>
      <c r="CV5" s="54"/>
      <c r="CW5" s="21" t="e">
        <f aca="false">IF($E$24=CY5,1,0)</f>
        <v>#VALUE!</v>
      </c>
      <c r="CX5" s="21" t="n">
        <v>2</v>
      </c>
      <c r="CY5" s="115" t="s">
        <v>187</v>
      </c>
      <c r="CZ5" s="50"/>
      <c r="DA5" s="54" t="n">
        <f aca="false">IF($B$15=DC5,1,0)</f>
        <v>0</v>
      </c>
      <c r="DB5" s="21" t="n">
        <v>1</v>
      </c>
      <c r="DC5" s="21" t="s">
        <v>191</v>
      </c>
      <c r="DD5" s="50"/>
      <c r="DE5" s="48"/>
      <c r="DF5" s="26" t="n">
        <f aca="false">IF($E$9=DH5,1,0)</f>
        <v>0</v>
      </c>
      <c r="DG5" s="53" t="s">
        <v>80</v>
      </c>
      <c r="DH5" s="58" t="s">
        <v>176</v>
      </c>
      <c r="DI5" s="50"/>
      <c r="DJ5" s="26" t="n">
        <f aca="false">IF($B$16=DL5,1,0)</f>
        <v>0</v>
      </c>
      <c r="DK5" s="53" t="s">
        <v>94</v>
      </c>
      <c r="DL5" s="26" t="s">
        <v>55</v>
      </c>
      <c r="DM5" s="50"/>
      <c r="DN5" s="26" t="n">
        <f aca="false">IF($B$17=DP5,1,0)</f>
        <v>0</v>
      </c>
      <c r="DO5" s="53" t="s">
        <v>81</v>
      </c>
      <c r="DP5" s="52" t="s">
        <v>97</v>
      </c>
    </row>
    <row r="6" customFormat="false" ht="15" hidden="false" customHeight="false" outlineLevel="0" collapsed="false">
      <c r="A6" s="55"/>
      <c r="B6" s="71"/>
      <c r="C6" s="72"/>
      <c r="E6" s="0" t="s">
        <v>99</v>
      </c>
      <c r="F6" s="0" t="n">
        <f aca="false">VLOOKUP(1,IF(B14="IMI Hydronic",AH4:AJ21,IF(B14="Siemens",AK4:AM22,AN4:AP16)),2,0)</f>
        <v>15</v>
      </c>
      <c r="I6" s="51" t="n">
        <f aca="false">IF($B$11&lt;12,(IF((L6&gt;4)*AND(L6&lt;16),2,0)),IF((L6&gt;4)*AND(L6&lt;20),2,0))</f>
        <v>0</v>
      </c>
      <c r="J6" s="54" t="n">
        <v>25</v>
      </c>
      <c r="K6" s="54" t="n">
        <f aca="false">1/POWER(1.14+2*LOG10((J6/1000)/($K$21/1000)),2)</f>
        <v>0.0485604272927566</v>
      </c>
      <c r="L6" s="54" t="n">
        <f aca="false">0.00638*K6*POWER($F$4,2)/(POWER(J6/1000,5)*$K$20)</f>
        <v>0</v>
      </c>
      <c r="M6" s="58"/>
      <c r="N6" s="51" t="n">
        <f aca="false">IF((Q6&gt;4)*AND(Q6&lt;18),1,0)</f>
        <v>0</v>
      </c>
      <c r="O6" s="54" t="n">
        <v>25</v>
      </c>
      <c r="P6" s="54" t="n">
        <f aca="false">1/POWER(1.14+2*LOG10((O6/1000)/($K$21/1000)),2)</f>
        <v>0.0485604272927566</v>
      </c>
      <c r="Q6" s="58" t="n">
        <f aca="false">0.00638*P6*POWER($F$11,2)/(POWER(O6/1000,5)*$K$20)</f>
        <v>367.801774664781</v>
      </c>
      <c r="R6" s="54" t="n">
        <f aca="false">IF((U6&gt;4)*AND(U6&lt;16),1,0)</f>
        <v>0</v>
      </c>
      <c r="S6" s="54" t="n">
        <v>25</v>
      </c>
      <c r="T6" s="54" t="n">
        <f aca="false">1/POWER(1.14+2*LOG10((S6/1000)/($K$21/1000)),2)</f>
        <v>0.0485604272927566</v>
      </c>
      <c r="U6" s="58" t="n">
        <f aca="false">0.00638*T6*POWER($F$14,2)/(POWER(S6/1000,5)*$K$20)</f>
        <v>367.801774664781</v>
      </c>
      <c r="V6" s="54" t="n">
        <f aca="false">IF((Y6&gt;4)*AND(Y6&lt;16),1,0)</f>
        <v>0</v>
      </c>
      <c r="W6" s="54" t="n">
        <v>25</v>
      </c>
      <c r="X6" s="54" t="n">
        <f aca="false">1/POWER(1.14+2*LOG10((W6/1000)/($K$21/1000)),2)</f>
        <v>0.0485604272927566</v>
      </c>
      <c r="Y6" s="58" t="n">
        <f aca="false">0.00638*X6*POWER($F$17,2)/(POWER(W6/1000,5)*$K$20)</f>
        <v>0</v>
      </c>
      <c r="Z6" s="54" t="n">
        <f aca="false">V6</f>
        <v>0</v>
      </c>
      <c r="AA6" s="54" t="n">
        <v>20</v>
      </c>
      <c r="AB6" s="54"/>
      <c r="AC6" s="58"/>
      <c r="AE6" s="51"/>
      <c r="AF6" s="54"/>
      <c r="AG6" s="54"/>
      <c r="AH6" s="51" t="n">
        <f aca="false">IF(AJ6&gt;$AF$5,1,0)</f>
        <v>1</v>
      </c>
      <c r="AI6" s="63" t="n">
        <v>15</v>
      </c>
      <c r="AJ6" s="58" t="n">
        <v>4</v>
      </c>
      <c r="AK6" s="51" t="n">
        <f aca="false">IF(AM6&gt;$AF$5,1,0)</f>
        <v>1</v>
      </c>
      <c r="AL6" s="63" t="n">
        <v>15</v>
      </c>
      <c r="AM6" s="58" t="n">
        <v>4</v>
      </c>
      <c r="AN6" s="54" t="n">
        <f aca="false">IF(AP6&gt;$AF$5,1,0)</f>
        <v>1</v>
      </c>
      <c r="AO6" s="63" t="n">
        <v>15</v>
      </c>
      <c r="AP6" s="58" t="n">
        <v>4</v>
      </c>
      <c r="AR6" s="50" t="n">
        <v>6</v>
      </c>
      <c r="AS6" s="54" t="n">
        <f aca="false">IF($F$23&lt;AR6,1,0)</f>
        <v>1</v>
      </c>
      <c r="AT6" s="58" t="s">
        <v>186</v>
      </c>
      <c r="AU6" s="54" t="n">
        <f aca="false">IF($F$23&lt;AR6,1,0)</f>
        <v>1</v>
      </c>
      <c r="AV6" s="115" t="s">
        <v>192</v>
      </c>
      <c r="AX6" s="51" t="n">
        <f aca="false">IF($F$17&lt;AY6,1,0)</f>
        <v>1</v>
      </c>
      <c r="AY6" s="54" t="n">
        <v>8</v>
      </c>
      <c r="AZ6" s="58" t="s">
        <v>193</v>
      </c>
      <c r="BA6" s="50"/>
      <c r="BB6" s="54" t="n">
        <f aca="false">IF(AND(BC6=1,BE6=1),1,0)</f>
        <v>1</v>
      </c>
      <c r="BC6" s="54" t="n">
        <f aca="false">IF(BD6&gt;$B$4,1,0)</f>
        <v>1</v>
      </c>
      <c r="BD6" s="54" t="n">
        <v>0.02</v>
      </c>
      <c r="BE6" s="54" t="n">
        <f aca="false">IF(BF6&gt;$F$11,1,0)</f>
        <v>1</v>
      </c>
      <c r="BF6" s="0" t="n">
        <v>4</v>
      </c>
      <c r="BG6" s="58" t="s">
        <v>201</v>
      </c>
      <c r="BJ6" s="47"/>
      <c r="BK6" s="26"/>
      <c r="BL6" s="48"/>
      <c r="BM6" s="26" t="e">
        <f aca="false">IF($F$5=BO6,1,0)</f>
        <v>#N/A</v>
      </c>
      <c r="BN6" s="53" t="s">
        <v>103</v>
      </c>
      <c r="BO6" s="26" t="n">
        <v>25</v>
      </c>
      <c r="BP6" s="50"/>
      <c r="BQ6" s="69" t="n">
        <f aca="false">IF($F$7=BT6,1,0)</f>
        <v>1</v>
      </c>
      <c r="BR6" s="53" t="s">
        <v>103</v>
      </c>
      <c r="BS6" s="26" t="n">
        <v>15</v>
      </c>
      <c r="BT6" s="52" t="n">
        <v>1.6</v>
      </c>
      <c r="BU6" s="48"/>
      <c r="BV6" s="26" t="n">
        <f aca="false">IF($B$14=BX6,1,0)</f>
        <v>0</v>
      </c>
      <c r="BW6" s="53" t="s">
        <v>104</v>
      </c>
      <c r="BX6" s="26" t="s">
        <v>54</v>
      </c>
      <c r="BY6" s="48"/>
      <c r="BZ6" s="69" t="n">
        <f aca="false">IF($F$12=CB6,1,0)</f>
        <v>0</v>
      </c>
      <c r="CA6" s="53" t="s">
        <v>103</v>
      </c>
      <c r="CB6" s="52" t="n">
        <v>25</v>
      </c>
      <c r="CC6" s="48"/>
      <c r="CD6" s="69" t="n">
        <f aca="false">IF($F$15=CF6,1,0)</f>
        <v>0</v>
      </c>
      <c r="CE6" s="53" t="s">
        <v>103</v>
      </c>
      <c r="CF6" s="52" t="n">
        <v>25</v>
      </c>
      <c r="CG6" s="48"/>
      <c r="CH6" s="26" t="e">
        <f aca="false">IF($F$18=CJ6,1,0)</f>
        <v>#N/A</v>
      </c>
      <c r="CI6" s="53" t="s">
        <v>103</v>
      </c>
      <c r="CJ6" s="26" t="n">
        <v>25</v>
      </c>
      <c r="CK6" s="48"/>
      <c r="CL6" s="26" t="e">
        <f aca="false">IF($F$22=CN6,1,0)</f>
        <v>#N/A</v>
      </c>
      <c r="CM6" s="53" t="s">
        <v>103</v>
      </c>
      <c r="CN6" s="26" t="n">
        <v>25</v>
      </c>
      <c r="CO6" s="48"/>
      <c r="CP6" s="26" t="n">
        <f aca="false">IF($E$19=CR6,1,0)</f>
        <v>0</v>
      </c>
      <c r="CQ6" s="53" t="s">
        <v>104</v>
      </c>
      <c r="CR6" s="58" t="s">
        <v>188</v>
      </c>
      <c r="CS6" s="48"/>
      <c r="CT6" s="26" t="e">
        <f aca="false">IF($E$24=CV6,1,0)</f>
        <v>#VALUE!</v>
      </c>
      <c r="CU6" s="21" t="n">
        <v>3</v>
      </c>
      <c r="CV6" s="54" t="s">
        <v>186</v>
      </c>
      <c r="CW6" s="21" t="e">
        <f aca="false">IF($E$24=CY6,1,0)</f>
        <v>#VALUE!</v>
      </c>
      <c r="CX6" s="21" t="n">
        <v>3</v>
      </c>
      <c r="CY6" s="115" t="s">
        <v>192</v>
      </c>
      <c r="CZ6" s="50"/>
      <c r="DA6" s="54" t="n">
        <f aca="false">IF($B$15=DC6,1,0)</f>
        <v>0</v>
      </c>
      <c r="DB6" s="21" t="n">
        <v>2</v>
      </c>
      <c r="DC6" s="76" t="s">
        <v>195</v>
      </c>
      <c r="DD6" s="50"/>
      <c r="DE6" s="48"/>
      <c r="DF6" s="26" t="n">
        <f aca="false">IF($E$9=DH6,1,0)</f>
        <v>0</v>
      </c>
      <c r="DG6" s="53" t="s">
        <v>96</v>
      </c>
      <c r="DH6" s="58" t="s">
        <v>196</v>
      </c>
      <c r="DI6" s="50"/>
      <c r="DJ6" s="26" t="n">
        <f aca="false">IF($B$16=DL6,1,0)</f>
        <v>0</v>
      </c>
      <c r="DK6" s="53" t="s">
        <v>104</v>
      </c>
      <c r="DL6" s="76" t="s">
        <v>54</v>
      </c>
      <c r="DM6" s="50"/>
      <c r="DN6" s="26"/>
      <c r="DO6" s="53"/>
      <c r="DP6" s="52"/>
    </row>
    <row r="7" customFormat="false" ht="15" hidden="false" customHeight="false" outlineLevel="0" collapsed="false">
      <c r="A7" s="55" t="s">
        <v>178</v>
      </c>
      <c r="B7" s="71" t="n">
        <f aca="false">IF(('ОЛ(4)'!N17-B8)&lt;5,B8+5,'ОЛ(4)'!N17)</f>
        <v>5</v>
      </c>
      <c r="C7" s="72" t="s">
        <v>86</v>
      </c>
      <c r="E7" s="0" t="s">
        <v>106</v>
      </c>
      <c r="F7" s="0" t="n">
        <f aca="false">VLOOKUP(1,IF(B14="IMI Hydronic",AH4:AJ21,IF(B14="Siemens",AK4:AM22,AN4:AP16)),3,0)</f>
        <v>1.6</v>
      </c>
      <c r="I7" s="51" t="n">
        <f aca="false">IF($B$11&lt;12,(IF((L7&gt;4)*AND(L7&lt;16),2,0)),IF((L7&gt;4)*AND(L7&lt;20),2,0))</f>
        <v>0</v>
      </c>
      <c r="J7" s="54" t="n">
        <v>32</v>
      </c>
      <c r="K7" s="54" t="n">
        <f aca="false">1/POWER(1.14+2*LOG10((J7/1000)/($K$21/1000)),2)</f>
        <v>0.0442773220047029</v>
      </c>
      <c r="L7" s="54" t="n">
        <f aca="false">0.00638*K7*POWER($F$4,2)/(POWER(J7/1000,5)*$K$20)</f>
        <v>0</v>
      </c>
      <c r="M7" s="58"/>
      <c r="N7" s="51" t="n">
        <f aca="false">IF((Q7&gt;4)*AND(Q7&lt;18),1,0)</f>
        <v>0</v>
      </c>
      <c r="O7" s="54" t="n">
        <v>32</v>
      </c>
      <c r="P7" s="54" t="n">
        <f aca="false">1/POWER(1.14+2*LOG10((O7/1000)/($K$21/1000)),2)</f>
        <v>0.0442773220047029</v>
      </c>
      <c r="Q7" s="58" t="n">
        <f aca="false">0.00638*P7*POWER($F$11,2)/(POWER(O7/1000,5)*$K$20)</f>
        <v>97.6029217507179</v>
      </c>
      <c r="R7" s="54" t="n">
        <f aca="false">IF((U7&gt;4)*AND(U7&lt;16),1,0)</f>
        <v>0</v>
      </c>
      <c r="S7" s="54" t="n">
        <v>32</v>
      </c>
      <c r="T7" s="54" t="n">
        <f aca="false">1/POWER(1.14+2*LOG10((S7/1000)/($K$21/1000)),2)</f>
        <v>0.0442773220047029</v>
      </c>
      <c r="U7" s="58" t="n">
        <f aca="false">0.00638*T7*POWER($F$14,2)/(POWER(S7/1000,5)*$K$20)</f>
        <v>97.6029217507179</v>
      </c>
      <c r="V7" s="54" t="n">
        <f aca="false">IF((Y7&gt;4)*AND(Y7&lt;16),1,0)</f>
        <v>0</v>
      </c>
      <c r="W7" s="54" t="n">
        <v>32</v>
      </c>
      <c r="X7" s="54" t="n">
        <f aca="false">1/POWER(1.14+2*LOG10((W7/1000)/($K$21/1000)),2)</f>
        <v>0.0442773220047029</v>
      </c>
      <c r="Y7" s="58" t="n">
        <f aca="false">0.00638*X7*POWER($F$17,2)/(POWER(W7/1000,5)*$K$20)</f>
        <v>0</v>
      </c>
      <c r="Z7" s="54" t="n">
        <f aca="false">V7</f>
        <v>0</v>
      </c>
      <c r="AA7" s="54" t="n">
        <v>25</v>
      </c>
      <c r="AB7" s="54"/>
      <c r="AC7" s="58"/>
      <c r="AE7" s="51"/>
      <c r="AF7" s="54"/>
      <c r="AG7" s="54"/>
      <c r="AH7" s="51" t="n">
        <f aca="false">IF(AJ7&gt;$AF$5,1,0)</f>
        <v>1</v>
      </c>
      <c r="AI7" s="63" t="n">
        <v>20</v>
      </c>
      <c r="AJ7" s="58" t="n">
        <v>6.3</v>
      </c>
      <c r="AK7" s="51" t="n">
        <f aca="false">IF(AM7&gt;$AF$5,1,0)</f>
        <v>1</v>
      </c>
      <c r="AL7" s="63" t="n">
        <v>20</v>
      </c>
      <c r="AM7" s="58" t="n">
        <v>6.3</v>
      </c>
      <c r="AN7" s="54" t="n">
        <f aca="false">IF(AP7&gt;$AF$5,1,0)</f>
        <v>1</v>
      </c>
      <c r="AO7" s="63" t="n">
        <v>20</v>
      </c>
      <c r="AP7" s="58" t="n">
        <v>6.3</v>
      </c>
      <c r="AR7" s="50" t="n">
        <v>12</v>
      </c>
      <c r="AS7" s="54" t="n">
        <f aca="false">IF($F$23&lt;AR7,1,0)</f>
        <v>1</v>
      </c>
      <c r="AT7" s="58" t="s">
        <v>197</v>
      </c>
      <c r="AU7" s="54" t="n">
        <f aca="false">IF($F$23&lt;AR7,1,0)</f>
        <v>1</v>
      </c>
      <c r="AV7" s="115" t="s">
        <v>198</v>
      </c>
      <c r="AX7" s="51" t="n">
        <f aca="false">IF($F$17&lt;AY7,1,0)</f>
        <v>1</v>
      </c>
      <c r="AY7" s="54" t="n">
        <v>14</v>
      </c>
      <c r="AZ7" s="58" t="s">
        <v>199</v>
      </c>
      <c r="BA7" s="50"/>
      <c r="BB7" s="54" t="n">
        <f aca="false">IF(AND(BC7=1,BE7=1),1,0)</f>
        <v>0</v>
      </c>
      <c r="BC7" s="54" t="n">
        <f aca="false">IF(BD7&gt;$B$4,1,0)</f>
        <v>1</v>
      </c>
      <c r="BD7" s="63" t="n">
        <v>0.03</v>
      </c>
      <c r="BE7" s="54" t="n">
        <f aca="false">IF(BF7&gt;$F$11,1,0)</f>
        <v>0</v>
      </c>
      <c r="BF7" s="0" t="n">
        <v>2</v>
      </c>
      <c r="BG7" s="58" t="s">
        <v>176</v>
      </c>
      <c r="BJ7" s="47"/>
      <c r="BK7" s="26"/>
      <c r="BL7" s="48"/>
      <c r="BM7" s="26" t="e">
        <f aca="false">IF($F$5=BO7,1,0)</f>
        <v>#N/A</v>
      </c>
      <c r="BN7" s="53" t="s">
        <v>110</v>
      </c>
      <c r="BO7" s="26" t="n">
        <v>32</v>
      </c>
      <c r="BP7" s="50"/>
      <c r="BQ7" s="69" t="n">
        <f aca="false">IF($F$7=BT7,1,0)</f>
        <v>0</v>
      </c>
      <c r="BR7" s="53" t="s">
        <v>110</v>
      </c>
      <c r="BS7" s="26" t="n">
        <v>15</v>
      </c>
      <c r="BT7" s="52" t="n">
        <v>2.5</v>
      </c>
      <c r="BU7" s="48"/>
      <c r="BV7" s="26"/>
      <c r="BW7" s="53"/>
      <c r="BX7" s="26"/>
      <c r="BY7" s="48"/>
      <c r="BZ7" s="69" t="n">
        <f aca="false">IF($F$12=CB7,1,0)</f>
        <v>0</v>
      </c>
      <c r="CA7" s="53" t="s">
        <v>110</v>
      </c>
      <c r="CB7" s="52" t="n">
        <v>32</v>
      </c>
      <c r="CC7" s="48"/>
      <c r="CD7" s="69" t="n">
        <f aca="false">IF($F$15=CF7,1,0)</f>
        <v>0</v>
      </c>
      <c r="CE7" s="53" t="s">
        <v>110</v>
      </c>
      <c r="CF7" s="52" t="n">
        <v>32</v>
      </c>
      <c r="CG7" s="48"/>
      <c r="CH7" s="26" t="e">
        <f aca="false">IF($F$18=CJ7,1,0)</f>
        <v>#N/A</v>
      </c>
      <c r="CI7" s="53" t="s">
        <v>110</v>
      </c>
      <c r="CJ7" s="26" t="n">
        <v>32</v>
      </c>
      <c r="CK7" s="48"/>
      <c r="CL7" s="26" t="e">
        <f aca="false">IF($F$22=CN7,1,0)</f>
        <v>#N/A</v>
      </c>
      <c r="CM7" s="53" t="s">
        <v>110</v>
      </c>
      <c r="CN7" s="26" t="n">
        <v>32</v>
      </c>
      <c r="CO7" s="48"/>
      <c r="CP7" s="26" t="n">
        <f aca="false">IF($E$19=CR7,1,0)</f>
        <v>0</v>
      </c>
      <c r="CQ7" s="53" t="s">
        <v>116</v>
      </c>
      <c r="CR7" s="58" t="s">
        <v>193</v>
      </c>
      <c r="CS7" s="48"/>
      <c r="CT7" s="26" t="e">
        <f aca="false">IF($E$24=CV7,1,0)</f>
        <v>#VALUE!</v>
      </c>
      <c r="CU7" s="76" t="n">
        <v>4</v>
      </c>
      <c r="CV7" s="54" t="s">
        <v>197</v>
      </c>
      <c r="CW7" s="21" t="e">
        <f aca="false">IF($E$24=CY7,1,0)</f>
        <v>#VALUE!</v>
      </c>
      <c r="CX7" s="76" t="n">
        <v>4</v>
      </c>
      <c r="CY7" s="115" t="s">
        <v>198</v>
      </c>
      <c r="CZ7" s="50"/>
      <c r="DA7" s="54"/>
      <c r="DB7" s="21"/>
      <c r="DD7" s="50"/>
      <c r="DE7" s="48"/>
      <c r="DF7" s="26" t="n">
        <f aca="false">IF($E$9=DH7,1,0)</f>
        <v>1</v>
      </c>
      <c r="DG7" s="53" t="s">
        <v>103</v>
      </c>
      <c r="DH7" s="58" t="s">
        <v>201</v>
      </c>
      <c r="DI7" s="50"/>
      <c r="DJ7" s="26"/>
      <c r="DK7" s="54"/>
      <c r="DL7" s="54"/>
      <c r="DM7" s="50"/>
      <c r="DN7" s="26"/>
      <c r="DO7" s="53"/>
      <c r="DP7" s="79"/>
    </row>
    <row r="8" customFormat="false" ht="15" hidden="false" customHeight="false" outlineLevel="0" collapsed="false">
      <c r="A8" s="55" t="s">
        <v>202</v>
      </c>
      <c r="B8" s="71" t="n">
        <f aca="false">'ОЛ(4)'!R17</f>
        <v>0</v>
      </c>
      <c r="C8" s="72" t="s">
        <v>86</v>
      </c>
      <c r="E8" s="80" t="s">
        <v>73</v>
      </c>
      <c r="F8" s="114" t="n">
        <f aca="false">(F4^2/F7^2)*10</f>
        <v>0</v>
      </c>
      <c r="I8" s="51" t="n">
        <f aca="false">IF($B$11&lt;12,(IF((L8&gt;4)*AND(L8&lt;16),2,0)),IF((L8&gt;4)*AND(L8&lt;20),2,0))</f>
        <v>0</v>
      </c>
      <c r="J8" s="54" t="n">
        <v>40</v>
      </c>
      <c r="K8" s="54" t="n">
        <f aca="false">1/POWER(1.14+2*LOG10((J8/1000)/($K$21/1000)),2)</f>
        <v>0.0408752263386062</v>
      </c>
      <c r="L8" s="54" t="n">
        <f aca="false">0.00638*K8*POWER($F$4,2)/(POWER(J8/1000,5)*$K$20)</f>
        <v>0</v>
      </c>
      <c r="M8" s="58"/>
      <c r="N8" s="51" t="n">
        <f aca="false">IF((Q8&gt;4)*AND(Q8&lt;18),1,0)</f>
        <v>0</v>
      </c>
      <c r="O8" s="54" t="n">
        <v>40</v>
      </c>
      <c r="P8" s="54" t="n">
        <f aca="false">1/POWER(1.14+2*LOG10((O8/1000)/($K$21/1000)),2)</f>
        <v>0.0408752263386062</v>
      </c>
      <c r="Q8" s="58" t="n">
        <f aca="false">0.00638*P8*POWER($F$11,2)/(POWER(O8/1000,5)*$K$20)</f>
        <v>29.5251136560776</v>
      </c>
      <c r="R8" s="54" t="n">
        <f aca="false">IF((U8&gt;4)*AND(U8&lt;16),1,0)</f>
        <v>0</v>
      </c>
      <c r="S8" s="54" t="n">
        <v>40</v>
      </c>
      <c r="T8" s="54" t="n">
        <f aca="false">1/POWER(1.14+2*LOG10((S8/1000)/($K$21/1000)),2)</f>
        <v>0.0408752263386062</v>
      </c>
      <c r="U8" s="58" t="n">
        <f aca="false">0.00638*T8*POWER($F$14,2)/(POWER(S8/1000,5)*$K$20)</f>
        <v>29.5251136560776</v>
      </c>
      <c r="V8" s="54" t="n">
        <f aca="false">IF((Y8&gt;4)*AND(Y8&lt;16),1,0)</f>
        <v>0</v>
      </c>
      <c r="W8" s="54" t="n">
        <v>40</v>
      </c>
      <c r="X8" s="54" t="n">
        <f aca="false">1/POWER(1.14+2*LOG10((W8/1000)/($K$21/1000)),2)</f>
        <v>0.0408752263386062</v>
      </c>
      <c r="Y8" s="58" t="n">
        <f aca="false">0.00638*X8*POWER($F$17,2)/(POWER(W8/1000,5)*$K$20)</f>
        <v>0</v>
      </c>
      <c r="Z8" s="54" t="n">
        <f aca="false">V8</f>
        <v>0</v>
      </c>
      <c r="AA8" s="54" t="n">
        <v>32</v>
      </c>
      <c r="AB8" s="54"/>
      <c r="AC8" s="58"/>
      <c r="AE8" s="59"/>
      <c r="AF8" s="54"/>
      <c r="AG8" s="74"/>
      <c r="AH8" s="51" t="n">
        <f aca="false">IF(AJ8&gt;$AF$5,1,0)</f>
        <v>1</v>
      </c>
      <c r="AI8" s="63" t="n">
        <v>25</v>
      </c>
      <c r="AJ8" s="58" t="n">
        <v>10</v>
      </c>
      <c r="AK8" s="51" t="n">
        <f aca="false">IF(AM8&gt;$AF$5,1,0)</f>
        <v>1</v>
      </c>
      <c r="AL8" s="63" t="n">
        <v>25</v>
      </c>
      <c r="AM8" s="58" t="n">
        <v>10</v>
      </c>
      <c r="AN8" s="54" t="n">
        <f aca="false">IF(AP8&gt;$AF$5,1,0)</f>
        <v>1</v>
      </c>
      <c r="AO8" s="63" t="n">
        <v>25</v>
      </c>
      <c r="AP8" s="58" t="n">
        <v>10</v>
      </c>
      <c r="AR8" s="50"/>
      <c r="AS8" s="26"/>
      <c r="AT8" s="58"/>
      <c r="AU8" s="54"/>
      <c r="AV8" s="58"/>
      <c r="AX8" s="51" t="n">
        <f aca="false">IF($F$17&lt;AY8,1,0)</f>
        <v>1</v>
      </c>
      <c r="AY8" s="54" t="n">
        <v>20</v>
      </c>
      <c r="AZ8" s="58" t="s">
        <v>203</v>
      </c>
      <c r="BA8" s="50"/>
      <c r="BB8" s="54" t="n">
        <f aca="false">IF(AND(BC8=1,BE8=1),1,0)</f>
        <v>1</v>
      </c>
      <c r="BC8" s="54" t="n">
        <f aca="false">IF(BD8&gt;$B$4,1,0)</f>
        <v>1</v>
      </c>
      <c r="BD8" s="63" t="n">
        <v>0.03</v>
      </c>
      <c r="BE8" s="54" t="n">
        <f aca="false">IF(BF8&gt;$F$11,1,0)</f>
        <v>1</v>
      </c>
      <c r="BF8" s="0" t="n">
        <v>6</v>
      </c>
      <c r="BG8" s="58" t="s">
        <v>201</v>
      </c>
      <c r="BJ8" s="47"/>
      <c r="BK8" s="26"/>
      <c r="BL8" s="48"/>
      <c r="BM8" s="26" t="e">
        <f aca="false">IF($F$5=BO8,1,0)</f>
        <v>#N/A</v>
      </c>
      <c r="BN8" s="53" t="s">
        <v>115</v>
      </c>
      <c r="BO8" s="26" t="n">
        <v>40</v>
      </c>
      <c r="BP8" s="50"/>
      <c r="BQ8" s="69" t="n">
        <f aca="false">IF($F$7=BT8,1,0)</f>
        <v>0</v>
      </c>
      <c r="BR8" s="53" t="s">
        <v>115</v>
      </c>
      <c r="BS8" s="26" t="n">
        <v>15</v>
      </c>
      <c r="BT8" s="52" t="n">
        <v>4</v>
      </c>
      <c r="BU8" s="48"/>
      <c r="BV8" s="26"/>
      <c r="BW8" s="53"/>
      <c r="BX8" s="26"/>
      <c r="BY8" s="48"/>
      <c r="BZ8" s="69" t="n">
        <f aca="false">IF($F$12=CB8,1,0)</f>
        <v>0</v>
      </c>
      <c r="CA8" s="53" t="s">
        <v>115</v>
      </c>
      <c r="CB8" s="52" t="n">
        <v>40</v>
      </c>
      <c r="CC8" s="48"/>
      <c r="CD8" s="69" t="n">
        <f aca="false">IF($F$15=CF8,1,0)</f>
        <v>0</v>
      </c>
      <c r="CE8" s="53" t="s">
        <v>115</v>
      </c>
      <c r="CF8" s="52" t="n">
        <v>40</v>
      </c>
      <c r="CG8" s="48"/>
      <c r="CH8" s="26" t="e">
        <f aca="false">IF($F$18=CJ8,1,0)</f>
        <v>#N/A</v>
      </c>
      <c r="CI8" s="53" t="s">
        <v>115</v>
      </c>
      <c r="CJ8" s="26" t="n">
        <v>40</v>
      </c>
      <c r="CK8" s="48"/>
      <c r="CL8" s="26" t="e">
        <f aca="false">IF($F$22=CN8,1,0)</f>
        <v>#N/A</v>
      </c>
      <c r="CM8" s="53" t="s">
        <v>115</v>
      </c>
      <c r="CN8" s="26" t="n">
        <v>40</v>
      </c>
      <c r="CO8" s="48"/>
      <c r="CP8" s="26" t="n">
        <f aca="false">IF($E$19=CR8,1,0)</f>
        <v>0</v>
      </c>
      <c r="CQ8" s="53" t="s">
        <v>124</v>
      </c>
      <c r="CR8" s="58" t="s">
        <v>199</v>
      </c>
      <c r="CS8" s="48"/>
      <c r="CT8" s="26"/>
      <c r="CU8" s="76"/>
      <c r="CV8" s="21"/>
      <c r="CW8" s="21"/>
      <c r="CX8" s="76"/>
      <c r="CY8" s="21"/>
      <c r="CZ8" s="50"/>
      <c r="DD8" s="50"/>
      <c r="DE8" s="48"/>
      <c r="DF8" s="26" t="n">
        <f aca="false">IF($E$9=DH8,1,0)</f>
        <v>0</v>
      </c>
      <c r="DG8" s="53" t="s">
        <v>110</v>
      </c>
      <c r="DH8" s="58" t="s">
        <v>204</v>
      </c>
      <c r="DI8" s="50"/>
      <c r="DJ8" s="26"/>
      <c r="DK8" s="53"/>
      <c r="DL8" s="26"/>
      <c r="DM8" s="50"/>
      <c r="DN8" s="26"/>
      <c r="DO8" s="53"/>
      <c r="DP8" s="52"/>
    </row>
    <row r="9" customFormat="false" ht="15.75" hidden="false" customHeight="false" outlineLevel="0" collapsed="false">
      <c r="A9" s="55" t="s">
        <v>117</v>
      </c>
      <c r="B9" s="71" t="n">
        <f aca="false">'ОЛ(4)'!W13*100</f>
        <v>60</v>
      </c>
      <c r="C9" s="72" t="s">
        <v>118</v>
      </c>
      <c r="E9" s="117" t="str">
        <f aca="false">VLOOKUP(1,BB4:BG93,6,0)</f>
        <v>НН14-16/1</v>
      </c>
      <c r="F9" s="117"/>
      <c r="I9" s="51" t="n">
        <f aca="false">IF($B$11&lt;12,(IF((L9&gt;4)*AND(L9&lt;16),2,0)),IF((L9&gt;4)*AND(L9&lt;20),2,0))</f>
        <v>0</v>
      </c>
      <c r="J9" s="54" t="n">
        <v>50</v>
      </c>
      <c r="K9" s="54" t="n">
        <f aca="false">1/POWER(1.14+2*LOG10((J9/1000)/($K$21/1000)),2)</f>
        <v>0.0378506866114551</v>
      </c>
      <c r="L9" s="54" t="n">
        <f aca="false">0.00638*K9*POWER($F$4,2)/(POWER(J9/1000,5)*$K$20)</f>
        <v>0</v>
      </c>
      <c r="M9" s="58"/>
      <c r="N9" s="51" t="n">
        <f aca="false">IF((Q9&gt;4)*AND(Q9&lt;18),1,0)</f>
        <v>1</v>
      </c>
      <c r="O9" s="54" t="n">
        <v>50</v>
      </c>
      <c r="P9" s="54" t="n">
        <f aca="false">1/POWER(1.14+2*LOG10((O9/1000)/($K$21/1000)),2)</f>
        <v>0.0378506866114551</v>
      </c>
      <c r="Q9" s="58" t="n">
        <f aca="false">0.00638*P9*POWER($F$11,2)/(POWER(O9/1000,5)*$K$20)</f>
        <v>8.95890857284673</v>
      </c>
      <c r="R9" s="54" t="n">
        <f aca="false">IF((U9&gt;4)*AND(U9&lt;16),1,0)</f>
        <v>1</v>
      </c>
      <c r="S9" s="54" t="n">
        <v>50</v>
      </c>
      <c r="T9" s="54" t="n">
        <f aca="false">1/POWER(1.14+2*LOG10((S9/1000)/($K$21/1000)),2)</f>
        <v>0.0378506866114551</v>
      </c>
      <c r="U9" s="58" t="n">
        <f aca="false">0.00638*T9*POWER($F$14,2)/(POWER(S9/1000,5)*$K$20)</f>
        <v>8.95890857284673</v>
      </c>
      <c r="V9" s="54" t="n">
        <f aca="false">IF((Y9&gt;4)*AND(Y9&lt;16),1,0)</f>
        <v>0</v>
      </c>
      <c r="W9" s="54" t="n">
        <v>50</v>
      </c>
      <c r="X9" s="54" t="n">
        <f aca="false">1/POWER(1.14+2*LOG10((W9/1000)/($K$21/1000)),2)</f>
        <v>0.0378506866114551</v>
      </c>
      <c r="Y9" s="58" t="n">
        <f aca="false">0.00638*X9*POWER($F$17,2)/(POWER(W9/1000,5)*$K$20)</f>
        <v>0</v>
      </c>
      <c r="Z9" s="54" t="n">
        <f aca="false">V9</f>
        <v>0</v>
      </c>
      <c r="AA9" s="54" t="n">
        <v>40</v>
      </c>
      <c r="AB9" s="54"/>
      <c r="AC9" s="58"/>
      <c r="AE9" s="59"/>
      <c r="AF9" s="74"/>
      <c r="AG9" s="54"/>
      <c r="AH9" s="51" t="n">
        <f aca="false">IF(AJ9&gt;$AF$5,1,0)</f>
        <v>1</v>
      </c>
      <c r="AI9" s="63" t="n">
        <v>32</v>
      </c>
      <c r="AJ9" s="58" t="n">
        <v>16</v>
      </c>
      <c r="AK9" s="51" t="n">
        <f aca="false">IF(AM9&gt;$AF$5,1,0)</f>
        <v>1</v>
      </c>
      <c r="AL9" s="63" t="n">
        <v>32</v>
      </c>
      <c r="AM9" s="58" t="n">
        <v>16</v>
      </c>
      <c r="AN9" s="54" t="n">
        <f aca="false">IF(AP9&gt;$AF$5,1,0)</f>
        <v>1</v>
      </c>
      <c r="AO9" s="63" t="n">
        <v>32</v>
      </c>
      <c r="AP9" s="58" t="n">
        <v>16</v>
      </c>
      <c r="AR9" s="50"/>
      <c r="AS9" s="26"/>
      <c r="AT9" s="58"/>
      <c r="AU9" s="54"/>
      <c r="AV9" s="58"/>
      <c r="AX9" s="91"/>
      <c r="AY9" s="92"/>
      <c r="AZ9" s="94"/>
      <c r="BB9" s="54" t="n">
        <f aca="false">IF(AND(BC9=1,BE9=1),1,0)</f>
        <v>0</v>
      </c>
      <c r="BC9" s="54" t="n">
        <f aca="false">IF(BD9&gt;$B$4,1,0)</f>
        <v>1</v>
      </c>
      <c r="BD9" s="63" t="n">
        <v>0.04</v>
      </c>
      <c r="BE9" s="54" t="n">
        <f aca="false">IF(BF9&gt;$F$11,1,0)</f>
        <v>0</v>
      </c>
      <c r="BF9" s="54" t="n">
        <v>1.88</v>
      </c>
      <c r="BG9" s="58" t="s">
        <v>176</v>
      </c>
      <c r="BJ9" s="47"/>
      <c r="BK9" s="26"/>
      <c r="BL9" s="48"/>
      <c r="BM9" s="26" t="e">
        <f aca="false">IF($F$5=BO9,1,0)</f>
        <v>#N/A</v>
      </c>
      <c r="BN9" s="53" t="s">
        <v>123</v>
      </c>
      <c r="BO9" s="26" t="n">
        <v>50</v>
      </c>
      <c r="BP9" s="50"/>
      <c r="BQ9" s="69" t="n">
        <f aca="false">IF($F$7=BT9,1,0)</f>
        <v>0</v>
      </c>
      <c r="BR9" s="53" t="s">
        <v>123</v>
      </c>
      <c r="BS9" s="26" t="n">
        <v>20</v>
      </c>
      <c r="BT9" s="52" t="n">
        <v>5</v>
      </c>
      <c r="BU9" s="48"/>
      <c r="BV9" s="26"/>
      <c r="BW9" s="53"/>
      <c r="BX9" s="26"/>
      <c r="BY9" s="48"/>
      <c r="BZ9" s="69" t="n">
        <f aca="false">IF($F$12=CB9,1,0)</f>
        <v>1</v>
      </c>
      <c r="CA9" s="53" t="s">
        <v>123</v>
      </c>
      <c r="CB9" s="52" t="n">
        <v>50</v>
      </c>
      <c r="CC9" s="48"/>
      <c r="CD9" s="69" t="n">
        <f aca="false">IF($F$15=CF9,1,0)</f>
        <v>1</v>
      </c>
      <c r="CE9" s="53" t="s">
        <v>123</v>
      </c>
      <c r="CF9" s="52" t="n">
        <v>50</v>
      </c>
      <c r="CG9" s="48"/>
      <c r="CH9" s="26" t="e">
        <f aca="false">IF($F$18=CJ9,1,0)</f>
        <v>#N/A</v>
      </c>
      <c r="CI9" s="53" t="s">
        <v>123</v>
      </c>
      <c r="CJ9" s="26" t="n">
        <v>50</v>
      </c>
      <c r="CK9" s="48"/>
      <c r="CL9" s="26" t="e">
        <f aca="false">IF($F$22=CN9,1,0)</f>
        <v>#N/A</v>
      </c>
      <c r="CM9" s="53" t="s">
        <v>123</v>
      </c>
      <c r="CN9" s="26" t="n">
        <v>50</v>
      </c>
      <c r="CO9" s="48"/>
      <c r="CP9" s="26" t="n">
        <f aca="false">IF($E$19=CR9,1,0)</f>
        <v>0</v>
      </c>
      <c r="CQ9" s="53" t="s">
        <v>131</v>
      </c>
      <c r="CR9" s="58" t="s">
        <v>203</v>
      </c>
      <c r="CS9" s="48"/>
      <c r="CT9" s="26"/>
      <c r="CU9" s="76"/>
      <c r="CV9" s="21"/>
      <c r="CW9" s="21"/>
      <c r="CX9" s="76"/>
      <c r="CY9" s="21"/>
      <c r="CZ9" s="50"/>
      <c r="DA9" s="54"/>
      <c r="DB9" s="54"/>
      <c r="DC9" s="54"/>
      <c r="DD9" s="50"/>
      <c r="DE9" s="48"/>
      <c r="DF9" s="26" t="n">
        <f aca="false">IF($E$9=DH9,1,0)</f>
        <v>0</v>
      </c>
      <c r="DG9" s="53" t="s">
        <v>115</v>
      </c>
      <c r="DH9" s="58" t="s">
        <v>184</v>
      </c>
      <c r="DI9" s="50"/>
      <c r="DJ9" s="26"/>
      <c r="DK9" s="53"/>
      <c r="DL9" s="26"/>
      <c r="DM9" s="50"/>
      <c r="DN9" s="26"/>
      <c r="DO9" s="53"/>
      <c r="DP9" s="52"/>
    </row>
    <row r="10" customFormat="false" ht="15" hidden="false" customHeight="false" outlineLevel="0" collapsed="false">
      <c r="A10" s="55" t="s">
        <v>125</v>
      </c>
      <c r="B10" s="71" t="n">
        <f aca="false">'ОЛ(4)'!AC13*100</f>
        <v>40</v>
      </c>
      <c r="C10" s="72" t="s">
        <v>118</v>
      </c>
      <c r="I10" s="51" t="n">
        <f aca="false">IF($B$11&lt;12,(IF((L10&gt;4)*AND(L10&lt;16),2,0)),IF((L10&gt;4)*AND(L10&lt;20),2,0))</f>
        <v>0</v>
      </c>
      <c r="J10" s="54" t="n">
        <v>65</v>
      </c>
      <c r="K10" s="54" t="n">
        <f aca="false">1/POWER(1.14+2*LOG10((J10/1000)/($K$21/1000)),2)</f>
        <v>0.0347051014322117</v>
      </c>
      <c r="L10" s="54" t="n">
        <f aca="false">0.00638*K10*POWER($F$4,2)/(POWER(J10/1000,5)*$K$20)</f>
        <v>0</v>
      </c>
      <c r="M10" s="58"/>
      <c r="N10" s="51" t="n">
        <f aca="false">IF((Q10&gt;4)*AND(Q10&lt;18),1,0)</f>
        <v>0</v>
      </c>
      <c r="O10" s="54" t="n">
        <v>65</v>
      </c>
      <c r="P10" s="54" t="n">
        <f aca="false">1/POWER(1.14+2*LOG10((O10/1000)/($K$21/1000)),2)</f>
        <v>0.0347051014322117</v>
      </c>
      <c r="Q10" s="58" t="n">
        <f aca="false">0.00638*P10*POWER($F$11,2)/(POWER(O10/1000,5)*$K$20)</f>
        <v>2.21237070461497</v>
      </c>
      <c r="R10" s="54" t="n">
        <f aca="false">IF((U10&gt;4)*AND(U10&lt;16),1,0)</f>
        <v>0</v>
      </c>
      <c r="S10" s="54" t="n">
        <v>65</v>
      </c>
      <c r="T10" s="54" t="n">
        <f aca="false">1/POWER(1.14+2*LOG10((S10/1000)/($K$21/1000)),2)</f>
        <v>0.0347051014322117</v>
      </c>
      <c r="U10" s="58" t="n">
        <f aca="false">0.00638*T10*POWER($F$14,2)/(POWER(S10/1000,5)*$K$20)</f>
        <v>2.21237070461497</v>
      </c>
      <c r="V10" s="54" t="n">
        <f aca="false">IF((Y10&gt;4)*AND(Y10&lt;16),1,0)</f>
        <v>0</v>
      </c>
      <c r="W10" s="54" t="n">
        <v>65</v>
      </c>
      <c r="X10" s="54" t="n">
        <f aca="false">1/POWER(1.14+2*LOG10((W10/1000)/($K$21/1000)),2)</f>
        <v>0.0347051014322117</v>
      </c>
      <c r="Y10" s="58" t="n">
        <f aca="false">0.00638*X10*POWER($F$17,2)/(POWER(W10/1000,5)*$K$20)</f>
        <v>0</v>
      </c>
      <c r="Z10" s="54" t="n">
        <f aca="false">V10</f>
        <v>0</v>
      </c>
      <c r="AA10" s="54" t="n">
        <v>50</v>
      </c>
      <c r="AB10" s="54"/>
      <c r="AC10" s="58"/>
      <c r="AE10" s="51"/>
      <c r="AF10" s="54"/>
      <c r="AG10" s="54"/>
      <c r="AH10" s="51" t="n">
        <f aca="false">IF(AJ10&gt;$AF$5,1,0)</f>
        <v>1</v>
      </c>
      <c r="AI10" s="63" t="n">
        <v>40</v>
      </c>
      <c r="AJ10" s="58" t="n">
        <v>20</v>
      </c>
      <c r="AK10" s="51" t="n">
        <f aca="false">IF(AM10&gt;$AF$5,1,0)</f>
        <v>1</v>
      </c>
      <c r="AL10" s="63" t="n">
        <v>40</v>
      </c>
      <c r="AM10" s="58" t="n">
        <v>25</v>
      </c>
      <c r="AN10" s="54" t="n">
        <f aca="false">IF(AP10&gt;$AF$5,1,0)</f>
        <v>1</v>
      </c>
      <c r="AO10" s="63" t="n">
        <v>40</v>
      </c>
      <c r="AP10" s="58" t="n">
        <v>25</v>
      </c>
      <c r="AR10" s="50"/>
      <c r="AS10" s="26"/>
      <c r="AT10" s="58"/>
      <c r="AU10" s="54"/>
      <c r="AV10" s="58"/>
      <c r="BA10" s="58"/>
      <c r="BB10" s="54" t="n">
        <f aca="false">IF(AND(BC10=1,BE10=1),1,0)</f>
        <v>1</v>
      </c>
      <c r="BC10" s="54" t="n">
        <f aca="false">IF(BD10&gt;$B$4,1,0)</f>
        <v>1</v>
      </c>
      <c r="BD10" s="63" t="n">
        <v>0.04</v>
      </c>
      <c r="BE10" s="54" t="n">
        <f aca="false">IF(BF10&gt;$F$11,1,0)</f>
        <v>1</v>
      </c>
      <c r="BF10" s="63" t="n">
        <v>8</v>
      </c>
      <c r="BG10" s="58" t="s">
        <v>201</v>
      </c>
      <c r="BJ10" s="47"/>
      <c r="BK10" s="26"/>
      <c r="BL10" s="48"/>
      <c r="BM10" s="26" t="e">
        <f aca="false">IF($F$5=BO10,1,0)</f>
        <v>#N/A</v>
      </c>
      <c r="BN10" s="53" t="s">
        <v>130</v>
      </c>
      <c r="BO10" s="26" t="n">
        <v>65</v>
      </c>
      <c r="BP10" s="50"/>
      <c r="BQ10" s="69" t="n">
        <f aca="false">IF($F$7=BT10,1,0)</f>
        <v>0</v>
      </c>
      <c r="BR10" s="53" t="s">
        <v>130</v>
      </c>
      <c r="BS10" s="26" t="n">
        <v>20</v>
      </c>
      <c r="BT10" s="52" t="n">
        <v>6.3</v>
      </c>
      <c r="BU10" s="48"/>
      <c r="BV10" s="26"/>
      <c r="BW10" s="53"/>
      <c r="BX10" s="26"/>
      <c r="BY10" s="48"/>
      <c r="BZ10" s="69" t="n">
        <f aca="false">IF($F$12=CB10,1,0)</f>
        <v>0</v>
      </c>
      <c r="CA10" s="53" t="s">
        <v>130</v>
      </c>
      <c r="CB10" s="52" t="n">
        <v>65</v>
      </c>
      <c r="CC10" s="48"/>
      <c r="CD10" s="69" t="n">
        <f aca="false">IF($F$15=CF10,1,0)</f>
        <v>0</v>
      </c>
      <c r="CE10" s="53" t="s">
        <v>130</v>
      </c>
      <c r="CF10" s="52" t="n">
        <v>65</v>
      </c>
      <c r="CG10" s="48"/>
      <c r="CH10" s="26" t="e">
        <f aca="false">IF($F$18=CJ10,1,0)</f>
        <v>#N/A</v>
      </c>
      <c r="CI10" s="53" t="s">
        <v>130</v>
      </c>
      <c r="CJ10" s="26" t="n">
        <v>65</v>
      </c>
      <c r="CK10" s="48"/>
      <c r="CL10" s="26" t="e">
        <f aca="false">IF($F$22=CN10,1,0)</f>
        <v>#N/A</v>
      </c>
      <c r="CM10" s="53" t="s">
        <v>130</v>
      </c>
      <c r="CN10" s="26" t="n">
        <v>65</v>
      </c>
      <c r="CO10" s="48"/>
      <c r="CP10" s="26"/>
      <c r="CQ10" s="53"/>
      <c r="CR10" s="26"/>
      <c r="CS10" s="48"/>
      <c r="CT10" s="26"/>
      <c r="CU10" s="76"/>
      <c r="CV10" s="21"/>
      <c r="CW10" s="21"/>
      <c r="CX10" s="76"/>
      <c r="CY10" s="21"/>
      <c r="CZ10" s="50"/>
      <c r="DD10" s="50"/>
      <c r="DE10" s="48"/>
      <c r="DF10" s="26" t="n">
        <f aca="false">IF($E$9=DH10,1,0)</f>
        <v>0</v>
      </c>
      <c r="DG10" s="53" t="s">
        <v>123</v>
      </c>
      <c r="DH10" s="58" t="s">
        <v>189</v>
      </c>
      <c r="DI10" s="50"/>
      <c r="DJ10" s="26"/>
      <c r="DK10" s="53"/>
      <c r="DL10" s="26"/>
      <c r="DM10" s="50"/>
      <c r="DN10" s="26"/>
      <c r="DO10" s="53"/>
      <c r="DP10" s="52"/>
    </row>
    <row r="11" customFormat="false" ht="15.75" hidden="false" customHeight="false" outlineLevel="0" collapsed="false">
      <c r="A11" s="82" t="s">
        <v>137</v>
      </c>
      <c r="B11" s="0" t="n">
        <f aca="false">B9-B10</f>
        <v>20</v>
      </c>
      <c r="C11" s="72" t="s">
        <v>118</v>
      </c>
      <c r="E11" s="0" t="s">
        <v>219</v>
      </c>
      <c r="F11" s="114" t="n">
        <f aca="false">'БОВ (1)'!F4+'БОВ (2)'!F4+'БОВ (3)'!F4</f>
        <v>3.33333333333333</v>
      </c>
      <c r="I11" s="51" t="n">
        <f aca="false">IF($B$11&lt;12,(IF((L11&gt;4)*AND(L11&lt;16),2,0)),IF((L11&gt;4)*AND(L11&lt;20),2,0))</f>
        <v>0</v>
      </c>
      <c r="J11" s="54" t="n">
        <v>80</v>
      </c>
      <c r="K11" s="54" t="n">
        <f aca="false">1/POWER(1.14+2*LOG10((J11/1000)/($K$21/1000)),2)</f>
        <v>0.032485497883736</v>
      </c>
      <c r="L11" s="54" t="n">
        <f aca="false">0.00638*K11*POWER($F$4,2)/(POWER(J11/1000,5)*$K$20)</f>
        <v>0</v>
      </c>
      <c r="M11" s="58"/>
      <c r="N11" s="51" t="n">
        <f aca="false">IF((Q11&gt;4)*AND(Q11&lt;18),1,0)</f>
        <v>0</v>
      </c>
      <c r="O11" s="54" t="n">
        <v>80</v>
      </c>
      <c r="P11" s="54" t="n">
        <f aca="false">1/POWER(1.14+2*LOG10((O11/1000)/($K$21/1000)),2)</f>
        <v>0.032485497883736</v>
      </c>
      <c r="Q11" s="58" t="n">
        <f aca="false">0.00638*P11*POWER($F$11,2)/(POWER(O11/1000,5)*$K$20)</f>
        <v>0.733281885436985</v>
      </c>
      <c r="R11" s="54" t="n">
        <f aca="false">IF((U11&gt;4)*AND(U11&lt;16),1,0)</f>
        <v>0</v>
      </c>
      <c r="S11" s="54" t="n">
        <v>80</v>
      </c>
      <c r="T11" s="54" t="n">
        <f aca="false">1/POWER(1.14+2*LOG10((S11/1000)/($K$21/1000)),2)</f>
        <v>0.032485497883736</v>
      </c>
      <c r="U11" s="58" t="n">
        <f aca="false">0.00638*T11*POWER($F$14,2)/(POWER(S11/1000,5)*$K$20)</f>
        <v>0.733281885436985</v>
      </c>
      <c r="V11" s="54" t="n">
        <f aca="false">IF((Y11&gt;4)*AND(Y11&lt;16),1,0)</f>
        <v>0</v>
      </c>
      <c r="W11" s="54" t="n">
        <v>80</v>
      </c>
      <c r="X11" s="54" t="n">
        <f aca="false">1/POWER(1.14+2*LOG10((W11/1000)/($K$21/1000)),2)</f>
        <v>0.032485497883736</v>
      </c>
      <c r="Y11" s="58" t="n">
        <f aca="false">0.00638*X11*POWER($F$17,2)/(POWER(W11/1000,5)*$K$20)</f>
        <v>0</v>
      </c>
      <c r="Z11" s="54" t="n">
        <f aca="false">V11</f>
        <v>0</v>
      </c>
      <c r="AA11" s="54" t="n">
        <v>65</v>
      </c>
      <c r="AB11" s="54"/>
      <c r="AC11" s="58"/>
      <c r="AE11" s="51"/>
      <c r="AF11" s="54"/>
      <c r="AG11" s="74"/>
      <c r="AH11" s="51" t="n">
        <f aca="false">IF(AJ11&gt;$AF$5,1,0)</f>
        <v>1</v>
      </c>
      <c r="AI11" s="63" t="n">
        <v>40</v>
      </c>
      <c r="AJ11" s="58" t="n">
        <v>25</v>
      </c>
      <c r="AK11" s="51" t="n">
        <f aca="false">IF(AM11&gt;$AF$5,1,0)</f>
        <v>1</v>
      </c>
      <c r="AL11" s="63" t="n">
        <v>50</v>
      </c>
      <c r="AM11" s="83" t="n">
        <v>31.5</v>
      </c>
      <c r="AN11" s="54" t="n">
        <f aca="false">IF(AP11&gt;$AF$5,1,0)</f>
        <v>1</v>
      </c>
      <c r="AO11" s="63" t="n">
        <v>50</v>
      </c>
      <c r="AP11" s="58" t="n">
        <v>40</v>
      </c>
      <c r="AR11" s="103"/>
      <c r="AS11" s="100"/>
      <c r="AT11" s="94"/>
      <c r="AU11" s="92"/>
      <c r="AV11" s="94"/>
      <c r="BA11" s="58"/>
      <c r="BB11" s="54" t="n">
        <f aca="false">IF(AND(BC11=1,BE11=1),1,0)</f>
        <v>0</v>
      </c>
      <c r="BC11" s="54" t="n">
        <f aca="false">IF(BD11&gt;$B$4,1,0)</f>
        <v>1</v>
      </c>
      <c r="BD11" s="63" t="n">
        <v>0.05</v>
      </c>
      <c r="BE11" s="54" t="n">
        <f aca="false">IF(BF11&gt;$F$11,1,0)</f>
        <v>0</v>
      </c>
      <c r="BF11" s="63" t="n">
        <v>2</v>
      </c>
      <c r="BG11" s="58" t="s">
        <v>176</v>
      </c>
      <c r="BJ11" s="47"/>
      <c r="BK11" s="26"/>
      <c r="BL11" s="48"/>
      <c r="BM11" s="26" t="e">
        <f aca="false">IF($F$5=BO11,1,0)</f>
        <v>#N/A</v>
      </c>
      <c r="BN11" s="53" t="s">
        <v>136</v>
      </c>
      <c r="BO11" s="26" t="n">
        <v>80</v>
      </c>
      <c r="BP11" s="50"/>
      <c r="BQ11" s="69" t="n">
        <f aca="false">IF($F$7=BT11,1,0)</f>
        <v>0</v>
      </c>
      <c r="BR11" s="53" t="s">
        <v>136</v>
      </c>
      <c r="BS11" s="26" t="n">
        <v>25</v>
      </c>
      <c r="BT11" s="52" t="n">
        <v>8</v>
      </c>
      <c r="BU11" s="48"/>
      <c r="BV11" s="26"/>
      <c r="BW11" s="53"/>
      <c r="BX11" s="26"/>
      <c r="BY11" s="48"/>
      <c r="BZ11" s="69" t="n">
        <f aca="false">IF($F$12=CB11,1,0)</f>
        <v>0</v>
      </c>
      <c r="CA11" s="53" t="s">
        <v>136</v>
      </c>
      <c r="CB11" s="52" t="n">
        <v>80</v>
      </c>
      <c r="CC11" s="48"/>
      <c r="CD11" s="69" t="n">
        <f aca="false">IF($F$15=CF11,1,0)</f>
        <v>0</v>
      </c>
      <c r="CE11" s="53" t="s">
        <v>136</v>
      </c>
      <c r="CF11" s="52" t="n">
        <v>80</v>
      </c>
      <c r="CG11" s="48"/>
      <c r="CH11" s="26" t="e">
        <f aca="false">IF($F$18=CJ11,1,0)</f>
        <v>#N/A</v>
      </c>
      <c r="CI11" s="53" t="s">
        <v>136</v>
      </c>
      <c r="CJ11" s="26" t="n">
        <v>80</v>
      </c>
      <c r="CK11" s="48"/>
      <c r="CL11" s="26" t="e">
        <f aca="false">IF($F$22=CN11,1,0)</f>
        <v>#N/A</v>
      </c>
      <c r="CM11" s="53" t="s">
        <v>136</v>
      </c>
      <c r="CN11" s="26" t="n">
        <v>80</v>
      </c>
      <c r="CO11" s="48"/>
      <c r="CP11" s="26"/>
      <c r="CQ11" s="53"/>
      <c r="CR11" s="26"/>
      <c r="CS11" s="48"/>
      <c r="CT11" s="26"/>
      <c r="CU11" s="76"/>
      <c r="CV11" s="21"/>
      <c r="CW11" s="21"/>
      <c r="CX11" s="21"/>
      <c r="CY11" s="21"/>
      <c r="CZ11" s="50"/>
      <c r="DD11" s="50"/>
      <c r="DE11" s="48"/>
      <c r="DF11" s="26" t="n">
        <f aca="false">IF($E$9=DH11,1,0)</f>
        <v>0</v>
      </c>
      <c r="DG11" s="53" t="s">
        <v>130</v>
      </c>
      <c r="DH11" s="58" t="s">
        <v>194</v>
      </c>
      <c r="DI11" s="50"/>
      <c r="DJ11" s="26"/>
      <c r="DK11" s="53"/>
      <c r="DL11" s="26"/>
      <c r="DM11" s="50"/>
      <c r="DN11" s="26"/>
      <c r="DO11" s="53"/>
      <c r="DP11" s="52"/>
    </row>
    <row r="12" customFormat="false" ht="15" hidden="false" customHeight="false" outlineLevel="0" collapsed="false">
      <c r="E12" s="0" t="s">
        <v>215</v>
      </c>
      <c r="F12" s="0" t="n">
        <f aca="false">VLOOKUP(1,N4:Q17,2,0)</f>
        <v>50</v>
      </c>
      <c r="I12" s="51" t="n">
        <f aca="false">IF($B$11&lt;12,(IF((L12&gt;4)*AND(L12&lt;16),2,0)),IF((L12&gt;4)*AND(L12&lt;20),2,0))</f>
        <v>0</v>
      </c>
      <c r="J12" s="54" t="n">
        <v>100</v>
      </c>
      <c r="K12" s="54" t="n">
        <f aca="false">1/POWER(1.14+2*LOG10((J12/1000)/($K$21/1000)),2)</f>
        <v>0.0303294509825929</v>
      </c>
      <c r="L12" s="54" t="n">
        <f aca="false">0.00638*K12*POWER($F$4,2)/(POWER(J12/1000,5)*$K$20)</f>
        <v>0</v>
      </c>
      <c r="M12" s="58"/>
      <c r="N12" s="51" t="n">
        <f aca="false">IF((Q12&gt;4)*AND(Q12&lt;18),1,0)</f>
        <v>0</v>
      </c>
      <c r="O12" s="54" t="n">
        <v>100</v>
      </c>
      <c r="P12" s="54" t="n">
        <f aca="false">1/POWER(1.14+2*LOG10((O12/1000)/($K$21/1000)),2)</f>
        <v>0.0303294509825929</v>
      </c>
      <c r="Q12" s="58" t="n">
        <f aca="false">0.00638*P12*POWER($F$11,2)/(POWER(O12/1000,5)*$K$20)</f>
        <v>0.224334419946372</v>
      </c>
      <c r="R12" s="54" t="n">
        <f aca="false">IF((U12&gt;4)*AND(U12&lt;16),1,0)</f>
        <v>0</v>
      </c>
      <c r="S12" s="54" t="n">
        <v>100</v>
      </c>
      <c r="T12" s="54" t="n">
        <f aca="false">1/POWER(1.14+2*LOG10((S12/1000)/($K$21/1000)),2)</f>
        <v>0.0303294509825929</v>
      </c>
      <c r="U12" s="58" t="n">
        <f aca="false">0.00638*T12*POWER($F$14,2)/(POWER(S12/1000,5)*$K$20)</f>
        <v>0.224334419946372</v>
      </c>
      <c r="V12" s="54" t="n">
        <f aca="false">IF((Y12&gt;4)*AND(Y12&lt;16),1,0)</f>
        <v>0</v>
      </c>
      <c r="W12" s="54" t="n">
        <v>100</v>
      </c>
      <c r="X12" s="54" t="n">
        <f aca="false">1/POWER(1.14+2*LOG10((W12/1000)/($K$21/1000)),2)</f>
        <v>0.0303294509825929</v>
      </c>
      <c r="Y12" s="58" t="n">
        <f aca="false">0.00638*X12*POWER($F$17,2)/(POWER(W12/1000,5)*$K$20)</f>
        <v>0</v>
      </c>
      <c r="Z12" s="54" t="n">
        <f aca="false">V12</f>
        <v>0</v>
      </c>
      <c r="AA12" s="54" t="n">
        <v>80</v>
      </c>
      <c r="AB12" s="54"/>
      <c r="AC12" s="58"/>
      <c r="AE12" s="59"/>
      <c r="AF12" s="54"/>
      <c r="AG12" s="54"/>
      <c r="AH12" s="51" t="n">
        <f aca="false">IF(AJ12&gt;$AF$5,1,0)</f>
        <v>1</v>
      </c>
      <c r="AI12" s="63" t="n">
        <v>50</v>
      </c>
      <c r="AJ12" s="58" t="n">
        <v>31.5</v>
      </c>
      <c r="AK12" s="51" t="n">
        <f aca="false">IF(AM12&gt;$AF$5,1,0)</f>
        <v>1</v>
      </c>
      <c r="AL12" s="63" t="n">
        <v>50</v>
      </c>
      <c r="AM12" s="83" t="n">
        <v>40</v>
      </c>
      <c r="AN12" s="54" t="n">
        <f aca="false">IF(AP12&gt;$AF$5,1,0)</f>
        <v>1</v>
      </c>
      <c r="AO12" s="63" t="n">
        <v>65</v>
      </c>
      <c r="AP12" s="58" t="n">
        <v>63</v>
      </c>
      <c r="BA12" s="58"/>
      <c r="BB12" s="54" t="n">
        <f aca="false">IF(AND(BC12=1,BE12=1),1,0)</f>
        <v>1</v>
      </c>
      <c r="BC12" s="54" t="n">
        <f aca="false">IF(BD12&gt;$B$4,1,0)</f>
        <v>1</v>
      </c>
      <c r="BD12" s="63" t="n">
        <v>0.05</v>
      </c>
      <c r="BE12" s="54" t="n">
        <f aca="false">IF(BF12&gt;$F$11,1,0)</f>
        <v>1</v>
      </c>
      <c r="BF12" s="63" t="n">
        <v>10</v>
      </c>
      <c r="BG12" s="58" t="s">
        <v>201</v>
      </c>
      <c r="BJ12" s="47"/>
      <c r="BK12" s="26"/>
      <c r="BL12" s="48"/>
      <c r="BM12" s="26" t="e">
        <f aca="false">IF($F$5=BO12,1,0)</f>
        <v>#N/A</v>
      </c>
      <c r="BN12" s="53" t="s">
        <v>138</v>
      </c>
      <c r="BO12" s="26" t="n">
        <v>100</v>
      </c>
      <c r="BP12" s="50"/>
      <c r="BQ12" s="69" t="n">
        <f aca="false">IF($F$7=BT12,1,0)</f>
        <v>0</v>
      </c>
      <c r="BR12" s="53" t="s">
        <v>138</v>
      </c>
      <c r="BS12" s="26" t="n">
        <v>25</v>
      </c>
      <c r="BT12" s="52" t="n">
        <v>10</v>
      </c>
      <c r="BU12" s="48"/>
      <c r="BV12" s="26"/>
      <c r="BW12" s="53"/>
      <c r="BX12" s="26"/>
      <c r="BY12" s="48"/>
      <c r="BZ12" s="69" t="n">
        <f aca="false">IF($F$12=CB12,1,0)</f>
        <v>0</v>
      </c>
      <c r="CA12" s="53" t="s">
        <v>138</v>
      </c>
      <c r="CB12" s="52" t="n">
        <v>100</v>
      </c>
      <c r="CC12" s="48"/>
      <c r="CD12" s="69" t="n">
        <f aca="false">IF($F$15=CF12,1,0)</f>
        <v>0</v>
      </c>
      <c r="CE12" s="53" t="s">
        <v>138</v>
      </c>
      <c r="CF12" s="52" t="n">
        <v>100</v>
      </c>
      <c r="CG12" s="48"/>
      <c r="CH12" s="26" t="e">
        <f aca="false">IF($F$18=CJ12,1,0)</f>
        <v>#N/A</v>
      </c>
      <c r="CI12" s="53" t="s">
        <v>138</v>
      </c>
      <c r="CJ12" s="26" t="n">
        <v>100</v>
      </c>
      <c r="CK12" s="48"/>
      <c r="CL12" s="26" t="e">
        <f aca="false">IF($F$22=CN12,1,0)</f>
        <v>#N/A</v>
      </c>
      <c r="CM12" s="53" t="s">
        <v>138</v>
      </c>
      <c r="CN12" s="26" t="n">
        <v>100</v>
      </c>
      <c r="CO12" s="48"/>
      <c r="CP12" s="26"/>
      <c r="CQ12" s="53"/>
      <c r="CR12" s="26"/>
      <c r="CS12" s="48"/>
      <c r="CT12" s="26"/>
      <c r="CU12" s="21"/>
      <c r="CV12" s="54"/>
      <c r="CW12" s="54"/>
      <c r="CX12" s="54"/>
      <c r="CY12" s="54"/>
      <c r="CZ12" s="50"/>
      <c r="DD12" s="50"/>
      <c r="DE12" s="48"/>
      <c r="DF12" s="26" t="n">
        <f aca="false">IF($E$9=DH12,1,0)</f>
        <v>0</v>
      </c>
      <c r="DG12" s="53" t="s">
        <v>136</v>
      </c>
      <c r="DH12" s="58" t="s">
        <v>200</v>
      </c>
      <c r="DI12" s="50"/>
      <c r="DJ12" s="26"/>
      <c r="DK12" s="53"/>
      <c r="DL12" s="26"/>
      <c r="DM12" s="50"/>
      <c r="DN12" s="26"/>
      <c r="DO12" s="53"/>
      <c r="DP12" s="52"/>
    </row>
    <row r="13" customFormat="false" ht="15" hidden="false" customHeight="false" outlineLevel="0" collapsed="false">
      <c r="A13" s="55"/>
      <c r="C13" s="72"/>
      <c r="I13" s="51" t="n">
        <f aca="false">IF($B$11&lt;12,(IF((L13&gt;4)*AND(L13&lt;16),2,0)),IF((L13&gt;4)*AND(L13&lt;20),2,0))</f>
        <v>0</v>
      </c>
      <c r="J13" s="54" t="n">
        <v>125</v>
      </c>
      <c r="K13" s="54" t="n">
        <f aca="false">1/POWER(1.14+2*LOG10((J13/1000)/($K$21/1000)),2)</f>
        <v>0.0283811358286925</v>
      </c>
      <c r="L13" s="54" t="n">
        <f aca="false">0.00638*K13*POWER($F$4,2)/(POWER(J13/1000,5)*$K$20)</f>
        <v>0</v>
      </c>
      <c r="M13" s="58"/>
      <c r="N13" s="51" t="n">
        <f aca="false">IF((Q13&gt;4)*AND(Q13&lt;18),1,0)</f>
        <v>0</v>
      </c>
      <c r="O13" s="54" t="n">
        <v>125</v>
      </c>
      <c r="P13" s="54" t="n">
        <f aca="false">1/POWER(1.14+2*LOG10((O13/1000)/($K$21/1000)),2)</f>
        <v>0.0283811358286925</v>
      </c>
      <c r="Q13" s="58" t="n">
        <f aca="false">0.00638*P13*POWER($F$11,2)/(POWER(O13/1000,5)*$K$20)</f>
        <v>0.0687877447987934</v>
      </c>
      <c r="R13" s="54" t="n">
        <f aca="false">IF((U13&gt;4)*AND(U13&lt;16),1,0)</f>
        <v>0</v>
      </c>
      <c r="S13" s="54" t="n">
        <v>125</v>
      </c>
      <c r="T13" s="54" t="n">
        <f aca="false">1/POWER(1.14+2*LOG10((S13/1000)/($K$21/1000)),2)</f>
        <v>0.0283811358286925</v>
      </c>
      <c r="U13" s="58" t="n">
        <f aca="false">0.00638*T13*POWER($F$14,2)/(POWER(S13/1000,5)*$K$20)</f>
        <v>0.0687877447987934</v>
      </c>
      <c r="V13" s="54" t="n">
        <f aca="false">IF((Y13&gt;4)*AND(Y13&lt;16),1,0)</f>
        <v>0</v>
      </c>
      <c r="W13" s="54" t="n">
        <v>125</v>
      </c>
      <c r="X13" s="54" t="n">
        <f aca="false">1/POWER(1.14+2*LOG10((W13/1000)/($K$21/1000)),2)</f>
        <v>0.0283811358286925</v>
      </c>
      <c r="Y13" s="58" t="n">
        <f aca="false">0.00638*X13*POWER($F$17,2)/(POWER(W13/1000,5)*$K$20)</f>
        <v>0</v>
      </c>
      <c r="Z13" s="54" t="n">
        <f aca="false">V13</f>
        <v>0</v>
      </c>
      <c r="AA13" s="54" t="n">
        <v>100</v>
      </c>
      <c r="AB13" s="54"/>
      <c r="AC13" s="58"/>
      <c r="AE13" s="59"/>
      <c r="AF13" s="74"/>
      <c r="AG13" s="54"/>
      <c r="AH13" s="51" t="n">
        <f aca="false">IF(AJ13&gt;$AF$5,1,0)</f>
        <v>1</v>
      </c>
      <c r="AI13" s="63" t="n">
        <v>50</v>
      </c>
      <c r="AJ13" s="58" t="n">
        <v>40</v>
      </c>
      <c r="AK13" s="51" t="n">
        <f aca="false">IF(AM13&gt;$AF$5,1,0)</f>
        <v>1</v>
      </c>
      <c r="AL13" s="63" t="n">
        <v>65</v>
      </c>
      <c r="AM13" s="83" t="n">
        <v>50</v>
      </c>
      <c r="AN13" s="54" t="n">
        <f aca="false">IF(AP13&gt;$AF$5,1,0)</f>
        <v>1</v>
      </c>
      <c r="AO13" s="63" t="n">
        <v>80</v>
      </c>
      <c r="AP13" s="58" t="n">
        <v>100</v>
      </c>
      <c r="BA13" s="58"/>
      <c r="BB13" s="54" t="n">
        <f aca="false">IF(AND(BC13=1,BE13=1),1,0)</f>
        <v>0</v>
      </c>
      <c r="BC13" s="54" t="n">
        <f aca="false">IF(BD13&gt;$B$4,1,0)</f>
        <v>1</v>
      </c>
      <c r="BD13" s="63" t="n">
        <v>0.06</v>
      </c>
      <c r="BE13" s="54" t="n">
        <f aca="false">IF(BF13&gt;$F$11,1,0)</f>
        <v>0</v>
      </c>
      <c r="BF13" s="63" t="n">
        <v>1.78</v>
      </c>
      <c r="BG13" s="58" t="s">
        <v>176</v>
      </c>
      <c r="BJ13" s="47"/>
      <c r="BK13" s="26"/>
      <c r="BL13" s="48"/>
      <c r="BM13" s="26" t="e">
        <f aca="false">IF($F$5=BO13,1,0)</f>
        <v>#N/A</v>
      </c>
      <c r="BN13" s="53" t="s">
        <v>140</v>
      </c>
      <c r="BO13" s="26" t="n">
        <v>125</v>
      </c>
      <c r="BP13" s="50"/>
      <c r="BQ13" s="69" t="n">
        <f aca="false">IF($F$7=BT13,1,0)</f>
        <v>0</v>
      </c>
      <c r="BR13" s="53" t="s">
        <v>140</v>
      </c>
      <c r="BS13" s="26" t="n">
        <v>32</v>
      </c>
      <c r="BT13" s="52" t="n">
        <v>12.5</v>
      </c>
      <c r="BU13" s="48"/>
      <c r="BV13" s="26"/>
      <c r="BW13" s="53"/>
      <c r="BX13" s="26"/>
      <c r="BY13" s="48"/>
      <c r="BZ13" s="69" t="n">
        <f aca="false">IF($F$12=CB13,1,0)</f>
        <v>0</v>
      </c>
      <c r="CA13" s="53" t="s">
        <v>140</v>
      </c>
      <c r="CB13" s="52" t="n">
        <v>125</v>
      </c>
      <c r="CC13" s="48"/>
      <c r="CD13" s="69" t="n">
        <f aca="false">IF($F$15=CF13,1,0)</f>
        <v>0</v>
      </c>
      <c r="CE13" s="53" t="s">
        <v>140</v>
      </c>
      <c r="CF13" s="52" t="n">
        <v>125</v>
      </c>
      <c r="CG13" s="48"/>
      <c r="CH13" s="26" t="e">
        <f aca="false">IF($F$18=CJ13,1,0)</f>
        <v>#N/A</v>
      </c>
      <c r="CI13" s="53" t="s">
        <v>140</v>
      </c>
      <c r="CJ13" s="26" t="n">
        <v>125</v>
      </c>
      <c r="CK13" s="48"/>
      <c r="CL13" s="26" t="e">
        <f aca="false">IF($F$22=CN13,1,0)</f>
        <v>#N/A</v>
      </c>
      <c r="CM13" s="53" t="s">
        <v>140</v>
      </c>
      <c r="CN13" s="26" t="n">
        <v>125</v>
      </c>
      <c r="CO13" s="48"/>
      <c r="CP13" s="26"/>
      <c r="CQ13" s="53"/>
      <c r="CR13" s="26"/>
      <c r="CS13" s="48"/>
      <c r="CT13" s="26"/>
      <c r="CU13" s="21"/>
      <c r="CV13" s="76"/>
      <c r="CW13" s="26"/>
      <c r="CX13" s="21"/>
      <c r="CY13" s="76"/>
      <c r="CZ13" s="50"/>
      <c r="DA13" s="54"/>
      <c r="DB13" s="76"/>
      <c r="DC13" s="54"/>
      <c r="DD13" s="50"/>
      <c r="DE13" s="48"/>
      <c r="DF13" s="26" t="n">
        <f aca="false">IF($E$9=DH13,1,0)</f>
        <v>0</v>
      </c>
      <c r="DG13" s="53" t="s">
        <v>138</v>
      </c>
      <c r="DH13" s="58" t="s">
        <v>206</v>
      </c>
      <c r="DI13" s="50"/>
      <c r="DJ13" s="26"/>
      <c r="DK13" s="53"/>
      <c r="DL13" s="26"/>
      <c r="DM13" s="50"/>
      <c r="DN13" s="26"/>
      <c r="DO13" s="53"/>
      <c r="DP13" s="52"/>
    </row>
    <row r="14" customFormat="false" ht="15" hidden="false" customHeight="false" outlineLevel="0" collapsed="false">
      <c r="A14" s="55" t="s">
        <v>31</v>
      </c>
      <c r="B14" s="26" t="n">
        <f aca="false">'ОЛ(4)'!O36</f>
        <v>0</v>
      </c>
      <c r="C14" s="26"/>
      <c r="E14" s="0" t="s">
        <v>133</v>
      </c>
      <c r="F14" s="114" t="n">
        <f aca="false">F4+F11</f>
        <v>3.33333333333333</v>
      </c>
      <c r="I14" s="51" t="n">
        <f aca="false">IF($B$11&lt;12,(IF((L14&gt;4)*AND(L14&lt;16),2,0)),IF((L14&gt;4)*AND(L14&lt;20),2,0))</f>
        <v>0</v>
      </c>
      <c r="J14" s="54" t="n">
        <v>150</v>
      </c>
      <c r="K14" s="54" t="n">
        <f aca="false">1/POWER(1.14+2*LOG10((J14/1000)/($K$21/1000)),2)</f>
        <v>0.0269252990527845</v>
      </c>
      <c r="L14" s="54" t="n">
        <f aca="false">0.00638*K14*POWER($F$4,2)/(POWER(J14/1000,5)*$K$20)</f>
        <v>0</v>
      </c>
      <c r="M14" s="58"/>
      <c r="N14" s="51" t="n">
        <f aca="false">IF((Q14&gt;4)*AND(Q14&lt;18),1,0)</f>
        <v>0</v>
      </c>
      <c r="O14" s="54" t="n">
        <v>150</v>
      </c>
      <c r="P14" s="54" t="n">
        <f aca="false">1/POWER(1.14+2*LOG10((O14/1000)/($K$21/1000)),2)</f>
        <v>0.0269252990527845</v>
      </c>
      <c r="Q14" s="58" t="n">
        <f aca="false">0.00638*P14*POWER($F$11,2)/(POWER(O14/1000,5)*$K$20)</f>
        <v>0.0262262142370747</v>
      </c>
      <c r="R14" s="54" t="n">
        <f aca="false">IF((U14&gt;4)*AND(U14&lt;16),1,0)</f>
        <v>0</v>
      </c>
      <c r="S14" s="54" t="n">
        <v>150</v>
      </c>
      <c r="T14" s="54" t="n">
        <f aca="false">1/POWER(1.14+2*LOG10((S14/1000)/($K$21/1000)),2)</f>
        <v>0.0269252990527845</v>
      </c>
      <c r="U14" s="58" t="n">
        <f aca="false">0.00638*T14*POWER($F$14,2)/(POWER(S14/1000,5)*$K$20)</f>
        <v>0.0262262142370747</v>
      </c>
      <c r="V14" s="54" t="n">
        <f aca="false">IF((Y14&gt;4)*AND(Y14&lt;16),1,0)</f>
        <v>0</v>
      </c>
      <c r="W14" s="54" t="n">
        <v>150</v>
      </c>
      <c r="X14" s="54" t="n">
        <f aca="false">1/POWER(1.14+2*LOG10((W14/1000)/($K$21/1000)),2)</f>
        <v>0.0269252990527845</v>
      </c>
      <c r="Y14" s="58" t="n">
        <f aca="false">0.00638*X14*POWER($F$17,2)/(POWER(W14/1000,5)*$K$20)</f>
        <v>0</v>
      </c>
      <c r="Z14" s="54" t="n">
        <f aca="false">V14</f>
        <v>0</v>
      </c>
      <c r="AA14" s="54" t="n">
        <v>125</v>
      </c>
      <c r="AB14" s="54"/>
      <c r="AC14" s="58"/>
      <c r="AE14" s="51"/>
      <c r="AF14" s="54"/>
      <c r="AG14" s="54"/>
      <c r="AH14" s="51" t="n">
        <f aca="false">IF(AJ14&gt;$AF$5,1,0)</f>
        <v>1</v>
      </c>
      <c r="AI14" s="63" t="n">
        <v>65</v>
      </c>
      <c r="AJ14" s="58" t="n">
        <v>50</v>
      </c>
      <c r="AK14" s="51" t="n">
        <f aca="false">IF(AM14&gt;$AF$5,1,0)</f>
        <v>1</v>
      </c>
      <c r="AL14" s="63" t="n">
        <v>65</v>
      </c>
      <c r="AM14" s="83" t="n">
        <v>63</v>
      </c>
      <c r="AN14" s="54" t="n">
        <f aca="false">IF(AP14&gt;$AF$5,1,0)</f>
        <v>1</v>
      </c>
      <c r="AO14" s="63" t="n">
        <v>100</v>
      </c>
      <c r="AP14" s="58" t="n">
        <v>160</v>
      </c>
      <c r="BA14" s="58"/>
      <c r="BB14" s="54" t="n">
        <f aca="false">IF(AND(BC14=1,BE14=1),1,0)</f>
        <v>1</v>
      </c>
      <c r="BC14" s="54" t="n">
        <f aca="false">IF(BD14&gt;$B$4,1,0)</f>
        <v>1</v>
      </c>
      <c r="BD14" s="63" t="n">
        <v>0.06</v>
      </c>
      <c r="BE14" s="54" t="n">
        <f aca="false">IF(BF14&gt;$F$11,1,0)</f>
        <v>1</v>
      </c>
      <c r="BF14" s="63" t="n">
        <v>12</v>
      </c>
      <c r="BG14" s="58" t="s">
        <v>201</v>
      </c>
      <c r="BJ14" s="47"/>
      <c r="BK14" s="26"/>
      <c r="BL14" s="48"/>
      <c r="BM14" s="26" t="e">
        <f aca="false">IF($F$5=BO14,1,0)</f>
        <v>#N/A</v>
      </c>
      <c r="BN14" s="53" t="s">
        <v>141</v>
      </c>
      <c r="BO14" s="26" t="n">
        <v>150</v>
      </c>
      <c r="BP14" s="50"/>
      <c r="BQ14" s="69" t="n">
        <f aca="false">IF($F$7=BT14,1,0)</f>
        <v>0</v>
      </c>
      <c r="BR14" s="53" t="s">
        <v>141</v>
      </c>
      <c r="BS14" s="26" t="n">
        <v>32</v>
      </c>
      <c r="BT14" s="52" t="n">
        <v>16</v>
      </c>
      <c r="BU14" s="48"/>
      <c r="BV14" s="26"/>
      <c r="BW14" s="53"/>
      <c r="BX14" s="26"/>
      <c r="BY14" s="48"/>
      <c r="BZ14" s="69" t="n">
        <f aca="false">IF($F$12=CB14,1,0)</f>
        <v>0</v>
      </c>
      <c r="CA14" s="53" t="s">
        <v>141</v>
      </c>
      <c r="CB14" s="52" t="n">
        <v>150</v>
      </c>
      <c r="CC14" s="48"/>
      <c r="CD14" s="69" t="n">
        <f aca="false">IF($F$15=CF14,1,0)</f>
        <v>0</v>
      </c>
      <c r="CE14" s="53" t="s">
        <v>141</v>
      </c>
      <c r="CF14" s="52" t="n">
        <v>150</v>
      </c>
      <c r="CG14" s="48"/>
      <c r="CH14" s="26" t="e">
        <f aca="false">IF($F$18=CJ14,1,0)</f>
        <v>#N/A</v>
      </c>
      <c r="CI14" s="53" t="s">
        <v>141</v>
      </c>
      <c r="CJ14" s="26" t="n">
        <v>150</v>
      </c>
      <c r="CK14" s="48"/>
      <c r="CL14" s="26" t="e">
        <f aca="false">IF($F$22=CN14,1,0)</f>
        <v>#N/A</v>
      </c>
      <c r="CM14" s="53" t="s">
        <v>141</v>
      </c>
      <c r="CN14" s="26" t="n">
        <v>150</v>
      </c>
      <c r="CO14" s="48"/>
      <c r="CP14" s="26"/>
      <c r="CQ14" s="53"/>
      <c r="CR14" s="26"/>
      <c r="CS14" s="48"/>
      <c r="CT14" s="26"/>
      <c r="CU14" s="21"/>
      <c r="CV14" s="76"/>
      <c r="CW14" s="26"/>
      <c r="CX14" s="21"/>
      <c r="CY14" s="76"/>
      <c r="CZ14" s="50"/>
      <c r="DA14" s="54"/>
      <c r="DB14" s="76"/>
      <c r="DC14" s="54"/>
      <c r="DD14" s="50"/>
      <c r="DE14" s="48"/>
      <c r="DF14" s="26" t="n">
        <f aca="false">IF($E$9=DH14,1,0)</f>
        <v>0</v>
      </c>
      <c r="DG14" s="53" t="s">
        <v>140</v>
      </c>
      <c r="DH14" s="58" t="s">
        <v>207</v>
      </c>
      <c r="DI14" s="50"/>
      <c r="DJ14" s="26"/>
      <c r="DK14" s="53"/>
      <c r="DL14" s="26"/>
      <c r="DM14" s="50"/>
      <c r="DN14" s="26"/>
      <c r="DO14" s="53"/>
      <c r="DP14" s="52"/>
    </row>
    <row r="15" customFormat="false" ht="15" hidden="false" customHeight="false" outlineLevel="0" collapsed="false">
      <c r="A15" s="55" t="s">
        <v>32</v>
      </c>
      <c r="B15" s="26" t="n">
        <f aca="false">'ОЛ(4)'!I36</f>
        <v>0</v>
      </c>
      <c r="C15" s="26"/>
      <c r="E15" s="0" t="s">
        <v>51</v>
      </c>
      <c r="F15" s="0" t="n">
        <f aca="false">VLOOKUP(1,R4:U17,2,0)</f>
        <v>50</v>
      </c>
      <c r="I15" s="51" t="n">
        <f aca="false">IF($B$11&lt;12,(IF((L15&gt;4)*AND(L15&lt;16),2,0)),IF((L15&gt;4)*AND(L15&lt;20),2,0))</f>
        <v>0</v>
      </c>
      <c r="J15" s="54" t="n">
        <v>200</v>
      </c>
      <c r="K15" s="54" t="n">
        <f aca="false">1/POWER(1.14+2*LOG10((J15/1000)/($K$21/1000)),2)</f>
        <v>0.0248460425197335</v>
      </c>
      <c r="L15" s="54" t="n">
        <f aca="false">0.00638*K15*POWER($F$4,2)/(POWER(J15/1000,5)*$K$20)</f>
        <v>0</v>
      </c>
      <c r="M15" s="58"/>
      <c r="N15" s="51" t="n">
        <f aca="false">IF((Q15&gt;4)*AND(Q15&lt;18),1,0)</f>
        <v>0</v>
      </c>
      <c r="O15" s="54" t="n">
        <v>200</v>
      </c>
      <c r="P15" s="54" t="n">
        <f aca="false">1/POWER(1.14+2*LOG10((O15/1000)/($K$21/1000)),2)</f>
        <v>0.0248460425197335</v>
      </c>
      <c r="Q15" s="58" t="n">
        <f aca="false">0.00638*P15*POWER($F$11,2)/(POWER(O15/1000,5)*$K$20)</f>
        <v>0.00574299727250495</v>
      </c>
      <c r="R15" s="54" t="n">
        <f aca="false">IF((U15&gt;4)*AND(U15&lt;16),1,0)</f>
        <v>0</v>
      </c>
      <c r="S15" s="54" t="n">
        <v>200</v>
      </c>
      <c r="T15" s="54" t="n">
        <f aca="false">1/POWER(1.14+2*LOG10((S15/1000)/($K$21/1000)),2)</f>
        <v>0.0248460425197335</v>
      </c>
      <c r="U15" s="58" t="n">
        <f aca="false">0.00638*T15*POWER($F$14,2)/(POWER(S15/1000,5)*$K$20)</f>
        <v>0.00574299727250495</v>
      </c>
      <c r="V15" s="54" t="n">
        <f aca="false">IF((Y15&gt;4)*AND(Y15&lt;16),1,0)</f>
        <v>0</v>
      </c>
      <c r="W15" s="54" t="n">
        <v>200</v>
      </c>
      <c r="X15" s="54" t="n">
        <f aca="false">1/POWER(1.14+2*LOG10((W15/1000)/($K$21/1000)),2)</f>
        <v>0.0248460425197335</v>
      </c>
      <c r="Y15" s="58" t="n">
        <f aca="false">0.00638*X15*POWER($F$17,2)/(POWER(W15/1000,5)*$K$20)</f>
        <v>0</v>
      </c>
      <c r="Z15" s="54" t="n">
        <f aca="false">V15</f>
        <v>0</v>
      </c>
      <c r="AA15" s="54" t="n">
        <v>150</v>
      </c>
      <c r="AB15" s="54"/>
      <c r="AC15" s="58"/>
      <c r="AE15" s="51"/>
      <c r="AF15" s="54"/>
      <c r="AG15" s="54"/>
      <c r="AH15" s="51" t="n">
        <f aca="false">IF(AJ15&gt;$AF$5,1,0)</f>
        <v>1</v>
      </c>
      <c r="AI15" s="63" t="n">
        <v>65</v>
      </c>
      <c r="AJ15" s="58" t="n">
        <v>63</v>
      </c>
      <c r="AK15" s="51" t="n">
        <f aca="false">IF(AM15&gt;$AF$5,1,0)</f>
        <v>1</v>
      </c>
      <c r="AL15" s="63" t="n">
        <v>80</v>
      </c>
      <c r="AM15" s="83" t="n">
        <v>80</v>
      </c>
      <c r="AN15" s="54" t="n">
        <f aca="false">IF(AP15&gt;$AF$5,1,0)</f>
        <v>1</v>
      </c>
      <c r="AO15" s="63" t="n">
        <v>125</v>
      </c>
      <c r="AP15" s="58" t="n">
        <v>250</v>
      </c>
      <c r="BA15" s="58"/>
      <c r="BB15" s="54" t="n">
        <f aca="false">IF(AND(BC15=1,BE15=1),1,0)</f>
        <v>0</v>
      </c>
      <c r="BC15" s="54" t="n">
        <f aca="false">IF(BD15&gt;$B$4,1,0)</f>
        <v>1</v>
      </c>
      <c r="BD15" s="63" t="n">
        <v>0.07</v>
      </c>
      <c r="BE15" s="54" t="n">
        <f aca="false">IF(BF15&gt;$F$11,1,0)</f>
        <v>0</v>
      </c>
      <c r="BF15" s="63" t="n">
        <v>1.5</v>
      </c>
      <c r="BG15" s="58" t="s">
        <v>176</v>
      </c>
      <c r="BJ15" s="47"/>
      <c r="BK15" s="26"/>
      <c r="BL15" s="48"/>
      <c r="BM15" s="26" t="e">
        <f aca="false">IF($F$5=BO15,1,0)</f>
        <v>#N/A</v>
      </c>
      <c r="BN15" s="53" t="s">
        <v>142</v>
      </c>
      <c r="BO15" s="26" t="n">
        <v>200</v>
      </c>
      <c r="BP15" s="50"/>
      <c r="BQ15" s="69" t="n">
        <f aca="false">IF($F$7=BT15,1,0)</f>
        <v>0</v>
      </c>
      <c r="BR15" s="53" t="s">
        <v>142</v>
      </c>
      <c r="BS15" s="26" t="n">
        <v>40</v>
      </c>
      <c r="BT15" s="52" t="n">
        <v>20</v>
      </c>
      <c r="BU15" s="48"/>
      <c r="BV15" s="26"/>
      <c r="BW15" s="53"/>
      <c r="BX15" s="26"/>
      <c r="BY15" s="48"/>
      <c r="BZ15" s="69" t="n">
        <f aca="false">IF($F$12=CB15,1,0)</f>
        <v>0</v>
      </c>
      <c r="CA15" s="53" t="s">
        <v>142</v>
      </c>
      <c r="CB15" s="52" t="n">
        <v>200</v>
      </c>
      <c r="CC15" s="48"/>
      <c r="CD15" s="69" t="n">
        <f aca="false">IF($F$15=CF15,1,0)</f>
        <v>0</v>
      </c>
      <c r="CE15" s="53" t="s">
        <v>142</v>
      </c>
      <c r="CF15" s="52" t="n">
        <v>200</v>
      </c>
      <c r="CG15" s="48"/>
      <c r="CH15" s="26" t="e">
        <f aca="false">IF($F$18=CJ15,1,0)</f>
        <v>#N/A</v>
      </c>
      <c r="CI15" s="53" t="s">
        <v>142</v>
      </c>
      <c r="CJ15" s="26" t="n">
        <v>200</v>
      </c>
      <c r="CK15" s="48"/>
      <c r="CL15" s="26" t="e">
        <f aca="false">IF($F$22=CN15,1,0)</f>
        <v>#N/A</v>
      </c>
      <c r="CM15" s="53" t="s">
        <v>142</v>
      </c>
      <c r="CN15" s="26" t="n">
        <v>200</v>
      </c>
      <c r="CO15" s="48"/>
      <c r="CP15" s="26"/>
      <c r="CQ15" s="53"/>
      <c r="CR15" s="26"/>
      <c r="CS15" s="48"/>
      <c r="CT15" s="26"/>
      <c r="CU15" s="21"/>
      <c r="CV15" s="54"/>
      <c r="CW15" s="54"/>
      <c r="CX15" s="54"/>
      <c r="CY15" s="54"/>
      <c r="CZ15" s="50"/>
      <c r="DA15" s="54"/>
      <c r="DB15" s="54"/>
      <c r="DC15" s="54"/>
      <c r="DD15" s="50"/>
      <c r="DE15" s="48"/>
      <c r="DF15" s="26" t="n">
        <f aca="false">IF($E$9=DH15,1,0)</f>
        <v>0</v>
      </c>
      <c r="DG15" s="53" t="s">
        <v>141</v>
      </c>
      <c r="DH15" s="58" t="s">
        <v>209</v>
      </c>
      <c r="DI15" s="50"/>
      <c r="DJ15" s="26"/>
      <c r="DK15" s="53"/>
      <c r="DL15" s="26"/>
      <c r="DM15" s="50"/>
      <c r="DN15" s="26"/>
      <c r="DO15" s="53"/>
      <c r="DP15" s="52"/>
    </row>
    <row r="16" customFormat="false" ht="15" hidden="false" customHeight="false" outlineLevel="0" collapsed="false">
      <c r="A16" s="55" t="s">
        <v>143</v>
      </c>
      <c r="B16" s="26" t="n">
        <f aca="false">'ОЛ(4)'!U36</f>
        <v>0</v>
      </c>
      <c r="C16" s="26"/>
      <c r="I16" s="51" t="n">
        <f aca="false">IF($B$11&lt;12,(IF((L16&gt;4)*AND(L16&lt;16),2,0)),IF((L16&gt;4)*AND(L16&lt;20),2,0))</f>
        <v>0</v>
      </c>
      <c r="J16" s="54" t="n">
        <v>250</v>
      </c>
      <c r="K16" s="54" t="n">
        <f aca="false">1/POWER(1.14+2*LOG10((J16/1000)/($K$21/1000)),2)</f>
        <v>0.0233947353976847</v>
      </c>
      <c r="L16" s="54" t="n">
        <f aca="false">0.00638*K16*POWER($F$4,2)/(POWER(J16/1000,5)*$K$20)</f>
        <v>0</v>
      </c>
      <c r="M16" s="58"/>
      <c r="N16" s="51" t="n">
        <f aca="false">IF((Q16&gt;4)*AND(Q16&lt;18),1,0)</f>
        <v>0</v>
      </c>
      <c r="O16" s="54" t="n">
        <v>250</v>
      </c>
      <c r="P16" s="54" t="n">
        <f aca="false">1/POWER(1.14+2*LOG10((O16/1000)/($K$21/1000)),2)</f>
        <v>0.0233947353976847</v>
      </c>
      <c r="Q16" s="58" t="n">
        <f aca="false">0.00638*P16*POWER($F$11,2)/(POWER(O16/1000,5)*$K$20)</f>
        <v>0.00177194182110603</v>
      </c>
      <c r="R16" s="54" t="n">
        <f aca="false">IF((U16&gt;4)*AND(U16&lt;16),1,0)</f>
        <v>0</v>
      </c>
      <c r="S16" s="54" t="n">
        <v>250</v>
      </c>
      <c r="T16" s="54" t="n">
        <f aca="false">1/POWER(1.14+2*LOG10((S16/1000)/($K$21/1000)),2)</f>
        <v>0.0233947353976847</v>
      </c>
      <c r="U16" s="58" t="n">
        <f aca="false">0.00638*T16*POWER($F$14,2)/(POWER(S16/1000,5)*$K$20)</f>
        <v>0.00177194182110603</v>
      </c>
      <c r="V16" s="54" t="n">
        <f aca="false">IF((Y16&gt;4)*AND(Y16&lt;16),1,0)</f>
        <v>0</v>
      </c>
      <c r="W16" s="54" t="n">
        <v>250</v>
      </c>
      <c r="X16" s="54" t="n">
        <f aca="false">1/POWER(1.14+2*LOG10((W16/1000)/($K$21/1000)),2)</f>
        <v>0.0233947353976847</v>
      </c>
      <c r="Y16" s="58" t="n">
        <f aca="false">0.00638*X16*POWER($F$17,2)/(POWER(W16/1000,5)*$K$20)</f>
        <v>0</v>
      </c>
      <c r="Z16" s="54" t="n">
        <f aca="false">V16</f>
        <v>0</v>
      </c>
      <c r="AA16" s="54" t="n">
        <v>200</v>
      </c>
      <c r="AB16" s="54"/>
      <c r="AC16" s="58"/>
      <c r="AE16" s="51"/>
      <c r="AF16" s="54"/>
      <c r="AG16" s="54"/>
      <c r="AH16" s="51" t="n">
        <f aca="false">IF(AJ16&gt;$AF$5,1,0)</f>
        <v>1</v>
      </c>
      <c r="AI16" s="63" t="n">
        <v>80</v>
      </c>
      <c r="AJ16" s="58" t="n">
        <v>80</v>
      </c>
      <c r="AK16" s="51" t="n">
        <f aca="false">IF(AM16&gt;$AF$5,1,0)</f>
        <v>1</v>
      </c>
      <c r="AL16" s="63" t="n">
        <v>80</v>
      </c>
      <c r="AM16" s="83" t="n">
        <v>100</v>
      </c>
      <c r="AN16" s="54" t="n">
        <f aca="false">IF(AP16&gt;$AF$5,1,0)</f>
        <v>1</v>
      </c>
      <c r="AO16" s="63" t="n">
        <v>150</v>
      </c>
      <c r="AP16" s="58" t="n">
        <v>400</v>
      </c>
      <c r="BA16" s="58"/>
      <c r="BB16" s="54" t="n">
        <f aca="false">IF(AND(BC16=1,BE16=1),1,0)</f>
        <v>0</v>
      </c>
      <c r="BC16" s="54" t="n">
        <f aca="false">IF(BD16&gt;$B$4,1,0)</f>
        <v>1</v>
      </c>
      <c r="BD16" s="63" t="n">
        <v>0.07</v>
      </c>
      <c r="BE16" s="54" t="n">
        <f aca="false">IF(BF16&gt;$F$11,1,0)</f>
        <v>0</v>
      </c>
      <c r="BF16" s="63" t="n">
        <v>1.7</v>
      </c>
      <c r="BG16" s="58" t="s">
        <v>196</v>
      </c>
      <c r="BJ16" s="47"/>
      <c r="BK16" s="26"/>
      <c r="BL16" s="48"/>
      <c r="BM16" s="26"/>
      <c r="BN16" s="53"/>
      <c r="BO16" s="26"/>
      <c r="BP16" s="50"/>
      <c r="BQ16" s="69" t="n">
        <f aca="false">IF($F$7=BT16,1,0)</f>
        <v>0</v>
      </c>
      <c r="BR16" s="53" t="s">
        <v>145</v>
      </c>
      <c r="BS16" s="26" t="n">
        <v>40</v>
      </c>
      <c r="BT16" s="52" t="n">
        <v>25</v>
      </c>
      <c r="BU16" s="48"/>
      <c r="BV16" s="26"/>
      <c r="BW16" s="53"/>
      <c r="BX16" s="26"/>
      <c r="BY16" s="50"/>
      <c r="BZ16" s="51"/>
      <c r="CA16" s="54"/>
      <c r="CB16" s="58"/>
      <c r="CC16" s="50"/>
      <c r="CD16" s="54"/>
      <c r="CE16" s="54"/>
      <c r="CF16" s="58"/>
      <c r="CG16" s="50"/>
      <c r="CH16" s="54"/>
      <c r="CI16" s="54"/>
      <c r="CJ16" s="54"/>
      <c r="CK16" s="50"/>
      <c r="CL16" s="54"/>
      <c r="CM16" s="54"/>
      <c r="CN16" s="54"/>
      <c r="CO16" s="50"/>
      <c r="CP16" s="54"/>
      <c r="CQ16" s="54"/>
      <c r="CR16" s="54"/>
      <c r="CS16" s="50"/>
      <c r="CT16" s="26"/>
      <c r="CU16" s="54"/>
      <c r="CV16" s="54"/>
      <c r="CW16" s="54"/>
      <c r="CX16" s="54"/>
      <c r="CY16" s="54"/>
      <c r="CZ16" s="50"/>
      <c r="DA16" s="54"/>
      <c r="DB16" s="54"/>
      <c r="DC16" s="54"/>
      <c r="DD16" s="50"/>
      <c r="DE16" s="50"/>
      <c r="DF16" s="26" t="n">
        <f aca="false">IF($E$9=DH16,1,0)</f>
        <v>0</v>
      </c>
      <c r="DG16" s="53" t="s">
        <v>142</v>
      </c>
      <c r="DH16" s="58" t="s">
        <v>210</v>
      </c>
      <c r="DI16" s="50"/>
      <c r="DJ16" s="54"/>
      <c r="DK16" s="54"/>
      <c r="DL16" s="54"/>
      <c r="DM16" s="50"/>
      <c r="DN16" s="54"/>
      <c r="DO16" s="54"/>
      <c r="DP16" s="58"/>
    </row>
    <row r="17" customFormat="false" ht="15" hidden="false" customHeight="false" outlineLevel="0" collapsed="false">
      <c r="A17" s="55" t="s">
        <v>69</v>
      </c>
      <c r="B17" s="26" t="n">
        <f aca="false">'ОЛ(4)'!AA36</f>
        <v>0</v>
      </c>
      <c r="C17" s="26"/>
      <c r="E17" s="0" t="s">
        <v>205</v>
      </c>
      <c r="F17" s="114" t="n">
        <f aca="false">B4*1000/(B7-B8)</f>
        <v>0</v>
      </c>
      <c r="I17" s="51" t="n">
        <f aca="false">IF($B$11&lt;12,(IF((L17&gt;4)*AND(L17&lt;16),2,0)),IF((L17&gt;4)*AND(L17&lt;20),2,0))</f>
        <v>0</v>
      </c>
      <c r="J17" s="54" t="n">
        <v>300</v>
      </c>
      <c r="K17" s="54" t="n">
        <f aca="false">1/POWER(1.14+2*LOG10((J17/1000)/($K$21/1000)),2)</f>
        <v>0.0223012841491152</v>
      </c>
      <c r="L17" s="54" t="n">
        <f aca="false">0.00638*K17*POWER($F$4,2)/(POWER(J17/1000,5)*$K$20)</f>
        <v>0</v>
      </c>
      <c r="M17" s="58"/>
      <c r="N17" s="51" t="n">
        <f aca="false">IF((Q17&gt;4)*AND(Q17&lt;18),1,0)</f>
        <v>0</v>
      </c>
      <c r="O17" s="54" t="n">
        <v>300</v>
      </c>
      <c r="P17" s="54" t="n">
        <f aca="false">1/POWER(1.14+2*LOG10((O17/1000)/($K$21/1000)),2)</f>
        <v>0.0223012841491152</v>
      </c>
      <c r="Q17" s="58" t="n">
        <f aca="false">0.00638*P17*POWER($F$11,2)/(POWER(O17/1000,5)*$K$20)</f>
        <v>0.000678820519678789</v>
      </c>
      <c r="R17" s="54" t="n">
        <f aca="false">IF((U17&gt;4)*AND(U17&lt;16),1,0)</f>
        <v>0</v>
      </c>
      <c r="S17" s="54" t="n">
        <v>300</v>
      </c>
      <c r="T17" s="54" t="n">
        <f aca="false">1/POWER(1.14+2*LOG10((S17/1000)/($K$21/1000)),2)</f>
        <v>0.0223012841491152</v>
      </c>
      <c r="U17" s="58" t="n">
        <f aca="false">0.00638*T17*POWER($F$14,2)/(POWER(S17/1000,5)*$K$20)</f>
        <v>0.000678820519678789</v>
      </c>
      <c r="V17" s="54" t="n">
        <f aca="false">IF((Y17&gt;4)*AND(Y17&lt;16),1,0)</f>
        <v>0</v>
      </c>
      <c r="W17" s="54" t="n">
        <v>300</v>
      </c>
      <c r="X17" s="54" t="n">
        <f aca="false">1/POWER(1.14+2*LOG10((W17/1000)/($K$21/1000)),2)</f>
        <v>0.0223012841491152</v>
      </c>
      <c r="Y17" s="58" t="n">
        <f aca="false">0.00638*X17*POWER($F$17,2)/(POWER(W17/1000,5)*$K$20)</f>
        <v>0</v>
      </c>
      <c r="Z17" s="54" t="n">
        <f aca="false">V17</f>
        <v>0</v>
      </c>
      <c r="AA17" s="54" t="n">
        <v>250</v>
      </c>
      <c r="AB17" s="54"/>
      <c r="AC17" s="58"/>
      <c r="AE17" s="51"/>
      <c r="AF17" s="54"/>
      <c r="AG17" s="54"/>
      <c r="AH17" s="51" t="n">
        <f aca="false">IF(AJ17&gt;$AF$5,1,0)</f>
        <v>1</v>
      </c>
      <c r="AI17" s="63" t="n">
        <v>80</v>
      </c>
      <c r="AJ17" s="58" t="n">
        <v>100</v>
      </c>
      <c r="AK17" s="77" t="n">
        <f aca="false">IF(AM17&gt;$AF$5,1,0)</f>
        <v>1</v>
      </c>
      <c r="AL17" s="63" t="n">
        <v>100</v>
      </c>
      <c r="AM17" s="83" t="n">
        <v>125</v>
      </c>
      <c r="AN17" s="54"/>
      <c r="AO17" s="54"/>
      <c r="AP17" s="58"/>
      <c r="BA17" s="58"/>
      <c r="BB17" s="54" t="n">
        <f aca="false">IF(AND(BC17=1,BE17=1),1,0)</f>
        <v>1</v>
      </c>
      <c r="BC17" s="54" t="n">
        <f aca="false">IF(BD17&gt;$B$4,1,0)</f>
        <v>1</v>
      </c>
      <c r="BD17" s="63" t="n">
        <v>0.07</v>
      </c>
      <c r="BE17" s="54" t="n">
        <f aca="false">IF(BF17&gt;$F$11,1,0)</f>
        <v>1</v>
      </c>
      <c r="BF17" s="63" t="n">
        <v>14</v>
      </c>
      <c r="BG17" s="58" t="s">
        <v>201</v>
      </c>
      <c r="BJ17" s="47"/>
      <c r="BK17" s="26"/>
      <c r="BL17" s="48"/>
      <c r="BM17" s="26"/>
      <c r="BN17" s="53"/>
      <c r="BO17" s="26"/>
      <c r="BP17" s="50"/>
      <c r="BQ17" s="69" t="n">
        <f aca="false">IF($F$7=BT17,1,0)</f>
        <v>0</v>
      </c>
      <c r="BR17" s="53" t="s">
        <v>146</v>
      </c>
      <c r="BS17" s="26" t="n">
        <v>50</v>
      </c>
      <c r="BT17" s="52" t="n">
        <v>31.5</v>
      </c>
      <c r="BU17" s="48"/>
      <c r="BV17" s="26"/>
      <c r="BW17" s="53"/>
      <c r="BX17" s="26"/>
      <c r="BY17" s="50"/>
      <c r="BZ17" s="51"/>
      <c r="CA17" s="54"/>
      <c r="CB17" s="58"/>
      <c r="CC17" s="50"/>
      <c r="CD17" s="54"/>
      <c r="CE17" s="54"/>
      <c r="CF17" s="58"/>
      <c r="CG17" s="50"/>
      <c r="CH17" s="54"/>
      <c r="CI17" s="54"/>
      <c r="CJ17" s="54"/>
      <c r="CK17" s="50"/>
      <c r="CL17" s="54"/>
      <c r="CM17" s="54"/>
      <c r="CN17" s="54"/>
      <c r="CO17" s="50"/>
      <c r="CP17" s="54"/>
      <c r="CQ17" s="54"/>
      <c r="CR17" s="54"/>
      <c r="CS17" s="50"/>
      <c r="CT17" s="26"/>
      <c r="CU17" s="54"/>
      <c r="CV17" s="54"/>
      <c r="CW17" s="54"/>
      <c r="CX17" s="54"/>
      <c r="CY17" s="54"/>
      <c r="CZ17" s="50"/>
      <c r="DA17" s="54"/>
      <c r="DB17" s="54"/>
      <c r="DC17" s="54"/>
      <c r="DD17" s="50"/>
      <c r="DE17" s="50"/>
      <c r="DF17" s="26" t="n">
        <f aca="false">IF($E$9=DH17,1,0)</f>
        <v>0</v>
      </c>
      <c r="DG17" s="53" t="s">
        <v>145</v>
      </c>
      <c r="DH17" s="58" t="s">
        <v>211</v>
      </c>
      <c r="DI17" s="50"/>
      <c r="DJ17" s="54"/>
      <c r="DK17" s="54"/>
      <c r="DL17" s="54"/>
      <c r="DM17" s="50"/>
      <c r="DN17" s="54"/>
      <c r="DO17" s="54"/>
      <c r="DP17" s="58"/>
    </row>
    <row r="18" customFormat="false" ht="15" hidden="false" customHeight="false" outlineLevel="0" collapsed="false">
      <c r="A18" s="55"/>
      <c r="C18" s="72"/>
      <c r="E18" s="0" t="s">
        <v>173</v>
      </c>
      <c r="F18" s="0" t="e">
        <f aca="false">VLOOKUP(1,V4:Y17,2,0)</f>
        <v>#N/A</v>
      </c>
      <c r="I18" s="51"/>
      <c r="J18" s="54"/>
      <c r="K18" s="54"/>
      <c r="L18" s="54"/>
      <c r="M18" s="58"/>
      <c r="N18" s="51"/>
      <c r="O18" s="54"/>
      <c r="P18" s="54"/>
      <c r="Q18" s="58"/>
      <c r="R18" s="54"/>
      <c r="S18" s="54"/>
      <c r="T18" s="54"/>
      <c r="U18" s="58"/>
      <c r="V18" s="54"/>
      <c r="W18" s="54"/>
      <c r="X18" s="54"/>
      <c r="Y18" s="58"/>
      <c r="Z18" s="54"/>
      <c r="AA18" s="54"/>
      <c r="AB18" s="54"/>
      <c r="AC18" s="58"/>
      <c r="AE18" s="51"/>
      <c r="AF18" s="54"/>
      <c r="AG18" s="54"/>
      <c r="AH18" s="77" t="n">
        <f aca="false">IF(AJ18&gt;$AF$5,1,0)</f>
        <v>1</v>
      </c>
      <c r="AI18" s="63" t="n">
        <v>100</v>
      </c>
      <c r="AJ18" s="58" t="n">
        <v>125</v>
      </c>
      <c r="AK18" s="77" t="n">
        <f aca="false">IF(AM18&gt;$AF$5,1,0)</f>
        <v>1</v>
      </c>
      <c r="AL18" s="63" t="n">
        <v>100</v>
      </c>
      <c r="AM18" s="83" t="n">
        <v>160</v>
      </c>
      <c r="AN18" s="54"/>
      <c r="AO18" s="54"/>
      <c r="AP18" s="58"/>
      <c r="BA18" s="58"/>
      <c r="BB18" s="54" t="n">
        <f aca="false">IF(AND(BC18=1,BE18=1),1,0)</f>
        <v>0</v>
      </c>
      <c r="BC18" s="54" t="n">
        <f aca="false">IF(BD18&gt;$B$4,1,0)</f>
        <v>1</v>
      </c>
      <c r="BD18" s="63" t="n">
        <v>0.08</v>
      </c>
      <c r="BE18" s="54" t="n">
        <f aca="false">IF(BF18&gt;$F$11,1,0)</f>
        <v>0</v>
      </c>
      <c r="BF18" s="63" t="n">
        <v>1.2</v>
      </c>
      <c r="BG18" s="58" t="s">
        <v>196</v>
      </c>
      <c r="BJ18" s="47"/>
      <c r="BK18" s="26"/>
      <c r="BL18" s="48"/>
      <c r="BM18" s="26"/>
      <c r="BN18" s="53"/>
      <c r="BO18" s="26"/>
      <c r="BP18" s="50"/>
      <c r="BQ18" s="69" t="n">
        <f aca="false">IF($F$7=BT18,1,0)</f>
        <v>0</v>
      </c>
      <c r="BR18" s="53" t="s">
        <v>148</v>
      </c>
      <c r="BS18" s="26" t="n">
        <v>50</v>
      </c>
      <c r="BT18" s="52" t="n">
        <v>40</v>
      </c>
      <c r="BU18" s="48"/>
      <c r="BV18" s="26"/>
      <c r="BW18" s="53"/>
      <c r="BX18" s="26"/>
      <c r="BY18" s="50"/>
      <c r="BZ18" s="51"/>
      <c r="CA18" s="54"/>
      <c r="CB18" s="58"/>
      <c r="CC18" s="50"/>
      <c r="CD18" s="54"/>
      <c r="CE18" s="54"/>
      <c r="CF18" s="58"/>
      <c r="CG18" s="50"/>
      <c r="CH18" s="54"/>
      <c r="CI18" s="54"/>
      <c r="CJ18" s="54"/>
      <c r="CK18" s="50"/>
      <c r="CL18" s="54"/>
      <c r="CM18" s="54"/>
      <c r="CN18" s="54"/>
      <c r="CO18" s="50"/>
      <c r="CP18" s="54"/>
      <c r="CQ18" s="54"/>
      <c r="CR18" s="54"/>
      <c r="CS18" s="50"/>
      <c r="CT18" s="26"/>
      <c r="CU18" s="54"/>
      <c r="CV18" s="54"/>
      <c r="CW18" s="54"/>
      <c r="CX18" s="54"/>
      <c r="CY18" s="54"/>
      <c r="CZ18" s="50"/>
      <c r="DA18" s="54"/>
      <c r="DB18" s="54"/>
      <c r="DC18" s="54"/>
      <c r="DD18" s="50"/>
      <c r="DE18" s="50"/>
      <c r="DF18" s="26" t="n">
        <f aca="false">IF($E$9=DH18,1,0)</f>
        <v>0</v>
      </c>
      <c r="DG18" s="53" t="s">
        <v>146</v>
      </c>
      <c r="DH18" s="58" t="s">
        <v>212</v>
      </c>
      <c r="DI18" s="50"/>
      <c r="DJ18" s="54"/>
      <c r="DK18" s="54"/>
      <c r="DL18" s="54"/>
      <c r="DM18" s="50"/>
      <c r="DN18" s="54"/>
      <c r="DO18" s="54"/>
      <c r="DP18" s="58"/>
    </row>
    <row r="19" customFormat="false" ht="15" hidden="false" customHeight="false" outlineLevel="0" collapsed="false">
      <c r="A19" s="55"/>
      <c r="C19" s="72"/>
      <c r="E19" s="26" t="str">
        <f aca="false">VLOOKUP(1,AX3:AZ9,3,0)</f>
        <v>"Пульсар" 15</v>
      </c>
      <c r="F19" s="26"/>
      <c r="I19" s="51"/>
      <c r="J19" s="95"/>
      <c r="K19" s="54"/>
      <c r="L19" s="54"/>
      <c r="M19" s="58"/>
      <c r="N19" s="51"/>
      <c r="O19" s="54"/>
      <c r="P19" s="54"/>
      <c r="Q19" s="58"/>
      <c r="R19" s="54"/>
      <c r="S19" s="54"/>
      <c r="T19" s="54"/>
      <c r="U19" s="58"/>
      <c r="V19" s="54"/>
      <c r="W19" s="54"/>
      <c r="X19" s="54"/>
      <c r="Y19" s="58"/>
      <c r="Z19" s="54"/>
      <c r="AA19" s="54"/>
      <c r="AB19" s="54"/>
      <c r="AC19" s="58"/>
      <c r="AE19" s="51"/>
      <c r="AF19" s="54"/>
      <c r="AG19" s="54"/>
      <c r="AH19" s="77" t="n">
        <f aca="false">IF(AJ19&gt;$AF$5,1,0)</f>
        <v>1</v>
      </c>
      <c r="AI19" s="54" t="n">
        <v>100</v>
      </c>
      <c r="AJ19" s="58" t="n">
        <v>160</v>
      </c>
      <c r="AK19" s="77" t="n">
        <f aca="false">IF(AM19&gt;$AF$5,1,0)</f>
        <v>1</v>
      </c>
      <c r="AL19" s="63" t="n">
        <v>125</v>
      </c>
      <c r="AM19" s="83" t="n">
        <v>200</v>
      </c>
      <c r="AN19" s="54"/>
      <c r="AO19" s="54"/>
      <c r="AP19" s="58"/>
      <c r="BA19" s="58"/>
      <c r="BB19" s="54" t="n">
        <f aca="false">IF(AND(BC19=1,BE19=1),1,0)</f>
        <v>1</v>
      </c>
      <c r="BC19" s="54" t="n">
        <f aca="false">IF(BD19&gt;$B$4,1,0)</f>
        <v>1</v>
      </c>
      <c r="BD19" s="63" t="n">
        <v>0.08</v>
      </c>
      <c r="BE19" s="54" t="n">
        <f aca="false">IF(BF19&gt;$F$11,1,0)</f>
        <v>1</v>
      </c>
      <c r="BF19" s="63" t="n">
        <v>16</v>
      </c>
      <c r="BG19" s="58" t="s">
        <v>201</v>
      </c>
      <c r="BJ19" s="47"/>
      <c r="BK19" s="26"/>
      <c r="BL19" s="48"/>
      <c r="BM19" s="26"/>
      <c r="BN19" s="53"/>
      <c r="BO19" s="26"/>
      <c r="BP19" s="50"/>
      <c r="BQ19" s="69" t="n">
        <f aca="false">IF($F$7=BT19,1,0)</f>
        <v>0</v>
      </c>
      <c r="BR19" s="53" t="s">
        <v>149</v>
      </c>
      <c r="BS19" s="26" t="n">
        <v>65</v>
      </c>
      <c r="BT19" s="52" t="n">
        <v>50</v>
      </c>
      <c r="BU19" s="48"/>
      <c r="BV19" s="26"/>
      <c r="BW19" s="53"/>
      <c r="BX19" s="26"/>
      <c r="BY19" s="50"/>
      <c r="BZ19" s="51"/>
      <c r="CA19" s="54"/>
      <c r="CB19" s="58"/>
      <c r="CC19" s="50"/>
      <c r="CD19" s="54"/>
      <c r="CE19" s="54"/>
      <c r="CF19" s="58"/>
      <c r="CG19" s="50"/>
      <c r="CH19" s="54"/>
      <c r="CI19" s="54"/>
      <c r="CJ19" s="54"/>
      <c r="CK19" s="50"/>
      <c r="CL19" s="54"/>
      <c r="CM19" s="54"/>
      <c r="CN19" s="54"/>
      <c r="CO19" s="50"/>
      <c r="CP19" s="54"/>
      <c r="CQ19" s="54"/>
      <c r="CR19" s="54"/>
      <c r="CS19" s="50"/>
      <c r="CT19" s="54"/>
      <c r="CU19" s="54"/>
      <c r="CV19" s="54"/>
      <c r="CW19" s="54"/>
      <c r="CX19" s="54"/>
      <c r="CY19" s="54"/>
      <c r="CZ19" s="50"/>
      <c r="DA19" s="54"/>
      <c r="DB19" s="54"/>
      <c r="DC19" s="54"/>
      <c r="DD19" s="50"/>
      <c r="DE19" s="50"/>
      <c r="DF19" s="26" t="n">
        <f aca="false">IF($E$9=DH19,1,0)</f>
        <v>0</v>
      </c>
      <c r="DG19" s="53" t="s">
        <v>148</v>
      </c>
      <c r="DH19" s="58" t="s">
        <v>213</v>
      </c>
      <c r="DI19" s="50"/>
      <c r="DJ19" s="54"/>
      <c r="DK19" s="54"/>
      <c r="DL19" s="54"/>
      <c r="DM19" s="50"/>
      <c r="DN19" s="54"/>
      <c r="DO19" s="54"/>
      <c r="DP19" s="58"/>
    </row>
    <row r="20" customFormat="false" ht="15" hidden="false" customHeight="false" outlineLevel="0" collapsed="false">
      <c r="A20" s="55"/>
      <c r="C20" s="72"/>
      <c r="I20" s="51"/>
      <c r="J20" s="95" t="s">
        <v>150</v>
      </c>
      <c r="K20" s="54" t="n">
        <v>958.4</v>
      </c>
      <c r="L20" s="54"/>
      <c r="M20" s="58"/>
      <c r="N20" s="51"/>
      <c r="O20" s="54"/>
      <c r="P20" s="54"/>
      <c r="Q20" s="58"/>
      <c r="R20" s="54"/>
      <c r="S20" s="54"/>
      <c r="T20" s="54"/>
      <c r="U20" s="58"/>
      <c r="V20" s="54"/>
      <c r="W20" s="54"/>
      <c r="X20" s="54"/>
      <c r="Y20" s="58"/>
      <c r="Z20" s="54"/>
      <c r="AA20" s="54"/>
      <c r="AB20" s="54"/>
      <c r="AC20" s="58"/>
      <c r="AE20" s="51"/>
      <c r="AF20" s="54"/>
      <c r="AG20" s="54"/>
      <c r="AH20" s="77" t="n">
        <f aca="false">IF(AJ20&gt;$AF$5,1,0)</f>
        <v>1</v>
      </c>
      <c r="AI20" s="54" t="n">
        <v>125</v>
      </c>
      <c r="AJ20" s="58" t="n">
        <v>250</v>
      </c>
      <c r="AK20" s="77" t="n">
        <f aca="false">IF(AM20&gt;$AF$5,1,0)</f>
        <v>1</v>
      </c>
      <c r="AL20" s="63" t="n">
        <v>125</v>
      </c>
      <c r="AM20" s="83" t="n">
        <v>250</v>
      </c>
      <c r="AN20" s="54"/>
      <c r="AO20" s="54"/>
      <c r="AP20" s="58"/>
      <c r="BA20" s="58"/>
      <c r="BB20" s="54" t="n">
        <f aca="false">IF(AND(BC20=1,BE20=1),1,0)</f>
        <v>1</v>
      </c>
      <c r="BC20" s="54" t="n">
        <f aca="false">IF(BD20&gt;$B$4,1,0)</f>
        <v>1</v>
      </c>
      <c r="BD20" s="63" t="n">
        <v>0.09</v>
      </c>
      <c r="BE20" s="54" t="n">
        <f aca="false">IF(BF20&gt;$F$11,1,0)</f>
        <v>1</v>
      </c>
      <c r="BF20" s="63" t="n">
        <v>17</v>
      </c>
      <c r="BG20" s="58" t="s">
        <v>201</v>
      </c>
      <c r="BJ20" s="47"/>
      <c r="BK20" s="26"/>
      <c r="BL20" s="48"/>
      <c r="BM20" s="26"/>
      <c r="BN20" s="53"/>
      <c r="BO20" s="26"/>
      <c r="BP20" s="50"/>
      <c r="BQ20" s="69" t="n">
        <f aca="false">IF($F$7=BT20,1,0)</f>
        <v>0</v>
      </c>
      <c r="BR20" s="53" t="s">
        <v>151</v>
      </c>
      <c r="BS20" s="26" t="n">
        <v>65</v>
      </c>
      <c r="BT20" s="52" t="n">
        <v>63</v>
      </c>
      <c r="BU20" s="48"/>
      <c r="BV20" s="26"/>
      <c r="BW20" s="53"/>
      <c r="BX20" s="26"/>
      <c r="BY20" s="50"/>
      <c r="BZ20" s="51"/>
      <c r="CA20" s="54"/>
      <c r="CB20" s="58"/>
      <c r="CC20" s="50"/>
      <c r="CD20" s="54"/>
      <c r="CE20" s="54"/>
      <c r="CF20" s="58"/>
      <c r="CG20" s="50"/>
      <c r="CH20" s="54"/>
      <c r="CI20" s="54"/>
      <c r="CJ20" s="54"/>
      <c r="CK20" s="50"/>
      <c r="CL20" s="54"/>
      <c r="CM20" s="54"/>
      <c r="CN20" s="54"/>
      <c r="CO20" s="50"/>
      <c r="CP20" s="54"/>
      <c r="CQ20" s="54"/>
      <c r="CR20" s="54"/>
      <c r="CS20" s="50"/>
      <c r="CT20" s="54"/>
      <c r="CU20" s="54"/>
      <c r="CV20" s="54"/>
      <c r="CW20" s="54"/>
      <c r="CX20" s="54"/>
      <c r="CY20" s="54"/>
      <c r="CZ20" s="50"/>
      <c r="DA20" s="54"/>
      <c r="DB20" s="54"/>
      <c r="DC20" s="54"/>
      <c r="DD20" s="50"/>
      <c r="DE20" s="50"/>
      <c r="DF20" s="26"/>
      <c r="DG20" s="53"/>
      <c r="DH20" s="54"/>
      <c r="DI20" s="50"/>
      <c r="DJ20" s="54"/>
      <c r="DK20" s="54"/>
      <c r="DL20" s="54"/>
      <c r="DM20" s="50"/>
      <c r="DN20" s="54"/>
      <c r="DO20" s="54"/>
      <c r="DP20" s="58"/>
    </row>
    <row r="21" customFormat="false" ht="15.75" hidden="false" customHeight="false" outlineLevel="0" collapsed="false">
      <c r="E21" s="0" t="s">
        <v>208</v>
      </c>
      <c r="F21" s="114" t="n">
        <f aca="false">3.6*B4*1.163/0.42</f>
        <v>0</v>
      </c>
      <c r="I21" s="91"/>
      <c r="J21" s="96" t="s">
        <v>152</v>
      </c>
      <c r="K21" s="92" t="n">
        <v>0.5</v>
      </c>
      <c r="L21" s="92"/>
      <c r="M21" s="94"/>
      <c r="N21" s="91"/>
      <c r="O21" s="92"/>
      <c r="P21" s="92"/>
      <c r="Q21" s="94"/>
      <c r="R21" s="92"/>
      <c r="S21" s="92"/>
      <c r="T21" s="92"/>
      <c r="U21" s="94"/>
      <c r="V21" s="92"/>
      <c r="W21" s="92"/>
      <c r="X21" s="92"/>
      <c r="Y21" s="94"/>
      <c r="Z21" s="92"/>
      <c r="AA21" s="92"/>
      <c r="AB21" s="92"/>
      <c r="AC21" s="94"/>
      <c r="AE21" s="51"/>
      <c r="AF21" s="54"/>
      <c r="AG21" s="54"/>
      <c r="AH21" s="77" t="n">
        <f aca="false">IF(AJ21&gt;$AF$5,1,0)</f>
        <v>1</v>
      </c>
      <c r="AI21" s="54" t="n">
        <v>150</v>
      </c>
      <c r="AJ21" s="58" t="n">
        <v>315</v>
      </c>
      <c r="AK21" s="77" t="n">
        <f aca="false">IF(AM21&gt;$AF$5,1,0)</f>
        <v>1</v>
      </c>
      <c r="AL21" s="63" t="n">
        <v>150</v>
      </c>
      <c r="AM21" s="83" t="n">
        <v>315</v>
      </c>
      <c r="AN21" s="54"/>
      <c r="AO21" s="54"/>
      <c r="AP21" s="58"/>
      <c r="BA21" s="58"/>
      <c r="BB21" s="54" t="n">
        <f aca="false">IF(AND(BC21=1,BE21=1),1,0)</f>
        <v>1</v>
      </c>
      <c r="BC21" s="54" t="n">
        <f aca="false">IF(BD21&gt;$B$4,1,0)</f>
        <v>1</v>
      </c>
      <c r="BD21" s="63" t="n">
        <v>0.09</v>
      </c>
      <c r="BE21" s="54" t="n">
        <f aca="false">IF(BF21&gt;$F$11,1,0)</f>
        <v>1</v>
      </c>
      <c r="BF21" s="63" t="n">
        <v>18</v>
      </c>
      <c r="BG21" s="58" t="s">
        <v>204</v>
      </c>
      <c r="BJ21" s="47"/>
      <c r="BK21" s="26"/>
      <c r="BL21" s="48"/>
      <c r="BM21" s="26"/>
      <c r="BN21" s="53"/>
      <c r="BO21" s="26"/>
      <c r="BP21" s="50"/>
      <c r="BQ21" s="69" t="n">
        <f aca="false">IF($F$7=BT21,1,0)</f>
        <v>0</v>
      </c>
      <c r="BR21" s="53" t="s">
        <v>153</v>
      </c>
      <c r="BS21" s="26" t="n">
        <v>80</v>
      </c>
      <c r="BT21" s="52" t="n">
        <v>80</v>
      </c>
      <c r="BU21" s="48"/>
      <c r="BV21" s="26"/>
      <c r="BW21" s="53"/>
      <c r="BX21" s="26"/>
      <c r="BY21" s="50"/>
      <c r="BZ21" s="51"/>
      <c r="CA21" s="54"/>
      <c r="CB21" s="58"/>
      <c r="CC21" s="50"/>
      <c r="CD21" s="54"/>
      <c r="CE21" s="54"/>
      <c r="CF21" s="58"/>
      <c r="CG21" s="50"/>
      <c r="CH21" s="54"/>
      <c r="CI21" s="54"/>
      <c r="CJ21" s="54"/>
      <c r="CK21" s="50"/>
      <c r="CL21" s="54"/>
      <c r="CM21" s="54"/>
      <c r="CN21" s="54"/>
      <c r="CO21" s="50"/>
      <c r="CP21" s="54"/>
      <c r="CQ21" s="54"/>
      <c r="CR21" s="54"/>
      <c r="CS21" s="50"/>
      <c r="CT21" s="54"/>
      <c r="CU21" s="54"/>
      <c r="CV21" s="54"/>
      <c r="CW21" s="54"/>
      <c r="CX21" s="54"/>
      <c r="CY21" s="54"/>
      <c r="CZ21" s="50"/>
      <c r="DA21" s="54"/>
      <c r="DB21" s="54"/>
      <c r="DC21" s="54"/>
      <c r="DD21" s="50"/>
      <c r="DE21" s="50"/>
      <c r="DF21" s="26"/>
      <c r="DG21" s="53"/>
      <c r="DH21" s="54"/>
      <c r="DI21" s="50"/>
      <c r="DJ21" s="54"/>
      <c r="DK21" s="54"/>
      <c r="DL21" s="54"/>
      <c r="DM21" s="50"/>
      <c r="DN21" s="54"/>
      <c r="DO21" s="54"/>
      <c r="DP21" s="58"/>
    </row>
    <row r="22" customFormat="false" ht="15.75" hidden="false" customHeight="false" outlineLevel="0" collapsed="false">
      <c r="E22" s="0" t="s">
        <v>174</v>
      </c>
      <c r="F22" s="0" t="e">
        <f aca="false">VLOOKUP(1,Z4:AC17,2,0)</f>
        <v>#N/A</v>
      </c>
      <c r="I22" s="54"/>
      <c r="J22" s="95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E22" s="91"/>
      <c r="AF22" s="92"/>
      <c r="AG22" s="92"/>
      <c r="AH22" s="91"/>
      <c r="AI22" s="92"/>
      <c r="AJ22" s="94"/>
      <c r="AK22" s="87" t="n">
        <f aca="false">IF(AM22&gt;$AF$5,1,0)</f>
        <v>1</v>
      </c>
      <c r="AL22" s="97" t="n">
        <v>150</v>
      </c>
      <c r="AM22" s="98" t="n">
        <v>400</v>
      </c>
      <c r="AN22" s="92"/>
      <c r="AO22" s="92"/>
      <c r="AP22" s="94"/>
      <c r="BB22" s="54" t="n">
        <f aca="false">IF(AND(BC22=1,BE22=1),1,0)</f>
        <v>1</v>
      </c>
      <c r="BC22" s="54" t="n">
        <f aca="false">IF(BD22&gt;$B$4,1,0)</f>
        <v>1</v>
      </c>
      <c r="BD22" s="63" t="n">
        <v>0.1</v>
      </c>
      <c r="BE22" s="54" t="n">
        <f aca="false">IF(BF22&gt;$F$11,1,0)</f>
        <v>1</v>
      </c>
      <c r="BF22" s="63" t="n">
        <v>16</v>
      </c>
      <c r="BG22" s="58" t="s">
        <v>201</v>
      </c>
      <c r="BJ22" s="47"/>
      <c r="BK22" s="26"/>
      <c r="BL22" s="48"/>
      <c r="BM22" s="26"/>
      <c r="BN22" s="53"/>
      <c r="BO22" s="26"/>
      <c r="BP22" s="50"/>
      <c r="BQ22" s="69" t="n">
        <f aca="false">IF($F$7=BT22,1,0)</f>
        <v>0</v>
      </c>
      <c r="BR22" s="53" t="s">
        <v>154</v>
      </c>
      <c r="BS22" s="26" t="n">
        <v>80</v>
      </c>
      <c r="BT22" s="52" t="n">
        <v>100</v>
      </c>
      <c r="BU22" s="48"/>
      <c r="BV22" s="26"/>
      <c r="BW22" s="53"/>
      <c r="BX22" s="26"/>
      <c r="BY22" s="50"/>
      <c r="BZ22" s="51"/>
      <c r="CA22" s="54"/>
      <c r="CB22" s="58"/>
      <c r="CC22" s="50"/>
      <c r="CD22" s="54"/>
      <c r="CE22" s="54"/>
      <c r="CF22" s="58"/>
      <c r="CG22" s="50"/>
      <c r="CH22" s="54"/>
      <c r="CI22" s="54"/>
      <c r="CJ22" s="54"/>
      <c r="CK22" s="50"/>
      <c r="CL22" s="54"/>
      <c r="CM22" s="54"/>
      <c r="CN22" s="54"/>
      <c r="CO22" s="50"/>
      <c r="CP22" s="54"/>
      <c r="CQ22" s="54"/>
      <c r="CR22" s="54"/>
      <c r="CS22" s="50"/>
      <c r="CT22" s="54"/>
      <c r="CU22" s="54"/>
      <c r="CV22" s="54"/>
      <c r="CW22" s="54"/>
      <c r="CX22" s="54"/>
      <c r="CY22" s="54"/>
      <c r="CZ22" s="50"/>
      <c r="DA22" s="54"/>
      <c r="DB22" s="54"/>
      <c r="DC22" s="54"/>
      <c r="DD22" s="50"/>
      <c r="DE22" s="50"/>
      <c r="DF22" s="26"/>
      <c r="DG22" s="53"/>
      <c r="DH22" s="54"/>
      <c r="DI22" s="50"/>
      <c r="DJ22" s="54"/>
      <c r="DK22" s="54"/>
      <c r="DL22" s="54"/>
      <c r="DM22" s="50"/>
      <c r="DN22" s="54"/>
      <c r="DO22" s="54"/>
      <c r="DP22" s="58"/>
    </row>
    <row r="23" customFormat="false" ht="15" hidden="false" customHeight="false" outlineLevel="0" collapsed="false">
      <c r="E23" s="0" t="s">
        <v>56</v>
      </c>
      <c r="F23" s="114" t="n">
        <f aca="false">F21</f>
        <v>0</v>
      </c>
      <c r="BB23" s="54" t="n">
        <f aca="false">IF(AND(BC23=1,BE23=1),1,0)</f>
        <v>1</v>
      </c>
      <c r="BC23" s="54" t="n">
        <f aca="false">IF(BD23&gt;$B$4,1,0)</f>
        <v>1</v>
      </c>
      <c r="BD23" s="63" t="n">
        <v>0.1</v>
      </c>
      <c r="BE23" s="54" t="n">
        <f aca="false">IF(BF23&gt;$F$11,1,0)</f>
        <v>1</v>
      </c>
      <c r="BF23" s="63" t="n">
        <v>20</v>
      </c>
      <c r="BG23" s="58" t="s">
        <v>204</v>
      </c>
      <c r="BJ23" s="47"/>
      <c r="BK23" s="26"/>
      <c r="BL23" s="48"/>
      <c r="BM23" s="26"/>
      <c r="BN23" s="53"/>
      <c r="BO23" s="26"/>
      <c r="BP23" s="50"/>
      <c r="BQ23" s="69" t="n">
        <f aca="false">IF($F$7=BT23,1,0)</f>
        <v>0</v>
      </c>
      <c r="BR23" s="53" t="s">
        <v>155</v>
      </c>
      <c r="BS23" s="26" t="n">
        <v>100</v>
      </c>
      <c r="BT23" s="52" t="n">
        <v>125</v>
      </c>
      <c r="BU23" s="48"/>
      <c r="BV23" s="26"/>
      <c r="BW23" s="53"/>
      <c r="BX23" s="26"/>
      <c r="BY23" s="50"/>
      <c r="BZ23" s="51"/>
      <c r="CA23" s="54"/>
      <c r="CB23" s="58"/>
      <c r="CC23" s="50"/>
      <c r="CD23" s="54"/>
      <c r="CE23" s="54"/>
      <c r="CF23" s="58"/>
      <c r="CG23" s="50"/>
      <c r="CH23" s="54"/>
      <c r="CI23" s="54"/>
      <c r="CJ23" s="54"/>
      <c r="CK23" s="50"/>
      <c r="CL23" s="54"/>
      <c r="CM23" s="54"/>
      <c r="CN23" s="54"/>
      <c r="CO23" s="50"/>
      <c r="CP23" s="54"/>
      <c r="CQ23" s="54"/>
      <c r="CR23" s="54"/>
      <c r="CS23" s="50"/>
      <c r="CT23" s="54"/>
      <c r="CU23" s="54"/>
      <c r="CV23" s="54"/>
      <c r="CW23" s="54"/>
      <c r="CX23" s="54"/>
      <c r="CY23" s="54"/>
      <c r="CZ23" s="50"/>
      <c r="DA23" s="54"/>
      <c r="DB23" s="54"/>
      <c r="DC23" s="54"/>
      <c r="DD23" s="50"/>
      <c r="DE23" s="50"/>
      <c r="DF23" s="26"/>
      <c r="DG23" s="53"/>
      <c r="DH23" s="54"/>
      <c r="DI23" s="50"/>
      <c r="DJ23" s="54"/>
      <c r="DK23" s="54"/>
      <c r="DL23" s="54"/>
      <c r="DM23" s="50"/>
      <c r="DN23" s="54"/>
      <c r="DO23" s="54"/>
      <c r="DP23" s="58"/>
    </row>
    <row r="24" customFormat="false" ht="15" hidden="false" customHeight="false" outlineLevel="0" collapsed="false">
      <c r="E24" s="26" t="e">
        <f aca="false">VLOOKUP(1,IF(B15="Stratos-Z",AS4:AT8,IF(B15="Yonos MAXO-Z",AU4:AV8,0)),2,0)</f>
        <v>#VALUE!</v>
      </c>
      <c r="F24" s="26"/>
      <c r="BB24" s="54" t="n">
        <f aca="false">IF(AND(BC24=1,BE24=1),1,0)</f>
        <v>1</v>
      </c>
      <c r="BC24" s="54" t="n">
        <f aca="false">IF(BD24&gt;$B$4,1,0)</f>
        <v>1</v>
      </c>
      <c r="BD24" s="63" t="n">
        <v>0.15</v>
      </c>
      <c r="BE24" s="54" t="n">
        <f aca="false">IF(BF24&gt;$F$11,1,0)</f>
        <v>1</v>
      </c>
      <c r="BF24" s="63" t="n">
        <v>15</v>
      </c>
      <c r="BG24" s="58" t="s">
        <v>184</v>
      </c>
      <c r="BJ24" s="47"/>
      <c r="BK24" s="26"/>
      <c r="BL24" s="48"/>
      <c r="BM24" s="26"/>
      <c r="BN24" s="53"/>
      <c r="BO24" s="26"/>
      <c r="BP24" s="50"/>
      <c r="BQ24" s="69" t="n">
        <f aca="false">IF($F$7=BT24,1,0)</f>
        <v>0</v>
      </c>
      <c r="BR24" s="53" t="s">
        <v>156</v>
      </c>
      <c r="BS24" s="26" t="n">
        <v>100</v>
      </c>
      <c r="BT24" s="52" t="n">
        <v>160</v>
      </c>
      <c r="BU24" s="48"/>
      <c r="BV24" s="26"/>
      <c r="BW24" s="53"/>
      <c r="BX24" s="26"/>
      <c r="BY24" s="50"/>
      <c r="BZ24" s="51"/>
      <c r="CA24" s="54"/>
      <c r="CB24" s="58"/>
      <c r="CC24" s="50"/>
      <c r="CD24" s="54"/>
      <c r="CE24" s="54"/>
      <c r="CF24" s="58"/>
      <c r="CG24" s="50"/>
      <c r="CH24" s="54"/>
      <c r="CI24" s="54"/>
      <c r="CJ24" s="54"/>
      <c r="CK24" s="50"/>
      <c r="CL24" s="54"/>
      <c r="CM24" s="54"/>
      <c r="CN24" s="54"/>
      <c r="CO24" s="50"/>
      <c r="CP24" s="54"/>
      <c r="CQ24" s="54"/>
      <c r="CR24" s="54"/>
      <c r="CS24" s="50"/>
      <c r="CT24" s="54"/>
      <c r="CU24" s="54"/>
      <c r="CV24" s="54"/>
      <c r="CW24" s="54"/>
      <c r="CX24" s="54"/>
      <c r="CY24" s="54"/>
      <c r="CZ24" s="50"/>
      <c r="DA24" s="54"/>
      <c r="DB24" s="54"/>
      <c r="DC24" s="54"/>
      <c r="DD24" s="50"/>
      <c r="DE24" s="50"/>
      <c r="DF24" s="54"/>
      <c r="DG24" s="54"/>
      <c r="DH24" s="54"/>
      <c r="DI24" s="50"/>
      <c r="DJ24" s="54"/>
      <c r="DK24" s="54"/>
      <c r="DL24" s="54"/>
      <c r="DM24" s="50"/>
      <c r="DN24" s="54"/>
      <c r="DO24" s="54"/>
      <c r="DP24" s="58"/>
    </row>
    <row r="25" customFormat="false" ht="15" hidden="false" customHeight="false" outlineLevel="0" collapsed="false">
      <c r="BB25" s="54" t="n">
        <f aca="false">IF(AND(BC25=1,BE25=1),1,0)</f>
        <v>1</v>
      </c>
      <c r="BC25" s="54" t="n">
        <f aca="false">IF(BD25&gt;$B$4,1,0)</f>
        <v>1</v>
      </c>
      <c r="BD25" s="63" t="n">
        <v>0.15</v>
      </c>
      <c r="BE25" s="54" t="n">
        <f aca="false">IF(BF25&gt;$F$11,1,0)</f>
        <v>1</v>
      </c>
      <c r="BF25" s="63" t="n">
        <v>29.3</v>
      </c>
      <c r="BG25" s="58" t="s">
        <v>189</v>
      </c>
      <c r="BJ25" s="47"/>
      <c r="BK25" s="26"/>
      <c r="BL25" s="48"/>
      <c r="BM25" s="26"/>
      <c r="BN25" s="53"/>
      <c r="BO25" s="26"/>
      <c r="BP25" s="50"/>
      <c r="BQ25" s="69" t="n">
        <f aca="false">IF($F$7=BT25,1,0)</f>
        <v>0</v>
      </c>
      <c r="BR25" s="53" t="s">
        <v>157</v>
      </c>
      <c r="BS25" s="26" t="n">
        <v>125</v>
      </c>
      <c r="BT25" s="52" t="n">
        <v>250</v>
      </c>
      <c r="BU25" s="48"/>
      <c r="BV25" s="26"/>
      <c r="BW25" s="53"/>
      <c r="BX25" s="26"/>
      <c r="BY25" s="50"/>
      <c r="BZ25" s="51"/>
      <c r="CA25" s="54"/>
      <c r="CB25" s="58"/>
      <c r="CC25" s="50"/>
      <c r="CD25" s="54"/>
      <c r="CE25" s="54"/>
      <c r="CF25" s="58"/>
      <c r="CG25" s="50"/>
      <c r="CH25" s="54"/>
      <c r="CI25" s="54"/>
      <c r="CJ25" s="54"/>
      <c r="CK25" s="50"/>
      <c r="CL25" s="54"/>
      <c r="CM25" s="54"/>
      <c r="CN25" s="54"/>
      <c r="CO25" s="50"/>
      <c r="CP25" s="54"/>
      <c r="CQ25" s="54"/>
      <c r="CR25" s="54"/>
      <c r="CS25" s="50"/>
      <c r="CT25" s="54"/>
      <c r="CU25" s="54"/>
      <c r="CV25" s="54"/>
      <c r="CW25" s="54"/>
      <c r="CX25" s="54"/>
      <c r="CY25" s="54"/>
      <c r="CZ25" s="50"/>
      <c r="DA25" s="54"/>
      <c r="DB25" s="54"/>
      <c r="DC25" s="54"/>
      <c r="DD25" s="50"/>
      <c r="DE25" s="50"/>
      <c r="DF25" s="54"/>
      <c r="DG25" s="54"/>
      <c r="DH25" s="54"/>
      <c r="DI25" s="50"/>
      <c r="DJ25" s="54"/>
      <c r="DK25" s="54"/>
      <c r="DL25" s="54"/>
      <c r="DM25" s="50"/>
      <c r="DN25" s="54"/>
      <c r="DO25" s="54"/>
      <c r="DP25" s="58"/>
    </row>
    <row r="26" customFormat="false" ht="15.75" hidden="false" customHeight="false" outlineLevel="0" collapsed="false">
      <c r="BB26" s="54" t="n">
        <f aca="false">IF(AND(BC26=1,BE26=1),1,0)</f>
        <v>1</v>
      </c>
      <c r="BC26" s="54" t="n">
        <f aca="false">IF(BD26&gt;$B$4,1,0)</f>
        <v>1</v>
      </c>
      <c r="BD26" s="63" t="n">
        <v>0.15</v>
      </c>
      <c r="BE26" s="54" t="n">
        <f aca="false">IF(BF26&gt;$F$11,1,0)</f>
        <v>1</v>
      </c>
      <c r="BF26" s="63" t="n">
        <v>30</v>
      </c>
      <c r="BG26" s="58" t="s">
        <v>194</v>
      </c>
      <c r="BJ26" s="99"/>
      <c r="BK26" s="100"/>
      <c r="BL26" s="101"/>
      <c r="BM26" s="100"/>
      <c r="BN26" s="102"/>
      <c r="BO26" s="100"/>
      <c r="BP26" s="103"/>
      <c r="BQ26" s="104" t="n">
        <f aca="false">IF($F$7=BT26,1,0)</f>
        <v>0</v>
      </c>
      <c r="BR26" s="102" t="s">
        <v>158</v>
      </c>
      <c r="BS26" s="100" t="n">
        <v>150</v>
      </c>
      <c r="BT26" s="105" t="n">
        <v>315</v>
      </c>
      <c r="BU26" s="101"/>
      <c r="BV26" s="100"/>
      <c r="BW26" s="102"/>
      <c r="BX26" s="100"/>
      <c r="BY26" s="103"/>
      <c r="BZ26" s="91"/>
      <c r="CA26" s="92"/>
      <c r="CB26" s="94"/>
      <c r="CC26" s="103"/>
      <c r="CD26" s="92"/>
      <c r="CE26" s="92"/>
      <c r="CF26" s="94"/>
      <c r="CG26" s="103"/>
      <c r="CH26" s="92"/>
      <c r="CI26" s="92"/>
      <c r="CJ26" s="92"/>
      <c r="CK26" s="103"/>
      <c r="CL26" s="92"/>
      <c r="CM26" s="92"/>
      <c r="CN26" s="92"/>
      <c r="CO26" s="103"/>
      <c r="CP26" s="92"/>
      <c r="CQ26" s="92"/>
      <c r="CR26" s="92"/>
      <c r="CS26" s="103"/>
      <c r="CT26" s="92"/>
      <c r="CU26" s="92"/>
      <c r="CV26" s="92"/>
      <c r="CW26" s="92"/>
      <c r="CX26" s="92"/>
      <c r="CY26" s="92"/>
      <c r="CZ26" s="103"/>
      <c r="DA26" s="92"/>
      <c r="DB26" s="92"/>
      <c r="DC26" s="92"/>
      <c r="DD26" s="103"/>
      <c r="DE26" s="103"/>
      <c r="DF26" s="92"/>
      <c r="DG26" s="92"/>
      <c r="DH26" s="92"/>
      <c r="DI26" s="103"/>
      <c r="DJ26" s="92"/>
      <c r="DK26" s="92"/>
      <c r="DL26" s="92"/>
      <c r="DM26" s="103"/>
      <c r="DN26" s="92"/>
      <c r="DO26" s="92"/>
      <c r="DP26" s="94"/>
    </row>
    <row r="27" customFormat="false" ht="15" hidden="false" customHeight="false" outlineLevel="0" collapsed="false">
      <c r="BB27" s="54" t="n">
        <f aca="false">IF(AND(BC27=1,BE27=1),1,0)</f>
        <v>1</v>
      </c>
      <c r="BC27" s="54" t="n">
        <f aca="false">IF(BD27&gt;$B$4,1,0)</f>
        <v>1</v>
      </c>
      <c r="BD27" s="63" t="n">
        <v>0.2</v>
      </c>
      <c r="BE27" s="54" t="n">
        <f aca="false">IF(BF27&gt;$F$11,1,0)</f>
        <v>1</v>
      </c>
      <c r="BF27" s="63" t="n">
        <v>11</v>
      </c>
      <c r="BG27" s="58" t="s">
        <v>184</v>
      </c>
    </row>
    <row r="28" customFormat="false" ht="15" hidden="false" customHeight="false" outlineLevel="0" collapsed="false">
      <c r="BB28" s="54" t="n">
        <f aca="false">IF(AND(BC28=1,BE28=1),1,0)</f>
        <v>1</v>
      </c>
      <c r="BC28" s="54" t="n">
        <f aca="false">IF(BD28&gt;$B$4,1,0)</f>
        <v>1</v>
      </c>
      <c r="BD28" s="63" t="n">
        <v>0.2</v>
      </c>
      <c r="BE28" s="54" t="n">
        <f aca="false">IF(BF28&gt;$F$11,1,0)</f>
        <v>1</v>
      </c>
      <c r="BF28" s="63" t="n">
        <v>26</v>
      </c>
      <c r="BG28" s="58" t="s">
        <v>189</v>
      </c>
    </row>
    <row r="29" customFormat="false" ht="15" hidden="false" customHeight="false" outlineLevel="0" collapsed="false">
      <c r="BB29" s="54" t="n">
        <f aca="false">IF(AND(BC29=1,BE29=1),1,0)</f>
        <v>1</v>
      </c>
      <c r="BC29" s="54" t="n">
        <f aca="false">IF(BD29&gt;$B$4,1,0)</f>
        <v>1</v>
      </c>
      <c r="BD29" s="63" t="n">
        <v>0.2</v>
      </c>
      <c r="BE29" s="54" t="n">
        <f aca="false">IF(BF29&gt;$F$11,1,0)</f>
        <v>1</v>
      </c>
      <c r="BF29" s="63" t="n">
        <v>38</v>
      </c>
      <c r="BG29" s="58" t="s">
        <v>194</v>
      </c>
    </row>
    <row r="30" customFormat="false" ht="15" hidden="false" customHeight="false" outlineLevel="0" collapsed="false">
      <c r="BB30" s="54" t="n">
        <f aca="false">IF(AND(BC30=1,BE30=1),1,0)</f>
        <v>1</v>
      </c>
      <c r="BC30" s="54" t="n">
        <f aca="false">IF(BD30&gt;$B$4,1,0)</f>
        <v>1</v>
      </c>
      <c r="BD30" s="63" t="n">
        <v>0.2</v>
      </c>
      <c r="BE30" s="54" t="n">
        <f aca="false">IF(BF30&gt;$F$11,1,0)</f>
        <v>1</v>
      </c>
      <c r="BF30" s="63" t="n">
        <v>40</v>
      </c>
      <c r="BG30" s="58" t="s">
        <v>200</v>
      </c>
    </row>
    <row r="31" customFormat="false" ht="15" hidden="false" customHeight="false" outlineLevel="0" collapsed="false">
      <c r="BB31" s="54" t="n">
        <f aca="false">IF(AND(BC31=1,BE31=1),1,0)</f>
        <v>1</v>
      </c>
      <c r="BC31" s="54" t="n">
        <f aca="false">IF(BD31&gt;$B$4,1,0)</f>
        <v>1</v>
      </c>
      <c r="BD31" s="63" t="n">
        <v>0.25</v>
      </c>
      <c r="BE31" s="54" t="n">
        <f aca="false">IF(BF31&gt;$F$11,1,0)</f>
        <v>1</v>
      </c>
      <c r="BF31" s="63" t="n">
        <v>23</v>
      </c>
      <c r="BG31" s="58" t="s">
        <v>189</v>
      </c>
    </row>
    <row r="32" customFormat="false" ht="15" hidden="false" customHeight="false" outlineLevel="0" collapsed="false">
      <c r="BB32" s="54" t="n">
        <f aca="false">IF(AND(BC32=1,BE32=1),1,0)</f>
        <v>1</v>
      </c>
      <c r="BC32" s="54" t="n">
        <f aca="false">IF(BD32&gt;$B$4,1,0)</f>
        <v>1</v>
      </c>
      <c r="BD32" s="63" t="n">
        <v>0.25</v>
      </c>
      <c r="BE32" s="54" t="n">
        <f aca="false">IF(BF32&gt;$F$11,1,0)</f>
        <v>1</v>
      </c>
      <c r="BF32" s="63" t="n">
        <v>36</v>
      </c>
      <c r="BG32" s="58" t="s">
        <v>194</v>
      </c>
    </row>
    <row r="33" customFormat="false" ht="15" hidden="false" customHeight="false" outlineLevel="0" collapsed="false">
      <c r="BB33" s="54" t="n">
        <f aca="false">IF(AND(BC33=1,BE33=1),1,0)</f>
        <v>1</v>
      </c>
      <c r="BC33" s="54" t="n">
        <f aca="false">IF(BD33&gt;$B$4,1,0)</f>
        <v>1</v>
      </c>
      <c r="BD33" s="63" t="n">
        <v>0.25</v>
      </c>
      <c r="BE33" s="54" t="n">
        <f aca="false">IF(BF33&gt;$F$11,1,0)</f>
        <v>1</v>
      </c>
      <c r="BF33" s="63" t="n">
        <v>45</v>
      </c>
      <c r="BG33" s="58" t="s">
        <v>200</v>
      </c>
    </row>
    <row r="34" customFormat="false" ht="15" hidden="false" customHeight="false" outlineLevel="0" collapsed="false">
      <c r="BB34" s="54" t="n">
        <f aca="false">IF(AND(BC34=1,BE34=1),1,0)</f>
        <v>1</v>
      </c>
      <c r="BC34" s="54" t="n">
        <f aca="false">IF(BD34&gt;$B$4,1,0)</f>
        <v>1</v>
      </c>
      <c r="BD34" s="63" t="n">
        <v>0.25</v>
      </c>
      <c r="BE34" s="54" t="n">
        <f aca="false">IF(BF34&gt;$F$11,1,0)</f>
        <v>1</v>
      </c>
      <c r="BF34" s="63" t="n">
        <v>50</v>
      </c>
      <c r="BG34" s="83" t="s">
        <v>207</v>
      </c>
    </row>
    <row r="35" customFormat="false" ht="15" hidden="false" customHeight="false" outlineLevel="0" collapsed="false">
      <c r="BB35" s="54" t="n">
        <f aca="false">IF(AND(BC35=1,BE35=1),1,0)</f>
        <v>1</v>
      </c>
      <c r="BC35" s="54" t="n">
        <f aca="false">IF(BD35&gt;$B$4,1,0)</f>
        <v>1</v>
      </c>
      <c r="BD35" s="63" t="n">
        <v>0.3</v>
      </c>
      <c r="BE35" s="54" t="n">
        <f aca="false">IF(BF35&gt;$F$11,1,0)</f>
        <v>1</v>
      </c>
      <c r="BF35" s="63" t="n">
        <v>21</v>
      </c>
      <c r="BG35" s="58" t="s">
        <v>189</v>
      </c>
    </row>
    <row r="36" customFormat="false" ht="15" hidden="false" customHeight="false" outlineLevel="0" collapsed="false">
      <c r="BB36" s="54" t="n">
        <f aca="false">IF(AND(BC36=1,BE36=1),1,0)</f>
        <v>1</v>
      </c>
      <c r="BC36" s="54" t="n">
        <f aca="false">IF(BD36&gt;$B$4,1,0)</f>
        <v>1</v>
      </c>
      <c r="BD36" s="63" t="n">
        <v>0.3</v>
      </c>
      <c r="BE36" s="54" t="n">
        <f aca="false">IF(BF36&gt;$F$11,1,0)</f>
        <v>1</v>
      </c>
      <c r="BF36" s="63" t="n">
        <v>33</v>
      </c>
      <c r="BG36" s="58" t="s">
        <v>194</v>
      </c>
    </row>
    <row r="37" customFormat="false" ht="15" hidden="false" customHeight="false" outlineLevel="0" collapsed="false">
      <c r="BB37" s="54" t="n">
        <f aca="false">IF(AND(BC37=1,BE37=1),1,0)</f>
        <v>1</v>
      </c>
      <c r="BC37" s="54" t="n">
        <f aca="false">IF(BD37&gt;$B$4,1,0)</f>
        <v>1</v>
      </c>
      <c r="BD37" s="63" t="n">
        <v>0.3</v>
      </c>
      <c r="BE37" s="54" t="n">
        <f aca="false">IF(BF37&gt;$F$11,1,0)</f>
        <v>1</v>
      </c>
      <c r="BF37" s="63" t="n">
        <v>45</v>
      </c>
      <c r="BG37" s="58" t="s">
        <v>200</v>
      </c>
    </row>
    <row r="38" customFormat="false" ht="15" hidden="false" customHeight="false" outlineLevel="0" collapsed="false">
      <c r="BB38" s="54" t="n">
        <f aca="false">IF(AND(BC38=1,BE38=1),1,0)</f>
        <v>1</v>
      </c>
      <c r="BC38" s="54" t="n">
        <f aca="false">IF(BD38&gt;$B$4,1,0)</f>
        <v>1</v>
      </c>
      <c r="BD38" s="63" t="n">
        <v>0.3</v>
      </c>
      <c r="BE38" s="54" t="n">
        <f aca="false">IF(BF38&gt;$F$11,1,0)</f>
        <v>1</v>
      </c>
      <c r="BF38" s="63" t="n">
        <v>46</v>
      </c>
      <c r="BG38" s="58" t="s">
        <v>206</v>
      </c>
    </row>
    <row r="39" customFormat="false" ht="15" hidden="false" customHeight="false" outlineLevel="0" collapsed="false">
      <c r="BB39" s="54" t="n">
        <f aca="false">IF(AND(BC39=1,BE39=1),1,0)</f>
        <v>1</v>
      </c>
      <c r="BC39" s="54" t="n">
        <f aca="false">IF(BD39&gt;$B$4,1,0)</f>
        <v>1</v>
      </c>
      <c r="BD39" s="63" t="n">
        <v>0.3</v>
      </c>
      <c r="BE39" s="54" t="n">
        <f aca="false">IF(BF39&gt;$F$11,1,0)</f>
        <v>1</v>
      </c>
      <c r="BF39" s="63" t="n">
        <v>60</v>
      </c>
      <c r="BG39" s="83" t="s">
        <v>207</v>
      </c>
    </row>
    <row r="40" customFormat="false" ht="15" hidden="false" customHeight="false" outlineLevel="0" collapsed="false">
      <c r="BB40" s="54" t="n">
        <f aca="false">IF(AND(BC40=1,BE40=1),1,0)</f>
        <v>1</v>
      </c>
      <c r="BC40" s="54" t="n">
        <f aca="false">IF(BD40&gt;$B$4,1,0)</f>
        <v>1</v>
      </c>
      <c r="BD40" s="63" t="n">
        <v>0.35</v>
      </c>
      <c r="BE40" s="54" t="n">
        <f aca="false">IF(BF40&gt;$F$11,1,0)</f>
        <v>1</v>
      </c>
      <c r="BF40" s="63" t="n">
        <v>17</v>
      </c>
      <c r="BG40" s="58" t="s">
        <v>189</v>
      </c>
    </row>
    <row r="41" customFormat="false" ht="15" hidden="false" customHeight="false" outlineLevel="0" collapsed="false">
      <c r="BB41" s="54" t="n">
        <f aca="false">IF(AND(BC41=1,BE41=1),1,0)</f>
        <v>1</v>
      </c>
      <c r="BC41" s="54" t="n">
        <f aca="false">IF(BD41&gt;$B$4,1,0)</f>
        <v>1</v>
      </c>
      <c r="BD41" s="63" t="n">
        <v>0.35</v>
      </c>
      <c r="BE41" s="54" t="n">
        <f aca="false">IF(BF41&gt;$F$11,1,0)</f>
        <v>1</v>
      </c>
      <c r="BF41" s="63" t="n">
        <v>31</v>
      </c>
      <c r="BG41" s="58" t="s">
        <v>194</v>
      </c>
    </row>
    <row r="42" customFormat="false" ht="15" hidden="false" customHeight="false" outlineLevel="0" collapsed="false">
      <c r="BB42" s="54" t="n">
        <f aca="false">IF(AND(BC42=1,BE42=1),1,0)</f>
        <v>1</v>
      </c>
      <c r="BC42" s="54" t="n">
        <f aca="false">IF(BD42&gt;$B$4,1,0)</f>
        <v>1</v>
      </c>
      <c r="BD42" s="63" t="n">
        <v>0.35</v>
      </c>
      <c r="BE42" s="54" t="n">
        <f aca="false">IF(BF42&gt;$F$11,1,0)</f>
        <v>1</v>
      </c>
      <c r="BF42" s="63" t="n">
        <v>43</v>
      </c>
      <c r="BG42" s="58" t="s">
        <v>200</v>
      </c>
    </row>
    <row r="43" customFormat="false" ht="15" hidden="false" customHeight="false" outlineLevel="0" collapsed="false">
      <c r="BB43" s="54" t="n">
        <f aca="false">IF(AND(BC43=1,BE43=1),1,0)</f>
        <v>1</v>
      </c>
      <c r="BC43" s="54" t="n">
        <f aca="false">IF(BD43&gt;$B$4,1,0)</f>
        <v>1</v>
      </c>
      <c r="BD43" s="63" t="n">
        <v>0.35</v>
      </c>
      <c r="BE43" s="54" t="n">
        <f aca="false">IF(BF43&gt;$F$11,1,0)</f>
        <v>1</v>
      </c>
      <c r="BF43" s="63" t="n">
        <v>46</v>
      </c>
      <c r="BG43" s="58" t="s">
        <v>206</v>
      </c>
    </row>
    <row r="44" customFormat="false" ht="15" hidden="false" customHeight="false" outlineLevel="0" collapsed="false">
      <c r="BB44" s="54" t="n">
        <f aca="false">IF(AND(BC44=1,BE44=1),1,0)</f>
        <v>1</v>
      </c>
      <c r="BC44" s="54" t="n">
        <f aca="false">IF(BD44&gt;$B$4,1,0)</f>
        <v>1</v>
      </c>
      <c r="BD44" s="63" t="n">
        <v>0.35</v>
      </c>
      <c r="BE44" s="54" t="n">
        <f aca="false">IF(BF44&gt;$F$11,1,0)</f>
        <v>1</v>
      </c>
      <c r="BF44" s="63" t="n">
        <v>65</v>
      </c>
      <c r="BG44" s="83" t="s">
        <v>207</v>
      </c>
    </row>
    <row r="45" customFormat="false" ht="15" hidden="false" customHeight="false" outlineLevel="0" collapsed="false">
      <c r="BB45" s="54" t="n">
        <f aca="false">IF(AND(BC45=1,BE45=1),1,0)</f>
        <v>1</v>
      </c>
      <c r="BC45" s="54" t="n">
        <f aca="false">IF(BD45&gt;$B$4,1,0)</f>
        <v>1</v>
      </c>
      <c r="BD45" s="63" t="n">
        <v>0.35</v>
      </c>
      <c r="BE45" s="54" t="n">
        <f aca="false">IF(BF45&gt;$F$11,1,0)</f>
        <v>1</v>
      </c>
      <c r="BF45" s="63" t="n">
        <v>70</v>
      </c>
      <c r="BG45" s="83" t="s">
        <v>209</v>
      </c>
    </row>
    <row r="46" customFormat="false" ht="15" hidden="false" customHeight="false" outlineLevel="0" collapsed="false">
      <c r="BB46" s="54" t="n">
        <f aca="false">IF(AND(BC46=1,BE46=1),1,0)</f>
        <v>1</v>
      </c>
      <c r="BC46" s="54" t="n">
        <f aca="false">IF(BD46&gt;$B$4,1,0)</f>
        <v>1</v>
      </c>
      <c r="BD46" s="63" t="n">
        <v>0.4</v>
      </c>
      <c r="BE46" s="54" t="n">
        <f aca="false">IF(BF46&gt;$F$11,1,0)</f>
        <v>1</v>
      </c>
      <c r="BF46" s="63" t="n">
        <v>27</v>
      </c>
      <c r="BG46" s="58" t="s">
        <v>194</v>
      </c>
    </row>
    <row r="47" customFormat="false" ht="15" hidden="false" customHeight="false" outlineLevel="0" collapsed="false">
      <c r="BB47" s="54" t="n">
        <f aca="false">IF(AND(BC47=1,BE47=1),1,0)</f>
        <v>1</v>
      </c>
      <c r="BC47" s="54" t="n">
        <f aca="false">IF(BD47&gt;$B$4,1,0)</f>
        <v>1</v>
      </c>
      <c r="BD47" s="63" t="n">
        <v>0.4</v>
      </c>
      <c r="BE47" s="54" t="n">
        <f aca="false">IF(BF47&gt;$F$11,1,0)</f>
        <v>1</v>
      </c>
      <c r="BF47" s="63" t="n">
        <v>41</v>
      </c>
      <c r="BG47" s="58" t="s">
        <v>200</v>
      </c>
    </row>
    <row r="48" customFormat="false" ht="15" hidden="false" customHeight="false" outlineLevel="0" collapsed="false">
      <c r="BB48" s="54" t="n">
        <f aca="false">IF(AND(BC48=1,BE48=1),1,0)</f>
        <v>1</v>
      </c>
      <c r="BC48" s="54" t="n">
        <f aca="false">IF(BD48&gt;$B$4,1,0)</f>
        <v>1</v>
      </c>
      <c r="BD48" s="63" t="n">
        <v>0.4</v>
      </c>
      <c r="BE48" s="54" t="n">
        <f aca="false">IF(BF48&gt;$F$11,1,0)</f>
        <v>1</v>
      </c>
      <c r="BF48" s="63" t="n">
        <v>47</v>
      </c>
      <c r="BG48" s="58" t="s">
        <v>206</v>
      </c>
    </row>
    <row r="49" customFormat="false" ht="15" hidden="false" customHeight="false" outlineLevel="0" collapsed="false">
      <c r="BB49" s="54" t="n">
        <f aca="false">IF(AND(BC49=1,BE49=1),1,0)</f>
        <v>1</v>
      </c>
      <c r="BC49" s="54" t="n">
        <f aca="false">IF(BD49&gt;$B$4,1,0)</f>
        <v>1</v>
      </c>
      <c r="BD49" s="63" t="n">
        <v>0.4</v>
      </c>
      <c r="BE49" s="54" t="n">
        <f aca="false">IF(BF49&gt;$F$11,1,0)</f>
        <v>1</v>
      </c>
      <c r="BF49" s="63" t="n">
        <v>57</v>
      </c>
      <c r="BG49" s="83" t="s">
        <v>207</v>
      </c>
    </row>
    <row r="50" customFormat="false" ht="15" hidden="false" customHeight="false" outlineLevel="0" collapsed="false">
      <c r="BB50" s="54" t="n">
        <f aca="false">IF(AND(BC50=1,BE50=1),1,0)</f>
        <v>1</v>
      </c>
      <c r="BC50" s="54" t="n">
        <f aca="false">IF(BD50&gt;$B$4,1,0)</f>
        <v>1</v>
      </c>
      <c r="BD50" s="63" t="n">
        <v>0.4</v>
      </c>
      <c r="BE50" s="54" t="n">
        <f aca="false">IF(BF50&gt;$F$11,1,0)</f>
        <v>1</v>
      </c>
      <c r="BF50" s="63" t="n">
        <v>80</v>
      </c>
      <c r="BG50" s="83" t="s">
        <v>209</v>
      </c>
    </row>
    <row r="51" customFormat="false" ht="15" hidden="false" customHeight="false" outlineLevel="0" collapsed="false">
      <c r="BB51" s="54" t="n">
        <f aca="false">IF(AND(BC51=1,BE51=1),1,0)</f>
        <v>1</v>
      </c>
      <c r="BC51" s="54" t="n">
        <f aca="false">IF(BD51&gt;$B$4,1,0)</f>
        <v>1</v>
      </c>
      <c r="BD51" s="63" t="n">
        <v>0.45</v>
      </c>
      <c r="BE51" s="54" t="n">
        <f aca="false">IF(BF51&gt;$F$11,1,0)</f>
        <v>1</v>
      </c>
      <c r="BF51" s="63" t="n">
        <v>24</v>
      </c>
      <c r="BG51" s="58" t="s">
        <v>194</v>
      </c>
    </row>
    <row r="52" customFormat="false" ht="15" hidden="false" customHeight="false" outlineLevel="0" collapsed="false">
      <c r="BB52" s="54" t="n">
        <f aca="false">IF(AND(BC52=1,BE52=1),1,0)</f>
        <v>1</v>
      </c>
      <c r="BC52" s="54" t="n">
        <f aca="false">IF(BD52&gt;$B$4,1,0)</f>
        <v>1</v>
      </c>
      <c r="BD52" s="63" t="n">
        <v>0.45</v>
      </c>
      <c r="BE52" s="54" t="n">
        <f aca="false">IF(BF52&gt;$F$11,1,0)</f>
        <v>1</v>
      </c>
      <c r="BF52" s="63" t="n">
        <v>39</v>
      </c>
      <c r="BG52" s="58" t="s">
        <v>200</v>
      </c>
    </row>
    <row r="53" customFormat="false" ht="15" hidden="false" customHeight="false" outlineLevel="0" collapsed="false">
      <c r="BB53" s="54" t="n">
        <f aca="false">IF(AND(BC53=1,BE53=1),1,0)</f>
        <v>1</v>
      </c>
      <c r="BC53" s="54" t="n">
        <f aca="false">IF(BD53&gt;$B$4,1,0)</f>
        <v>1</v>
      </c>
      <c r="BD53" s="63" t="n">
        <v>0.45</v>
      </c>
      <c r="BE53" s="54" t="n">
        <f aca="false">IF(BF53&gt;$F$11,1,0)</f>
        <v>1</v>
      </c>
      <c r="BF53" s="63" t="n">
        <v>45</v>
      </c>
      <c r="BG53" s="58" t="s">
        <v>206</v>
      </c>
    </row>
    <row r="54" customFormat="false" ht="15" hidden="false" customHeight="false" outlineLevel="0" collapsed="false">
      <c r="BB54" s="54" t="n">
        <f aca="false">IF(AND(BC54=1,BE54=1),1,0)</f>
        <v>1</v>
      </c>
      <c r="BC54" s="54" t="n">
        <f aca="false">IF(BD54&gt;$B$4,1,0)</f>
        <v>1</v>
      </c>
      <c r="BD54" s="63" t="n">
        <v>0.45</v>
      </c>
      <c r="BE54" s="54" t="n">
        <f aca="false">IF(BF54&gt;$F$11,1,0)</f>
        <v>1</v>
      </c>
      <c r="BF54" s="63" t="n">
        <v>70</v>
      </c>
      <c r="BG54" s="83" t="s">
        <v>211</v>
      </c>
    </row>
    <row r="55" customFormat="false" ht="15" hidden="false" customHeight="false" outlineLevel="0" collapsed="false">
      <c r="BB55" s="54" t="n">
        <f aca="false">IF(AND(BC55=1,BE55=1),1,0)</f>
        <v>1</v>
      </c>
      <c r="BC55" s="54" t="n">
        <f aca="false">IF(BD55&gt;$B$4,1,0)</f>
        <v>1</v>
      </c>
      <c r="BD55" s="63" t="n">
        <v>0.45</v>
      </c>
      <c r="BE55" s="54" t="n">
        <f aca="false">IF(BF55&gt;$F$11,1,0)</f>
        <v>1</v>
      </c>
      <c r="BF55" s="63" t="n">
        <v>90</v>
      </c>
      <c r="BG55" s="83" t="s">
        <v>212</v>
      </c>
    </row>
    <row r="56" customFormat="false" ht="15" hidden="false" customHeight="false" outlineLevel="0" collapsed="false">
      <c r="BB56" s="54" t="n">
        <f aca="false">IF(AND(BC56=1,BE56=1),1,0)</f>
        <v>1</v>
      </c>
      <c r="BC56" s="54" t="n">
        <f aca="false">IF(BD56&gt;$B$4,1,0)</f>
        <v>1</v>
      </c>
      <c r="BD56" s="63" t="n">
        <v>0.5</v>
      </c>
      <c r="BE56" s="54" t="n">
        <f aca="false">IF(BF56&gt;$F$11,1,0)</f>
        <v>1</v>
      </c>
      <c r="BF56" s="63" t="n">
        <v>22</v>
      </c>
      <c r="BG56" s="58" t="s">
        <v>194</v>
      </c>
    </row>
    <row r="57" customFormat="false" ht="15" hidden="false" customHeight="false" outlineLevel="0" collapsed="false">
      <c r="BB57" s="54" t="n">
        <f aca="false">IF(AND(BC57=1,BE57=1),1,0)</f>
        <v>1</v>
      </c>
      <c r="BC57" s="54" t="n">
        <f aca="false">IF(BD57&gt;$B$4,1,0)</f>
        <v>1</v>
      </c>
      <c r="BD57" s="63" t="n">
        <v>0.5</v>
      </c>
      <c r="BE57" s="54" t="n">
        <f aca="false">IF(BF57&gt;$F$11,1,0)</f>
        <v>1</v>
      </c>
      <c r="BF57" s="63" t="n">
        <v>37</v>
      </c>
      <c r="BG57" s="58" t="s">
        <v>200</v>
      </c>
    </row>
    <row r="58" customFormat="false" ht="15" hidden="false" customHeight="false" outlineLevel="0" collapsed="false">
      <c r="BB58" s="54" t="n">
        <f aca="false">IF(AND(BC58=1,BE58=1),1,0)</f>
        <v>1</v>
      </c>
      <c r="BC58" s="54" t="n">
        <f aca="false">IF(BD58&gt;$B$4,1,0)</f>
        <v>1</v>
      </c>
      <c r="BD58" s="63" t="n">
        <v>0.5</v>
      </c>
      <c r="BE58" s="54" t="n">
        <f aca="false">IF(BF58&gt;$F$11,1,0)</f>
        <v>1</v>
      </c>
      <c r="BF58" s="63" t="n">
        <v>43</v>
      </c>
      <c r="BG58" s="58" t="s">
        <v>206</v>
      </c>
    </row>
    <row r="59" customFormat="false" ht="15" hidden="false" customHeight="false" outlineLevel="0" collapsed="false">
      <c r="BB59" s="54" t="n">
        <f aca="false">IF(AND(BC59=1,BE59=1),1,0)</f>
        <v>1</v>
      </c>
      <c r="BC59" s="54" t="n">
        <f aca="false">IF(BD59&gt;$B$4,1,0)</f>
        <v>1</v>
      </c>
      <c r="BD59" s="63" t="n">
        <v>0.5</v>
      </c>
      <c r="BE59" s="54" t="n">
        <f aca="false">IF(BF59&gt;$F$11,1,0)</f>
        <v>1</v>
      </c>
      <c r="BF59" s="63" t="n">
        <v>66</v>
      </c>
      <c r="BG59" s="83" t="s">
        <v>211</v>
      </c>
    </row>
    <row r="60" customFormat="false" ht="15" hidden="false" customHeight="false" outlineLevel="0" collapsed="false">
      <c r="BB60" s="54" t="n">
        <f aca="false">IF(AND(BC60=1,BE60=1),1,0)</f>
        <v>1</v>
      </c>
      <c r="BC60" s="54" t="n">
        <f aca="false">IF(BD60&gt;$B$4,1,0)</f>
        <v>1</v>
      </c>
      <c r="BD60" s="63" t="n">
        <v>0.5</v>
      </c>
      <c r="BE60" s="54" t="n">
        <f aca="false">IF(BF60&gt;$F$11,1,0)</f>
        <v>1</v>
      </c>
      <c r="BF60" s="63" t="n">
        <v>100</v>
      </c>
      <c r="BG60" s="83" t="s">
        <v>212</v>
      </c>
    </row>
    <row r="61" customFormat="false" ht="15" hidden="false" customHeight="false" outlineLevel="0" collapsed="false">
      <c r="BB61" s="54" t="n">
        <f aca="false">IF(AND(BC61=1,BE61=1),1,0)</f>
        <v>1</v>
      </c>
      <c r="BC61" s="54" t="n">
        <f aca="false">IF(BD61&gt;$B$4,1,0)</f>
        <v>1</v>
      </c>
      <c r="BD61" s="63" t="n">
        <v>0.55</v>
      </c>
      <c r="BE61" s="54" t="n">
        <f aca="false">IF(BF61&gt;$F$11,1,0)</f>
        <v>1</v>
      </c>
      <c r="BF61" s="63" t="n">
        <v>35</v>
      </c>
      <c r="BG61" s="58" t="s">
        <v>200</v>
      </c>
    </row>
    <row r="62" customFormat="false" ht="15" hidden="false" customHeight="false" outlineLevel="0" collapsed="false">
      <c r="BB62" s="54" t="n">
        <f aca="false">IF(AND(BC62=1,BE62=1),1,0)</f>
        <v>1</v>
      </c>
      <c r="BC62" s="54" t="n">
        <f aca="false">IF(BD62&gt;$B$4,1,0)</f>
        <v>1</v>
      </c>
      <c r="BD62" s="63" t="n">
        <v>0.55</v>
      </c>
      <c r="BE62" s="54" t="n">
        <f aca="false">IF(BF62&gt;$F$11,1,0)</f>
        <v>1</v>
      </c>
      <c r="BF62" s="63" t="n">
        <v>42</v>
      </c>
      <c r="BG62" s="58" t="s">
        <v>206</v>
      </c>
    </row>
    <row r="63" customFormat="false" ht="15" hidden="false" customHeight="false" outlineLevel="0" collapsed="false">
      <c r="BB63" s="54" t="n">
        <f aca="false">IF(AND(BC63=1,BE63=1),1,0)</f>
        <v>1</v>
      </c>
      <c r="BC63" s="54" t="n">
        <f aca="false">IF(BD63&gt;$B$4,1,0)</f>
        <v>1</v>
      </c>
      <c r="BD63" s="63" t="n">
        <v>0.55</v>
      </c>
      <c r="BE63" s="54" t="n">
        <f aca="false">IF(BF63&gt;$F$11,1,0)</f>
        <v>1</v>
      </c>
      <c r="BF63" s="63" t="n">
        <v>62</v>
      </c>
      <c r="BG63" s="83" t="s">
        <v>211</v>
      </c>
    </row>
    <row r="64" customFormat="false" ht="15" hidden="false" customHeight="false" outlineLevel="0" collapsed="false">
      <c r="BB64" s="54" t="n">
        <f aca="false">IF(AND(BC64=1,BE64=1),1,0)</f>
        <v>1</v>
      </c>
      <c r="BC64" s="54" t="n">
        <f aca="false">IF(BD64&gt;$B$4,1,0)</f>
        <v>1</v>
      </c>
      <c r="BD64" s="63" t="n">
        <v>0.55</v>
      </c>
      <c r="BE64" s="54" t="n">
        <f aca="false">IF(BF64&gt;$F$11,1,0)</f>
        <v>1</v>
      </c>
      <c r="BF64" s="63" t="n">
        <v>110</v>
      </c>
      <c r="BG64" s="83" t="s">
        <v>212</v>
      </c>
    </row>
    <row r="65" customFormat="false" ht="15" hidden="false" customHeight="false" outlineLevel="0" collapsed="false">
      <c r="BB65" s="54" t="n">
        <f aca="false">IF(AND(BC65=1,BE65=1),1,0)</f>
        <v>1</v>
      </c>
      <c r="BC65" s="54" t="n">
        <f aca="false">IF(BD65&gt;$B$4,1,0)</f>
        <v>1</v>
      </c>
      <c r="BD65" s="63" t="n">
        <v>0.6</v>
      </c>
      <c r="BE65" s="54" t="n">
        <f aca="false">IF(BF65&gt;$F$11,1,0)</f>
        <v>1</v>
      </c>
      <c r="BF65" s="63" t="n">
        <v>33</v>
      </c>
      <c r="BG65" s="58" t="s">
        <v>200</v>
      </c>
    </row>
    <row r="66" customFormat="false" ht="15" hidden="false" customHeight="false" outlineLevel="0" collapsed="false">
      <c r="BB66" s="54" t="n">
        <f aca="false">IF(AND(BC66=1,BE66=1),1,0)</f>
        <v>1</v>
      </c>
      <c r="BC66" s="54" t="n">
        <f aca="false">IF(BD66&gt;$B$4,1,0)</f>
        <v>1</v>
      </c>
      <c r="BD66" s="63" t="n">
        <v>0.6</v>
      </c>
      <c r="BE66" s="54" t="n">
        <f aca="false">IF(BF66&gt;$F$11,1,0)</f>
        <v>1</v>
      </c>
      <c r="BF66" s="63" t="n">
        <v>41</v>
      </c>
      <c r="BG66" s="58" t="s">
        <v>206</v>
      </c>
    </row>
    <row r="67" customFormat="false" ht="15" hidden="false" customHeight="false" outlineLevel="0" collapsed="false">
      <c r="BB67" s="54" t="n">
        <f aca="false">IF(AND(BC67=1,BE67=1),1,0)</f>
        <v>1</v>
      </c>
      <c r="BC67" s="54" t="n">
        <f aca="false">IF(BD67&gt;$B$4,1,0)</f>
        <v>1</v>
      </c>
      <c r="BD67" s="63" t="n">
        <v>0.6</v>
      </c>
      <c r="BE67" s="54" t="n">
        <f aca="false">IF(BF67&gt;$F$11,1,0)</f>
        <v>1</v>
      </c>
      <c r="BF67" s="63" t="n">
        <v>55</v>
      </c>
      <c r="BG67" s="83" t="s">
        <v>211</v>
      </c>
    </row>
    <row r="68" customFormat="false" ht="15" hidden="false" customHeight="false" outlineLevel="0" collapsed="false">
      <c r="BB68" s="54" t="n">
        <f aca="false">IF(AND(BC68=1,BE68=1),1,0)</f>
        <v>1</v>
      </c>
      <c r="BC68" s="54" t="n">
        <f aca="false">IF(BD68&gt;$B$4,1,0)</f>
        <v>1</v>
      </c>
      <c r="BD68" s="63" t="n">
        <v>0.6</v>
      </c>
      <c r="BE68" s="54" t="n">
        <f aca="false">IF(BF68&gt;=$F$11,1,0)</f>
        <v>1</v>
      </c>
      <c r="BF68" s="63" t="n">
        <v>120</v>
      </c>
      <c r="BG68" s="83" t="s">
        <v>212</v>
      </c>
    </row>
    <row r="69" customFormat="false" ht="15" hidden="false" customHeight="false" outlineLevel="0" collapsed="false">
      <c r="BB69" s="54" t="n">
        <f aca="false">IF(AND(BC69=1,BE69=1),1,0)</f>
        <v>1</v>
      </c>
      <c r="BC69" s="54" t="n">
        <f aca="false">IF(BD69&gt;$B$4,1,0)</f>
        <v>1</v>
      </c>
      <c r="BD69" s="63" t="n">
        <v>0.65</v>
      </c>
      <c r="BE69" s="54" t="n">
        <f aca="false">IF(BF69&gt;$F$11,1,0)</f>
        <v>1</v>
      </c>
      <c r="BF69" s="63" t="n">
        <v>30</v>
      </c>
      <c r="BG69" s="58" t="s">
        <v>200</v>
      </c>
    </row>
    <row r="70" customFormat="false" ht="15" hidden="false" customHeight="false" outlineLevel="0" collapsed="false">
      <c r="BB70" s="54" t="n">
        <f aca="false">IF(AND(BC70=1,BE70=1),1,0)</f>
        <v>1</v>
      </c>
      <c r="BC70" s="54" t="n">
        <f aca="false">IF(BD70&gt;$B$4,1,0)</f>
        <v>1</v>
      </c>
      <c r="BD70" s="63" t="n">
        <v>0.65</v>
      </c>
      <c r="BE70" s="54" t="n">
        <f aca="false">IF(BF70&gt;$F$11,1,0)</f>
        <v>1</v>
      </c>
      <c r="BF70" s="63" t="n">
        <v>41</v>
      </c>
      <c r="BG70" s="58" t="s">
        <v>206</v>
      </c>
    </row>
    <row r="71" customFormat="false" ht="15" hidden="false" customHeight="false" outlineLevel="0" collapsed="false">
      <c r="BB71" s="54" t="n">
        <f aca="false">IF(AND(BC71=1,BE71=1),1,0)</f>
        <v>1</v>
      </c>
      <c r="BC71" s="54" t="n">
        <f aca="false">IF(BD71&gt;$B$4,1,0)</f>
        <v>1</v>
      </c>
      <c r="BD71" s="63" t="n">
        <v>0.65</v>
      </c>
      <c r="BE71" s="54" t="n">
        <f aca="false">IF(BF71&gt;$F$11,1,0)</f>
        <v>1</v>
      </c>
      <c r="BF71" s="63" t="n">
        <v>51</v>
      </c>
      <c r="BG71" s="83" t="s">
        <v>211</v>
      </c>
    </row>
    <row r="72" customFormat="false" ht="15" hidden="false" customHeight="false" outlineLevel="0" collapsed="false">
      <c r="BB72" s="54" t="n">
        <f aca="false">IF(AND(BC72=1,BE72=1),1,0)</f>
        <v>1</v>
      </c>
      <c r="BC72" s="54" t="n">
        <f aca="false">IF(BD72&gt;$B$4,1,0)</f>
        <v>1</v>
      </c>
      <c r="BD72" s="63" t="n">
        <v>0.65</v>
      </c>
      <c r="BE72" s="54" t="n">
        <f aca="false">IF(BF72&gt;=$F$11,1,0)</f>
        <v>1</v>
      </c>
      <c r="BF72" s="63" t="n">
        <v>120</v>
      </c>
      <c r="BG72" s="83" t="s">
        <v>212</v>
      </c>
    </row>
    <row r="73" customFormat="false" ht="15" hidden="false" customHeight="false" outlineLevel="0" collapsed="false">
      <c r="BB73" s="54" t="n">
        <f aca="false">IF(AND(BC73=1,BE73=1),1,0)</f>
        <v>1</v>
      </c>
      <c r="BC73" s="54" t="n">
        <f aca="false">IF(BD73&gt;$B$4,1,0)</f>
        <v>1</v>
      </c>
      <c r="BD73" s="63" t="n">
        <v>0.7</v>
      </c>
      <c r="BE73" s="54" t="n">
        <f aca="false">IF(BF73&gt;$F$11,1,0)</f>
        <v>1</v>
      </c>
      <c r="BF73" s="63" t="n">
        <v>40</v>
      </c>
      <c r="BG73" s="58" t="s">
        <v>206</v>
      </c>
    </row>
    <row r="74" customFormat="false" ht="15" hidden="false" customHeight="false" outlineLevel="0" collapsed="false">
      <c r="BB74" s="54" t="n">
        <f aca="false">IF(AND(BC74=1,BE74=1),1,0)</f>
        <v>1</v>
      </c>
      <c r="BC74" s="54" t="n">
        <f aca="false">IF(BD74&gt;$B$4,1,0)</f>
        <v>1</v>
      </c>
      <c r="BD74" s="63" t="n">
        <v>0.7</v>
      </c>
      <c r="BE74" s="54" t="n">
        <f aca="false">IF(BF74&gt;$F$11,1,0)</f>
        <v>1</v>
      </c>
      <c r="BF74" s="63" t="n">
        <v>45</v>
      </c>
      <c r="BG74" s="83" t="s">
        <v>211</v>
      </c>
    </row>
    <row r="75" customFormat="false" ht="15" hidden="false" customHeight="false" outlineLevel="0" collapsed="false">
      <c r="BB75" s="54" t="n">
        <f aca="false">IF(AND(BC75=1,BE75=1),1,0)</f>
        <v>1</v>
      </c>
      <c r="BC75" s="54" t="n">
        <f aca="false">IF(BD75&gt;$B$4,1,0)</f>
        <v>1</v>
      </c>
      <c r="BD75" s="63" t="n">
        <v>0.7</v>
      </c>
      <c r="BE75" s="54" t="n">
        <f aca="false">IF(BF75&gt;=$F$11,1,0)</f>
        <v>1</v>
      </c>
      <c r="BF75" s="63" t="n">
        <v>120</v>
      </c>
      <c r="BG75" s="83" t="s">
        <v>212</v>
      </c>
    </row>
    <row r="76" customFormat="false" ht="15" hidden="false" customHeight="false" outlineLevel="0" collapsed="false">
      <c r="BB76" s="54" t="n">
        <f aca="false">IF(AND(BC76=1,BE76=1),1,0)</f>
        <v>1</v>
      </c>
      <c r="BC76" s="54" t="n">
        <f aca="false">IF(BD76&gt;$B$4,1,0)</f>
        <v>1</v>
      </c>
      <c r="BD76" s="63" t="n">
        <v>0.75</v>
      </c>
      <c r="BE76" s="54" t="n">
        <f aca="false">IF(BF76&gt;$F$11,1,0)</f>
        <v>1</v>
      </c>
      <c r="BF76" s="63" t="n">
        <v>41</v>
      </c>
      <c r="BG76" s="58" t="s">
        <v>206</v>
      </c>
    </row>
    <row r="77" customFormat="false" ht="15" hidden="false" customHeight="false" outlineLevel="0" collapsed="false">
      <c r="BB77" s="54" t="n">
        <f aca="false">IF(AND(BC77=1,BE77=1),1,0)</f>
        <v>1</v>
      </c>
      <c r="BC77" s="54" t="n">
        <f aca="false">IF(BD77&gt;$B$4,1,0)</f>
        <v>1</v>
      </c>
      <c r="BD77" s="63" t="n">
        <v>0.75</v>
      </c>
      <c r="BE77" s="54" t="n">
        <f aca="false">IF(BF77&gt;=$F$11,1,0)</f>
        <v>1</v>
      </c>
      <c r="BF77" s="63" t="n">
        <v>120</v>
      </c>
      <c r="BG77" s="83" t="s">
        <v>212</v>
      </c>
    </row>
    <row r="78" customFormat="false" ht="15" hidden="false" customHeight="false" outlineLevel="0" collapsed="false">
      <c r="BB78" s="54" t="n">
        <f aca="false">IF(AND(BC78=1,BE78=1),1,0)</f>
        <v>1</v>
      </c>
      <c r="BC78" s="54" t="n">
        <f aca="false">IF(BD78&gt;$B$4,1,0)</f>
        <v>1</v>
      </c>
      <c r="BD78" s="63" t="n">
        <v>0.8</v>
      </c>
      <c r="BE78" s="54" t="n">
        <f aca="false">IF(BF78&gt;$F$11,1,0)</f>
        <v>1</v>
      </c>
      <c r="BF78" s="63" t="n">
        <v>40</v>
      </c>
      <c r="BG78" s="58" t="s">
        <v>206</v>
      </c>
    </row>
    <row r="79" customFormat="false" ht="15" hidden="false" customHeight="false" outlineLevel="0" collapsed="false">
      <c r="BB79" s="54" t="n">
        <f aca="false">IF(AND(BC79=1,BE79=1),1,0)</f>
        <v>1</v>
      </c>
      <c r="BC79" s="54" t="n">
        <f aca="false">IF(BD79&gt;$B$4,1,0)</f>
        <v>1</v>
      </c>
      <c r="BD79" s="63" t="n">
        <v>0.8</v>
      </c>
      <c r="BE79" s="54" t="n">
        <f aca="false">IF(BF79&gt;$F$11,1,0)</f>
        <v>1</v>
      </c>
      <c r="BF79" s="63" t="n">
        <v>117</v>
      </c>
      <c r="BG79" s="83" t="s">
        <v>212</v>
      </c>
    </row>
    <row r="80" customFormat="false" ht="15" hidden="false" customHeight="false" outlineLevel="0" collapsed="false">
      <c r="BB80" s="54" t="n">
        <f aca="false">IF(AND(BC80=1,BE80=1),1,0)</f>
        <v>1</v>
      </c>
      <c r="BC80" s="54" t="n">
        <f aca="false">IF(BD80&gt;$B$4,1,0)</f>
        <v>1</v>
      </c>
      <c r="BD80" s="63" t="n">
        <v>0.8</v>
      </c>
      <c r="BE80" s="54" t="n">
        <f aca="false">IF(BF80&gt;=$F$11,1,0)</f>
        <v>1</v>
      </c>
      <c r="BF80" s="63" t="n">
        <v>120</v>
      </c>
      <c r="BG80" s="83" t="s">
        <v>213</v>
      </c>
    </row>
    <row r="81" customFormat="false" ht="15" hidden="false" customHeight="false" outlineLevel="0" collapsed="false">
      <c r="BB81" s="54" t="n">
        <f aca="false">IF(AND(BC81=1,BE81=1),1,0)</f>
        <v>1</v>
      </c>
      <c r="BC81" s="54" t="n">
        <f aca="false">IF(BD81&gt;$B$4,1,0)</f>
        <v>1</v>
      </c>
      <c r="BD81" s="63" t="n">
        <v>0.85</v>
      </c>
      <c r="BE81" s="54" t="n">
        <f aca="false">IF(BF81&gt;$F$11,1,0)</f>
        <v>1</v>
      </c>
      <c r="BF81" s="63" t="n">
        <v>39</v>
      </c>
      <c r="BG81" s="58" t="s">
        <v>206</v>
      </c>
    </row>
    <row r="82" customFormat="false" ht="15" hidden="false" customHeight="false" outlineLevel="0" collapsed="false">
      <c r="BB82" s="54" t="n">
        <f aca="false">IF(AND(BC82=1,BE82=1),1,0)</f>
        <v>1</v>
      </c>
      <c r="BC82" s="54" t="n">
        <f aca="false">IF(BD82&gt;$B$4,1,0)</f>
        <v>1</v>
      </c>
      <c r="BD82" s="63" t="n">
        <v>0.85</v>
      </c>
      <c r="BE82" s="54" t="n">
        <f aca="false">IF(BF82&gt;$F$11,1,0)</f>
        <v>1</v>
      </c>
      <c r="BF82" s="63" t="n">
        <v>114</v>
      </c>
      <c r="BG82" s="83" t="s">
        <v>212</v>
      </c>
    </row>
    <row r="83" customFormat="false" ht="15" hidden="false" customHeight="false" outlineLevel="0" collapsed="false">
      <c r="BB83" s="54" t="n">
        <f aca="false">IF(AND(BC83=1,BE83=1),1,0)</f>
        <v>1</v>
      </c>
      <c r="BC83" s="54" t="n">
        <f aca="false">IF(BD83&gt;$B$4,1,0)</f>
        <v>1</v>
      </c>
      <c r="BD83" s="63" t="n">
        <v>0.85</v>
      </c>
      <c r="BE83" s="54" t="n">
        <f aca="false">IF(BF83&gt;=$F$11,1,0)</f>
        <v>1</v>
      </c>
      <c r="BF83" s="63" t="n">
        <v>120</v>
      </c>
      <c r="BG83" s="83" t="s">
        <v>213</v>
      </c>
    </row>
    <row r="84" customFormat="false" ht="15" hidden="false" customHeight="false" outlineLevel="0" collapsed="false">
      <c r="BB84" s="54" t="n">
        <f aca="false">IF(AND(BC84=1,BE84=1),1,0)</f>
        <v>1</v>
      </c>
      <c r="BC84" s="54" t="n">
        <f aca="false">IF(BD84&gt;$B$4,1,0)</f>
        <v>1</v>
      </c>
      <c r="BD84" s="63" t="n">
        <v>0.9</v>
      </c>
      <c r="BE84" s="54" t="n">
        <f aca="false">IF(BF84&gt;$F$11,1,0)</f>
        <v>1</v>
      </c>
      <c r="BF84" s="63" t="n">
        <v>37</v>
      </c>
      <c r="BG84" s="58" t="s">
        <v>206</v>
      </c>
    </row>
    <row r="85" customFormat="false" ht="15" hidden="false" customHeight="false" outlineLevel="0" collapsed="false">
      <c r="BB85" s="54" t="n">
        <f aca="false">IF(AND(BC85=1,BE85=1),1,0)</f>
        <v>1</v>
      </c>
      <c r="BC85" s="54" t="n">
        <f aca="false">IF(BD85&gt;$B$4,1,0)</f>
        <v>1</v>
      </c>
      <c r="BD85" s="63" t="n">
        <v>0.9</v>
      </c>
      <c r="BE85" s="54" t="n">
        <f aca="false">IF(BF85&gt;$F$11,1,0)</f>
        <v>1</v>
      </c>
      <c r="BF85" s="63" t="n">
        <v>43</v>
      </c>
      <c r="BG85" s="83" t="s">
        <v>210</v>
      </c>
    </row>
    <row r="86" customFormat="false" ht="15" hidden="false" customHeight="false" outlineLevel="0" collapsed="false">
      <c r="BB86" s="54" t="n">
        <f aca="false">IF(AND(BC86=1,BE86=1),1,0)</f>
        <v>1</v>
      </c>
      <c r="BC86" s="54" t="n">
        <f aca="false">IF(BD86&gt;$B$4,1,0)</f>
        <v>1</v>
      </c>
      <c r="BD86" s="63" t="n">
        <v>0.9</v>
      </c>
      <c r="BE86" s="54" t="n">
        <f aca="false">IF(BF86&gt;$F$11,1,0)</f>
        <v>1</v>
      </c>
      <c r="BF86" s="63" t="n">
        <v>110</v>
      </c>
      <c r="BG86" s="83" t="s">
        <v>212</v>
      </c>
    </row>
    <row r="87" customFormat="false" ht="15" hidden="false" customHeight="false" outlineLevel="0" collapsed="false">
      <c r="BB87" s="54" t="n">
        <f aca="false">IF(AND(BC87=1,BE87=1),1,0)</f>
        <v>1</v>
      </c>
      <c r="BC87" s="54" t="n">
        <f aca="false">IF(BD87&gt;$B$4,1,0)</f>
        <v>1</v>
      </c>
      <c r="BD87" s="63" t="n">
        <v>0.9</v>
      </c>
      <c r="BE87" s="54" t="n">
        <f aca="false">IF(BF87&gt;=$F$11,1,0)</f>
        <v>1</v>
      </c>
      <c r="BF87" s="63" t="n">
        <v>120</v>
      </c>
      <c r="BG87" s="83" t="s">
        <v>213</v>
      </c>
    </row>
    <row r="88" customFormat="false" ht="15" hidden="false" customHeight="false" outlineLevel="0" collapsed="false">
      <c r="BB88" s="54" t="n">
        <f aca="false">IF(AND(BC88=1,BE88=1),1,0)</f>
        <v>1</v>
      </c>
      <c r="BC88" s="54" t="n">
        <f aca="false">IF(BD88&gt;$B$4,1,0)</f>
        <v>1</v>
      </c>
      <c r="BD88" s="63" t="n">
        <v>0.95</v>
      </c>
      <c r="BE88" s="54" t="n">
        <f aca="false">IF(BF88&gt;$F$11,1,0)</f>
        <v>1</v>
      </c>
      <c r="BF88" s="63" t="n">
        <v>44</v>
      </c>
      <c r="BG88" s="83" t="s">
        <v>210</v>
      </c>
    </row>
    <row r="89" customFormat="false" ht="15" hidden="false" customHeight="false" outlineLevel="0" collapsed="false">
      <c r="BB89" s="54" t="n">
        <f aca="false">IF(AND(BC89=1,BE89=1),1,0)</f>
        <v>1</v>
      </c>
      <c r="BC89" s="54" t="n">
        <f aca="false">IF(BD89&gt;$B$4,1,0)</f>
        <v>1</v>
      </c>
      <c r="BD89" s="63" t="n">
        <v>0.95</v>
      </c>
      <c r="BE89" s="54" t="n">
        <f aca="false">IF(BF89&gt;$F$11,1,0)</f>
        <v>1</v>
      </c>
      <c r="BF89" s="63" t="n">
        <v>106</v>
      </c>
      <c r="BG89" s="83" t="s">
        <v>212</v>
      </c>
    </row>
    <row r="90" customFormat="false" ht="15" hidden="false" customHeight="false" outlineLevel="0" collapsed="false">
      <c r="BB90" s="54" t="n">
        <f aca="false">IF(AND(BC90=1,BE90=1),1,0)</f>
        <v>1</v>
      </c>
      <c r="BC90" s="54" t="n">
        <f aca="false">IF(BD90&gt;$B$4,1,0)</f>
        <v>1</v>
      </c>
      <c r="BD90" s="63" t="n">
        <v>0.95</v>
      </c>
      <c r="BE90" s="54" t="n">
        <f aca="false">IF(BF90&gt;=$F$11,1,0)</f>
        <v>1</v>
      </c>
      <c r="BF90" s="63" t="n">
        <v>120</v>
      </c>
      <c r="BG90" s="83" t="s">
        <v>213</v>
      </c>
    </row>
    <row r="91" customFormat="false" ht="15" hidden="false" customHeight="false" outlineLevel="0" collapsed="false">
      <c r="BB91" s="54" t="n">
        <f aca="false">IF(AND(BC91=1,BE91=1),1,0)</f>
        <v>1</v>
      </c>
      <c r="BC91" s="54" t="n">
        <f aca="false">IF(BD91&gt;=$B$4,1,0)</f>
        <v>1</v>
      </c>
      <c r="BD91" s="63" t="n">
        <v>1</v>
      </c>
      <c r="BE91" s="54" t="n">
        <f aca="false">IF(BF91&gt;$F$11,1,0)</f>
        <v>1</v>
      </c>
      <c r="BF91" s="63" t="n">
        <v>41</v>
      </c>
      <c r="BG91" s="83" t="s">
        <v>210</v>
      </c>
    </row>
    <row r="92" customFormat="false" ht="15" hidden="false" customHeight="false" outlineLevel="0" collapsed="false">
      <c r="BB92" s="54" t="n">
        <f aca="false">IF(AND(BC92=1,BE92=1),1,0)</f>
        <v>1</v>
      </c>
      <c r="BC92" s="54" t="n">
        <f aca="false">IF(BD92&gt;=$B$4,1,0)</f>
        <v>1</v>
      </c>
      <c r="BD92" s="63" t="n">
        <v>1</v>
      </c>
      <c r="BE92" s="54" t="n">
        <f aca="false">IF(BF92&gt;$F$11,1,0)</f>
        <v>1</v>
      </c>
      <c r="BF92" s="63" t="n">
        <v>101</v>
      </c>
      <c r="BG92" s="83" t="s">
        <v>212</v>
      </c>
    </row>
    <row r="93" customFormat="false" ht="15" hidden="false" customHeight="false" outlineLevel="0" collapsed="false">
      <c r="BB93" s="54" t="n">
        <f aca="false">IF(AND(BC93=1,BE93=1),1,0)</f>
        <v>1</v>
      </c>
      <c r="BC93" s="54" t="n">
        <f aca="false">IF(BD93&gt;=$B$4,1,0)</f>
        <v>1</v>
      </c>
      <c r="BD93" s="63" t="n">
        <v>1</v>
      </c>
      <c r="BE93" s="54" t="n">
        <f aca="false">IF(BF93&gt;=$F$11,1,0)</f>
        <v>1</v>
      </c>
      <c r="BF93" s="63" t="n">
        <v>120</v>
      </c>
      <c r="BG93" s="83" t="s">
        <v>213</v>
      </c>
    </row>
  </sheetData>
  <mergeCells count="27">
    <mergeCell ref="I2:AC2"/>
    <mergeCell ref="AE2:AP2"/>
    <mergeCell ref="AR2:AT2"/>
    <mergeCell ref="AX2:AZ2"/>
    <mergeCell ref="BB2:BG2"/>
    <mergeCell ref="BJ2:BK2"/>
    <mergeCell ref="BN2:BO2"/>
    <mergeCell ref="BR2:BT2"/>
    <mergeCell ref="BW2:BX2"/>
    <mergeCell ref="CI2:CJ2"/>
    <mergeCell ref="CM2:CN2"/>
    <mergeCell ref="CQ2:CR2"/>
    <mergeCell ref="CU2:CY2"/>
    <mergeCell ref="DA2:DC2"/>
    <mergeCell ref="DF2:DH2"/>
    <mergeCell ref="DJ2:DL2"/>
    <mergeCell ref="DN2:DP2"/>
    <mergeCell ref="AH3:AJ3"/>
    <mergeCell ref="AK3:AM3"/>
    <mergeCell ref="AN3:AP3"/>
    <mergeCell ref="E9:F9"/>
    <mergeCell ref="B14:C14"/>
    <mergeCell ref="B15:C15"/>
    <mergeCell ref="B16:C16"/>
    <mergeCell ref="B17:C17"/>
    <mergeCell ref="E19:F19"/>
    <mergeCell ref="E24:F2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J2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L4" activeCellId="0" sqref="L4"/>
    </sheetView>
  </sheetViews>
  <sheetFormatPr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.42"/>
    <col collapsed="false" customWidth="true" hidden="false" outlineLevel="0" max="4" min="3" style="0" width="8.67"/>
    <col collapsed="false" customWidth="true" hidden="false" outlineLevel="0" max="5" min="5" style="0" width="4.86"/>
    <col collapsed="false" customWidth="true" hidden="false" outlineLevel="0" max="6" min="6" style="0" width="10"/>
    <col collapsed="false" customWidth="true" hidden="false" outlineLevel="0" max="8" min="7" style="0" width="8.67"/>
    <col collapsed="false" customWidth="true" hidden="false" outlineLevel="0" max="9" min="9" style="0" width="9.14"/>
    <col collapsed="false" customWidth="true" hidden="false" outlineLevel="0" max="10" min="10" style="0" width="6.01"/>
    <col collapsed="false" customWidth="true" hidden="false" outlineLevel="0" max="16" min="11" style="0" width="8"/>
    <col collapsed="false" customWidth="true" hidden="false" outlineLevel="0" max="17" min="17" style="0" width="8.67"/>
    <col collapsed="false" customWidth="true" hidden="false" outlineLevel="0" max="36" min="18" style="0" width="9.14"/>
    <col collapsed="false" customWidth="true" hidden="false" outlineLevel="0" max="37" min="37" style="0" width="8.67"/>
    <col collapsed="false" customWidth="true" hidden="false" outlineLevel="0" max="38" min="38" style="0" width="9.14"/>
    <col collapsed="false" customWidth="true" hidden="false" outlineLevel="0" max="39" min="39" style="0" width="5.14"/>
    <col collapsed="false" customWidth="true" hidden="false" outlineLevel="0" max="40" min="40" style="0" width="10.14"/>
    <col collapsed="false" customWidth="true" hidden="false" outlineLevel="0" max="41" min="41" style="0" width="9.14"/>
    <col collapsed="false" customWidth="true" hidden="false" outlineLevel="0" max="42" min="42" style="0" width="5.57"/>
    <col collapsed="false" customWidth="true" hidden="false" outlineLevel="0" max="43" min="43" style="0" width="10.14"/>
    <col collapsed="false" customWidth="true" hidden="false" outlineLevel="0" max="51" min="44" style="0" width="8.67"/>
    <col collapsed="false" customWidth="true" hidden="false" outlineLevel="0" max="52" min="52" style="0" width="4.86"/>
    <col collapsed="false" customWidth="true" hidden="false" outlineLevel="0" max="53" min="53" style="0" width="12.86"/>
    <col collapsed="false" customWidth="true" hidden="false" outlineLevel="0" max="54" min="54" style="0" width="3.29"/>
    <col collapsed="false" customWidth="true" hidden="false" outlineLevel="0" max="55" min="55" style="0" width="11.29"/>
    <col collapsed="false" customWidth="true" hidden="false" outlineLevel="0" max="57" min="56" style="0" width="6.28"/>
    <col collapsed="false" customWidth="true" hidden="false" outlineLevel="0" max="58" min="58" style="0" width="3.57"/>
    <col collapsed="false" customWidth="true" hidden="false" outlineLevel="0" max="59" min="59" style="0" width="8.29"/>
    <col collapsed="false" customWidth="true" hidden="false" outlineLevel="0" max="61" min="60" style="0" width="6.15"/>
    <col collapsed="false" customWidth="true" hidden="false" outlineLevel="0" max="62" min="62" style="0" width="3.29"/>
    <col collapsed="false" customWidth="true" hidden="false" outlineLevel="0" max="63" min="63" style="0" width="9.58"/>
    <col collapsed="false" customWidth="true" hidden="false" outlineLevel="0" max="64" min="64" style="0" width="6.15"/>
    <col collapsed="false" customWidth="true" hidden="false" outlineLevel="0" max="65" min="65" style="0" width="15.29"/>
    <col collapsed="false" customWidth="true" hidden="false" outlineLevel="0" max="66" min="66" style="0" width="3.29"/>
    <col collapsed="false" customWidth="true" hidden="false" outlineLevel="0" max="67" min="67" style="0" width="10.58"/>
    <col collapsed="false" customWidth="true" hidden="false" outlineLevel="0" max="68" min="68" style="0" width="6.28"/>
    <col collapsed="false" customWidth="true" hidden="false" outlineLevel="0" max="69" min="69" style="0" width="10.99"/>
    <col collapsed="false" customWidth="true" hidden="false" outlineLevel="0" max="70" min="70" style="0" width="3.29"/>
    <col collapsed="false" customWidth="true" hidden="false" outlineLevel="0" max="71" min="71" style="0" width="8.57"/>
    <col collapsed="false" customWidth="true" hidden="false" outlineLevel="0" max="72" min="72" style="0" width="6.28"/>
    <col collapsed="false" customWidth="false" hidden="false" outlineLevel="0" max="76" min="73" style="0" width="11.42"/>
    <col collapsed="false" customWidth="true" hidden="false" outlineLevel="0" max="77" min="77" style="0" width="3.57"/>
    <col collapsed="false" customWidth="true" hidden="false" outlineLevel="0" max="78" min="78" style="0" width="8.71"/>
    <col collapsed="false" customWidth="true" hidden="false" outlineLevel="0" max="79" min="79" style="0" width="6.28"/>
    <col collapsed="false" customWidth="false" hidden="false" outlineLevel="0" max="80" min="80" style="0" width="11.42"/>
    <col collapsed="false" customWidth="true" hidden="false" outlineLevel="0" max="81" min="81" style="0" width="3.57"/>
    <col collapsed="false" customWidth="true" hidden="false" outlineLevel="0" max="82" min="82" style="0" width="8.71"/>
    <col collapsed="false" customWidth="true" hidden="false" outlineLevel="0" max="83" min="83" style="0" width="6.28"/>
    <col collapsed="false" customWidth="false" hidden="false" outlineLevel="0" max="84" min="84" style="0" width="11.42"/>
    <col collapsed="false" customWidth="true" hidden="false" outlineLevel="0" max="85" min="85" style="0" width="3.57"/>
    <col collapsed="false" customWidth="true" hidden="false" outlineLevel="0" max="86" min="86" style="0" width="8.57"/>
    <col collapsed="false" customWidth="true" hidden="false" outlineLevel="0" max="87" min="87" style="0" width="6.28"/>
    <col collapsed="false" customWidth="true" hidden="false" outlineLevel="0" max="88" min="88" style="0" width="13.7"/>
    <col collapsed="false" customWidth="true" hidden="false" outlineLevel="0" max="1025" min="89" style="0" width="8.67"/>
  </cols>
  <sheetData>
    <row r="1" customFormat="false" ht="15.75" hidden="false" customHeight="false" outlineLevel="0" collapsed="false"/>
    <row r="2" customFormat="false" ht="15.75" hidden="false" customHeight="false" outlineLevel="0" collapsed="false">
      <c r="B2" s="0" t="s">
        <v>1</v>
      </c>
      <c r="I2" s="25" t="s">
        <v>30</v>
      </c>
      <c r="J2" s="25"/>
      <c r="K2" s="25"/>
      <c r="L2" s="25"/>
      <c r="M2" s="25"/>
      <c r="N2" s="25"/>
      <c r="O2" s="25"/>
      <c r="P2" s="25"/>
      <c r="R2" s="25" t="s">
        <v>31</v>
      </c>
      <c r="S2" s="25"/>
      <c r="T2" s="25"/>
      <c r="U2" s="25"/>
      <c r="V2" s="25"/>
      <c r="W2" s="25"/>
      <c r="X2" s="25"/>
      <c r="Y2" s="25"/>
      <c r="Z2" s="25"/>
      <c r="AA2" s="25"/>
      <c r="AB2" s="25"/>
      <c r="AC2" s="25" t="s">
        <v>220</v>
      </c>
      <c r="AD2" s="25"/>
      <c r="AE2" s="25"/>
      <c r="AF2" s="25"/>
      <c r="AG2" s="25"/>
      <c r="AH2" s="25"/>
      <c r="AI2" s="25"/>
      <c r="AJ2" s="25"/>
      <c r="AL2" s="25" t="s">
        <v>221</v>
      </c>
      <c r="AM2" s="25"/>
      <c r="AN2" s="25"/>
      <c r="AO2" s="25"/>
      <c r="AP2" s="25"/>
      <c r="AQ2" s="25"/>
      <c r="AZ2" s="5" t="s">
        <v>37</v>
      </c>
      <c r="BA2" s="5"/>
      <c r="BB2" s="4"/>
      <c r="BC2" s="30"/>
      <c r="BD2" s="31" t="s">
        <v>38</v>
      </c>
      <c r="BE2" s="31"/>
      <c r="BF2" s="32"/>
      <c r="BG2" s="33"/>
      <c r="BH2" s="118" t="s">
        <v>39</v>
      </c>
      <c r="BI2" s="118"/>
      <c r="BJ2" s="4"/>
      <c r="BK2" s="30"/>
      <c r="BL2" s="31" t="s">
        <v>40</v>
      </c>
      <c r="BM2" s="31"/>
      <c r="BN2" s="4"/>
      <c r="BO2" s="30"/>
      <c r="BP2" s="31" t="s">
        <v>41</v>
      </c>
      <c r="BQ2" s="31"/>
      <c r="BR2" s="4"/>
      <c r="BS2" s="4" t="s">
        <v>42</v>
      </c>
      <c r="BT2" s="4"/>
      <c r="BU2" s="4"/>
      <c r="BV2" s="4"/>
      <c r="BW2" s="4"/>
      <c r="BX2" s="4"/>
      <c r="BY2" s="32"/>
      <c r="BZ2" s="4" t="s">
        <v>43</v>
      </c>
      <c r="CA2" s="4"/>
      <c r="CB2" s="4"/>
      <c r="CC2" s="32"/>
      <c r="CD2" s="4" t="s">
        <v>44</v>
      </c>
      <c r="CE2" s="4"/>
      <c r="CF2" s="4"/>
      <c r="CG2" s="32"/>
      <c r="CH2" s="4" t="s">
        <v>45</v>
      </c>
      <c r="CI2" s="4"/>
      <c r="CJ2" s="4"/>
    </row>
    <row r="3" customFormat="false" ht="15.75" hidden="false" customHeight="false" outlineLevel="0" collapsed="false">
      <c r="I3" s="38"/>
      <c r="J3" s="39" t="s">
        <v>48</v>
      </c>
      <c r="K3" s="40" t="s">
        <v>49</v>
      </c>
      <c r="L3" s="41" t="s">
        <v>50</v>
      </c>
      <c r="M3" s="38"/>
      <c r="N3" s="39" t="s">
        <v>222</v>
      </c>
      <c r="O3" s="40" t="s">
        <v>49</v>
      </c>
      <c r="P3" s="41" t="s">
        <v>50</v>
      </c>
      <c r="R3" s="38"/>
      <c r="S3" s="39"/>
      <c r="T3" s="41"/>
      <c r="U3" s="25" t="s">
        <v>223</v>
      </c>
      <c r="V3" s="25"/>
      <c r="W3" s="25"/>
      <c r="X3" s="25"/>
      <c r="Y3" s="25" t="s">
        <v>55</v>
      </c>
      <c r="Z3" s="25"/>
      <c r="AA3" s="25"/>
      <c r="AB3" s="25"/>
      <c r="AC3" s="43"/>
      <c r="AD3" s="43"/>
      <c r="AE3" s="25" t="s">
        <v>55</v>
      </c>
      <c r="AF3" s="25"/>
      <c r="AG3" s="25"/>
      <c r="AH3" s="25" t="s">
        <v>53</v>
      </c>
      <c r="AI3" s="25"/>
      <c r="AJ3" s="25"/>
      <c r="AL3" s="60" t="n">
        <f aca="false">IF($F$4&lt;AM3,1,0)</f>
        <v>0</v>
      </c>
      <c r="AM3" s="68" t="n">
        <v>2</v>
      </c>
      <c r="AN3" s="62" t="s">
        <v>224</v>
      </c>
      <c r="AO3" s="60" t="n">
        <f aca="false">IF($F$14&lt;AP3,1,0)</f>
        <v>1</v>
      </c>
      <c r="AP3" s="68" t="n">
        <v>2</v>
      </c>
      <c r="AQ3" s="62" t="s">
        <v>224</v>
      </c>
      <c r="AZ3" s="47" t="s">
        <v>61</v>
      </c>
      <c r="BA3" s="26" t="s">
        <v>62</v>
      </c>
      <c r="BB3" s="48"/>
      <c r="BC3" s="26" t="s">
        <v>161</v>
      </c>
      <c r="BD3" s="49" t="s">
        <v>61</v>
      </c>
      <c r="BE3" s="21" t="s">
        <v>63</v>
      </c>
      <c r="BF3" s="50"/>
      <c r="BG3" s="26" t="s">
        <v>225</v>
      </c>
      <c r="BH3" s="49" t="s">
        <v>61</v>
      </c>
      <c r="BI3" s="21" t="s">
        <v>63</v>
      </c>
      <c r="BJ3" s="48"/>
      <c r="BK3" s="26" t="s">
        <v>226</v>
      </c>
      <c r="BL3" s="53" t="s">
        <v>61</v>
      </c>
      <c r="BM3" s="26" t="s">
        <v>218</v>
      </c>
      <c r="BN3" s="48"/>
      <c r="BO3" s="26" t="s">
        <v>227</v>
      </c>
      <c r="BP3" s="49" t="s">
        <v>61</v>
      </c>
      <c r="BQ3" s="21" t="s">
        <v>218</v>
      </c>
      <c r="BR3" s="48"/>
      <c r="BS3" s="26"/>
      <c r="BT3" s="49" t="s">
        <v>61</v>
      </c>
      <c r="BU3" s="21" t="s">
        <v>223</v>
      </c>
      <c r="BV3" s="21"/>
      <c r="BW3" s="49" t="s">
        <v>61</v>
      </c>
      <c r="BX3" s="21" t="s">
        <v>55</v>
      </c>
      <c r="BY3" s="50"/>
      <c r="BZ3" s="26"/>
      <c r="CA3" s="49" t="s">
        <v>61</v>
      </c>
      <c r="CB3" s="21" t="s">
        <v>31</v>
      </c>
      <c r="CC3" s="50"/>
      <c r="CD3" s="26" t="s">
        <v>228</v>
      </c>
      <c r="CE3" s="49" t="s">
        <v>61</v>
      </c>
      <c r="CF3" s="21" t="s">
        <v>63</v>
      </c>
      <c r="CG3" s="50"/>
      <c r="CH3" s="26"/>
      <c r="CI3" s="49" t="s">
        <v>61</v>
      </c>
      <c r="CJ3" s="3" t="s">
        <v>228</v>
      </c>
    </row>
    <row r="4" customFormat="false" ht="15" hidden="false" customHeight="false" outlineLevel="0" collapsed="false">
      <c r="A4" s="55"/>
      <c r="E4" s="0" t="s">
        <v>72</v>
      </c>
      <c r="F4" s="114" t="n">
        <f aca="false">IF('БГ-С'!B4=0,('БОВ (1)'!F4+'БОВ (2)'!F4+'БОВ (3)'!F4+БГ!F4),'БГ-С'!F14)</f>
        <v>13.3333333333333</v>
      </c>
      <c r="I4" s="51" t="n">
        <f aca="false">IF($B$9&lt;12,(IF((L4&gt;4)*AND(L4&lt;16),2,0)),IF((L4&gt;4)*AND(L4&lt;20),2,0))</f>
        <v>0</v>
      </c>
      <c r="J4" s="54" t="n">
        <v>15</v>
      </c>
      <c r="K4" s="54" t="n">
        <f aca="false">1/POWER((1.14+2*LOG10((J4/1000)/($K$21/1000))),2)</f>
        <v>0.0596558274221208</v>
      </c>
      <c r="L4" s="58" t="n">
        <f aca="false">0.00638*K4*POWER($F$4,2)/(POWER((J4/1000),5)*$K$20)</f>
        <v>92971.0905655149</v>
      </c>
      <c r="M4" s="60" t="n">
        <f aca="false">IF($B$9&lt;12,(IF((P4&gt;4)*AND(P4&lt;16),2,0)),IF((P4&gt;4)*AND(P4&lt;20),2,0))</f>
        <v>0</v>
      </c>
      <c r="N4" s="68" t="n">
        <v>15</v>
      </c>
      <c r="O4" s="68" t="n">
        <f aca="false">1/POWER(1.14+2*LOG10((N4/1000)/($K$21/1000)),2)</f>
        <v>0.0596558274221208</v>
      </c>
      <c r="P4" s="62" t="n">
        <f aca="false">0.00638*O4*POWER($F$14,2)/(POWER(N4/1000,5)*$K$20)</f>
        <v>79.5425786719583</v>
      </c>
      <c r="R4" s="59" t="s">
        <v>73</v>
      </c>
      <c r="S4" s="54" t="n">
        <v>3</v>
      </c>
      <c r="T4" s="54"/>
      <c r="U4" s="60" t="n">
        <f aca="false">IF(X4&gt;$S$5,1,0)</f>
        <v>0</v>
      </c>
      <c r="V4" s="68" t="s">
        <v>229</v>
      </c>
      <c r="W4" s="61" t="n">
        <v>15</v>
      </c>
      <c r="X4" s="62" t="n">
        <v>1.6</v>
      </c>
      <c r="Y4" s="60" t="n">
        <f aca="false">IF(AB4&gt;$S$5,1,0)</f>
        <v>0</v>
      </c>
      <c r="Z4" s="68" t="s">
        <v>230</v>
      </c>
      <c r="AA4" s="61" t="n">
        <v>15</v>
      </c>
      <c r="AB4" s="62" t="n">
        <v>4</v>
      </c>
      <c r="AC4" s="59" t="s">
        <v>231</v>
      </c>
      <c r="AD4" s="54" t="n">
        <v>1.5</v>
      </c>
      <c r="AE4" s="51" t="n">
        <f aca="false">IF(AG4&gt;$AD$5,1,0)</f>
        <v>0</v>
      </c>
      <c r="AF4" s="61" t="n">
        <v>15</v>
      </c>
      <c r="AG4" s="62" t="n">
        <v>2.5</v>
      </c>
      <c r="AH4" s="51" t="n">
        <f aca="false">IF(AJ4&gt;$AD$5,1,0)</f>
        <v>0</v>
      </c>
      <c r="AI4" s="61" t="n">
        <v>15</v>
      </c>
      <c r="AJ4" s="62" t="n">
        <v>2</v>
      </c>
      <c r="AL4" s="51" t="n">
        <f aca="false">IF($F$4&lt;AM4,1,0)</f>
        <v>0</v>
      </c>
      <c r="AM4" s="54" t="n">
        <v>4</v>
      </c>
      <c r="AN4" s="58" t="s">
        <v>232</v>
      </c>
      <c r="AO4" s="51" t="n">
        <f aca="false">IF($F$14&lt;AP4,1,0)</f>
        <v>1</v>
      </c>
      <c r="AP4" s="54" t="n">
        <v>4</v>
      </c>
      <c r="AQ4" s="58" t="s">
        <v>232</v>
      </c>
      <c r="AZ4" s="47" t="s">
        <v>78</v>
      </c>
      <c r="BA4" s="26" t="s">
        <v>233</v>
      </c>
      <c r="BB4" s="48"/>
      <c r="BC4" s="26" t="n">
        <f aca="false">IF($F$5=BE4,1,0)</f>
        <v>0</v>
      </c>
      <c r="BD4" s="53" t="s">
        <v>80</v>
      </c>
      <c r="BE4" s="26" t="n">
        <v>15</v>
      </c>
      <c r="BF4" s="50"/>
      <c r="BG4" s="26" t="n">
        <f aca="false">IF($F$15=BI4,1,0)</f>
        <v>0</v>
      </c>
      <c r="BH4" s="53" t="s">
        <v>78</v>
      </c>
      <c r="BI4" s="26" t="n">
        <v>15</v>
      </c>
      <c r="BJ4" s="48"/>
      <c r="BK4" s="26" t="n">
        <f aca="false">IF($E$12=BM4,1,0)</f>
        <v>0</v>
      </c>
      <c r="BL4" s="53" t="s">
        <v>78</v>
      </c>
      <c r="BM4" s="26" t="s">
        <v>224</v>
      </c>
      <c r="BN4" s="48"/>
      <c r="BO4" s="26" t="n">
        <f aca="false">IF($E$16=BQ4,1,0)</f>
        <v>1</v>
      </c>
      <c r="BP4" s="53" t="s">
        <v>78</v>
      </c>
      <c r="BQ4" s="26" t="s">
        <v>224</v>
      </c>
      <c r="BR4" s="48"/>
      <c r="BS4" s="26" t="n">
        <f aca="false">IF($E$9=BU4,1,0)</f>
        <v>0</v>
      </c>
      <c r="BT4" s="53" t="s">
        <v>81</v>
      </c>
      <c r="BU4" s="26"/>
      <c r="BV4" s="0" t="n">
        <f aca="false">IF($E$9=BX4,1,0)</f>
        <v>0</v>
      </c>
      <c r="BW4" s="53" t="s">
        <v>81</v>
      </c>
      <c r="BX4" s="54" t="s">
        <v>234</v>
      </c>
      <c r="BY4" s="50"/>
      <c r="BZ4" s="26" t="n">
        <f aca="false">IF($B$12=CB4,1,0)</f>
        <v>0</v>
      </c>
      <c r="CA4" s="53" t="s">
        <v>78</v>
      </c>
      <c r="CB4" s="26" t="s">
        <v>53</v>
      </c>
      <c r="CC4" s="50"/>
      <c r="CD4" s="26" t="n">
        <f aca="false">IF($F$10=CF4,1,0)</f>
        <v>0</v>
      </c>
      <c r="CE4" s="53" t="s">
        <v>80</v>
      </c>
      <c r="CF4" s="26" t="n">
        <v>15</v>
      </c>
      <c r="CG4" s="50"/>
      <c r="CH4" s="26" t="n">
        <f aca="false">IF($B$13=CJ4,1,0)</f>
        <v>1</v>
      </c>
      <c r="CI4" s="53" t="s">
        <v>78</v>
      </c>
      <c r="CJ4" s="52" t="s">
        <v>53</v>
      </c>
    </row>
    <row r="5" customFormat="false" ht="15" hidden="false" customHeight="false" outlineLevel="0" collapsed="false">
      <c r="A5" s="55"/>
      <c r="C5" s="72"/>
      <c r="E5" s="0" t="s">
        <v>48</v>
      </c>
      <c r="F5" s="0" t="n">
        <f aca="false">VLOOKUP(2,I4:L17,2,0)</f>
        <v>80</v>
      </c>
      <c r="I5" s="51" t="n">
        <f aca="false">IF($B$9&lt;12,(IF((L5&gt;4)*AND(L5&lt;16),2,0)),IF((L5&gt;4)*AND(L5&lt;20),2,0))</f>
        <v>0</v>
      </c>
      <c r="J5" s="54" t="n">
        <v>20</v>
      </c>
      <c r="K5" s="54" t="n">
        <f aca="false">1/POWER((1.14+2*LOG10((J5/1000)/($K$21/1000))),2)</f>
        <v>0.0529902997834844</v>
      </c>
      <c r="L5" s="58" t="n">
        <f aca="false">0.00638*K5*POWER($F$4,2)/(POWER((J5/1000),5)*$K$20)</f>
        <v>19597.3678711412</v>
      </c>
      <c r="M5" s="51" t="n">
        <f aca="false">IF($B$9&lt;12,(IF((P5&gt;4)*AND(P5&lt;16),2,0)),IF((P5&gt;4)*AND(P5&lt;20),2,0))</f>
        <v>0</v>
      </c>
      <c r="N5" s="54" t="n">
        <v>20</v>
      </c>
      <c r="O5" s="54" t="n">
        <f aca="false">1/POWER(1.14+2*LOG10((N5/1000)/($K$21/1000)),2)</f>
        <v>0.0529902997834844</v>
      </c>
      <c r="P5" s="58" t="n">
        <f aca="false">0.00638*O5*POWER($F$14,2)/(POWER(N5/1000,5)*$K$20)</f>
        <v>16.7667730492532</v>
      </c>
      <c r="R5" s="59" t="s">
        <v>87</v>
      </c>
      <c r="S5" s="74" t="n">
        <f aca="false">F4/SQRT(0.1*S4)</f>
        <v>24.3432247780074</v>
      </c>
      <c r="T5" s="74"/>
      <c r="U5" s="51" t="n">
        <f aca="false">IF(X5&gt;$S$5,1,0)</f>
        <v>0</v>
      </c>
      <c r="V5" s="54" t="s">
        <v>235</v>
      </c>
      <c r="W5" s="63" t="n">
        <v>15</v>
      </c>
      <c r="X5" s="58" t="n">
        <v>2.5</v>
      </c>
      <c r="Y5" s="51" t="n">
        <f aca="false">IF(AB5&gt;$S$5,1,0)</f>
        <v>0</v>
      </c>
      <c r="Z5" s="54" t="s">
        <v>236</v>
      </c>
      <c r="AA5" s="63" t="n">
        <v>20</v>
      </c>
      <c r="AB5" s="58" t="n">
        <v>6.3</v>
      </c>
      <c r="AC5" s="59" t="s">
        <v>87</v>
      </c>
      <c r="AD5" s="74" t="n">
        <f aca="false">F4/SQRT(0.1*AD4)</f>
        <v>34.4265186329548</v>
      </c>
      <c r="AE5" s="51" t="n">
        <f aca="false">IF(AG5&gt;$AD$5,1,0)</f>
        <v>0</v>
      </c>
      <c r="AF5" s="63" t="n">
        <v>20</v>
      </c>
      <c r="AG5" s="58" t="n">
        <v>5</v>
      </c>
      <c r="AH5" s="51" t="n">
        <f aca="false">IF(AJ5&gt;$AD$5,1,0)</f>
        <v>0</v>
      </c>
      <c r="AI5" s="63" t="n">
        <v>20</v>
      </c>
      <c r="AJ5" s="58" t="n">
        <v>4.5</v>
      </c>
      <c r="AL5" s="51" t="n">
        <f aca="false">IF($F$4&lt;AM5,1,0)</f>
        <v>0</v>
      </c>
      <c r="AM5" s="54" t="n">
        <v>10</v>
      </c>
      <c r="AN5" s="58" t="s">
        <v>237</v>
      </c>
      <c r="AO5" s="51" t="n">
        <f aca="false">IF($F$14&lt;AP5,1,0)</f>
        <v>1</v>
      </c>
      <c r="AP5" s="54" t="n">
        <v>10</v>
      </c>
      <c r="AQ5" s="58" t="s">
        <v>237</v>
      </c>
      <c r="AZ5" s="47" t="s">
        <v>94</v>
      </c>
      <c r="BA5" s="26" t="s">
        <v>238</v>
      </c>
      <c r="BB5" s="48"/>
      <c r="BC5" s="26" t="n">
        <f aca="false">IF($F$5=BE5,1,0)</f>
        <v>0</v>
      </c>
      <c r="BD5" s="53" t="s">
        <v>96</v>
      </c>
      <c r="BE5" s="26" t="n">
        <v>20</v>
      </c>
      <c r="BF5" s="50"/>
      <c r="BG5" s="26" t="n">
        <f aca="false">IF($F$15=BI5,1,0)</f>
        <v>0</v>
      </c>
      <c r="BH5" s="53" t="s">
        <v>94</v>
      </c>
      <c r="BI5" s="26" t="n">
        <v>20</v>
      </c>
      <c r="BJ5" s="48"/>
      <c r="BK5" s="26" t="n">
        <f aca="false">IF($E$12=BM5,1,0)</f>
        <v>0</v>
      </c>
      <c r="BL5" s="53" t="s">
        <v>94</v>
      </c>
      <c r="BM5" s="26" t="s">
        <v>232</v>
      </c>
      <c r="BN5" s="48"/>
      <c r="BO5" s="26" t="n">
        <f aca="false">IF($E$16=BQ5,1,0)</f>
        <v>0</v>
      </c>
      <c r="BP5" s="53" t="s">
        <v>94</v>
      </c>
      <c r="BQ5" s="26" t="s">
        <v>232</v>
      </c>
      <c r="BR5" s="48"/>
      <c r="BS5" s="26" t="n">
        <f aca="false">IF($E$9=BU5,1,0)</f>
        <v>0</v>
      </c>
      <c r="BT5" s="53" t="s">
        <v>80</v>
      </c>
      <c r="BU5" s="26" t="s">
        <v>229</v>
      </c>
      <c r="BV5" s="0" t="n">
        <f aca="false">IF($E$9=BX5,1,0)</f>
        <v>0</v>
      </c>
      <c r="BW5" s="53" t="s">
        <v>80</v>
      </c>
      <c r="BX5" s="26"/>
      <c r="BY5" s="50"/>
      <c r="BZ5" s="26" t="n">
        <f aca="false">IF($B$12=CB5,1,0)</f>
        <v>1</v>
      </c>
      <c r="CA5" s="53" t="s">
        <v>94</v>
      </c>
      <c r="CB5" s="26" t="s">
        <v>55</v>
      </c>
      <c r="CC5" s="50"/>
      <c r="CD5" s="26" t="n">
        <f aca="false">IF($F$10=CF5,1,0)</f>
        <v>0</v>
      </c>
      <c r="CE5" s="53" t="s">
        <v>96</v>
      </c>
      <c r="CF5" s="26" t="n">
        <v>20</v>
      </c>
      <c r="CG5" s="50"/>
      <c r="CH5" s="26" t="n">
        <f aca="false">IF($B$13=CJ5,1,0)</f>
        <v>0</v>
      </c>
      <c r="CI5" s="53" t="s">
        <v>94</v>
      </c>
      <c r="CJ5" s="52" t="s">
        <v>55</v>
      </c>
    </row>
    <row r="6" customFormat="false" ht="15" hidden="false" customHeight="false" outlineLevel="0" collapsed="false">
      <c r="A6" s="55"/>
      <c r="C6" s="72"/>
      <c r="E6" s="0" t="s">
        <v>99</v>
      </c>
      <c r="F6" s="0" t="str">
        <f aca="false">VLOOKUP(1,IF(B12="Danfoss",Y4:AB13,U4:X19),2,0)</f>
        <v>50-32,0</v>
      </c>
      <c r="I6" s="51" t="n">
        <f aca="false">IF($B$9&lt;12,(IF((L6&gt;4)*AND(L6&lt;16),2,0)),IF((L6&gt;4)*AND(L6&lt;20),2,0))</f>
        <v>0</v>
      </c>
      <c r="J6" s="54" t="n">
        <v>25</v>
      </c>
      <c r="K6" s="54" t="n">
        <f aca="false">1/POWER((1.14+2*LOG10((J6/1000)/($K$21/1000))),2)</f>
        <v>0.0485604272927566</v>
      </c>
      <c r="L6" s="58" t="n">
        <f aca="false">0.00638*K6*POWER($F$4,2)/(POWER((J6/1000),5)*$K$20)</f>
        <v>5884.8283946365</v>
      </c>
      <c r="M6" s="51" t="n">
        <f aca="false">IF($B$9&lt;12,(IF((P6&gt;4)*AND(P6&lt;16),2,0)),IF((P6&gt;4)*AND(P6&lt;20),2,0))</f>
        <v>2</v>
      </c>
      <c r="N6" s="54" t="n">
        <v>25</v>
      </c>
      <c r="O6" s="54" t="n">
        <f aca="false">1/POWER(1.14+2*LOG10((N6/1000)/($K$21/1000)),2)</f>
        <v>0.0485604272927566</v>
      </c>
      <c r="P6" s="58" t="n">
        <f aca="false">0.00638*O6*POWER($F$14,2)/(POWER(N6/1000,5)*$K$20)</f>
        <v>5.03483849338619</v>
      </c>
      <c r="R6" s="51"/>
      <c r="S6" s="54"/>
      <c r="T6" s="54"/>
      <c r="U6" s="51" t="n">
        <f aca="false">IF(X6&gt;$S$5,1,0)</f>
        <v>0</v>
      </c>
      <c r="V6" s="54" t="s">
        <v>239</v>
      </c>
      <c r="W6" s="63" t="n">
        <v>20</v>
      </c>
      <c r="X6" s="58" t="n">
        <v>4</v>
      </c>
      <c r="Y6" s="51" t="n">
        <f aca="false">IF(AB6&gt;$S$5,1,0)</f>
        <v>0</v>
      </c>
      <c r="Z6" s="54" t="s">
        <v>240</v>
      </c>
      <c r="AA6" s="63" t="n">
        <v>25</v>
      </c>
      <c r="AB6" s="58" t="n">
        <v>8</v>
      </c>
      <c r="AC6" s="54"/>
      <c r="AD6" s="54"/>
      <c r="AE6" s="51" t="n">
        <f aca="false">IF(AG6&gt;$AD$5,1,0)</f>
        <v>0</v>
      </c>
      <c r="AF6" s="63" t="n">
        <v>25</v>
      </c>
      <c r="AG6" s="58" t="n">
        <v>7</v>
      </c>
      <c r="AH6" s="51" t="n">
        <f aca="false">IF(AJ6&gt;$AD$5,1,0)</f>
        <v>0</v>
      </c>
      <c r="AI6" s="63" t="n">
        <v>25</v>
      </c>
      <c r="AJ6" s="58" t="n">
        <v>7</v>
      </c>
      <c r="AL6" s="51" t="n">
        <f aca="false">IF($F$4&lt;AM6,1,0)</f>
        <v>1</v>
      </c>
      <c r="AM6" s="54" t="n">
        <v>15</v>
      </c>
      <c r="AN6" s="58" t="s">
        <v>241</v>
      </c>
      <c r="AO6" s="51" t="n">
        <f aca="false">IF($F$14&lt;AP6,1,0)</f>
        <v>1</v>
      </c>
      <c r="AP6" s="54" t="n">
        <v>15</v>
      </c>
      <c r="AQ6" s="58" t="s">
        <v>241</v>
      </c>
      <c r="AZ6" s="47"/>
      <c r="BA6" s="26"/>
      <c r="BB6" s="48"/>
      <c r="BC6" s="26" t="n">
        <f aca="false">IF($F$5=BE6,1,0)</f>
        <v>0</v>
      </c>
      <c r="BD6" s="53" t="s">
        <v>103</v>
      </c>
      <c r="BE6" s="26" t="n">
        <v>25</v>
      </c>
      <c r="BF6" s="50"/>
      <c r="BG6" s="26" t="n">
        <f aca="false">IF($F$15=BI6,1,0)</f>
        <v>1</v>
      </c>
      <c r="BH6" s="53" t="s">
        <v>104</v>
      </c>
      <c r="BI6" s="26" t="n">
        <v>25</v>
      </c>
      <c r="BJ6" s="48"/>
      <c r="BK6" s="26" t="n">
        <f aca="false">IF($E$12=BM6,1,0)</f>
        <v>0</v>
      </c>
      <c r="BL6" s="53" t="s">
        <v>104</v>
      </c>
      <c r="BM6" s="26" t="s">
        <v>237</v>
      </c>
      <c r="BN6" s="48"/>
      <c r="BO6" s="26" t="n">
        <f aca="false">IF($E$16=BQ6,1,0)</f>
        <v>0</v>
      </c>
      <c r="BP6" s="53" t="s">
        <v>104</v>
      </c>
      <c r="BQ6" s="26" t="s">
        <v>237</v>
      </c>
      <c r="BR6" s="48"/>
      <c r="BS6" s="26" t="n">
        <f aca="false">IF($E$9=BU6,1,0)</f>
        <v>0</v>
      </c>
      <c r="BT6" s="53" t="s">
        <v>96</v>
      </c>
      <c r="BU6" s="26" t="s">
        <v>235</v>
      </c>
      <c r="BV6" s="0" t="n">
        <f aca="false">IF($E$9=BX6,1,0)</f>
        <v>0</v>
      </c>
      <c r="BW6" s="53" t="s">
        <v>96</v>
      </c>
      <c r="BX6" s="0" t="s">
        <v>230</v>
      </c>
      <c r="BY6" s="50"/>
      <c r="BZ6" s="26" t="n">
        <f aca="false">IF($B$12=CB6,1,0)</f>
        <v>0</v>
      </c>
      <c r="CA6" s="53" t="s">
        <v>104</v>
      </c>
      <c r="CB6" s="76" t="s">
        <v>223</v>
      </c>
      <c r="CC6" s="50"/>
      <c r="CD6" s="26" t="n">
        <f aca="false">IF($F$10=CF6,1,0)</f>
        <v>0</v>
      </c>
      <c r="CE6" s="53" t="s">
        <v>103</v>
      </c>
      <c r="CF6" s="76" t="n">
        <v>25</v>
      </c>
      <c r="CG6" s="50"/>
      <c r="CH6" s="26" t="n">
        <f aca="false">IF($B$13=CJ6,1,0)</f>
        <v>0</v>
      </c>
      <c r="CI6" s="53" t="s">
        <v>104</v>
      </c>
      <c r="CJ6" s="79" t="s">
        <v>242</v>
      </c>
    </row>
    <row r="7" customFormat="false" ht="15" hidden="false" customHeight="false" outlineLevel="0" collapsed="false">
      <c r="A7" s="55"/>
      <c r="C7" s="72"/>
      <c r="E7" s="0" t="s">
        <v>106</v>
      </c>
      <c r="F7" s="0" t="n">
        <f aca="false">VLOOKUP(1,IF(B12="Danfoss",Y4:AB13,U4:X19),3,0)</f>
        <v>50</v>
      </c>
      <c r="I7" s="51" t="n">
        <f aca="false">IF($B$9&lt;12,(IF((L7&gt;4)*AND(L7&lt;16),2,0)),IF((L7&gt;4)*AND(L7&lt;20),2,0))</f>
        <v>0</v>
      </c>
      <c r="J7" s="54" t="n">
        <v>32</v>
      </c>
      <c r="K7" s="54" t="n">
        <f aca="false">1/POWER((1.14+2*LOG10((J7/1000)/($K$21/1000))),2)</f>
        <v>0.0442773220047029</v>
      </c>
      <c r="L7" s="58" t="n">
        <f aca="false">0.00638*K7*POWER($F$4,2)/(POWER((J7/1000),5)*$K$20)</f>
        <v>1561.64674801149</v>
      </c>
      <c r="M7" s="51" t="n">
        <f aca="false">IF($B$9&lt;12,(IF((P7&gt;4)*AND(P7&lt;16),2,0)),IF((P7&gt;4)*AND(P7&lt;20),2,0))</f>
        <v>0</v>
      </c>
      <c r="N7" s="54" t="n">
        <v>32</v>
      </c>
      <c r="O7" s="54" t="n">
        <f aca="false">1/POWER(1.14+2*LOG10((N7/1000)/($K$21/1000)),2)</f>
        <v>0.0442773220047029</v>
      </c>
      <c r="P7" s="58" t="n">
        <f aca="false">0.00638*O7*POWER($F$14,2)/(POWER(N7/1000,5)*$K$20)</f>
        <v>1.33608639584558</v>
      </c>
      <c r="R7" s="51"/>
      <c r="S7" s="54"/>
      <c r="T7" s="54"/>
      <c r="U7" s="51" t="n">
        <f aca="false">IF(X7&gt;$S$5,1,0)</f>
        <v>0</v>
      </c>
      <c r="V7" s="54" t="s">
        <v>243</v>
      </c>
      <c r="W7" s="63" t="n">
        <v>20</v>
      </c>
      <c r="X7" s="58" t="n">
        <v>6.3</v>
      </c>
      <c r="Y7" s="51" t="n">
        <f aca="false">IF(AB7&gt;$S$5,1,0)</f>
        <v>0</v>
      </c>
      <c r="Z7" s="54" t="s">
        <v>244</v>
      </c>
      <c r="AA7" s="63" t="n">
        <v>32</v>
      </c>
      <c r="AB7" s="58" t="n">
        <v>16</v>
      </c>
      <c r="AC7" s="54"/>
      <c r="AD7" s="54"/>
      <c r="AE7" s="51" t="n">
        <f aca="false">IF(AG7&gt;$AD$5,1,0)</f>
        <v>0</v>
      </c>
      <c r="AF7" s="63" t="n">
        <v>32</v>
      </c>
      <c r="AG7" s="58" t="n">
        <v>10</v>
      </c>
      <c r="AH7" s="51" t="n">
        <f aca="false">IF(AJ7&gt;$AD$5,1,0)</f>
        <v>0</v>
      </c>
      <c r="AI7" s="63" t="n">
        <v>32</v>
      </c>
      <c r="AJ7" s="58" t="n">
        <v>10</v>
      </c>
      <c r="AL7" s="51" t="n">
        <f aca="false">IF($F$4&lt;AM7,1,0)</f>
        <v>1</v>
      </c>
      <c r="AM7" s="54" t="n">
        <v>25</v>
      </c>
      <c r="AN7" s="58" t="s">
        <v>245</v>
      </c>
      <c r="AO7" s="51" t="n">
        <f aca="false">IF($F$14&lt;AP7,1,0)</f>
        <v>1</v>
      </c>
      <c r="AP7" s="54" t="n">
        <v>25</v>
      </c>
      <c r="AQ7" s="58" t="s">
        <v>245</v>
      </c>
      <c r="AZ7" s="47"/>
      <c r="BA7" s="26"/>
      <c r="BB7" s="48"/>
      <c r="BC7" s="26" t="n">
        <f aca="false">IF($F$5=BE7,1,0)</f>
        <v>0</v>
      </c>
      <c r="BD7" s="53" t="s">
        <v>110</v>
      </c>
      <c r="BE7" s="26" t="n">
        <v>32</v>
      </c>
      <c r="BF7" s="50"/>
      <c r="BG7" s="26" t="n">
        <f aca="false">IF($F$15=BI7,1,0)</f>
        <v>0</v>
      </c>
      <c r="BH7" s="53" t="s">
        <v>116</v>
      </c>
      <c r="BI7" s="26" t="n">
        <v>32</v>
      </c>
      <c r="BJ7" s="48"/>
      <c r="BK7" s="26" t="n">
        <f aca="false">IF($E$12=BM7,1,0)</f>
        <v>1</v>
      </c>
      <c r="BL7" s="53" t="s">
        <v>116</v>
      </c>
      <c r="BM7" s="26" t="s">
        <v>241</v>
      </c>
      <c r="BN7" s="48"/>
      <c r="BO7" s="26" t="n">
        <f aca="false">IF($E$16=BQ7,1,0)</f>
        <v>0</v>
      </c>
      <c r="BP7" s="53" t="s">
        <v>116</v>
      </c>
      <c r="BQ7" s="26" t="s">
        <v>241</v>
      </c>
      <c r="BR7" s="48"/>
      <c r="BS7" s="26" t="n">
        <f aca="false">IF($E$9=BU7,1,0)</f>
        <v>0</v>
      </c>
      <c r="BT7" s="53" t="s">
        <v>103</v>
      </c>
      <c r="BU7" s="76" t="s">
        <v>239</v>
      </c>
      <c r="BV7" s="0" t="n">
        <f aca="false">IF($E$9=BX7,1,0)</f>
        <v>0</v>
      </c>
      <c r="BW7" s="53" t="s">
        <v>103</v>
      </c>
      <c r="BY7" s="50"/>
      <c r="BZ7" s="26"/>
      <c r="CA7" s="53"/>
      <c r="CB7" s="26"/>
      <c r="CC7" s="50"/>
      <c r="CD7" s="26" t="n">
        <f aca="false">IF($F$10=CF7,1,0)</f>
        <v>0</v>
      </c>
      <c r="CE7" s="53" t="s">
        <v>110</v>
      </c>
      <c r="CF7" s="26" t="n">
        <v>32</v>
      </c>
      <c r="CG7" s="50"/>
      <c r="CH7" s="26"/>
      <c r="CI7" s="53"/>
      <c r="CJ7" s="79"/>
    </row>
    <row r="8" customFormat="false" ht="15" hidden="false" customHeight="false" outlineLevel="0" collapsed="false">
      <c r="A8" s="55"/>
      <c r="C8" s="72"/>
      <c r="E8" s="80" t="s">
        <v>73</v>
      </c>
      <c r="F8" s="114" t="n">
        <f aca="false">(F4^2/F7^2)*10</f>
        <v>0.711111111111111</v>
      </c>
      <c r="I8" s="51" t="n">
        <f aca="false">IF($B$9&lt;12,(IF((L8&gt;4)*AND(L8&lt;16),2,0)),IF((L8&gt;4)*AND(L8&lt;20),2,0))</f>
        <v>0</v>
      </c>
      <c r="J8" s="54" t="n">
        <v>40</v>
      </c>
      <c r="K8" s="54" t="n">
        <f aca="false">1/POWER((1.14+2*LOG10((J8/1000)/($K$21/1000))),2)</f>
        <v>0.0408752263386062</v>
      </c>
      <c r="L8" s="58" t="n">
        <f aca="false">0.00638*K8*POWER($F$4,2)/(POWER((J8/1000),5)*$K$20)</f>
        <v>472.401818497242</v>
      </c>
      <c r="M8" s="51" t="n">
        <f aca="false">IF($B$9&lt;12,(IF((P8&gt;4)*AND(P8&lt;16),2,0)),IF((P8&gt;4)*AND(P8&lt;20),2,0))</f>
        <v>0</v>
      </c>
      <c r="N8" s="54" t="n">
        <v>40</v>
      </c>
      <c r="O8" s="54" t="n">
        <f aca="false">1/POWER(1.14+2*LOG10((N8/1000)/($K$21/1000)),2)</f>
        <v>0.0408752263386062</v>
      </c>
      <c r="P8" s="58" t="n">
        <f aca="false">0.00638*O8*POWER($F$14,2)/(POWER(N8/1000,5)*$K$20)</f>
        <v>0.404169280838047</v>
      </c>
      <c r="R8" s="59"/>
      <c r="S8" s="54"/>
      <c r="T8" s="74"/>
      <c r="U8" s="51" t="n">
        <f aca="false">IF(X8&gt;$S$5,1,0)</f>
        <v>0</v>
      </c>
      <c r="V8" s="54" t="s">
        <v>246</v>
      </c>
      <c r="W8" s="63" t="n">
        <v>25</v>
      </c>
      <c r="X8" s="58" t="n">
        <v>10</v>
      </c>
      <c r="Y8" s="51" t="n">
        <f aca="false">IF(AB8&gt;$S$5,1,0)</f>
        <v>0</v>
      </c>
      <c r="Z8" s="54" t="s">
        <v>247</v>
      </c>
      <c r="AA8" s="63" t="n">
        <v>40</v>
      </c>
      <c r="AB8" s="58" t="n">
        <v>20</v>
      </c>
      <c r="AC8" s="54"/>
      <c r="AD8" s="54"/>
      <c r="AE8" s="51" t="n">
        <f aca="false">IF(AG8&gt;$AD$5,1,0)</f>
        <v>0</v>
      </c>
      <c r="AF8" s="63" t="n">
        <v>40</v>
      </c>
      <c r="AG8" s="58" t="n">
        <v>15</v>
      </c>
      <c r="AH8" s="51" t="n">
        <f aca="false">IF(AJ8&gt;$AD$5,1,0)</f>
        <v>0</v>
      </c>
      <c r="AI8" s="63" t="n">
        <v>40</v>
      </c>
      <c r="AJ8" s="58" t="n">
        <v>15</v>
      </c>
      <c r="AL8" s="51" t="n">
        <f aca="false">IF($F$4&lt;AM8,1,0)</f>
        <v>1</v>
      </c>
      <c r="AM8" s="54" t="n">
        <v>40</v>
      </c>
      <c r="AN8" s="58" t="s">
        <v>248</v>
      </c>
      <c r="AO8" s="51" t="n">
        <f aca="false">IF($F$14&lt;AP8,1,0)</f>
        <v>1</v>
      </c>
      <c r="AP8" s="54" t="n">
        <v>40</v>
      </c>
      <c r="AQ8" s="58" t="s">
        <v>248</v>
      </c>
      <c r="AZ8" s="47"/>
      <c r="BA8" s="26"/>
      <c r="BB8" s="48"/>
      <c r="BC8" s="26" t="n">
        <f aca="false">IF($F$5=BE8,1,0)</f>
        <v>0</v>
      </c>
      <c r="BD8" s="53" t="s">
        <v>115</v>
      </c>
      <c r="BE8" s="26" t="n">
        <v>40</v>
      </c>
      <c r="BF8" s="50"/>
      <c r="BG8" s="26" t="n">
        <f aca="false">IF($F$15=BI8,1,0)</f>
        <v>0</v>
      </c>
      <c r="BH8" s="53" t="s">
        <v>124</v>
      </c>
      <c r="BI8" s="26" t="n">
        <v>40</v>
      </c>
      <c r="BJ8" s="48"/>
      <c r="BK8" s="26" t="n">
        <f aca="false">IF($E$12=BM8,1,0)</f>
        <v>0</v>
      </c>
      <c r="BL8" s="53" t="s">
        <v>124</v>
      </c>
      <c r="BM8" s="26" t="s">
        <v>245</v>
      </c>
      <c r="BN8" s="48"/>
      <c r="BO8" s="26" t="n">
        <f aca="false">IF($E$16=BQ8,1,0)</f>
        <v>0</v>
      </c>
      <c r="BP8" s="53" t="s">
        <v>124</v>
      </c>
      <c r="BQ8" s="26" t="s">
        <v>245</v>
      </c>
      <c r="BR8" s="48"/>
      <c r="BS8" s="26" t="n">
        <f aca="false">IF($E$9=BU8,1,0)</f>
        <v>0</v>
      </c>
      <c r="BT8" s="53" t="s">
        <v>110</v>
      </c>
      <c r="BU8" s="26" t="s">
        <v>243</v>
      </c>
      <c r="BV8" s="0" t="n">
        <f aca="false">IF($E$9=BX8,1,0)</f>
        <v>0</v>
      </c>
      <c r="BW8" s="53" t="s">
        <v>110</v>
      </c>
      <c r="BX8" s="0" t="s">
        <v>236</v>
      </c>
      <c r="BY8" s="50"/>
      <c r="BZ8" s="26"/>
      <c r="CA8" s="53"/>
      <c r="CB8" s="26"/>
      <c r="CC8" s="50"/>
      <c r="CD8" s="26" t="n">
        <f aca="false">IF($F$10=CF8,1,0)</f>
        <v>0</v>
      </c>
      <c r="CE8" s="53" t="s">
        <v>115</v>
      </c>
      <c r="CF8" s="26" t="n">
        <v>40</v>
      </c>
      <c r="CG8" s="50"/>
      <c r="CH8" s="26"/>
      <c r="CI8" s="53"/>
      <c r="CJ8" s="52"/>
    </row>
    <row r="9" customFormat="false" ht="15" hidden="false" customHeight="false" outlineLevel="0" collapsed="false">
      <c r="A9" s="82"/>
      <c r="C9" s="72"/>
      <c r="E9" s="26" t="str">
        <f aca="false">VLOOKUP(1,IF(B12="Вогез",U4:X19,Y4:AB14),2,0)</f>
        <v>50-32,0</v>
      </c>
      <c r="F9" s="26"/>
      <c r="I9" s="51" t="n">
        <f aca="false">IF($B$9&lt;12,(IF((L9&gt;4)*AND(L9&lt;16),2,0)),IF((L9&gt;4)*AND(L9&lt;20),2,0))</f>
        <v>0</v>
      </c>
      <c r="J9" s="54" t="n">
        <v>50</v>
      </c>
      <c r="K9" s="54" t="n">
        <f aca="false">1/POWER((1.14+2*LOG10((J9/1000)/($K$21/1000))),2)</f>
        <v>0.0378506866114551</v>
      </c>
      <c r="L9" s="58" t="n">
        <f aca="false">0.00638*K9*POWER($F$4,2)/(POWER((J9/1000),5)*$K$20)</f>
        <v>143.342537165548</v>
      </c>
      <c r="M9" s="51" t="n">
        <f aca="false">IF($B$9&lt;12,(IF((P9&gt;4)*AND(P9&lt;16),2,0)),IF((P9&gt;4)*AND(P9&lt;20),2,0))</f>
        <v>0</v>
      </c>
      <c r="N9" s="54" t="n">
        <v>50</v>
      </c>
      <c r="O9" s="54" t="n">
        <f aca="false">1/POWER(1.14+2*LOG10((N9/1000)/($K$21/1000)),2)</f>
        <v>0.0378506866114551</v>
      </c>
      <c r="P9" s="58" t="n">
        <f aca="false">0.00638*O9*POWER($F$14,2)/(POWER(N9/1000,5)*$K$20)</f>
        <v>0.122638499453699</v>
      </c>
      <c r="R9" s="59"/>
      <c r="S9" s="74"/>
      <c r="T9" s="54"/>
      <c r="U9" s="51" t="n">
        <f aca="false">IF(X9&gt;$S$5,1,0)</f>
        <v>0</v>
      </c>
      <c r="V9" s="54" t="s">
        <v>244</v>
      </c>
      <c r="W9" s="63" t="n">
        <v>32</v>
      </c>
      <c r="X9" s="58" t="n">
        <v>16</v>
      </c>
      <c r="Y9" s="51" t="n">
        <f aca="false">IF(AB9&gt;$S$5,1,0)</f>
        <v>1</v>
      </c>
      <c r="Z9" s="54" t="s">
        <v>249</v>
      </c>
      <c r="AA9" s="63" t="n">
        <v>50</v>
      </c>
      <c r="AB9" s="58" t="n">
        <v>32</v>
      </c>
      <c r="AC9" s="54"/>
      <c r="AD9" s="54"/>
      <c r="AE9" s="51" t="n">
        <f aca="false">IF(AG9&gt;$AD$5,1,0)</f>
        <v>0</v>
      </c>
      <c r="AF9" s="63" t="n">
        <v>50</v>
      </c>
      <c r="AG9" s="58" t="n">
        <v>25</v>
      </c>
      <c r="AH9" s="51" t="n">
        <f aca="false">IF(AJ9&gt;$AD$5,1,0)</f>
        <v>0</v>
      </c>
      <c r="AI9" s="63" t="n">
        <v>50</v>
      </c>
      <c r="AJ9" s="58" t="n">
        <v>25</v>
      </c>
      <c r="AL9" s="51" t="n">
        <f aca="false">IF($F$4&lt;AM9,1,0)</f>
        <v>1</v>
      </c>
      <c r="AM9" s="54" t="n">
        <v>65</v>
      </c>
      <c r="AN9" s="58" t="s">
        <v>250</v>
      </c>
      <c r="AO9" s="51" t="n">
        <f aca="false">IF($F$14&lt;AP9,1,0)</f>
        <v>1</v>
      </c>
      <c r="AP9" s="54" t="n">
        <v>65</v>
      </c>
      <c r="AQ9" s="58" t="s">
        <v>250</v>
      </c>
      <c r="AZ9" s="47"/>
      <c r="BA9" s="26"/>
      <c r="BB9" s="48"/>
      <c r="BC9" s="26" t="n">
        <f aca="false">IF($F$5=BE9,1,0)</f>
        <v>0</v>
      </c>
      <c r="BD9" s="53" t="s">
        <v>123</v>
      </c>
      <c r="BE9" s="26" t="n">
        <v>50</v>
      </c>
      <c r="BF9" s="50"/>
      <c r="BG9" s="26" t="n">
        <f aca="false">IF($F$15=BI9,1,0)</f>
        <v>0</v>
      </c>
      <c r="BH9" s="53" t="s">
        <v>131</v>
      </c>
      <c r="BI9" s="26" t="n">
        <v>50</v>
      </c>
      <c r="BJ9" s="48"/>
      <c r="BK9" s="26" t="n">
        <f aca="false">IF($E$12=BM9,1,0)</f>
        <v>0</v>
      </c>
      <c r="BL9" s="53" t="s">
        <v>131</v>
      </c>
      <c r="BM9" s="26" t="s">
        <v>248</v>
      </c>
      <c r="BN9" s="48"/>
      <c r="BO9" s="26" t="n">
        <f aca="false">IF($E$16=BQ9,1,0)</f>
        <v>0</v>
      </c>
      <c r="BP9" s="53" t="s">
        <v>131</v>
      </c>
      <c r="BQ9" s="26" t="s">
        <v>248</v>
      </c>
      <c r="BR9" s="48"/>
      <c r="BS9" s="26" t="n">
        <f aca="false">IF($E$9=BU9,1,0)</f>
        <v>0</v>
      </c>
      <c r="BT9" s="53" t="s">
        <v>115</v>
      </c>
      <c r="BU9" s="26" t="s">
        <v>246</v>
      </c>
      <c r="BV9" s="0" t="n">
        <f aca="false">IF($E$9=BX9,1,0)</f>
        <v>0</v>
      </c>
      <c r="BW9" s="53" t="s">
        <v>115</v>
      </c>
      <c r="BX9" s="0" t="s">
        <v>240</v>
      </c>
      <c r="BY9" s="50"/>
      <c r="BZ9" s="26"/>
      <c r="CA9" s="53"/>
      <c r="CB9" s="26"/>
      <c r="CC9" s="50"/>
      <c r="CD9" s="26" t="n">
        <f aca="false">IF($F$10=CF9,1,0)</f>
        <v>0</v>
      </c>
      <c r="CE9" s="53" t="s">
        <v>123</v>
      </c>
      <c r="CF9" s="26" t="n">
        <v>50</v>
      </c>
      <c r="CG9" s="50"/>
      <c r="CH9" s="26"/>
      <c r="CI9" s="53"/>
      <c r="CJ9" s="52"/>
    </row>
    <row r="10" customFormat="false" ht="15.75" hidden="false" customHeight="false" outlineLevel="0" collapsed="false">
      <c r="E10" s="80" t="s">
        <v>251</v>
      </c>
      <c r="F10" s="114" t="n">
        <f aca="false">VLOOKUP(1,IF(B13="Danfoss",AE4:AG15,AH4:AJ14),2,0)</f>
        <v>65</v>
      </c>
      <c r="I10" s="51" t="n">
        <f aca="false">IF($B$9&lt;12,(IF((L10&gt;4)*AND(L10&lt;16),2,0)),IF((L10&gt;4)*AND(L10&lt;20),2,0))</f>
        <v>0</v>
      </c>
      <c r="J10" s="54" t="n">
        <v>65</v>
      </c>
      <c r="K10" s="54" t="n">
        <f aca="false">1/POWER((1.14+2*LOG10((J10/1000)/($K$21/1000))),2)</f>
        <v>0.0347051014322117</v>
      </c>
      <c r="L10" s="58" t="n">
        <f aca="false">0.00638*K10*POWER($F$4,2)/(POWER((J10/1000),5)*$K$20)</f>
        <v>35.3979312738395</v>
      </c>
      <c r="M10" s="51" t="n">
        <f aca="false">IF($B$9&lt;12,(IF((P10&gt;4)*AND(P10&lt;16),2,0)),IF((P10&gt;4)*AND(P10&lt;20),2,0))</f>
        <v>0</v>
      </c>
      <c r="N10" s="54" t="n">
        <v>65</v>
      </c>
      <c r="O10" s="54" t="n">
        <f aca="false">1/POWER(1.14+2*LOG10((N10/1000)/($K$21/1000)),2)</f>
        <v>0.0347051014322117</v>
      </c>
      <c r="P10" s="58" t="n">
        <f aca="false">0.00638*O10*POWER($F$14,2)/(POWER(N10/1000,5)*$K$20)</f>
        <v>0.0302851425754743</v>
      </c>
      <c r="R10" s="51"/>
      <c r="S10" s="54"/>
      <c r="T10" s="54"/>
      <c r="U10" s="51" t="n">
        <f aca="false">IF(X10&gt;$S$5,1,0)</f>
        <v>1</v>
      </c>
      <c r="V10" s="54" t="s">
        <v>252</v>
      </c>
      <c r="W10" s="63" t="n">
        <v>40</v>
      </c>
      <c r="X10" s="58" t="n">
        <v>25</v>
      </c>
      <c r="Y10" s="51" t="n">
        <f aca="false">IF(AB10&gt;$S$5,1,0)</f>
        <v>1</v>
      </c>
      <c r="Z10" s="54" t="s">
        <v>253</v>
      </c>
      <c r="AA10" s="63" t="n">
        <v>65</v>
      </c>
      <c r="AB10" s="58" t="n">
        <v>50</v>
      </c>
      <c r="AC10" s="54"/>
      <c r="AD10" s="54"/>
      <c r="AE10" s="51" t="n">
        <f aca="false">IF(AG10&gt;$AD$5,1,0)</f>
        <v>1</v>
      </c>
      <c r="AF10" s="63" t="n">
        <v>65</v>
      </c>
      <c r="AG10" s="58" t="n">
        <v>50</v>
      </c>
      <c r="AH10" s="51" t="n">
        <f aca="false">IF(AJ10&gt;$AD$5,1,0)</f>
        <v>1</v>
      </c>
      <c r="AI10" s="63" t="n">
        <v>65</v>
      </c>
      <c r="AJ10" s="58" t="n">
        <v>40</v>
      </c>
      <c r="AL10" s="51" t="n">
        <f aca="false">IF($F$4&lt;AM10,1,0)</f>
        <v>1</v>
      </c>
      <c r="AM10" s="54" t="n">
        <v>85</v>
      </c>
      <c r="AN10" s="58" t="s">
        <v>254</v>
      </c>
      <c r="AO10" s="91" t="n">
        <f aca="false">IF($F$14&lt;AP10,1,0)</f>
        <v>1</v>
      </c>
      <c r="AP10" s="92" t="n">
        <v>85</v>
      </c>
      <c r="AQ10" s="94" t="s">
        <v>254</v>
      </c>
      <c r="AZ10" s="47"/>
      <c r="BA10" s="26"/>
      <c r="BB10" s="48"/>
      <c r="BC10" s="26" t="n">
        <f aca="false">IF($F$5=BE10,1,0)</f>
        <v>0</v>
      </c>
      <c r="BD10" s="53" t="s">
        <v>130</v>
      </c>
      <c r="BE10" s="26" t="n">
        <v>65</v>
      </c>
      <c r="BF10" s="50"/>
      <c r="BG10" s="26" t="n">
        <f aca="false">IF($F$15=BI10,1,0)</f>
        <v>0</v>
      </c>
      <c r="BH10" s="53" t="s">
        <v>255</v>
      </c>
      <c r="BI10" s="26" t="n">
        <v>65</v>
      </c>
      <c r="BJ10" s="48"/>
      <c r="BK10" s="26" t="n">
        <f aca="false">IF($E$12=BM10,1,0)</f>
        <v>0</v>
      </c>
      <c r="BL10" s="53" t="s">
        <v>255</v>
      </c>
      <c r="BM10" s="26" t="s">
        <v>250</v>
      </c>
      <c r="BN10" s="48"/>
      <c r="BO10" s="26" t="n">
        <f aca="false">IF($E$16=BQ10,1,0)</f>
        <v>0</v>
      </c>
      <c r="BP10" s="53" t="s">
        <v>255</v>
      </c>
      <c r="BQ10" s="26" t="s">
        <v>250</v>
      </c>
      <c r="BR10" s="48"/>
      <c r="BS10" s="26" t="n">
        <f aca="false">IF($E$9=BU10,1,0)</f>
        <v>0</v>
      </c>
      <c r="BT10" s="53" t="s">
        <v>123</v>
      </c>
      <c r="BU10" s="26" t="s">
        <v>244</v>
      </c>
      <c r="BV10" s="0" t="n">
        <f aca="false">IF($E$9=BX10,1,0)</f>
        <v>0</v>
      </c>
      <c r="BW10" s="53" t="s">
        <v>123</v>
      </c>
      <c r="BX10" s="0" t="s">
        <v>244</v>
      </c>
      <c r="BY10" s="50"/>
      <c r="BZ10" s="26"/>
      <c r="CA10" s="53"/>
      <c r="CB10" s="26"/>
      <c r="CC10" s="50"/>
      <c r="CD10" s="26" t="n">
        <f aca="false">IF($F$10=CF10,1,0)</f>
        <v>1</v>
      </c>
      <c r="CE10" s="53" t="s">
        <v>130</v>
      </c>
      <c r="CF10" s="26" t="n">
        <v>65</v>
      </c>
      <c r="CG10" s="50"/>
      <c r="CH10" s="26"/>
      <c r="CI10" s="53"/>
      <c r="CJ10" s="52"/>
    </row>
    <row r="11" customFormat="false" ht="15.75" hidden="false" customHeight="false" outlineLevel="0" collapsed="false">
      <c r="A11" s="72"/>
      <c r="B11" s="72"/>
      <c r="C11" s="72"/>
      <c r="E11" s="80"/>
      <c r="F11" s="114"/>
      <c r="I11" s="51" t="n">
        <f aca="false">IF($B$9&lt;12,(IF((L11&gt;4)*AND(L11&lt;16),2,0)),IF((L11&gt;4)*AND(L11&lt;20),2,0))</f>
        <v>2</v>
      </c>
      <c r="J11" s="54" t="n">
        <v>80</v>
      </c>
      <c r="K11" s="54" t="n">
        <f aca="false">1/POWER((1.14+2*LOG10((J11/1000)/($K$21/1000))),2)</f>
        <v>0.032485497883736</v>
      </c>
      <c r="L11" s="58" t="n">
        <f aca="false">0.00638*K11*POWER($F$4,2)/(POWER((J11/1000),5)*$K$20)</f>
        <v>11.7325101669918</v>
      </c>
      <c r="M11" s="51" t="n">
        <f aca="false">IF($B$9&lt;12,(IF((P11&gt;4)*AND(P11&lt;16),2,0)),IF((P11&gt;4)*AND(P11&lt;20),2,0))</f>
        <v>0</v>
      </c>
      <c r="N11" s="54" t="n">
        <v>80</v>
      </c>
      <c r="O11" s="54" t="n">
        <f aca="false">1/POWER(1.14+2*LOG10((N11/1000)/($K$21/1000)),2)</f>
        <v>0.032485497883736</v>
      </c>
      <c r="P11" s="58" t="n">
        <f aca="false">0.00638*O11*POWER($F$14,2)/(POWER(N11/1000,5)*$K$20)</f>
        <v>0.0100378957297469</v>
      </c>
      <c r="R11" s="51"/>
      <c r="S11" s="54"/>
      <c r="T11" s="74"/>
      <c r="U11" s="51" t="n">
        <f aca="false">IF(X11&gt;$S$5,1,0)</f>
        <v>1</v>
      </c>
      <c r="V11" s="54" t="s">
        <v>249</v>
      </c>
      <c r="W11" s="63" t="n">
        <v>50</v>
      </c>
      <c r="X11" s="58" t="n">
        <v>32</v>
      </c>
      <c r="Y11" s="51" t="n">
        <f aca="false">IF(AB11&gt;$S$5,1,0)</f>
        <v>1</v>
      </c>
      <c r="Z11" s="54" t="s">
        <v>256</v>
      </c>
      <c r="AA11" s="63" t="n">
        <v>80</v>
      </c>
      <c r="AB11" s="58" t="n">
        <v>80</v>
      </c>
      <c r="AC11" s="54"/>
      <c r="AD11" s="54"/>
      <c r="AE11" s="51" t="n">
        <f aca="false">IF(AG11&gt;$AD$5,1,0)</f>
        <v>1</v>
      </c>
      <c r="AF11" s="63" t="n">
        <v>80</v>
      </c>
      <c r="AG11" s="58" t="n">
        <v>70</v>
      </c>
      <c r="AH11" s="51" t="n">
        <f aca="false">IF(AJ11&gt;$AD$5,1,0)</f>
        <v>1</v>
      </c>
      <c r="AI11" s="63" t="n">
        <v>80</v>
      </c>
      <c r="AJ11" s="58" t="n">
        <v>60</v>
      </c>
      <c r="AL11" s="91" t="n">
        <f aca="false">IF($F$4&lt;=AM11,1,0)</f>
        <v>1</v>
      </c>
      <c r="AM11" s="92" t="n">
        <v>140</v>
      </c>
      <c r="AN11" s="94" t="s">
        <v>257</v>
      </c>
      <c r="AZ11" s="47"/>
      <c r="BA11" s="26"/>
      <c r="BB11" s="48"/>
      <c r="BC11" s="26" t="n">
        <f aca="false">IF($F$5=BE11,1,0)</f>
        <v>1</v>
      </c>
      <c r="BD11" s="53" t="s">
        <v>136</v>
      </c>
      <c r="BE11" s="26" t="n">
        <v>80</v>
      </c>
      <c r="BF11" s="50"/>
      <c r="BG11" s="26" t="n">
        <f aca="false">IF($F$15=BI11,1,0)</f>
        <v>0</v>
      </c>
      <c r="BH11" s="53" t="s">
        <v>258</v>
      </c>
      <c r="BI11" s="26" t="n">
        <v>80</v>
      </c>
      <c r="BJ11" s="48"/>
      <c r="BK11" s="26" t="n">
        <f aca="false">IF($E$12=BM11,1,0)</f>
        <v>0</v>
      </c>
      <c r="BL11" s="53" t="s">
        <v>258</v>
      </c>
      <c r="BM11" s="26" t="s">
        <v>254</v>
      </c>
      <c r="BN11" s="48"/>
      <c r="BO11" s="26" t="n">
        <f aca="false">IF($E$16=BQ11,1,0)</f>
        <v>0</v>
      </c>
      <c r="BP11" s="53" t="s">
        <v>258</v>
      </c>
      <c r="BQ11" s="26" t="s">
        <v>254</v>
      </c>
      <c r="BR11" s="48"/>
      <c r="BS11" s="26" t="n">
        <f aca="false">IF($E$9=BU11,1,0)</f>
        <v>0</v>
      </c>
      <c r="BT11" s="53" t="s">
        <v>130</v>
      </c>
      <c r="BU11" s="26" t="s">
        <v>252</v>
      </c>
      <c r="BV11" s="0" t="n">
        <f aca="false">IF($E$9=BX11,1,0)</f>
        <v>0</v>
      </c>
      <c r="BW11" s="53" t="s">
        <v>130</v>
      </c>
      <c r="BX11" s="0" t="s">
        <v>247</v>
      </c>
      <c r="BY11" s="50"/>
      <c r="BZ11" s="26"/>
      <c r="CA11" s="53"/>
      <c r="CB11" s="26"/>
      <c r="CC11" s="50"/>
      <c r="CD11" s="26" t="n">
        <f aca="false">IF($F$10=CF11,1,0)</f>
        <v>0</v>
      </c>
      <c r="CE11" s="53" t="s">
        <v>136</v>
      </c>
      <c r="CF11" s="26" t="n">
        <v>80</v>
      </c>
      <c r="CG11" s="50"/>
      <c r="CH11" s="26"/>
      <c r="CI11" s="53"/>
      <c r="CJ11" s="52"/>
    </row>
    <row r="12" customFormat="false" ht="15" hidden="false" customHeight="false" outlineLevel="0" collapsed="false">
      <c r="A12" s="55" t="s">
        <v>31</v>
      </c>
      <c r="B12" s="26" t="str">
        <f aca="false">'ОЛ(4)'!R20</f>
        <v>Danfoss</v>
      </c>
      <c r="C12" s="26"/>
      <c r="E12" s="26" t="str">
        <f aca="false">VLOOKUP(1,AL3:AN11,3,0)</f>
        <v>РС50-36</v>
      </c>
      <c r="F12" s="26"/>
      <c r="I12" s="51" t="n">
        <f aca="false">IF($B$9&lt;12,(IF((L12&gt;4)*AND(L12&lt;16),2,0)),IF((L12&gt;4)*AND(L12&lt;20),2,0))</f>
        <v>0</v>
      </c>
      <c r="J12" s="54" t="n">
        <v>100</v>
      </c>
      <c r="K12" s="54" t="n">
        <f aca="false">1/POWER((1.14+2*LOG10((J12/1000)/($K$21/1000))),2)</f>
        <v>0.0303294509825929</v>
      </c>
      <c r="L12" s="58" t="n">
        <f aca="false">0.00638*K12*POWER($F$4,2)/(POWER((J12/1000),5)*$K$20)</f>
        <v>3.58935071914195</v>
      </c>
      <c r="M12" s="51" t="n">
        <f aca="false">IF($B$9&lt;12,(IF((P12&gt;4)*AND(P12&lt;16),2,0)),IF((P12&gt;4)*AND(P12&lt;20),2,0))</f>
        <v>0</v>
      </c>
      <c r="N12" s="54" t="n">
        <v>100</v>
      </c>
      <c r="O12" s="54" t="n">
        <f aca="false">1/POWER(1.14+2*LOG10((N12/1000)/($K$21/1000)),2)</f>
        <v>0.0303294509825929</v>
      </c>
      <c r="P12" s="58" t="n">
        <f aca="false">0.00638*O12*POWER($F$14,2)/(POWER(N12/1000,5)*$K$20)</f>
        <v>0.00307091387464588</v>
      </c>
      <c r="R12" s="51"/>
      <c r="S12" s="54"/>
      <c r="T12" s="54"/>
      <c r="U12" s="51" t="n">
        <f aca="false">IF(X12&gt;$S$5,1,0)</f>
        <v>1</v>
      </c>
      <c r="V12" s="54" t="s">
        <v>259</v>
      </c>
      <c r="W12" s="63" t="n">
        <v>65</v>
      </c>
      <c r="X12" s="58" t="n">
        <v>40</v>
      </c>
      <c r="Y12" s="77" t="n">
        <f aca="false">IF(AB12&gt;$S$5,1,0)</f>
        <v>1</v>
      </c>
      <c r="Z12" s="54" t="s">
        <v>260</v>
      </c>
      <c r="AA12" s="63" t="n">
        <v>100</v>
      </c>
      <c r="AB12" s="58" t="n">
        <v>125</v>
      </c>
      <c r="AC12" s="54"/>
      <c r="AD12" s="54"/>
      <c r="AE12" s="51" t="n">
        <f aca="false">IF(AG12&gt;$AD$5,1,0)</f>
        <v>1</v>
      </c>
      <c r="AF12" s="63" t="n">
        <v>100</v>
      </c>
      <c r="AG12" s="58" t="n">
        <v>100</v>
      </c>
      <c r="AH12" s="51" t="n">
        <f aca="false">IF(AJ12&gt;$AD$5,1,0)</f>
        <v>1</v>
      </c>
      <c r="AI12" s="63" t="n">
        <v>100</v>
      </c>
      <c r="AJ12" s="58" t="n">
        <v>100</v>
      </c>
      <c r="AZ12" s="47"/>
      <c r="BA12" s="26"/>
      <c r="BB12" s="48"/>
      <c r="BC12" s="26" t="n">
        <f aca="false">IF($F$5=BE12,1,0)</f>
        <v>0</v>
      </c>
      <c r="BD12" s="53" t="s">
        <v>138</v>
      </c>
      <c r="BE12" s="26" t="n">
        <v>100</v>
      </c>
      <c r="BF12" s="50"/>
      <c r="BG12" s="26" t="n">
        <f aca="false">IF($F$15=BI12,1,0)</f>
        <v>0</v>
      </c>
      <c r="BH12" s="53" t="s">
        <v>261</v>
      </c>
      <c r="BI12" s="26" t="n">
        <v>100</v>
      </c>
      <c r="BJ12" s="48"/>
      <c r="BK12" s="26" t="n">
        <f aca="false">IF($E$12=BM12,1,0)</f>
        <v>0</v>
      </c>
      <c r="BL12" s="53" t="s">
        <v>261</v>
      </c>
      <c r="BM12" s="26" t="s">
        <v>257</v>
      </c>
      <c r="BN12" s="48"/>
      <c r="BO12" s="26" t="n">
        <f aca="false">IF($E$16=BQ12,1,0)</f>
        <v>0</v>
      </c>
      <c r="BP12" s="53" t="s">
        <v>261</v>
      </c>
      <c r="BQ12" s="26" t="s">
        <v>257</v>
      </c>
      <c r="BR12" s="48"/>
      <c r="BS12" s="26" t="n">
        <f aca="false">IF($E$9=BU12,1,0)</f>
        <v>1</v>
      </c>
      <c r="BT12" s="53" t="s">
        <v>136</v>
      </c>
      <c r="BU12" s="26" t="s">
        <v>249</v>
      </c>
      <c r="BV12" s="0" t="n">
        <f aca="false">IF($E$9=BX12,1,0)</f>
        <v>1</v>
      </c>
      <c r="BW12" s="53" t="s">
        <v>136</v>
      </c>
      <c r="BX12" s="0" t="s">
        <v>249</v>
      </c>
      <c r="BY12" s="50"/>
      <c r="BZ12" s="26"/>
      <c r="CA12" s="53"/>
      <c r="CB12" s="26"/>
      <c r="CC12" s="50"/>
      <c r="CD12" s="26" t="n">
        <f aca="false">IF($F$10=CF12,1,0)</f>
        <v>0</v>
      </c>
      <c r="CE12" s="53" t="s">
        <v>138</v>
      </c>
      <c r="CF12" s="26" t="n">
        <v>100</v>
      </c>
      <c r="CG12" s="50"/>
      <c r="CH12" s="26"/>
      <c r="CI12" s="53"/>
      <c r="CJ12" s="52"/>
    </row>
    <row r="13" customFormat="false" ht="15" hidden="false" customHeight="false" outlineLevel="0" collapsed="false">
      <c r="A13" s="55" t="s">
        <v>228</v>
      </c>
      <c r="B13" s="26" t="str">
        <f aca="false">'ОЛ(4)'!Z20</f>
        <v>IMI Hydronic</v>
      </c>
      <c r="C13" s="26"/>
      <c r="I13" s="51" t="n">
        <f aca="false">IF($B$9&lt;12,(IF((L13&gt;4)*AND(L13&lt;16),2,0)),IF((L13&gt;4)*AND(L13&lt;20),2,0))</f>
        <v>0</v>
      </c>
      <c r="J13" s="54" t="n">
        <v>125</v>
      </c>
      <c r="K13" s="54" t="n">
        <f aca="false">1/POWER((1.14+2*LOG10((J13/1000)/($K$21/1000))),2)</f>
        <v>0.0283811358286925</v>
      </c>
      <c r="L13" s="58" t="n">
        <f aca="false">0.00638*K13*POWER($F$4,2)/(POWER((J13/1000),5)*$K$20)</f>
        <v>1.1006039167807</v>
      </c>
      <c r="M13" s="51" t="n">
        <f aca="false">IF($B$9&lt;12,(IF((P13&gt;4)*AND(P13&lt;16),2,0)),IF((P13&gt;4)*AND(P13&lt;20),2,0))</f>
        <v>0</v>
      </c>
      <c r="N13" s="54" t="n">
        <v>125</v>
      </c>
      <c r="O13" s="54" t="n">
        <f aca="false">1/POWER(1.14+2*LOG10((N13/1000)/($K$21/1000)),2)</f>
        <v>0.0283811358286925</v>
      </c>
      <c r="P13" s="58" t="n">
        <f aca="false">0.00638*O13*POWER($F$14,2)/(POWER(N13/1000,5)*$K$20)</f>
        <v>0.000941635438550683</v>
      </c>
      <c r="R13" s="51"/>
      <c r="S13" s="54"/>
      <c r="T13" s="54"/>
      <c r="U13" s="51" t="n">
        <f aca="false">IF(X13&gt;$S$5,1,0)</f>
        <v>1</v>
      </c>
      <c r="V13" s="54" t="s">
        <v>262</v>
      </c>
      <c r="W13" s="63" t="n">
        <v>80</v>
      </c>
      <c r="X13" s="58" t="n">
        <v>63</v>
      </c>
      <c r="Y13" s="77" t="n">
        <f aca="false">IF(AB13&gt;$S$5,1,0)</f>
        <v>1</v>
      </c>
      <c r="Z13" s="54" t="s">
        <v>263</v>
      </c>
      <c r="AA13" s="54" t="n">
        <v>125</v>
      </c>
      <c r="AB13" s="58" t="n">
        <v>160</v>
      </c>
      <c r="AC13" s="54"/>
      <c r="AD13" s="54"/>
      <c r="AE13" s="51" t="n">
        <f aca="false">IF(AG13&gt;$AD$5,1,0)</f>
        <v>1</v>
      </c>
      <c r="AF13" s="54" t="n">
        <v>125</v>
      </c>
      <c r="AG13" s="58" t="n">
        <v>150</v>
      </c>
      <c r="AH13" s="51" t="n">
        <f aca="false">IF(AJ13&gt;$AD$5,1,0)</f>
        <v>1</v>
      </c>
      <c r="AI13" s="54" t="n">
        <v>125</v>
      </c>
      <c r="AJ13" s="58" t="n">
        <v>150</v>
      </c>
      <c r="AZ13" s="47"/>
      <c r="BA13" s="26"/>
      <c r="BB13" s="48"/>
      <c r="BC13" s="26" t="n">
        <f aca="false">IF($F$5=BE13,1,0)</f>
        <v>0</v>
      </c>
      <c r="BD13" s="53" t="s">
        <v>140</v>
      </c>
      <c r="BE13" s="26" t="n">
        <v>125</v>
      </c>
      <c r="BF13" s="50"/>
      <c r="BG13" s="26"/>
      <c r="BH13" s="53"/>
      <c r="BI13" s="26"/>
      <c r="BJ13" s="48"/>
      <c r="BK13" s="26"/>
      <c r="BL13" s="53"/>
      <c r="BM13" s="26"/>
      <c r="BN13" s="48"/>
      <c r="BO13" s="26"/>
      <c r="BP13" s="53"/>
      <c r="BQ13" s="26"/>
      <c r="BR13" s="48"/>
      <c r="BS13" s="26" t="n">
        <f aca="false">IF($E$9=BU13,1,0)</f>
        <v>0</v>
      </c>
      <c r="BT13" s="53" t="s">
        <v>138</v>
      </c>
      <c r="BU13" s="26" t="s">
        <v>259</v>
      </c>
      <c r="BV13" s="0" t="n">
        <f aca="false">IF($E$9=BX13,1,0)</f>
        <v>0</v>
      </c>
      <c r="BW13" s="53" t="s">
        <v>138</v>
      </c>
      <c r="BX13" s="0" t="s">
        <v>253</v>
      </c>
      <c r="BY13" s="50"/>
      <c r="BZ13" s="26"/>
      <c r="CA13" s="53"/>
      <c r="CB13" s="26"/>
      <c r="CC13" s="50"/>
      <c r="CD13" s="26" t="n">
        <f aca="false">IF($F$10=CF13,1,0)</f>
        <v>0</v>
      </c>
      <c r="CE13" s="53" t="s">
        <v>140</v>
      </c>
      <c r="CF13" s="26" t="n">
        <v>125</v>
      </c>
      <c r="CG13" s="50"/>
      <c r="CH13" s="26"/>
      <c r="CI13" s="53"/>
      <c r="CJ13" s="52"/>
    </row>
    <row r="14" customFormat="false" ht="15" hidden="false" customHeight="false" outlineLevel="0" collapsed="false">
      <c r="A14" s="55"/>
      <c r="C14" s="72"/>
      <c r="E14" s="0" t="s">
        <v>144</v>
      </c>
      <c r="F14" s="114" t="n">
        <f aca="false">'БОВ (1)'!F16+'БОВ (2)'!F16+'БОВ (3)'!F16</f>
        <v>0.39</v>
      </c>
      <c r="I14" s="51" t="n">
        <f aca="false">IF($B$9&lt;12,(IF((L14&gt;4)*AND(L14&lt;16),2,0)),IF((L14&gt;4)*AND(L14&lt;20),2,0))</f>
        <v>0</v>
      </c>
      <c r="J14" s="54" t="n">
        <v>150</v>
      </c>
      <c r="K14" s="54" t="n">
        <f aca="false">1/POWER((1.14+2*LOG10((J14/1000)/($K$21/1000))),2)</f>
        <v>0.0269252990527845</v>
      </c>
      <c r="L14" s="58" t="n">
        <f aca="false">0.00638*K14*POWER($F$4,2)/(POWER((J14/1000),5)*$K$20)</f>
        <v>0.419619427793196</v>
      </c>
      <c r="M14" s="51" t="n">
        <f aca="false">IF($B$9&lt;12,(IF((P14&gt;4)*AND(P14&lt;16),2,0)),IF((P14&gt;4)*AND(P14&lt;20),2,0))</f>
        <v>0</v>
      </c>
      <c r="N14" s="54" t="n">
        <v>150</v>
      </c>
      <c r="O14" s="54" t="n">
        <f aca="false">1/POWER(1.14+2*LOG10((N14/1000)/($K$21/1000)),2)</f>
        <v>0.0269252990527845</v>
      </c>
      <c r="P14" s="58" t="n">
        <f aca="false">0.00638*O14*POWER($F$14,2)/(POWER(N14/1000,5)*$K$20)</f>
        <v>0.000359010646691316</v>
      </c>
      <c r="R14" s="51"/>
      <c r="S14" s="54"/>
      <c r="T14" s="54"/>
      <c r="U14" s="51" t="n">
        <f aca="false">IF(X14&gt;$S$5,1,0)</f>
        <v>1</v>
      </c>
      <c r="V14" s="54" t="s">
        <v>264</v>
      </c>
      <c r="W14" s="63" t="n">
        <v>100</v>
      </c>
      <c r="X14" s="58" t="n">
        <v>100</v>
      </c>
      <c r="Y14" s="77" t="n">
        <f aca="false">IF(AB14&gt;$S$5,1,0)</f>
        <v>1</v>
      </c>
      <c r="Z14" s="54" t="s">
        <v>234</v>
      </c>
      <c r="AA14" s="54" t="s">
        <v>265</v>
      </c>
      <c r="AB14" s="58" t="n">
        <v>400</v>
      </c>
      <c r="AC14" s="54"/>
      <c r="AD14" s="54"/>
      <c r="AE14" s="51" t="n">
        <f aca="false">IF(AG14&gt;$AD$5,1,0)</f>
        <v>1</v>
      </c>
      <c r="AF14" s="63" t="n">
        <v>150</v>
      </c>
      <c r="AG14" s="58" t="n">
        <v>300</v>
      </c>
      <c r="AH14" s="51" t="n">
        <f aca="false">IF(AJ14&gt;$AD$5,1,0)</f>
        <v>1</v>
      </c>
      <c r="AI14" s="63" t="n">
        <v>150</v>
      </c>
      <c r="AJ14" s="58" t="n">
        <v>400</v>
      </c>
      <c r="AZ14" s="47"/>
      <c r="BA14" s="26"/>
      <c r="BB14" s="48"/>
      <c r="BC14" s="26" t="n">
        <f aca="false">IF($F$5=BE14,1,0)</f>
        <v>0</v>
      </c>
      <c r="BD14" s="53" t="s">
        <v>141</v>
      </c>
      <c r="BE14" s="26" t="n">
        <v>150</v>
      </c>
      <c r="BF14" s="50"/>
      <c r="BG14" s="26"/>
      <c r="BH14" s="53"/>
      <c r="BI14" s="26"/>
      <c r="BJ14" s="48"/>
      <c r="BK14" s="26"/>
      <c r="BL14" s="53"/>
      <c r="BM14" s="26"/>
      <c r="BN14" s="48"/>
      <c r="BO14" s="26"/>
      <c r="BP14" s="53"/>
      <c r="BQ14" s="26"/>
      <c r="BR14" s="48"/>
      <c r="BS14" s="26" t="n">
        <f aca="false">IF($E$9=BU14,1,0)</f>
        <v>0</v>
      </c>
      <c r="BT14" s="53" t="s">
        <v>140</v>
      </c>
      <c r="BU14" s="26" t="s">
        <v>262</v>
      </c>
      <c r="BV14" s="0" t="n">
        <f aca="false">IF($E$9=BX14,1,0)</f>
        <v>0</v>
      </c>
      <c r="BW14" s="53" t="s">
        <v>140</v>
      </c>
      <c r="BX14" s="0" t="s">
        <v>256</v>
      </c>
      <c r="BY14" s="50"/>
      <c r="BZ14" s="26"/>
      <c r="CA14" s="53"/>
      <c r="CB14" s="26"/>
      <c r="CC14" s="50"/>
      <c r="CD14" s="26" t="n">
        <f aca="false">IF($F$10=CF14,1,0)</f>
        <v>0</v>
      </c>
      <c r="CE14" s="53" t="s">
        <v>141</v>
      </c>
      <c r="CF14" s="26" t="n">
        <v>150</v>
      </c>
      <c r="CG14" s="50"/>
      <c r="CH14" s="26"/>
      <c r="CI14" s="53"/>
      <c r="CJ14" s="52"/>
    </row>
    <row r="15" customFormat="false" ht="15" hidden="false" customHeight="false" outlineLevel="0" collapsed="false">
      <c r="C15" s="72"/>
      <c r="E15" s="0" t="s">
        <v>48</v>
      </c>
      <c r="F15" s="0" t="n">
        <f aca="false">VLOOKUP(2,M4:P17,2,0)</f>
        <v>25</v>
      </c>
      <c r="I15" s="51" t="n">
        <f aca="false">IF($B$9&lt;12,(IF((L15&gt;4)*AND(L15&lt;16),2,0)),IF((L15&gt;4)*AND(L15&lt;20),2,0))</f>
        <v>0</v>
      </c>
      <c r="J15" s="54" t="n">
        <v>200</v>
      </c>
      <c r="K15" s="54" t="n">
        <f aca="false">1/POWER((1.14+2*LOG10((J15/1000)/($K$21/1000))),2)</f>
        <v>0.0248460425197335</v>
      </c>
      <c r="L15" s="58" t="n">
        <f aca="false">0.00638*K15*POWER($F$4,2)/(POWER((J15/1000),5)*$K$20)</f>
        <v>0.0918879563600792</v>
      </c>
      <c r="M15" s="51" t="n">
        <f aca="false">IF($B$9&lt;12,(IF((P15&gt;4)*AND(P15&lt;16),2,0)),IF((P15&gt;4)*AND(P15&lt;20),2,0))</f>
        <v>0</v>
      </c>
      <c r="N15" s="54" t="n">
        <v>200</v>
      </c>
      <c r="O15" s="54" t="n">
        <f aca="false">1/POWER(1.14+2*LOG10((N15/1000)/($K$21/1000)),2)</f>
        <v>0.0248460425197335</v>
      </c>
      <c r="P15" s="58" t="n">
        <f aca="false">0.00638*O15*POWER($F$14,2)/(POWER(N15/1000,5)*$K$20)</f>
        <v>7.86158896633203E-005</v>
      </c>
      <c r="R15" s="51"/>
      <c r="S15" s="54"/>
      <c r="T15" s="54"/>
      <c r="U15" s="77" t="n">
        <f aca="false">IF(X15&gt;$S$5,1,0)</f>
        <v>1</v>
      </c>
      <c r="V15" s="54" t="s">
        <v>260</v>
      </c>
      <c r="W15" s="63" t="n">
        <v>100</v>
      </c>
      <c r="X15" s="58" t="n">
        <v>125</v>
      </c>
      <c r="Y15" s="51"/>
      <c r="Z15" s="54"/>
      <c r="AA15" s="54"/>
      <c r="AB15" s="58"/>
      <c r="AC15" s="54"/>
      <c r="AD15" s="54"/>
      <c r="AE15" s="51" t="n">
        <f aca="false">IF(AG15&gt;$AD$5,1,0)</f>
        <v>1</v>
      </c>
      <c r="AF15" s="63" t="n">
        <v>200</v>
      </c>
      <c r="AG15" s="58" t="n">
        <v>400</v>
      </c>
      <c r="AH15" s="51"/>
      <c r="AI15" s="63"/>
      <c r="AJ15" s="58"/>
      <c r="AZ15" s="47"/>
      <c r="BA15" s="26"/>
      <c r="BB15" s="48"/>
      <c r="BC15" s="26" t="n">
        <f aca="false">IF($F$5=BE15,1,0)</f>
        <v>0</v>
      </c>
      <c r="BD15" s="53" t="s">
        <v>142</v>
      </c>
      <c r="BE15" s="26" t="n">
        <v>200</v>
      </c>
      <c r="BF15" s="50"/>
      <c r="BG15" s="26"/>
      <c r="BH15" s="53"/>
      <c r="BI15" s="26"/>
      <c r="BJ15" s="48"/>
      <c r="BK15" s="26"/>
      <c r="BL15" s="53"/>
      <c r="BM15" s="26"/>
      <c r="BN15" s="48"/>
      <c r="BO15" s="26"/>
      <c r="BP15" s="53"/>
      <c r="BQ15" s="26"/>
      <c r="BR15" s="48"/>
      <c r="BS15" s="26" t="n">
        <f aca="false">IF($E$9=BU15,1,0)</f>
        <v>0</v>
      </c>
      <c r="BT15" s="53" t="s">
        <v>141</v>
      </c>
      <c r="BU15" s="26" t="s">
        <v>264</v>
      </c>
      <c r="BV15" s="0" t="n">
        <f aca="false">IF($E$9=BX15,1,0)</f>
        <v>0</v>
      </c>
      <c r="BW15" s="53" t="s">
        <v>141</v>
      </c>
      <c r="BY15" s="50"/>
      <c r="BZ15" s="26"/>
      <c r="CA15" s="53"/>
      <c r="CB15" s="26"/>
      <c r="CC15" s="50"/>
      <c r="CD15" s="26" t="n">
        <f aca="false">IF($F$10=CF15,1,0)</f>
        <v>0</v>
      </c>
      <c r="CE15" s="53" t="s">
        <v>142</v>
      </c>
      <c r="CF15" s="26" t="n">
        <v>200</v>
      </c>
      <c r="CG15" s="50"/>
      <c r="CH15" s="26"/>
      <c r="CI15" s="53"/>
      <c r="CJ15" s="52"/>
    </row>
    <row r="16" customFormat="false" ht="15" hidden="false" customHeight="false" outlineLevel="0" collapsed="false">
      <c r="C16" s="72"/>
      <c r="E16" s="26" t="str">
        <f aca="false">VLOOKUP(1,AO3:AQ10,3,0)</f>
        <v>РС20-6</v>
      </c>
      <c r="F16" s="26"/>
      <c r="I16" s="51" t="n">
        <f aca="false">IF($B$9&lt;12,(IF((L16&gt;4)*AND(L16&lt;16),2,0)),IF((L16&gt;4)*AND(L16&lt;20),2,0))</f>
        <v>0</v>
      </c>
      <c r="J16" s="54" t="n">
        <v>250</v>
      </c>
      <c r="K16" s="54" t="n">
        <f aca="false">1/POWER((1.14+2*LOG10((J16/1000)/($K$21/1000))),2)</f>
        <v>0.0233947353976847</v>
      </c>
      <c r="L16" s="58" t="n">
        <f aca="false">0.00638*K16*POWER($F$4,2)/(POWER((J16/1000),5)*$K$20)</f>
        <v>0.0283510691376965</v>
      </c>
      <c r="M16" s="51" t="n">
        <f aca="false">IF($B$9&lt;12,(IF((P16&gt;4)*AND(P16&lt;16),2,0)),IF((P16&gt;4)*AND(P16&lt;20),2,0))</f>
        <v>0</v>
      </c>
      <c r="N16" s="54" t="n">
        <v>250</v>
      </c>
      <c r="O16" s="54" t="n">
        <f aca="false">1/POWER(1.14+2*LOG10((N16/1000)/($K$21/1000)),2)</f>
        <v>0.0233947353976847</v>
      </c>
      <c r="P16" s="58" t="n">
        <f aca="false">0.00638*O16*POWER($F$14,2)/(POWER(N16/1000,5)*$K$20)</f>
        <v>2.42561115891204E-005</v>
      </c>
      <c r="R16" s="51"/>
      <c r="S16" s="54"/>
      <c r="T16" s="54"/>
      <c r="U16" s="77" t="n">
        <f aca="false">IF(X16&gt;$S$5,1,0)</f>
        <v>1</v>
      </c>
      <c r="V16" s="54" t="s">
        <v>263</v>
      </c>
      <c r="W16" s="54" t="n">
        <v>125</v>
      </c>
      <c r="X16" s="58" t="n">
        <v>160</v>
      </c>
      <c r="Y16" s="51"/>
      <c r="Z16" s="54"/>
      <c r="AA16" s="54"/>
      <c r="AB16" s="58"/>
      <c r="AC16" s="54"/>
      <c r="AD16" s="54"/>
      <c r="AE16" s="51"/>
      <c r="AF16" s="54"/>
      <c r="AG16" s="58"/>
      <c r="AH16" s="51"/>
      <c r="AI16" s="54"/>
      <c r="AJ16" s="58"/>
      <c r="AZ16" s="47"/>
      <c r="BA16" s="26"/>
      <c r="BB16" s="48"/>
      <c r="BC16" s="26"/>
      <c r="BD16" s="53"/>
      <c r="BE16" s="26"/>
      <c r="BF16" s="50"/>
      <c r="BG16" s="69"/>
      <c r="BH16" s="53"/>
      <c r="BI16" s="26"/>
      <c r="BJ16" s="48"/>
      <c r="BK16" s="26"/>
      <c r="BL16" s="53"/>
      <c r="BM16" s="26"/>
      <c r="BN16" s="50"/>
      <c r="BO16" s="54"/>
      <c r="BP16" s="54"/>
      <c r="BQ16" s="54"/>
      <c r="BR16" s="50"/>
      <c r="BS16" s="26" t="n">
        <f aca="false">IF($E$9=BU16,1,0)</f>
        <v>0</v>
      </c>
      <c r="BT16" s="53" t="s">
        <v>142</v>
      </c>
      <c r="BU16" s="26" t="s">
        <v>260</v>
      </c>
      <c r="BV16" s="0" t="n">
        <f aca="false">IF($E$9=BX16,1,0)</f>
        <v>0</v>
      </c>
      <c r="BW16" s="53" t="s">
        <v>142</v>
      </c>
      <c r="BX16" s="0" t="s">
        <v>260</v>
      </c>
      <c r="BY16" s="50"/>
      <c r="BZ16" s="54"/>
      <c r="CA16" s="54"/>
      <c r="CB16" s="54"/>
      <c r="CC16" s="50"/>
      <c r="CD16" s="54"/>
      <c r="CE16" s="54"/>
      <c r="CF16" s="54"/>
      <c r="CG16" s="50"/>
      <c r="CH16" s="54"/>
      <c r="CI16" s="54"/>
      <c r="CJ16" s="58"/>
    </row>
    <row r="17" customFormat="false" ht="15" hidden="false" customHeight="false" outlineLevel="0" collapsed="false">
      <c r="A17" s="55"/>
      <c r="C17" s="72"/>
      <c r="I17" s="51" t="n">
        <f aca="false">IF($B$9&lt;12,(IF((L17&gt;4)*AND(L17&lt;16),2,0)),IF((L17&gt;4)*AND(L17&lt;20),2,0))</f>
        <v>0</v>
      </c>
      <c r="J17" s="54" t="n">
        <v>300</v>
      </c>
      <c r="K17" s="54" t="n">
        <f aca="false">1/POWER((1.14+2*LOG10((J17/1000)/($K$21/1000))),2)</f>
        <v>0.0223012841491152</v>
      </c>
      <c r="L17" s="58" t="n">
        <f aca="false">0.00638*K17*POWER($F$4,2)/(POWER((J17/1000),5)*$K$20)</f>
        <v>0.0108611283148606</v>
      </c>
      <c r="M17" s="51" t="n">
        <f aca="false">IF($B$9&lt;12,(IF((P17&gt;4)*AND(P17&lt;16),2,0)),IF((P17&gt;4)*AND(P17&lt;20),2,0))</f>
        <v>0</v>
      </c>
      <c r="N17" s="54" t="n">
        <v>300</v>
      </c>
      <c r="O17" s="54" t="n">
        <f aca="false">1/POWER(1.14+2*LOG10((N17/1000)/($K$21/1000)),2)</f>
        <v>0.0223012841491152</v>
      </c>
      <c r="P17" s="58" t="n">
        <f aca="false">0.00638*O17*POWER($F$14,2)/(POWER(N17/1000,5)*$K$20)</f>
        <v>9.29237409388294E-006</v>
      </c>
      <c r="R17" s="51"/>
      <c r="S17" s="54"/>
      <c r="T17" s="54"/>
      <c r="U17" s="77" t="n">
        <f aca="false">IF(X17&gt;$S$5,1,0)</f>
        <v>1</v>
      </c>
      <c r="V17" s="54" t="s">
        <v>266</v>
      </c>
      <c r="W17" s="54" t="n">
        <v>150</v>
      </c>
      <c r="X17" s="58" t="n">
        <v>200</v>
      </c>
      <c r="Y17" s="51"/>
      <c r="Z17" s="54"/>
      <c r="AA17" s="54"/>
      <c r="AB17" s="58"/>
      <c r="AC17" s="54"/>
      <c r="AD17" s="54"/>
      <c r="AE17" s="51"/>
      <c r="AF17" s="54"/>
      <c r="AG17" s="58"/>
      <c r="AH17" s="51"/>
      <c r="AI17" s="54"/>
      <c r="AJ17" s="58"/>
      <c r="AZ17" s="47"/>
      <c r="BA17" s="26"/>
      <c r="BB17" s="48"/>
      <c r="BC17" s="26"/>
      <c r="BD17" s="53"/>
      <c r="BE17" s="26"/>
      <c r="BF17" s="50"/>
      <c r="BG17" s="69"/>
      <c r="BH17" s="53"/>
      <c r="BI17" s="26"/>
      <c r="BJ17" s="48"/>
      <c r="BK17" s="26"/>
      <c r="BL17" s="53"/>
      <c r="BM17" s="26"/>
      <c r="BN17" s="50"/>
      <c r="BO17" s="54"/>
      <c r="BP17" s="54"/>
      <c r="BQ17" s="54"/>
      <c r="BR17" s="50"/>
      <c r="BS17" s="26" t="n">
        <f aca="false">IF($E$9=BU17,1,0)</f>
        <v>0</v>
      </c>
      <c r="BT17" s="53" t="s">
        <v>145</v>
      </c>
      <c r="BU17" s="26" t="s">
        <v>263</v>
      </c>
      <c r="BV17" s="0" t="n">
        <f aca="false">IF($E$9=BX17,1,0)</f>
        <v>0</v>
      </c>
      <c r="BW17" s="53" t="s">
        <v>145</v>
      </c>
      <c r="BX17" s="0" t="s">
        <v>263</v>
      </c>
      <c r="BY17" s="50"/>
      <c r="BZ17" s="54"/>
      <c r="CA17" s="54"/>
      <c r="CB17" s="54"/>
      <c r="CC17" s="50"/>
      <c r="CD17" s="54"/>
      <c r="CE17" s="54"/>
      <c r="CF17" s="54"/>
      <c r="CG17" s="50"/>
      <c r="CH17" s="54"/>
      <c r="CI17" s="54"/>
      <c r="CJ17" s="58"/>
    </row>
    <row r="18" customFormat="false" ht="15" hidden="false" customHeight="false" outlineLevel="0" collapsed="false">
      <c r="A18" s="55"/>
      <c r="C18" s="72"/>
      <c r="I18" s="51"/>
      <c r="J18" s="54"/>
      <c r="K18" s="54"/>
      <c r="L18" s="58"/>
      <c r="M18" s="51"/>
      <c r="N18" s="54"/>
      <c r="O18" s="54"/>
      <c r="P18" s="58"/>
      <c r="R18" s="51"/>
      <c r="S18" s="54"/>
      <c r="T18" s="54"/>
      <c r="U18" s="77" t="n">
        <f aca="false">IF(X18&gt;$S$5,1,0)</f>
        <v>1</v>
      </c>
      <c r="V18" s="54" t="s">
        <v>267</v>
      </c>
      <c r="W18" s="54" t="n">
        <v>150</v>
      </c>
      <c r="X18" s="58" t="n">
        <v>250</v>
      </c>
      <c r="Y18" s="51"/>
      <c r="Z18" s="54"/>
      <c r="AA18" s="54"/>
      <c r="AB18" s="58"/>
      <c r="AC18" s="54"/>
      <c r="AD18" s="54"/>
      <c r="AE18" s="51"/>
      <c r="AF18" s="54"/>
      <c r="AG18" s="58"/>
      <c r="AH18" s="51"/>
      <c r="AI18" s="54"/>
      <c r="AJ18" s="58"/>
      <c r="AZ18" s="47"/>
      <c r="BA18" s="26"/>
      <c r="BB18" s="48"/>
      <c r="BC18" s="26"/>
      <c r="BD18" s="53"/>
      <c r="BE18" s="26"/>
      <c r="BF18" s="50"/>
      <c r="BG18" s="69"/>
      <c r="BH18" s="53"/>
      <c r="BI18" s="26"/>
      <c r="BJ18" s="48"/>
      <c r="BK18" s="26"/>
      <c r="BL18" s="53"/>
      <c r="BM18" s="26"/>
      <c r="BN18" s="50"/>
      <c r="BO18" s="54"/>
      <c r="BP18" s="54"/>
      <c r="BQ18" s="54"/>
      <c r="BR18" s="50"/>
      <c r="BS18" s="26" t="n">
        <f aca="false">IF($E$9=BU18,1,0)</f>
        <v>0</v>
      </c>
      <c r="BT18" s="53" t="s">
        <v>146</v>
      </c>
      <c r="BU18" s="26" t="s">
        <v>266</v>
      </c>
      <c r="BV18" s="0" t="n">
        <f aca="false">IF($E$9=BX18,1,0)</f>
        <v>0</v>
      </c>
      <c r="BW18" s="53" t="s">
        <v>146</v>
      </c>
      <c r="BX18" s="54"/>
      <c r="BY18" s="50"/>
      <c r="BZ18" s="54"/>
      <c r="CA18" s="54"/>
      <c r="CB18" s="54"/>
      <c r="CC18" s="50"/>
      <c r="CD18" s="54"/>
      <c r="CE18" s="54"/>
      <c r="CF18" s="54"/>
      <c r="CG18" s="50"/>
      <c r="CH18" s="54"/>
      <c r="CI18" s="54"/>
      <c r="CJ18" s="58"/>
    </row>
    <row r="19" customFormat="false" ht="15.75" hidden="false" customHeight="false" outlineLevel="0" collapsed="false">
      <c r="A19" s="55"/>
      <c r="C19" s="72"/>
      <c r="I19" s="51"/>
      <c r="J19" s="95"/>
      <c r="K19" s="54"/>
      <c r="L19" s="58"/>
      <c r="M19" s="51"/>
      <c r="N19" s="54"/>
      <c r="O19" s="54"/>
      <c r="P19" s="58"/>
      <c r="R19" s="91"/>
      <c r="S19" s="92"/>
      <c r="T19" s="92"/>
      <c r="U19" s="87" t="n">
        <f aca="false">IF(X19&gt;$S$5,1,0)</f>
        <v>1</v>
      </c>
      <c r="V19" s="92" t="s">
        <v>268</v>
      </c>
      <c r="W19" s="92" t="n">
        <v>150</v>
      </c>
      <c r="X19" s="98" t="n">
        <v>280</v>
      </c>
      <c r="Y19" s="91"/>
      <c r="Z19" s="92"/>
      <c r="AA19" s="92"/>
      <c r="AB19" s="94"/>
      <c r="AC19" s="92"/>
      <c r="AD19" s="92"/>
      <c r="AE19" s="91"/>
      <c r="AF19" s="92"/>
      <c r="AG19" s="94"/>
      <c r="AH19" s="91"/>
      <c r="AI19" s="92"/>
      <c r="AJ19" s="94"/>
      <c r="AZ19" s="47"/>
      <c r="BA19" s="26"/>
      <c r="BB19" s="48"/>
      <c r="BC19" s="26"/>
      <c r="BD19" s="53"/>
      <c r="BE19" s="26"/>
      <c r="BF19" s="50"/>
      <c r="BG19" s="69"/>
      <c r="BH19" s="53"/>
      <c r="BI19" s="26"/>
      <c r="BJ19" s="48"/>
      <c r="BK19" s="26"/>
      <c r="BL19" s="53"/>
      <c r="BM19" s="26"/>
      <c r="BN19" s="50"/>
      <c r="BO19" s="54"/>
      <c r="BP19" s="54"/>
      <c r="BQ19" s="54"/>
      <c r="BR19" s="50"/>
      <c r="BS19" s="26" t="n">
        <f aca="false">IF($E$9=BU19,1,0)</f>
        <v>0</v>
      </c>
      <c r="BT19" s="53" t="s">
        <v>148</v>
      </c>
      <c r="BU19" s="26" t="s">
        <v>267</v>
      </c>
      <c r="BV19" s="0" t="n">
        <f aca="false">IF($E$9=BX19,1,0)</f>
        <v>0</v>
      </c>
      <c r="BW19" s="53" t="s">
        <v>148</v>
      </c>
      <c r="BX19" s="54"/>
      <c r="BY19" s="50"/>
      <c r="BZ19" s="54"/>
      <c r="CA19" s="54"/>
      <c r="CB19" s="54"/>
      <c r="CC19" s="50"/>
      <c r="CD19" s="54"/>
      <c r="CE19" s="54"/>
      <c r="CF19" s="54"/>
      <c r="CG19" s="50"/>
      <c r="CH19" s="54"/>
      <c r="CI19" s="54"/>
      <c r="CJ19" s="58"/>
    </row>
    <row r="20" customFormat="false" ht="15" hidden="false" customHeight="false" outlineLevel="0" collapsed="false">
      <c r="A20" s="55"/>
      <c r="C20" s="72"/>
      <c r="I20" s="51"/>
      <c r="J20" s="95" t="s">
        <v>150</v>
      </c>
      <c r="K20" s="54" t="n">
        <v>958.4</v>
      </c>
      <c r="L20" s="58"/>
      <c r="M20" s="51"/>
      <c r="N20" s="54"/>
      <c r="O20" s="54"/>
      <c r="P20" s="58"/>
      <c r="AZ20" s="47"/>
      <c r="BA20" s="26"/>
      <c r="BB20" s="48"/>
      <c r="BC20" s="26"/>
      <c r="BD20" s="53"/>
      <c r="BE20" s="26"/>
      <c r="BF20" s="50"/>
      <c r="BG20" s="69"/>
      <c r="BH20" s="53"/>
      <c r="BI20" s="26"/>
      <c r="BJ20" s="48"/>
      <c r="BK20" s="26"/>
      <c r="BL20" s="53"/>
      <c r="BM20" s="26"/>
      <c r="BN20" s="50"/>
      <c r="BO20" s="54"/>
      <c r="BP20" s="54"/>
      <c r="BQ20" s="54"/>
      <c r="BR20" s="50"/>
      <c r="BS20" s="26" t="n">
        <f aca="false">IF($E$9=BU20,1,0)</f>
        <v>0</v>
      </c>
      <c r="BT20" s="53" t="s">
        <v>149</v>
      </c>
      <c r="BU20" s="26" t="s">
        <v>268</v>
      </c>
      <c r="BV20" s="0" t="n">
        <f aca="false">IF($E$9=BX20,1,0)</f>
        <v>0</v>
      </c>
      <c r="BW20" s="53" t="s">
        <v>149</v>
      </c>
      <c r="BX20" s="54"/>
      <c r="BY20" s="50"/>
      <c r="BZ20" s="54"/>
      <c r="CA20" s="54"/>
      <c r="CB20" s="54"/>
      <c r="CC20" s="50"/>
      <c r="CD20" s="54"/>
      <c r="CE20" s="54"/>
      <c r="CF20" s="54"/>
      <c r="CG20" s="50"/>
      <c r="CH20" s="54"/>
      <c r="CI20" s="54"/>
      <c r="CJ20" s="58"/>
    </row>
    <row r="21" customFormat="false" ht="15" hidden="false" customHeight="false" outlineLevel="0" collapsed="false">
      <c r="I21" s="51"/>
      <c r="J21" s="95" t="s">
        <v>152</v>
      </c>
      <c r="K21" s="54" t="n">
        <v>0.5</v>
      </c>
      <c r="L21" s="58"/>
      <c r="M21" s="51"/>
      <c r="N21" s="54"/>
      <c r="O21" s="54"/>
      <c r="P21" s="58"/>
      <c r="AZ21" s="47"/>
      <c r="BA21" s="26"/>
      <c r="BB21" s="48"/>
      <c r="BC21" s="26"/>
      <c r="BD21" s="53"/>
      <c r="BE21" s="26"/>
      <c r="BF21" s="50"/>
      <c r="BG21" s="69"/>
      <c r="BH21" s="53"/>
      <c r="BI21" s="26"/>
      <c r="BJ21" s="48"/>
      <c r="BK21" s="26"/>
      <c r="BL21" s="53"/>
      <c r="BM21" s="26"/>
      <c r="BN21" s="50"/>
      <c r="BO21" s="54"/>
      <c r="BP21" s="54"/>
      <c r="BQ21" s="54"/>
      <c r="BR21" s="50"/>
      <c r="BS21" s="54"/>
      <c r="BT21" s="54"/>
      <c r="BU21" s="54"/>
      <c r="BV21" s="54"/>
      <c r="BW21" s="54"/>
      <c r="BX21" s="54"/>
      <c r="BY21" s="50"/>
      <c r="BZ21" s="54"/>
      <c r="CA21" s="54"/>
      <c r="CB21" s="54"/>
      <c r="CC21" s="50"/>
      <c r="CD21" s="54"/>
      <c r="CE21" s="54"/>
      <c r="CF21" s="54"/>
      <c r="CG21" s="50"/>
      <c r="CH21" s="54"/>
      <c r="CI21" s="54"/>
      <c r="CJ21" s="58"/>
    </row>
    <row r="22" customFormat="false" ht="15.75" hidden="false" customHeight="false" outlineLevel="0" collapsed="false">
      <c r="I22" s="91"/>
      <c r="J22" s="96"/>
      <c r="K22" s="92"/>
      <c r="L22" s="94"/>
      <c r="M22" s="91"/>
      <c r="N22" s="92"/>
      <c r="O22" s="92"/>
      <c r="P22" s="94"/>
      <c r="AZ22" s="47"/>
      <c r="BA22" s="26"/>
      <c r="BB22" s="48"/>
      <c r="BC22" s="26"/>
      <c r="BD22" s="53"/>
      <c r="BE22" s="26"/>
      <c r="BF22" s="50"/>
      <c r="BG22" s="69"/>
      <c r="BH22" s="53"/>
      <c r="BI22" s="26"/>
      <c r="BJ22" s="48"/>
      <c r="BK22" s="26"/>
      <c r="BL22" s="53"/>
      <c r="BM22" s="26"/>
      <c r="BN22" s="50"/>
      <c r="BO22" s="54"/>
      <c r="BP22" s="54"/>
      <c r="BQ22" s="54"/>
      <c r="BR22" s="50"/>
      <c r="BS22" s="54"/>
      <c r="BT22" s="54"/>
      <c r="BU22" s="54"/>
      <c r="BV22" s="54"/>
      <c r="BW22" s="54"/>
      <c r="BX22" s="54"/>
      <c r="BY22" s="50"/>
      <c r="BZ22" s="54"/>
      <c r="CA22" s="54"/>
      <c r="CB22" s="54"/>
      <c r="CC22" s="50"/>
      <c r="CD22" s="54"/>
      <c r="CE22" s="54"/>
      <c r="CF22" s="54"/>
      <c r="CG22" s="50"/>
      <c r="CH22" s="54"/>
      <c r="CI22" s="54"/>
      <c r="CJ22" s="58"/>
    </row>
    <row r="23" customFormat="false" ht="15" hidden="false" customHeight="false" outlineLevel="0" collapsed="false">
      <c r="AZ23" s="47"/>
      <c r="BA23" s="26"/>
      <c r="BB23" s="48"/>
      <c r="BC23" s="26"/>
      <c r="BD23" s="53"/>
      <c r="BE23" s="26"/>
      <c r="BF23" s="50"/>
      <c r="BG23" s="69"/>
      <c r="BH23" s="53"/>
      <c r="BI23" s="26"/>
      <c r="BJ23" s="48"/>
      <c r="BK23" s="26"/>
      <c r="BL23" s="53"/>
      <c r="BM23" s="26"/>
      <c r="BN23" s="50"/>
      <c r="BO23" s="54"/>
      <c r="BP23" s="54"/>
      <c r="BQ23" s="54"/>
      <c r="BR23" s="50"/>
      <c r="BS23" s="54"/>
      <c r="BT23" s="54"/>
      <c r="BU23" s="54"/>
      <c r="BV23" s="54"/>
      <c r="BW23" s="54"/>
      <c r="BX23" s="54"/>
      <c r="BY23" s="50"/>
      <c r="BZ23" s="54"/>
      <c r="CA23" s="54"/>
      <c r="CB23" s="54"/>
      <c r="CC23" s="50"/>
      <c r="CD23" s="54"/>
      <c r="CE23" s="54"/>
      <c r="CF23" s="54"/>
      <c r="CG23" s="50"/>
      <c r="CH23" s="54"/>
      <c r="CI23" s="54"/>
      <c r="CJ23" s="58"/>
    </row>
    <row r="24" customFormat="false" ht="15" hidden="false" customHeight="false" outlineLevel="0" collapsed="false">
      <c r="AZ24" s="47"/>
      <c r="BA24" s="26"/>
      <c r="BB24" s="48"/>
      <c r="BC24" s="26"/>
      <c r="BD24" s="53"/>
      <c r="BE24" s="26"/>
      <c r="BF24" s="50"/>
      <c r="BG24" s="69"/>
      <c r="BH24" s="53"/>
      <c r="BI24" s="26"/>
      <c r="BJ24" s="48"/>
      <c r="BK24" s="26"/>
      <c r="BL24" s="53"/>
      <c r="BM24" s="26"/>
      <c r="BN24" s="50"/>
      <c r="BO24" s="54"/>
      <c r="BP24" s="54"/>
      <c r="BQ24" s="54"/>
      <c r="BR24" s="50"/>
      <c r="BS24" s="54"/>
      <c r="BT24" s="54"/>
      <c r="BU24" s="54"/>
      <c r="BV24" s="54"/>
      <c r="BW24" s="54"/>
      <c r="BX24" s="54"/>
      <c r="BY24" s="50"/>
      <c r="BZ24" s="54"/>
      <c r="CA24" s="54"/>
      <c r="CB24" s="54"/>
      <c r="CC24" s="50"/>
      <c r="CD24" s="54"/>
      <c r="CE24" s="54"/>
      <c r="CF24" s="54"/>
      <c r="CG24" s="50"/>
      <c r="CH24" s="54"/>
      <c r="CI24" s="54"/>
      <c r="CJ24" s="58"/>
    </row>
    <row r="25" customFormat="false" ht="15" hidden="false" customHeight="false" outlineLevel="0" collapsed="false">
      <c r="AZ25" s="47"/>
      <c r="BA25" s="26"/>
      <c r="BB25" s="48"/>
      <c r="BC25" s="26"/>
      <c r="BD25" s="53"/>
      <c r="BE25" s="26"/>
      <c r="BF25" s="50"/>
      <c r="BG25" s="69"/>
      <c r="BH25" s="53"/>
      <c r="BI25" s="26"/>
      <c r="BJ25" s="48"/>
      <c r="BK25" s="26"/>
      <c r="BL25" s="53"/>
      <c r="BM25" s="26"/>
      <c r="BN25" s="50"/>
      <c r="BO25" s="54"/>
      <c r="BP25" s="54"/>
      <c r="BQ25" s="54"/>
      <c r="BR25" s="50"/>
      <c r="BS25" s="54"/>
      <c r="BT25" s="54"/>
      <c r="BU25" s="54"/>
      <c r="BV25" s="54"/>
      <c r="BW25" s="54"/>
      <c r="BX25" s="54"/>
      <c r="BY25" s="50"/>
      <c r="BZ25" s="54"/>
      <c r="CA25" s="54"/>
      <c r="CB25" s="54"/>
      <c r="CC25" s="50"/>
      <c r="CD25" s="54"/>
      <c r="CE25" s="54"/>
      <c r="CF25" s="54"/>
      <c r="CG25" s="50"/>
      <c r="CH25" s="54"/>
      <c r="CI25" s="54"/>
      <c r="CJ25" s="58"/>
    </row>
    <row r="26" customFormat="false" ht="15.75" hidden="false" customHeight="false" outlineLevel="0" collapsed="false">
      <c r="AZ26" s="99"/>
      <c r="BA26" s="100"/>
      <c r="BB26" s="101"/>
      <c r="BC26" s="100"/>
      <c r="BD26" s="102"/>
      <c r="BE26" s="100"/>
      <c r="BF26" s="103"/>
      <c r="BG26" s="104"/>
      <c r="BH26" s="102"/>
      <c r="BI26" s="100"/>
      <c r="BJ26" s="101"/>
      <c r="BK26" s="100"/>
      <c r="BL26" s="102"/>
      <c r="BM26" s="100"/>
      <c r="BN26" s="103"/>
      <c r="BO26" s="92"/>
      <c r="BP26" s="92"/>
      <c r="BQ26" s="92"/>
      <c r="BR26" s="103"/>
      <c r="BS26" s="92"/>
      <c r="BT26" s="92"/>
      <c r="BU26" s="92"/>
      <c r="BV26" s="92"/>
      <c r="BW26" s="92"/>
      <c r="BX26" s="92"/>
      <c r="BY26" s="103"/>
      <c r="BZ26" s="92"/>
      <c r="CA26" s="92"/>
      <c r="CB26" s="92"/>
      <c r="CC26" s="103"/>
      <c r="CD26" s="92"/>
      <c r="CE26" s="92"/>
      <c r="CF26" s="92"/>
      <c r="CG26" s="103"/>
      <c r="CH26" s="92"/>
      <c r="CI26" s="92"/>
      <c r="CJ26" s="94"/>
    </row>
  </sheetData>
  <mergeCells count="21">
    <mergeCell ref="I2:P2"/>
    <mergeCell ref="R2:AB2"/>
    <mergeCell ref="AC2:AJ2"/>
    <mergeCell ref="AL2:AQ2"/>
    <mergeCell ref="AZ2:BA2"/>
    <mergeCell ref="BD2:BE2"/>
    <mergeCell ref="BL2:BM2"/>
    <mergeCell ref="BP2:BQ2"/>
    <mergeCell ref="BS2:BX2"/>
    <mergeCell ref="BZ2:CB2"/>
    <mergeCell ref="CD2:CF2"/>
    <mergeCell ref="CH2:CJ2"/>
    <mergeCell ref="U3:X3"/>
    <mergeCell ref="Y3:AB3"/>
    <mergeCell ref="AE3:AG3"/>
    <mergeCell ref="AH3:AJ3"/>
    <mergeCell ref="E9:F9"/>
    <mergeCell ref="B12:C12"/>
    <mergeCell ref="E12:F12"/>
    <mergeCell ref="B13:C13"/>
    <mergeCell ref="E16:F1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V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15" workbookViewId="0">
      <selection pane="topLeft" activeCell="AI14" activeCellId="0" sqref="AI14"/>
    </sheetView>
  </sheetViews>
  <sheetFormatPr defaultRowHeight="15" zeroHeight="false" outlineLevelRow="0" outlineLevelCol="0"/>
  <cols>
    <col collapsed="false" customWidth="true" hidden="false" outlineLevel="0" max="8" min="1" style="1" width="2.42"/>
    <col collapsed="false" customWidth="true" hidden="false" outlineLevel="0" max="9" min="9" style="1" width="2.57"/>
    <col collapsed="false" customWidth="true" hidden="false" outlineLevel="0" max="10" min="10" style="1" width="4.71"/>
    <col collapsed="false" customWidth="true" hidden="false" outlineLevel="0" max="11" min="11" style="1" width="1.71"/>
    <col collapsed="false" customWidth="true" hidden="false" outlineLevel="0" max="12" min="12" style="1" width="3.14"/>
    <col collapsed="false" customWidth="true" hidden="false" outlineLevel="0" max="13" min="13" style="1" width="1.71"/>
    <col collapsed="false" customWidth="true" hidden="false" outlineLevel="0" max="14" min="14" style="1" width="3.14"/>
    <col collapsed="false" customWidth="true" hidden="false" outlineLevel="0" max="15" min="15" style="1" width="1.71"/>
    <col collapsed="false" customWidth="true" hidden="false" outlineLevel="0" max="16" min="16" style="1" width="3.14"/>
    <col collapsed="false" customWidth="true" hidden="false" outlineLevel="0" max="17" min="17" style="1" width="1.58"/>
    <col collapsed="false" customWidth="true" hidden="false" outlineLevel="0" max="18" min="18" style="1" width="3.14"/>
    <col collapsed="false" customWidth="true" hidden="false" outlineLevel="0" max="19" min="19" style="1" width="1.71"/>
    <col collapsed="false" customWidth="true" hidden="false" outlineLevel="0" max="20" min="20" style="1" width="3.14"/>
    <col collapsed="false" customWidth="true" hidden="false" outlineLevel="0" max="21" min="21" style="1" width="1.71"/>
    <col collapsed="false" customWidth="true" hidden="false" outlineLevel="0" max="22" min="22" style="1" width="3.14"/>
    <col collapsed="false" customWidth="true" hidden="false" outlineLevel="0" max="23" min="23" style="1" width="1.58"/>
    <col collapsed="false" customWidth="true" hidden="false" outlineLevel="0" max="24" min="24" style="1" width="3.14"/>
    <col collapsed="false" customWidth="true" hidden="false" outlineLevel="0" max="45" min="25" style="1" width="2.57"/>
    <col collapsed="false" customWidth="true" hidden="false" outlineLevel="0" max="1025" min="46" style="1" width="9.14"/>
  </cols>
  <sheetData>
    <row r="1" customFormat="false" ht="4.5" hidden="false" customHeight="true" outlineLevel="0" collapsed="false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customFormat="false" ht="15" hidden="false" customHeight="true" outlineLevel="0" collapsed="false">
      <c r="A2" s="119" t="s">
        <v>269</v>
      </c>
      <c r="B2" s="119"/>
      <c r="C2" s="119"/>
      <c r="D2" s="119"/>
      <c r="E2" s="119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19" t="s">
        <v>270</v>
      </c>
      <c r="V2" s="119"/>
      <c r="W2" s="119"/>
      <c r="X2" s="119"/>
      <c r="Y2" s="119"/>
      <c r="Z2" s="12"/>
      <c r="AA2" s="12"/>
      <c r="AB2" s="12"/>
      <c r="AC2" s="12"/>
      <c r="AD2" s="12"/>
      <c r="AE2" s="12"/>
      <c r="AF2" s="12"/>
      <c r="AG2" s="12"/>
      <c r="AH2" s="12"/>
    </row>
    <row r="3" customFormat="false" ht="15" hidden="false" customHeight="true" outlineLevel="0" collapsed="false">
      <c r="A3" s="119"/>
      <c r="B3" s="119"/>
      <c r="C3" s="119"/>
      <c r="D3" s="119"/>
      <c r="E3" s="119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19"/>
      <c r="V3" s="119"/>
      <c r="W3" s="119"/>
      <c r="X3" s="119"/>
      <c r="Y3" s="119"/>
      <c r="Z3" s="12"/>
      <c r="AA3" s="12"/>
      <c r="AB3" s="12"/>
      <c r="AC3" s="12"/>
      <c r="AD3" s="12"/>
      <c r="AE3" s="12"/>
      <c r="AF3" s="12"/>
      <c r="AG3" s="12"/>
      <c r="AH3" s="12"/>
    </row>
    <row r="4" customFormat="false" ht="15" hidden="false" customHeight="true" outlineLevel="0" collapsed="false">
      <c r="A4" s="120" t="s">
        <v>271</v>
      </c>
      <c r="B4" s="120"/>
      <c r="C4" s="120"/>
      <c r="D4" s="120"/>
      <c r="E4" s="120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21" t="s">
        <v>272</v>
      </c>
      <c r="V4" s="121"/>
      <c r="W4" s="121"/>
      <c r="X4" s="121"/>
      <c r="Y4" s="121"/>
      <c r="Z4" s="20"/>
      <c r="AA4" s="20"/>
      <c r="AB4" s="20"/>
      <c r="AC4" s="20"/>
      <c r="AD4" s="20"/>
      <c r="AE4" s="20"/>
      <c r="AF4" s="20"/>
      <c r="AG4" s="20"/>
      <c r="AH4" s="20"/>
    </row>
    <row r="5" customFormat="false" ht="15" hidden="false" customHeight="true" outlineLevel="0" collapsed="false">
      <c r="A5" s="120"/>
      <c r="B5" s="120"/>
      <c r="C5" s="120"/>
      <c r="D5" s="120"/>
      <c r="E5" s="120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21"/>
      <c r="V5" s="121"/>
      <c r="W5" s="121"/>
      <c r="X5" s="121"/>
      <c r="Y5" s="121"/>
      <c r="Z5" s="20"/>
      <c r="AA5" s="20"/>
      <c r="AB5" s="20"/>
      <c r="AC5" s="20"/>
      <c r="AD5" s="20"/>
      <c r="AE5" s="20"/>
      <c r="AF5" s="20"/>
      <c r="AG5" s="20"/>
      <c r="AH5" s="20"/>
    </row>
    <row r="6" customFormat="false" ht="15" hidden="false" customHeight="true" outlineLevel="0" collapsed="false">
      <c r="A6" s="122" t="s">
        <v>273</v>
      </c>
      <c r="B6" s="122"/>
      <c r="C6" s="122"/>
      <c r="D6" s="122"/>
      <c r="E6" s="122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2" t="s">
        <v>274</v>
      </c>
      <c r="V6" s="122"/>
      <c r="W6" s="122"/>
      <c r="X6" s="122"/>
      <c r="Y6" s="122"/>
      <c r="Z6" s="13"/>
      <c r="AA6" s="13"/>
      <c r="AB6" s="13"/>
      <c r="AC6" s="13"/>
      <c r="AD6" s="13"/>
      <c r="AE6" s="13"/>
      <c r="AF6" s="13"/>
      <c r="AG6" s="13"/>
      <c r="AH6" s="13"/>
    </row>
    <row r="7" customFormat="false" ht="15" hidden="false" customHeight="true" outlineLevel="0" collapsed="false">
      <c r="A7" s="122"/>
      <c r="B7" s="122"/>
      <c r="C7" s="122"/>
      <c r="D7" s="122"/>
      <c r="E7" s="122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22"/>
      <c r="V7" s="122"/>
      <c r="W7" s="122"/>
      <c r="X7" s="122"/>
      <c r="Y7" s="122"/>
      <c r="Z7" s="13"/>
      <c r="AA7" s="13"/>
      <c r="AB7" s="13"/>
      <c r="AC7" s="13"/>
      <c r="AD7" s="13"/>
      <c r="AE7" s="13"/>
      <c r="AF7" s="13"/>
      <c r="AG7" s="13"/>
      <c r="AH7" s="13"/>
    </row>
    <row r="8" customFormat="false" ht="15" hidden="false" customHeight="true" outlineLevel="0" collapsed="false">
      <c r="A8" s="121" t="s">
        <v>275</v>
      </c>
      <c r="B8" s="121"/>
      <c r="C8" s="121"/>
      <c r="D8" s="121"/>
      <c r="E8" s="121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customFormat="false" ht="15" hidden="false" customHeight="true" outlineLevel="0" collapsed="false">
      <c r="A9" s="121"/>
      <c r="B9" s="121"/>
      <c r="C9" s="121"/>
      <c r="D9" s="121"/>
      <c r="E9" s="121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customFormat="false" ht="15" hidden="false" customHeight="true" outlineLevel="0" collapsed="false">
      <c r="A10" s="121"/>
      <c r="B10" s="121"/>
      <c r="C10" s="121"/>
      <c r="D10" s="121"/>
      <c r="E10" s="121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customFormat="false" ht="14.1" hidden="false" customHeight="true" outlineLevel="0" collapsed="false">
      <c r="A11" s="123" t="s">
        <v>276</v>
      </c>
      <c r="B11" s="123"/>
      <c r="C11" s="123"/>
      <c r="D11" s="123"/>
      <c r="E11" s="123"/>
      <c r="F11" s="124" t="s">
        <v>277</v>
      </c>
      <c r="G11" s="124"/>
      <c r="H11" s="124"/>
      <c r="I11" s="124"/>
      <c r="J11" s="125"/>
      <c r="K11" s="125"/>
      <c r="L11" s="125"/>
      <c r="M11" s="126" t="s">
        <v>278</v>
      </c>
      <c r="N11" s="126"/>
      <c r="O11" s="126"/>
      <c r="P11" s="126"/>
      <c r="Q11" s="126"/>
      <c r="R11" s="126"/>
      <c r="S11" s="126"/>
      <c r="T11" s="126"/>
      <c r="U11" s="126" t="s">
        <v>279</v>
      </c>
      <c r="V11" s="126"/>
      <c r="W11" s="126"/>
      <c r="X11" s="126"/>
      <c r="Y11" s="126"/>
      <c r="Z11" s="126"/>
      <c r="AA11" s="126"/>
      <c r="AB11" s="126"/>
      <c r="AC11" s="127"/>
      <c r="AD11" s="127"/>
      <c r="AE11" s="127"/>
      <c r="AF11" s="127"/>
      <c r="AG11" s="127"/>
      <c r="AH11" s="127"/>
    </row>
    <row r="12" customFormat="false" ht="14.1" hidden="false" customHeight="true" outlineLevel="0" collapsed="false">
      <c r="A12" s="123"/>
      <c r="B12" s="123"/>
      <c r="C12" s="123"/>
      <c r="D12" s="123"/>
      <c r="E12" s="123"/>
      <c r="F12" s="124"/>
      <c r="G12" s="124"/>
      <c r="H12" s="124"/>
      <c r="I12" s="124"/>
      <c r="J12" s="125"/>
      <c r="K12" s="125"/>
      <c r="L12" s="125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7"/>
      <c r="AD12" s="127"/>
      <c r="AE12" s="127"/>
      <c r="AF12" s="127"/>
      <c r="AG12" s="127"/>
      <c r="AH12" s="127"/>
    </row>
    <row r="13" customFormat="false" ht="4.5" hidden="false" customHeight="true" outlineLevel="0" collapsed="false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</row>
    <row r="14" customFormat="false" ht="14.1" hidden="false" customHeight="true" outlineLevel="0" collapsed="false">
      <c r="A14" s="128" t="s">
        <v>280</v>
      </c>
      <c r="B14" s="128"/>
      <c r="C14" s="128"/>
      <c r="D14" s="128"/>
      <c r="E14" s="128"/>
      <c r="F14" s="108" t="s">
        <v>281</v>
      </c>
      <c r="G14" s="108"/>
      <c r="H14" s="108"/>
      <c r="I14" s="108"/>
      <c r="J14" s="108"/>
      <c r="K14" s="108" t="s">
        <v>5</v>
      </c>
      <c r="L14" s="108"/>
      <c r="M14" s="108"/>
      <c r="N14" s="108"/>
      <c r="O14" s="108"/>
      <c r="P14" s="108"/>
      <c r="Q14" s="108"/>
      <c r="R14" s="108"/>
      <c r="S14" s="108" t="s">
        <v>282</v>
      </c>
      <c r="T14" s="108"/>
      <c r="U14" s="108"/>
      <c r="V14" s="108"/>
      <c r="W14" s="108"/>
      <c r="X14" s="108"/>
      <c r="Y14" s="108"/>
      <c r="Z14" s="108"/>
      <c r="AA14" s="129" t="s">
        <v>283</v>
      </c>
      <c r="AB14" s="129"/>
      <c r="AC14" s="129"/>
      <c r="AD14" s="129"/>
      <c r="AE14" s="129"/>
      <c r="AF14" s="129"/>
      <c r="AG14" s="129"/>
      <c r="AH14" s="129"/>
      <c r="AT14" s="1" t="s">
        <v>284</v>
      </c>
      <c r="AU14" s="1" t="s">
        <v>285</v>
      </c>
      <c r="AV14" s="1" t="s">
        <v>71</v>
      </c>
    </row>
    <row r="15" customFormat="false" ht="14.1" hidden="false" customHeight="true" outlineLevel="0" collapsed="false">
      <c r="A15" s="128"/>
      <c r="B15" s="128"/>
      <c r="C15" s="128"/>
      <c r="D15" s="128"/>
      <c r="E15" s="128"/>
      <c r="F15" s="108"/>
      <c r="G15" s="108"/>
      <c r="H15" s="108"/>
      <c r="I15" s="108"/>
      <c r="J15" s="108"/>
      <c r="K15" s="108" t="s">
        <v>285</v>
      </c>
      <c r="L15" s="108"/>
      <c r="M15" s="108"/>
      <c r="N15" s="108"/>
      <c r="O15" s="108"/>
      <c r="P15" s="108"/>
      <c r="Q15" s="108"/>
      <c r="R15" s="108"/>
      <c r="S15" s="108" t="s">
        <v>286</v>
      </c>
      <c r="T15" s="108"/>
      <c r="U15" s="108"/>
      <c r="V15" s="108"/>
      <c r="W15" s="108" t="s">
        <v>287</v>
      </c>
      <c r="X15" s="108"/>
      <c r="Y15" s="108"/>
      <c r="Z15" s="108"/>
      <c r="AA15" s="108" t="s">
        <v>288</v>
      </c>
      <c r="AB15" s="108"/>
      <c r="AC15" s="108"/>
      <c r="AD15" s="108"/>
      <c r="AE15" s="129" t="s">
        <v>289</v>
      </c>
      <c r="AF15" s="129"/>
      <c r="AG15" s="129"/>
      <c r="AH15" s="129"/>
      <c r="AT15" s="1" t="s">
        <v>290</v>
      </c>
      <c r="AU15" s="1" t="s">
        <v>291</v>
      </c>
      <c r="AV15" s="1" t="s">
        <v>292</v>
      </c>
    </row>
    <row r="16" customFormat="false" ht="14.1" hidden="false" customHeight="true" outlineLevel="0" collapsed="false">
      <c r="A16" s="128"/>
      <c r="B16" s="128"/>
      <c r="C16" s="128"/>
      <c r="D16" s="128"/>
      <c r="E16" s="128"/>
      <c r="F16" s="108" t="s">
        <v>290</v>
      </c>
      <c r="G16" s="108"/>
      <c r="H16" s="108"/>
      <c r="I16" s="108"/>
      <c r="J16" s="108"/>
      <c r="K16" s="108" t="s">
        <v>293</v>
      </c>
      <c r="L16" s="108"/>
      <c r="M16" s="108"/>
      <c r="N16" s="108"/>
      <c r="O16" s="108"/>
      <c r="P16" s="108" t="s">
        <v>71</v>
      </c>
      <c r="Q16" s="108"/>
      <c r="R16" s="108"/>
      <c r="S16" s="108" t="n">
        <v>150</v>
      </c>
      <c r="T16" s="108"/>
      <c r="U16" s="108"/>
      <c r="V16" s="108"/>
      <c r="W16" s="108" t="n">
        <v>70</v>
      </c>
      <c r="X16" s="108"/>
      <c r="Y16" s="108"/>
      <c r="Z16" s="108"/>
      <c r="AA16" s="108" t="n">
        <v>0.6</v>
      </c>
      <c r="AB16" s="108"/>
      <c r="AC16" s="108"/>
      <c r="AD16" s="108"/>
      <c r="AE16" s="129" t="n">
        <v>0.4</v>
      </c>
      <c r="AF16" s="129"/>
      <c r="AG16" s="129"/>
      <c r="AH16" s="129"/>
      <c r="AV16" s="1" t="s">
        <v>294</v>
      </c>
    </row>
    <row r="17" customFormat="false" ht="3.75" hidden="false" customHeight="true" outlineLevel="0" collapsed="false">
      <c r="A17" s="128"/>
      <c r="B17" s="128"/>
      <c r="C17" s="128"/>
      <c r="D17" s="128"/>
      <c r="E17" s="128"/>
      <c r="F17" s="21"/>
      <c r="G17" s="21"/>
      <c r="H17" s="21"/>
      <c r="I17" s="21"/>
      <c r="J17" s="21"/>
      <c r="K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0"/>
      <c r="AV17" s="1" t="s">
        <v>295</v>
      </c>
    </row>
    <row r="18" customFormat="false" ht="14.1" hidden="false" customHeight="true" outlineLevel="0" collapsed="false">
      <c r="A18" s="128"/>
      <c r="B18" s="128"/>
      <c r="C18" s="128"/>
      <c r="D18" s="128"/>
      <c r="E18" s="128"/>
      <c r="F18" s="108" t="s">
        <v>296</v>
      </c>
      <c r="G18" s="108"/>
      <c r="H18" s="108"/>
      <c r="I18" s="108"/>
      <c r="J18" s="108"/>
      <c r="K18" s="108" t="s">
        <v>297</v>
      </c>
      <c r="L18" s="108"/>
      <c r="M18" s="108"/>
      <c r="N18" s="108"/>
      <c r="O18" s="108"/>
      <c r="P18" s="108"/>
      <c r="Q18" s="108"/>
      <c r="R18" s="108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0"/>
      <c r="AT18" s="1" t="n">
        <v>1</v>
      </c>
      <c r="AU18" s="1" t="n">
        <v>56</v>
      </c>
    </row>
    <row r="19" customFormat="false" ht="14.1" hidden="false" customHeight="true" outlineLevel="0" collapsed="false">
      <c r="A19" s="128"/>
      <c r="B19" s="128"/>
      <c r="C19" s="128"/>
      <c r="D19" s="128"/>
      <c r="E19" s="128"/>
      <c r="F19" s="108"/>
      <c r="G19" s="108"/>
      <c r="H19" s="108"/>
      <c r="I19" s="108"/>
      <c r="J19" s="108"/>
      <c r="K19" s="108" t="s">
        <v>285</v>
      </c>
      <c r="L19" s="108"/>
      <c r="M19" s="108"/>
      <c r="N19" s="108"/>
      <c r="O19" s="108"/>
      <c r="P19" s="108"/>
      <c r="Q19" s="108"/>
      <c r="R19" s="108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0"/>
      <c r="AT19" s="1" t="n">
        <v>1</v>
      </c>
    </row>
    <row r="20" customFormat="false" ht="14.1" hidden="false" customHeight="true" outlineLevel="0" collapsed="false">
      <c r="A20" s="128"/>
      <c r="B20" s="128"/>
      <c r="C20" s="128"/>
      <c r="D20" s="128"/>
      <c r="E20" s="128"/>
      <c r="F20" s="108" t="s">
        <v>290</v>
      </c>
      <c r="G20" s="108"/>
      <c r="H20" s="108"/>
      <c r="I20" s="108"/>
      <c r="J20" s="108"/>
      <c r="K20" s="21" t="n">
        <f aca="false">TRUE()</f>
        <v>1</v>
      </c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0"/>
      <c r="AT20" s="1" t="n">
        <v>1</v>
      </c>
    </row>
    <row r="21" customFormat="false" ht="14.1" hidden="false" customHeight="true" outlineLevel="0" collapsed="false">
      <c r="A21" s="19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0"/>
      <c r="AT21" s="1" t="n">
        <v>1</v>
      </c>
      <c r="AV21" s="1" t="n">
        <v>3</v>
      </c>
    </row>
    <row r="22" customFormat="false" ht="14.1" hidden="false" customHeight="true" outlineLevel="0" collapsed="false">
      <c r="A22" s="19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0"/>
      <c r="AV22" s="1" t="n">
        <v>4</v>
      </c>
    </row>
    <row r="23" customFormat="false" ht="14.1" hidden="false" customHeight="true" outlineLevel="0" collapsed="false">
      <c r="A23" s="19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0"/>
    </row>
    <row r="24" customFormat="false" ht="14.1" hidden="false" customHeight="true" outlineLevel="0" collapsed="false">
      <c r="A24" s="19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0"/>
    </row>
    <row r="25" customFormat="false" ht="14.1" hidden="false" customHeight="true" outlineLevel="0" collapsed="false">
      <c r="A25" s="19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0"/>
    </row>
    <row r="26" customFormat="false" ht="14.1" hidden="false" customHeight="true" outlineLevel="0" collapsed="false">
      <c r="A26" s="19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0"/>
    </row>
    <row r="27" customFormat="false" ht="14.1" hidden="false" customHeight="true" outlineLevel="0" collapsed="false">
      <c r="A27" s="19"/>
      <c r="B27" s="21"/>
      <c r="C27" s="21"/>
      <c r="D27" s="21"/>
      <c r="E27" s="21"/>
      <c r="F27" s="21"/>
      <c r="G27" s="21"/>
      <c r="H27" s="21"/>
      <c r="I27" s="21"/>
      <c r="J27" s="21" t="s">
        <v>2</v>
      </c>
      <c r="K27" s="21" t="s">
        <v>164</v>
      </c>
      <c r="L27" s="21" t="s">
        <v>37</v>
      </c>
      <c r="M27" s="21" t="s">
        <v>164</v>
      </c>
      <c r="N27" s="21" t="s">
        <v>38</v>
      </c>
      <c r="O27" s="21" t="s">
        <v>164</v>
      </c>
      <c r="P27" s="21" t="s">
        <v>39</v>
      </c>
      <c r="Q27" s="21" t="s">
        <v>165</v>
      </c>
      <c r="R27" s="21" t="s">
        <v>40</v>
      </c>
      <c r="S27" s="21" t="s">
        <v>164</v>
      </c>
      <c r="T27" s="21" t="s">
        <v>41</v>
      </c>
      <c r="U27" s="21" t="s">
        <v>164</v>
      </c>
      <c r="V27" s="21" t="s">
        <v>42</v>
      </c>
      <c r="W27" s="21" t="s">
        <v>165</v>
      </c>
      <c r="X27" s="21" t="s">
        <v>43</v>
      </c>
      <c r="Y27" s="21"/>
      <c r="Z27" s="21"/>
      <c r="AA27" s="21"/>
      <c r="AB27" s="21"/>
      <c r="AC27" s="21"/>
      <c r="AD27" s="21"/>
      <c r="AE27" s="21"/>
      <c r="AF27" s="21"/>
      <c r="AG27" s="21"/>
      <c r="AH27" s="20"/>
    </row>
    <row r="28" customFormat="false" ht="14.1" hidden="false" customHeight="true" outlineLevel="0" collapsed="false"/>
    <row r="29" customFormat="false" ht="14.1" hidden="false" customHeight="true" outlineLevel="0" collapsed="false"/>
    <row r="30" customFormat="false" ht="14.1" hidden="false" customHeight="true" outlineLevel="0" collapsed="false"/>
    <row r="31" customFormat="false" ht="14.1" hidden="false" customHeight="true" outlineLevel="0" collapsed="false"/>
    <row r="32" customFormat="false" ht="14.1" hidden="false" customHeight="true" outlineLevel="0" collapsed="false"/>
    <row r="33" customFormat="false" ht="14.1" hidden="false" customHeight="true" outlineLevel="0" collapsed="false"/>
    <row r="34" customFormat="false" ht="14.1" hidden="false" customHeight="true" outlineLevel="0" collapsed="false"/>
    <row r="35" customFormat="false" ht="14.1" hidden="false" customHeight="true" outlineLevel="0" collapsed="false"/>
    <row r="36" customFormat="false" ht="14.1" hidden="false" customHeight="true" outlineLevel="0" collapsed="false"/>
    <row r="37" customFormat="false" ht="14.1" hidden="false" customHeight="true" outlineLevel="0" collapsed="false"/>
    <row r="38" customFormat="false" ht="14.1" hidden="false" customHeight="true" outlineLevel="0" collapsed="false"/>
    <row r="39" customFormat="false" ht="14.1" hidden="false" customHeight="true" outlineLevel="0" collapsed="false"/>
    <row r="40" customFormat="false" ht="14.1" hidden="false" customHeight="true" outlineLevel="0" collapsed="false"/>
    <row r="41" customFormat="false" ht="14.1" hidden="false" customHeight="true" outlineLevel="0" collapsed="false"/>
    <row r="42" customFormat="false" ht="14.1" hidden="false" customHeight="true" outlineLevel="0" collapsed="false"/>
    <row r="43" customFormat="false" ht="14.1" hidden="false" customHeight="true" outlineLevel="0" collapsed="false"/>
    <row r="44" customFormat="false" ht="14.1" hidden="false" customHeight="true" outlineLevel="0" collapsed="false"/>
    <row r="45" customFormat="false" ht="14.1" hidden="false" customHeight="true" outlineLevel="0" collapsed="false"/>
    <row r="46" customFormat="false" ht="14.1" hidden="false" customHeight="true" outlineLevel="0" collapsed="false"/>
    <row r="47" customFormat="false" ht="14.1" hidden="false" customHeight="true" outlineLevel="0" collapsed="false"/>
    <row r="48" customFormat="false" ht="14.1" hidden="false" customHeight="true" outlineLevel="0" collapsed="false"/>
    <row r="49" customFormat="false" ht="14.1" hidden="false" customHeight="true" outlineLevel="0" collapsed="false"/>
    <row r="50" customFormat="false" ht="14.1" hidden="false" customHeight="true" outlineLevel="0" collapsed="false"/>
    <row r="51" customFormat="false" ht="14.1" hidden="false" customHeight="true" outlineLevel="0" collapsed="false"/>
    <row r="52" customFormat="false" ht="14.1" hidden="false" customHeight="true" outlineLevel="0" collapsed="false"/>
    <row r="53" customFormat="false" ht="14.1" hidden="false" customHeight="true" outlineLevel="0" collapsed="false"/>
    <row r="54" customFormat="false" ht="14.1" hidden="false" customHeight="true" outlineLevel="0" collapsed="false"/>
    <row r="55" customFormat="false" ht="14.1" hidden="false" customHeight="true" outlineLevel="0" collapsed="false"/>
    <row r="56" customFormat="false" ht="14.1" hidden="false" customHeight="true" outlineLevel="0" collapsed="false"/>
    <row r="57" customFormat="false" ht="14.1" hidden="false" customHeight="true" outlineLevel="0" collapsed="false"/>
    <row r="58" customFormat="false" ht="14.1" hidden="false" customHeight="true" outlineLevel="0" collapsed="false"/>
    <row r="59" customFormat="false" ht="14.1" hidden="false" customHeight="true" outlineLevel="0" collapsed="false"/>
    <row r="60" customFormat="false" ht="14.1" hidden="false" customHeight="true" outlineLevel="0" collapsed="false"/>
    <row r="61" customFormat="false" ht="14.1" hidden="false" customHeight="true" outlineLevel="0" collapsed="false"/>
    <row r="62" customFormat="false" ht="14.1" hidden="false" customHeight="true" outlineLevel="0" collapsed="false"/>
    <row r="63" customFormat="false" ht="14.1" hidden="false" customHeight="true" outlineLevel="0" collapsed="false"/>
    <row r="64" customFormat="false" ht="14.1" hidden="false" customHeight="true" outlineLevel="0" collapsed="false"/>
    <row r="65" customFormat="false" ht="14.1" hidden="false" customHeight="true" outlineLevel="0" collapsed="false"/>
    <row r="66" customFormat="false" ht="14.1" hidden="false" customHeight="true" outlineLevel="0" collapsed="false"/>
    <row r="67" customFormat="false" ht="14.1" hidden="false" customHeight="true" outlineLevel="0" collapsed="false"/>
    <row r="68" customFormat="false" ht="14.1" hidden="false" customHeight="true" outlineLevel="0" collapsed="false"/>
    <row r="69" customFormat="false" ht="14.1" hidden="false" customHeight="true" outlineLevel="0" collapsed="false"/>
    <row r="70" customFormat="false" ht="14.1" hidden="false" customHeight="true" outlineLevel="0" collapsed="false"/>
    <row r="71" customFormat="false" ht="14.1" hidden="false" customHeight="true" outlineLevel="0" collapsed="false"/>
    <row r="72" customFormat="false" ht="14.1" hidden="false" customHeight="true" outlineLevel="0" collapsed="false"/>
    <row r="73" customFormat="false" ht="14.1" hidden="false" customHeight="true" outlineLevel="0" collapsed="false"/>
    <row r="74" customFormat="false" ht="14.1" hidden="false" customHeight="true" outlineLevel="0" collapsed="false"/>
    <row r="75" customFormat="false" ht="14.1" hidden="false" customHeight="true" outlineLevel="0" collapsed="false"/>
    <row r="76" customFormat="false" ht="14.1" hidden="false" customHeight="true" outlineLevel="0" collapsed="false"/>
    <row r="77" customFormat="false" ht="14.1" hidden="false" customHeight="true" outlineLevel="0" collapsed="false"/>
    <row r="78" customFormat="false" ht="14.1" hidden="false" customHeight="true" outlineLevel="0" collapsed="false"/>
    <row r="79" customFormat="false" ht="14.1" hidden="false" customHeight="true" outlineLevel="0" collapsed="false"/>
    <row r="80" customFormat="false" ht="14.1" hidden="false" customHeight="true" outlineLevel="0" collapsed="false"/>
    <row r="81" customFormat="false" ht="14.1" hidden="false" customHeight="true" outlineLevel="0" collapsed="false"/>
    <row r="82" customFormat="false" ht="14.1" hidden="false" customHeight="true" outlineLevel="0" collapsed="false"/>
    <row r="83" customFormat="false" ht="14.1" hidden="false" customHeight="true" outlineLevel="0" collapsed="false"/>
    <row r="84" customFormat="false" ht="14.1" hidden="false" customHeight="true" outlineLevel="0" collapsed="false"/>
    <row r="85" customFormat="false" ht="14.1" hidden="false" customHeight="true" outlineLevel="0" collapsed="false"/>
    <row r="86" customFormat="false" ht="14.1" hidden="false" customHeight="true" outlineLevel="0" collapsed="false"/>
    <row r="87" customFormat="false" ht="14.1" hidden="false" customHeight="true" outlineLevel="0" collapsed="false"/>
    <row r="88" customFormat="false" ht="14.1" hidden="false" customHeight="true" outlineLevel="0" collapsed="false"/>
    <row r="89" customFormat="false" ht="14.1" hidden="false" customHeight="true" outlineLevel="0" collapsed="false"/>
    <row r="90" customFormat="false" ht="14.1" hidden="false" customHeight="true" outlineLevel="0" collapsed="false"/>
    <row r="91" customFormat="false" ht="14.1" hidden="false" customHeight="true" outlineLevel="0" collapsed="false"/>
    <row r="92" customFormat="false" ht="14.1" hidden="false" customHeight="true" outlineLevel="0" collapsed="false"/>
    <row r="93" customFormat="false" ht="14.1" hidden="false" customHeight="true" outlineLevel="0" collapsed="false"/>
    <row r="94" customFormat="false" ht="14.1" hidden="false" customHeight="true" outlineLevel="0" collapsed="false"/>
    <row r="95" customFormat="false" ht="14.1" hidden="false" customHeight="true" outlineLevel="0" collapsed="false"/>
    <row r="96" customFormat="false" ht="14.1" hidden="false" customHeight="true" outlineLevel="0" collapsed="false"/>
    <row r="97" customFormat="false" ht="14.1" hidden="false" customHeight="true" outlineLevel="0" collapsed="false"/>
    <row r="98" customFormat="false" ht="14.1" hidden="false" customHeight="true" outlineLevel="0" collapsed="false"/>
    <row r="99" customFormat="false" ht="14.1" hidden="false" customHeight="true" outlineLevel="0" collapsed="false"/>
    <row r="100" customFormat="false" ht="14.1" hidden="false" customHeight="true" outlineLevel="0" collapsed="false"/>
    <row r="101" customFormat="false" ht="14.1" hidden="false" customHeight="true" outlineLevel="0" collapsed="false"/>
    <row r="102" customFormat="false" ht="14.1" hidden="false" customHeight="true" outlineLevel="0" collapsed="false"/>
    <row r="103" customFormat="false" ht="14.1" hidden="false" customHeight="true" outlineLevel="0" collapsed="false"/>
    <row r="104" customFormat="false" ht="14.1" hidden="false" customHeight="true" outlineLevel="0" collapsed="false"/>
    <row r="105" customFormat="false" ht="14.1" hidden="false" customHeight="true" outlineLevel="0" collapsed="false"/>
    <row r="106" customFormat="false" ht="14.1" hidden="false" customHeight="true" outlineLevel="0" collapsed="false"/>
    <row r="107" customFormat="false" ht="14.1" hidden="false" customHeight="true" outlineLevel="0" collapsed="false"/>
    <row r="108" customFormat="false" ht="14.1" hidden="false" customHeight="true" outlineLevel="0" collapsed="false"/>
    <row r="109" customFormat="false" ht="14.1" hidden="false" customHeight="true" outlineLevel="0" collapsed="false"/>
    <row r="110" customFormat="false" ht="14.1" hidden="false" customHeight="true" outlineLevel="0" collapsed="false"/>
    <row r="111" customFormat="false" ht="14.1" hidden="false" customHeight="true" outlineLevel="0" collapsed="false"/>
    <row r="112" customFormat="false" ht="14.1" hidden="false" customHeight="true" outlineLevel="0" collapsed="false"/>
    <row r="113" customFormat="false" ht="14.1" hidden="false" customHeight="true" outlineLevel="0" collapsed="false"/>
    <row r="114" customFormat="false" ht="14.1" hidden="false" customHeight="true" outlineLevel="0" collapsed="false"/>
    <row r="115" customFormat="false" ht="14.1" hidden="false" customHeight="true" outlineLevel="0" collapsed="false"/>
    <row r="116" customFormat="false" ht="14.1" hidden="false" customHeight="true" outlineLevel="0" collapsed="false"/>
    <row r="117" customFormat="false" ht="14.1" hidden="false" customHeight="true" outlineLevel="0" collapsed="false"/>
    <row r="118" customFormat="false" ht="14.1" hidden="false" customHeight="true" outlineLevel="0" collapsed="false"/>
    <row r="119" customFormat="false" ht="14.1" hidden="false" customHeight="true" outlineLevel="0" collapsed="false"/>
    <row r="120" customFormat="false" ht="14.1" hidden="false" customHeight="true" outlineLevel="0" collapsed="false"/>
    <row r="121" customFormat="false" ht="14.1" hidden="false" customHeight="true" outlineLevel="0" collapsed="false"/>
    <row r="122" customFormat="false" ht="14.1" hidden="false" customHeight="true" outlineLevel="0" collapsed="false"/>
    <row r="123" customFormat="false" ht="14.1" hidden="false" customHeight="true" outlineLevel="0" collapsed="false"/>
    <row r="124" customFormat="false" ht="14.1" hidden="false" customHeight="true" outlineLevel="0" collapsed="false"/>
    <row r="125" customFormat="false" ht="14.1" hidden="false" customHeight="true" outlineLevel="0" collapsed="false"/>
    <row r="126" customFormat="false" ht="14.1" hidden="false" customHeight="true" outlineLevel="0" collapsed="false"/>
    <row r="127" customFormat="false" ht="14.1" hidden="false" customHeight="true" outlineLevel="0" collapsed="false"/>
    <row r="128" customFormat="false" ht="14.1" hidden="false" customHeight="true" outlineLevel="0" collapsed="false"/>
    <row r="129" customFormat="false" ht="14.1" hidden="false" customHeight="true" outlineLevel="0" collapsed="false"/>
    <row r="130" customFormat="false" ht="14.1" hidden="false" customHeight="true" outlineLevel="0" collapsed="false"/>
    <row r="131" customFormat="false" ht="14.1" hidden="false" customHeight="true" outlineLevel="0" collapsed="false"/>
    <row r="132" customFormat="false" ht="14.1" hidden="false" customHeight="true" outlineLevel="0" collapsed="false"/>
    <row r="133" customFormat="false" ht="14.1" hidden="false" customHeight="true" outlineLevel="0" collapsed="false"/>
    <row r="134" customFormat="false" ht="14.1" hidden="false" customHeight="true" outlineLevel="0" collapsed="false"/>
    <row r="135" customFormat="false" ht="14.1" hidden="false" customHeight="true" outlineLevel="0" collapsed="false"/>
    <row r="136" customFormat="false" ht="14.1" hidden="false" customHeight="true" outlineLevel="0" collapsed="false"/>
    <row r="137" customFormat="false" ht="14.1" hidden="false" customHeight="true" outlineLevel="0" collapsed="false"/>
    <row r="138" customFormat="false" ht="14.1" hidden="false" customHeight="true" outlineLevel="0" collapsed="false"/>
    <row r="139" customFormat="false" ht="14.1" hidden="false" customHeight="true" outlineLevel="0" collapsed="false"/>
    <row r="140" customFormat="false" ht="14.1" hidden="false" customHeight="true" outlineLevel="0" collapsed="false"/>
    <row r="141" customFormat="false" ht="14.1" hidden="false" customHeight="true" outlineLevel="0" collapsed="false"/>
    <row r="142" customFormat="false" ht="14.1" hidden="false" customHeight="true" outlineLevel="0" collapsed="false"/>
    <row r="143" customFormat="false" ht="14.1" hidden="false" customHeight="true" outlineLevel="0" collapsed="false"/>
    <row r="144" customFormat="false" ht="14.1" hidden="false" customHeight="true" outlineLevel="0" collapsed="false"/>
    <row r="145" customFormat="false" ht="14.1" hidden="false" customHeight="true" outlineLevel="0" collapsed="false"/>
    <row r="146" customFormat="false" ht="14.1" hidden="false" customHeight="true" outlineLevel="0" collapsed="false"/>
    <row r="147" customFormat="false" ht="14.1" hidden="false" customHeight="true" outlineLevel="0" collapsed="false"/>
    <row r="148" customFormat="false" ht="14.1" hidden="false" customHeight="true" outlineLevel="0" collapsed="false"/>
    <row r="149" customFormat="false" ht="14.1" hidden="false" customHeight="true" outlineLevel="0" collapsed="false"/>
    <row r="150" customFormat="false" ht="14.1" hidden="false" customHeight="true" outlineLevel="0" collapsed="false"/>
    <row r="151" customFormat="false" ht="14.1" hidden="false" customHeight="true" outlineLevel="0" collapsed="false"/>
    <row r="152" customFormat="false" ht="14.1" hidden="false" customHeight="true" outlineLevel="0" collapsed="false"/>
    <row r="153" customFormat="false" ht="14.1" hidden="false" customHeight="true" outlineLevel="0" collapsed="false"/>
    <row r="154" customFormat="false" ht="14.1" hidden="false" customHeight="true" outlineLevel="0" collapsed="false"/>
    <row r="155" customFormat="false" ht="14.1" hidden="false" customHeight="true" outlineLevel="0" collapsed="false"/>
    <row r="156" customFormat="false" ht="14.1" hidden="false" customHeight="true" outlineLevel="0" collapsed="false"/>
    <row r="157" customFormat="false" ht="14.1" hidden="false" customHeight="true" outlineLevel="0" collapsed="false"/>
    <row r="158" customFormat="false" ht="14.1" hidden="false" customHeight="true" outlineLevel="0" collapsed="false"/>
    <row r="159" customFormat="false" ht="14.1" hidden="false" customHeight="true" outlineLevel="0" collapsed="false"/>
    <row r="160" customFormat="false" ht="14.1" hidden="false" customHeight="true" outlineLevel="0" collapsed="false"/>
    <row r="161" customFormat="false" ht="14.1" hidden="false" customHeight="true" outlineLevel="0" collapsed="false"/>
    <row r="162" customFormat="false" ht="14.1" hidden="false" customHeight="true" outlineLevel="0" collapsed="false"/>
    <row r="163" customFormat="false" ht="14.1" hidden="false" customHeight="true" outlineLevel="0" collapsed="false"/>
    <row r="164" customFormat="false" ht="14.1" hidden="false" customHeight="true" outlineLevel="0" collapsed="false"/>
    <row r="165" customFormat="false" ht="14.1" hidden="false" customHeight="true" outlineLevel="0" collapsed="false"/>
    <row r="166" customFormat="false" ht="14.1" hidden="false" customHeight="true" outlineLevel="0" collapsed="false"/>
    <row r="167" customFormat="false" ht="14.1" hidden="false" customHeight="true" outlineLevel="0" collapsed="false"/>
    <row r="168" customFormat="false" ht="14.1" hidden="false" customHeight="true" outlineLevel="0" collapsed="false"/>
    <row r="169" customFormat="false" ht="14.1" hidden="false" customHeight="true" outlineLevel="0" collapsed="false"/>
    <row r="170" customFormat="false" ht="14.1" hidden="false" customHeight="true" outlineLevel="0" collapsed="false"/>
    <row r="171" customFormat="false" ht="14.1" hidden="false" customHeight="true" outlineLevel="0" collapsed="false"/>
    <row r="172" customFormat="false" ht="14.1" hidden="false" customHeight="true" outlineLevel="0" collapsed="false"/>
    <row r="173" customFormat="false" ht="14.1" hidden="false" customHeight="true" outlineLevel="0" collapsed="false"/>
    <row r="174" customFormat="false" ht="14.1" hidden="false" customHeight="true" outlineLevel="0" collapsed="false"/>
    <row r="175" customFormat="false" ht="14.1" hidden="false" customHeight="true" outlineLevel="0" collapsed="false"/>
    <row r="176" customFormat="false" ht="14.1" hidden="false" customHeight="true" outlineLevel="0" collapsed="false"/>
    <row r="177" customFormat="false" ht="14.1" hidden="false" customHeight="true" outlineLevel="0" collapsed="false"/>
    <row r="178" customFormat="false" ht="14.1" hidden="false" customHeight="true" outlineLevel="0" collapsed="false"/>
    <row r="179" customFormat="false" ht="14.1" hidden="false" customHeight="true" outlineLevel="0" collapsed="false"/>
    <row r="180" customFormat="false" ht="14.1" hidden="false" customHeight="true" outlineLevel="0" collapsed="false"/>
    <row r="181" customFormat="false" ht="14.1" hidden="false" customHeight="true" outlineLevel="0" collapsed="false"/>
    <row r="182" customFormat="false" ht="14.1" hidden="false" customHeight="true" outlineLevel="0" collapsed="false"/>
    <row r="183" customFormat="false" ht="14.1" hidden="false" customHeight="true" outlineLevel="0" collapsed="false"/>
    <row r="184" customFormat="false" ht="14.1" hidden="false" customHeight="true" outlineLevel="0" collapsed="false"/>
    <row r="185" customFormat="false" ht="14.1" hidden="false" customHeight="true" outlineLevel="0" collapsed="false"/>
    <row r="186" customFormat="false" ht="14.1" hidden="false" customHeight="true" outlineLevel="0" collapsed="false"/>
    <row r="187" customFormat="false" ht="14.1" hidden="false" customHeight="true" outlineLevel="0" collapsed="false"/>
    <row r="188" customFormat="false" ht="14.1" hidden="false" customHeight="true" outlineLevel="0" collapsed="false"/>
    <row r="189" customFormat="false" ht="14.1" hidden="false" customHeight="true" outlineLevel="0" collapsed="false"/>
    <row r="190" customFormat="false" ht="14.1" hidden="false" customHeight="true" outlineLevel="0" collapsed="false"/>
    <row r="191" customFormat="false" ht="14.1" hidden="false" customHeight="true" outlineLevel="0" collapsed="false"/>
    <row r="192" customFormat="false" ht="14.1" hidden="false" customHeight="true" outlineLevel="0" collapsed="false"/>
    <row r="193" customFormat="false" ht="14.1" hidden="false" customHeight="true" outlineLevel="0" collapsed="false"/>
    <row r="194" customFormat="false" ht="14.1" hidden="false" customHeight="true" outlineLevel="0" collapsed="false"/>
    <row r="195" customFormat="false" ht="14.1" hidden="false" customHeight="true" outlineLevel="0" collapsed="false"/>
    <row r="196" customFormat="false" ht="14.1" hidden="false" customHeight="true" outlineLevel="0" collapsed="false"/>
    <row r="197" customFormat="false" ht="14.1" hidden="false" customHeight="true" outlineLevel="0" collapsed="false"/>
    <row r="198" customFormat="false" ht="14.1" hidden="false" customHeight="true" outlineLevel="0" collapsed="false"/>
    <row r="199" customFormat="false" ht="14.1" hidden="false" customHeight="true" outlineLevel="0" collapsed="false"/>
    <row r="200" customFormat="false" ht="14.1" hidden="false" customHeight="true" outlineLevel="0" collapsed="false"/>
    <row r="201" customFormat="false" ht="14.1" hidden="false" customHeight="true" outlineLevel="0" collapsed="false"/>
    <row r="202" customFormat="false" ht="14.1" hidden="false" customHeight="true" outlineLevel="0" collapsed="false"/>
    <row r="203" customFormat="false" ht="14.1" hidden="false" customHeight="true" outlineLevel="0" collapsed="false"/>
    <row r="204" customFormat="false" ht="14.1" hidden="false" customHeight="true" outlineLevel="0" collapsed="false"/>
    <row r="205" customFormat="false" ht="14.1" hidden="false" customHeight="true" outlineLevel="0" collapsed="false"/>
    <row r="206" customFormat="false" ht="14.1" hidden="false" customHeight="true" outlineLevel="0" collapsed="false"/>
    <row r="207" customFormat="false" ht="14.1" hidden="false" customHeight="true" outlineLevel="0" collapsed="false"/>
    <row r="208" customFormat="false" ht="14.1" hidden="false" customHeight="true" outlineLevel="0" collapsed="false"/>
    <row r="209" customFormat="false" ht="14.1" hidden="false" customHeight="true" outlineLevel="0" collapsed="false"/>
    <row r="210" customFormat="false" ht="14.1" hidden="false" customHeight="true" outlineLevel="0" collapsed="false"/>
    <row r="211" customFormat="false" ht="14.1" hidden="false" customHeight="true" outlineLevel="0" collapsed="false"/>
    <row r="212" customFormat="false" ht="14.1" hidden="false" customHeight="true" outlineLevel="0" collapsed="false"/>
    <row r="213" customFormat="false" ht="14.1" hidden="false" customHeight="true" outlineLevel="0" collapsed="false"/>
    <row r="214" customFormat="false" ht="14.1" hidden="false" customHeight="true" outlineLevel="0" collapsed="false"/>
    <row r="215" customFormat="false" ht="14.1" hidden="false" customHeight="true" outlineLevel="0" collapsed="false"/>
    <row r="216" customFormat="false" ht="14.1" hidden="false" customHeight="true" outlineLevel="0" collapsed="false"/>
    <row r="217" customFormat="false" ht="14.1" hidden="false" customHeight="true" outlineLevel="0" collapsed="false"/>
    <row r="218" customFormat="false" ht="14.1" hidden="false" customHeight="true" outlineLevel="0" collapsed="false"/>
    <row r="219" customFormat="false" ht="14.1" hidden="false" customHeight="true" outlineLevel="0" collapsed="false"/>
    <row r="220" customFormat="false" ht="14.1" hidden="false" customHeight="true" outlineLevel="0" collapsed="false"/>
    <row r="221" customFormat="false" ht="14.1" hidden="false" customHeight="true" outlineLevel="0" collapsed="false"/>
    <row r="222" customFormat="false" ht="14.1" hidden="false" customHeight="true" outlineLevel="0" collapsed="false"/>
    <row r="223" customFormat="false" ht="14.1" hidden="false" customHeight="true" outlineLevel="0" collapsed="false"/>
    <row r="224" customFormat="false" ht="14.1" hidden="false" customHeight="true" outlineLevel="0" collapsed="false"/>
    <row r="225" customFormat="false" ht="14.1" hidden="false" customHeight="true" outlineLevel="0" collapsed="false"/>
    <row r="226" customFormat="false" ht="14.1" hidden="false" customHeight="true" outlineLevel="0" collapsed="false"/>
    <row r="227" customFormat="false" ht="14.1" hidden="false" customHeight="true" outlineLevel="0" collapsed="false"/>
    <row r="228" customFormat="false" ht="14.1" hidden="false" customHeight="true" outlineLevel="0" collapsed="false"/>
    <row r="229" customFormat="false" ht="14.1" hidden="false" customHeight="true" outlineLevel="0" collapsed="false"/>
    <row r="230" customFormat="false" ht="14.1" hidden="false" customHeight="true" outlineLevel="0" collapsed="false"/>
    <row r="231" customFormat="false" ht="14.1" hidden="false" customHeight="true" outlineLevel="0" collapsed="false"/>
    <row r="232" customFormat="false" ht="14.1" hidden="false" customHeight="true" outlineLevel="0" collapsed="false"/>
    <row r="233" customFormat="false" ht="14.1" hidden="false" customHeight="true" outlineLevel="0" collapsed="false"/>
    <row r="234" customFormat="false" ht="14.1" hidden="false" customHeight="true" outlineLevel="0" collapsed="false"/>
    <row r="235" customFormat="false" ht="14.1" hidden="false" customHeight="true" outlineLevel="0" collapsed="false"/>
    <row r="236" customFormat="false" ht="14.1" hidden="false" customHeight="true" outlineLevel="0" collapsed="false"/>
    <row r="237" customFormat="false" ht="14.1" hidden="false" customHeight="true" outlineLevel="0" collapsed="false"/>
    <row r="238" customFormat="false" ht="14.1" hidden="false" customHeight="true" outlineLevel="0" collapsed="false"/>
    <row r="239" customFormat="false" ht="14.1" hidden="false" customHeight="true" outlineLevel="0" collapsed="false"/>
    <row r="240" customFormat="false" ht="14.1" hidden="false" customHeight="true" outlineLevel="0" collapsed="false"/>
    <row r="241" customFormat="false" ht="14.1" hidden="false" customHeight="true" outlineLevel="0" collapsed="false"/>
    <row r="242" customFormat="false" ht="14.1" hidden="false" customHeight="true" outlineLevel="0" collapsed="false"/>
    <row r="243" customFormat="false" ht="14.1" hidden="false" customHeight="true" outlineLevel="0" collapsed="false"/>
    <row r="244" customFormat="false" ht="14.1" hidden="false" customHeight="true" outlineLevel="0" collapsed="false"/>
    <row r="245" customFormat="false" ht="14.1" hidden="false" customHeight="true" outlineLevel="0" collapsed="false"/>
    <row r="246" customFormat="false" ht="14.1" hidden="false" customHeight="true" outlineLevel="0" collapsed="false"/>
    <row r="247" customFormat="false" ht="14.1" hidden="false" customHeight="true" outlineLevel="0" collapsed="false"/>
    <row r="248" customFormat="false" ht="14.1" hidden="false" customHeight="true" outlineLevel="0" collapsed="false"/>
    <row r="249" customFormat="false" ht="14.1" hidden="false" customHeight="true" outlineLevel="0" collapsed="false"/>
    <row r="250" customFormat="false" ht="14.1" hidden="false" customHeight="true" outlineLevel="0" collapsed="false"/>
    <row r="251" customFormat="false" ht="14.1" hidden="false" customHeight="true" outlineLevel="0" collapsed="false"/>
    <row r="252" customFormat="false" ht="14.1" hidden="false" customHeight="true" outlineLevel="0" collapsed="false"/>
    <row r="253" customFormat="false" ht="14.1" hidden="false" customHeight="true" outlineLevel="0" collapsed="false"/>
    <row r="254" customFormat="false" ht="14.1" hidden="false" customHeight="true" outlineLevel="0" collapsed="false"/>
    <row r="255" customFormat="false" ht="14.1" hidden="false" customHeight="true" outlineLevel="0" collapsed="false"/>
    <row r="256" customFormat="false" ht="14.1" hidden="false" customHeight="true" outlineLevel="0" collapsed="false"/>
    <row r="257" customFormat="false" ht="14.1" hidden="false" customHeight="true" outlineLevel="0" collapsed="false"/>
    <row r="258" customFormat="false" ht="14.1" hidden="false" customHeight="true" outlineLevel="0" collapsed="false"/>
    <row r="259" customFormat="false" ht="14.1" hidden="false" customHeight="true" outlineLevel="0" collapsed="false"/>
    <row r="260" customFormat="false" ht="14.1" hidden="false" customHeight="true" outlineLevel="0" collapsed="false"/>
    <row r="261" customFormat="false" ht="14.1" hidden="false" customHeight="true" outlineLevel="0" collapsed="false"/>
    <row r="262" customFormat="false" ht="14.1" hidden="false" customHeight="true" outlineLevel="0" collapsed="false"/>
    <row r="263" customFormat="false" ht="14.1" hidden="false" customHeight="true" outlineLevel="0" collapsed="false"/>
    <row r="264" customFormat="false" ht="14.1" hidden="false" customHeight="true" outlineLevel="0" collapsed="false"/>
    <row r="265" customFormat="false" ht="14.1" hidden="false" customHeight="true" outlineLevel="0" collapsed="false"/>
    <row r="266" customFormat="false" ht="14.1" hidden="false" customHeight="true" outlineLevel="0" collapsed="false"/>
    <row r="267" customFormat="false" ht="14.1" hidden="false" customHeight="true" outlineLevel="0" collapsed="false"/>
    <row r="268" customFormat="false" ht="14.1" hidden="false" customHeight="true" outlineLevel="0" collapsed="false"/>
    <row r="269" customFormat="false" ht="14.1" hidden="false" customHeight="true" outlineLevel="0" collapsed="false"/>
    <row r="270" customFormat="false" ht="14.1" hidden="false" customHeight="true" outlineLevel="0" collapsed="false"/>
    <row r="271" customFormat="false" ht="14.1" hidden="false" customHeight="true" outlineLevel="0" collapsed="false"/>
    <row r="272" customFormat="false" ht="14.1" hidden="false" customHeight="true" outlineLevel="0" collapsed="false"/>
    <row r="273" customFormat="false" ht="14.1" hidden="false" customHeight="true" outlineLevel="0" collapsed="false"/>
    <row r="274" customFormat="false" ht="14.1" hidden="false" customHeight="true" outlineLevel="0" collapsed="false"/>
    <row r="275" customFormat="false" ht="14.1" hidden="false" customHeight="true" outlineLevel="0" collapsed="false"/>
    <row r="276" customFormat="false" ht="14.1" hidden="false" customHeight="true" outlineLevel="0" collapsed="false"/>
    <row r="277" customFormat="false" ht="14.1" hidden="false" customHeight="true" outlineLevel="0" collapsed="false"/>
    <row r="278" customFormat="false" ht="14.1" hidden="false" customHeight="true" outlineLevel="0" collapsed="false"/>
    <row r="279" customFormat="false" ht="14.1" hidden="false" customHeight="true" outlineLevel="0" collapsed="false"/>
    <row r="280" customFormat="false" ht="14.1" hidden="false" customHeight="true" outlineLevel="0" collapsed="false"/>
    <row r="281" customFormat="false" ht="14.1" hidden="false" customHeight="true" outlineLevel="0" collapsed="false"/>
    <row r="282" customFormat="false" ht="14.1" hidden="false" customHeight="true" outlineLevel="0" collapsed="false"/>
    <row r="283" customFormat="false" ht="14.1" hidden="false" customHeight="true" outlineLevel="0" collapsed="false"/>
    <row r="284" customFormat="false" ht="14.1" hidden="false" customHeight="true" outlineLevel="0" collapsed="false"/>
    <row r="285" customFormat="false" ht="14.1" hidden="false" customHeight="true" outlineLevel="0" collapsed="false"/>
    <row r="286" customFormat="false" ht="14.1" hidden="false" customHeight="true" outlineLevel="0" collapsed="false"/>
    <row r="287" customFormat="false" ht="14.1" hidden="false" customHeight="true" outlineLevel="0" collapsed="false"/>
    <row r="288" customFormat="false" ht="14.1" hidden="false" customHeight="true" outlineLevel="0" collapsed="false"/>
    <row r="289" customFormat="false" ht="14.1" hidden="false" customHeight="true" outlineLevel="0" collapsed="false"/>
    <row r="290" customFormat="false" ht="14.1" hidden="false" customHeight="true" outlineLevel="0" collapsed="false"/>
    <row r="291" customFormat="false" ht="14.1" hidden="false" customHeight="true" outlineLevel="0" collapsed="false"/>
    <row r="292" customFormat="false" ht="14.1" hidden="false" customHeight="true" outlineLevel="0" collapsed="false"/>
    <row r="293" customFormat="false" ht="14.1" hidden="false" customHeight="true" outlineLevel="0" collapsed="false"/>
    <row r="294" customFormat="false" ht="14.1" hidden="false" customHeight="true" outlineLevel="0" collapsed="false"/>
    <row r="295" customFormat="false" ht="14.1" hidden="false" customHeight="true" outlineLevel="0" collapsed="false"/>
    <row r="296" customFormat="false" ht="14.1" hidden="false" customHeight="true" outlineLevel="0" collapsed="false"/>
    <row r="297" customFormat="false" ht="14.1" hidden="false" customHeight="true" outlineLevel="0" collapsed="false"/>
    <row r="298" customFormat="false" ht="14.1" hidden="false" customHeight="true" outlineLevel="0" collapsed="false"/>
    <row r="299" customFormat="false" ht="14.1" hidden="false" customHeight="true" outlineLevel="0" collapsed="false"/>
    <row r="300" customFormat="false" ht="14.1" hidden="false" customHeight="true" outlineLevel="0" collapsed="false"/>
    <row r="301" customFormat="false" ht="14.1" hidden="false" customHeight="true" outlineLevel="0" collapsed="false"/>
    <row r="302" customFormat="false" ht="14.1" hidden="false" customHeight="true" outlineLevel="0" collapsed="false"/>
    <row r="303" customFormat="false" ht="14.1" hidden="false" customHeight="true" outlineLevel="0" collapsed="false"/>
    <row r="304" customFormat="false" ht="14.1" hidden="false" customHeight="true" outlineLevel="0" collapsed="false"/>
    <row r="305" customFormat="false" ht="14.1" hidden="false" customHeight="true" outlineLevel="0" collapsed="false"/>
    <row r="306" customFormat="false" ht="14.1" hidden="false" customHeight="true" outlineLevel="0" collapsed="false"/>
    <row r="307" customFormat="false" ht="14.1" hidden="false" customHeight="true" outlineLevel="0" collapsed="false"/>
    <row r="308" customFormat="false" ht="14.1" hidden="false" customHeight="true" outlineLevel="0" collapsed="false"/>
    <row r="309" customFormat="false" ht="14.1" hidden="false" customHeight="true" outlineLevel="0" collapsed="false"/>
    <row r="310" customFormat="false" ht="14.1" hidden="false" customHeight="true" outlineLevel="0" collapsed="false"/>
    <row r="311" customFormat="false" ht="14.1" hidden="false" customHeight="true" outlineLevel="0" collapsed="false"/>
    <row r="312" customFormat="false" ht="14.1" hidden="false" customHeight="true" outlineLevel="0" collapsed="false"/>
    <row r="313" customFormat="false" ht="14.1" hidden="false" customHeight="true" outlineLevel="0" collapsed="false"/>
    <row r="314" customFormat="false" ht="14.1" hidden="false" customHeight="true" outlineLevel="0" collapsed="false"/>
    <row r="315" customFormat="false" ht="14.1" hidden="false" customHeight="true" outlineLevel="0" collapsed="false"/>
    <row r="316" customFormat="false" ht="14.1" hidden="false" customHeight="true" outlineLevel="0" collapsed="false"/>
    <row r="317" customFormat="false" ht="14.1" hidden="false" customHeight="true" outlineLevel="0" collapsed="false"/>
    <row r="318" customFormat="false" ht="14.1" hidden="false" customHeight="true" outlineLevel="0" collapsed="false"/>
    <row r="319" customFormat="false" ht="14.1" hidden="false" customHeight="true" outlineLevel="0" collapsed="false"/>
    <row r="320" customFormat="false" ht="14.1" hidden="false" customHeight="true" outlineLevel="0" collapsed="false"/>
    <row r="321" customFormat="false" ht="14.1" hidden="false" customHeight="true" outlineLevel="0" collapsed="false"/>
    <row r="322" customFormat="false" ht="14.1" hidden="false" customHeight="true" outlineLevel="0" collapsed="false"/>
    <row r="323" customFormat="false" ht="14.1" hidden="false" customHeight="true" outlineLevel="0" collapsed="false"/>
    <row r="324" customFormat="false" ht="14.1" hidden="false" customHeight="true" outlineLevel="0" collapsed="false"/>
    <row r="325" customFormat="false" ht="14.1" hidden="false" customHeight="true" outlineLevel="0" collapsed="false"/>
    <row r="326" customFormat="false" ht="14.1" hidden="false" customHeight="true" outlineLevel="0" collapsed="false"/>
    <row r="327" customFormat="false" ht="14.1" hidden="false" customHeight="true" outlineLevel="0" collapsed="false"/>
    <row r="328" customFormat="false" ht="14.1" hidden="false" customHeight="true" outlineLevel="0" collapsed="false"/>
    <row r="329" customFormat="false" ht="14.1" hidden="false" customHeight="true" outlineLevel="0" collapsed="false"/>
    <row r="330" customFormat="false" ht="14.1" hidden="false" customHeight="true" outlineLevel="0" collapsed="false"/>
    <row r="331" customFormat="false" ht="14.1" hidden="false" customHeight="true" outlineLevel="0" collapsed="false"/>
    <row r="332" customFormat="false" ht="14.1" hidden="false" customHeight="true" outlineLevel="0" collapsed="false"/>
    <row r="333" customFormat="false" ht="14.1" hidden="false" customHeight="true" outlineLevel="0" collapsed="false"/>
    <row r="334" customFormat="false" ht="14.1" hidden="false" customHeight="true" outlineLevel="0" collapsed="false"/>
    <row r="335" customFormat="false" ht="14.1" hidden="false" customHeight="true" outlineLevel="0" collapsed="false"/>
    <row r="336" customFormat="false" ht="14.1" hidden="false" customHeight="true" outlineLevel="0" collapsed="false"/>
    <row r="337" customFormat="false" ht="14.1" hidden="false" customHeight="true" outlineLevel="0" collapsed="false"/>
    <row r="338" customFormat="false" ht="14.1" hidden="false" customHeight="true" outlineLevel="0" collapsed="false"/>
    <row r="339" customFormat="false" ht="14.1" hidden="false" customHeight="true" outlineLevel="0" collapsed="false"/>
    <row r="340" customFormat="false" ht="14.1" hidden="false" customHeight="true" outlineLevel="0" collapsed="false"/>
    <row r="341" customFormat="false" ht="14.1" hidden="false" customHeight="true" outlineLevel="0" collapsed="false"/>
    <row r="342" customFormat="false" ht="14.1" hidden="false" customHeight="true" outlineLevel="0" collapsed="false"/>
    <row r="343" customFormat="false" ht="14.1" hidden="false" customHeight="true" outlineLevel="0" collapsed="false"/>
    <row r="344" customFormat="false" ht="14.1" hidden="false" customHeight="true" outlineLevel="0" collapsed="false"/>
    <row r="345" customFormat="false" ht="14.1" hidden="false" customHeight="true" outlineLevel="0" collapsed="false"/>
    <row r="346" customFormat="false" ht="14.1" hidden="false" customHeight="true" outlineLevel="0" collapsed="false"/>
    <row r="347" customFormat="false" ht="14.1" hidden="false" customHeight="true" outlineLevel="0" collapsed="false"/>
    <row r="348" customFormat="false" ht="14.1" hidden="false" customHeight="true" outlineLevel="0" collapsed="false"/>
    <row r="349" customFormat="false" ht="14.1" hidden="false" customHeight="true" outlineLevel="0" collapsed="false"/>
    <row r="350" customFormat="false" ht="14.1" hidden="false" customHeight="true" outlineLevel="0" collapsed="false"/>
    <row r="351" customFormat="false" ht="14.1" hidden="false" customHeight="true" outlineLevel="0" collapsed="false"/>
    <row r="352" customFormat="false" ht="14.1" hidden="false" customHeight="true" outlineLevel="0" collapsed="false"/>
    <row r="353" customFormat="false" ht="14.1" hidden="false" customHeight="true" outlineLevel="0" collapsed="false"/>
    <row r="354" customFormat="false" ht="14.1" hidden="false" customHeight="true" outlineLevel="0" collapsed="false"/>
    <row r="355" customFormat="false" ht="14.1" hidden="false" customHeight="true" outlineLevel="0" collapsed="false"/>
    <row r="356" customFormat="false" ht="14.1" hidden="false" customHeight="true" outlineLevel="0" collapsed="false"/>
    <row r="357" customFormat="false" ht="14.1" hidden="false" customHeight="true" outlineLevel="0" collapsed="false"/>
    <row r="358" customFormat="false" ht="14.1" hidden="false" customHeight="true" outlineLevel="0" collapsed="false"/>
    <row r="359" customFormat="false" ht="14.1" hidden="false" customHeight="true" outlineLevel="0" collapsed="false"/>
    <row r="360" customFormat="false" ht="14.1" hidden="false" customHeight="true" outlineLevel="0" collapsed="false"/>
    <row r="361" customFormat="false" ht="14.1" hidden="false" customHeight="true" outlineLevel="0" collapsed="false"/>
    <row r="362" customFormat="false" ht="14.1" hidden="false" customHeight="true" outlineLevel="0" collapsed="false"/>
    <row r="363" customFormat="false" ht="14.1" hidden="false" customHeight="true" outlineLevel="0" collapsed="false"/>
    <row r="364" customFormat="false" ht="14.1" hidden="false" customHeight="true" outlineLevel="0" collapsed="false"/>
    <row r="365" customFormat="false" ht="14.1" hidden="false" customHeight="true" outlineLevel="0" collapsed="false"/>
    <row r="366" customFormat="false" ht="14.1" hidden="false" customHeight="true" outlineLevel="0" collapsed="false"/>
    <row r="367" customFormat="false" ht="14.1" hidden="false" customHeight="true" outlineLevel="0" collapsed="false"/>
    <row r="368" customFormat="false" ht="14.1" hidden="false" customHeight="true" outlineLevel="0" collapsed="false"/>
    <row r="369" customFormat="false" ht="14.1" hidden="false" customHeight="true" outlineLevel="0" collapsed="false"/>
    <row r="370" customFormat="false" ht="14.1" hidden="false" customHeight="true" outlineLevel="0" collapsed="false"/>
    <row r="371" customFormat="false" ht="14.1" hidden="false" customHeight="true" outlineLevel="0" collapsed="false"/>
    <row r="372" customFormat="false" ht="14.1" hidden="false" customHeight="true" outlineLevel="0" collapsed="false"/>
    <row r="373" customFormat="false" ht="14.1" hidden="false" customHeight="true" outlineLevel="0" collapsed="false"/>
    <row r="374" customFormat="false" ht="14.1" hidden="false" customHeight="true" outlineLevel="0" collapsed="false"/>
    <row r="375" customFormat="false" ht="14.1" hidden="false" customHeight="true" outlineLevel="0" collapsed="false"/>
    <row r="376" customFormat="false" ht="14.1" hidden="false" customHeight="true" outlineLevel="0" collapsed="false"/>
    <row r="377" customFormat="false" ht="14.1" hidden="false" customHeight="true" outlineLevel="0" collapsed="false"/>
    <row r="378" customFormat="false" ht="14.1" hidden="false" customHeight="true" outlineLevel="0" collapsed="false"/>
    <row r="379" customFormat="false" ht="14.1" hidden="false" customHeight="true" outlineLevel="0" collapsed="false"/>
    <row r="380" customFormat="false" ht="14.1" hidden="false" customHeight="true" outlineLevel="0" collapsed="false"/>
    <row r="381" customFormat="false" ht="14.1" hidden="false" customHeight="true" outlineLevel="0" collapsed="false"/>
    <row r="382" customFormat="false" ht="14.1" hidden="false" customHeight="true" outlineLevel="0" collapsed="false"/>
    <row r="383" customFormat="false" ht="14.1" hidden="false" customHeight="true" outlineLevel="0" collapsed="false"/>
    <row r="384" customFormat="false" ht="14.1" hidden="false" customHeight="true" outlineLevel="0" collapsed="false"/>
    <row r="385" customFormat="false" ht="14.1" hidden="false" customHeight="true" outlineLevel="0" collapsed="false"/>
    <row r="386" customFormat="false" ht="14.1" hidden="false" customHeight="true" outlineLevel="0" collapsed="false"/>
    <row r="387" customFormat="false" ht="14.1" hidden="false" customHeight="true" outlineLevel="0" collapsed="false"/>
    <row r="388" customFormat="false" ht="14.1" hidden="false" customHeight="true" outlineLevel="0" collapsed="false"/>
    <row r="389" customFormat="false" ht="14.1" hidden="false" customHeight="true" outlineLevel="0" collapsed="false"/>
    <row r="390" customFormat="false" ht="14.1" hidden="false" customHeight="true" outlineLevel="0" collapsed="false"/>
    <row r="391" customFormat="false" ht="14.1" hidden="false" customHeight="true" outlineLevel="0" collapsed="false"/>
    <row r="392" customFormat="false" ht="14.1" hidden="false" customHeight="true" outlineLevel="0" collapsed="false"/>
    <row r="393" customFormat="false" ht="14.1" hidden="false" customHeight="true" outlineLevel="0" collapsed="false"/>
    <row r="394" customFormat="false" ht="14.1" hidden="false" customHeight="true" outlineLevel="0" collapsed="false"/>
    <row r="395" customFormat="false" ht="14.1" hidden="false" customHeight="true" outlineLevel="0" collapsed="false"/>
    <row r="396" customFormat="false" ht="14.1" hidden="false" customHeight="true" outlineLevel="0" collapsed="false"/>
    <row r="397" customFormat="false" ht="14.1" hidden="false" customHeight="true" outlineLevel="0" collapsed="false"/>
    <row r="398" customFormat="false" ht="14.1" hidden="false" customHeight="true" outlineLevel="0" collapsed="false"/>
    <row r="399" customFormat="false" ht="14.1" hidden="false" customHeight="true" outlineLevel="0" collapsed="false"/>
    <row r="400" customFormat="false" ht="14.1" hidden="false" customHeight="true" outlineLevel="0" collapsed="false"/>
    <row r="401" customFormat="false" ht="14.1" hidden="false" customHeight="true" outlineLevel="0" collapsed="false"/>
    <row r="402" customFormat="false" ht="14.1" hidden="false" customHeight="true" outlineLevel="0" collapsed="false"/>
    <row r="403" customFormat="false" ht="14.1" hidden="false" customHeight="true" outlineLevel="0" collapsed="false"/>
    <row r="404" customFormat="false" ht="14.1" hidden="false" customHeight="true" outlineLevel="0" collapsed="false"/>
  </sheetData>
  <mergeCells count="46">
    <mergeCell ref="A1:AH1"/>
    <mergeCell ref="A2:E3"/>
    <mergeCell ref="F2:T3"/>
    <mergeCell ref="U2:Y3"/>
    <mergeCell ref="Z2:AH3"/>
    <mergeCell ref="A4:E5"/>
    <mergeCell ref="F4:T5"/>
    <mergeCell ref="U4:Y5"/>
    <mergeCell ref="Z4:AH5"/>
    <mergeCell ref="A6:E7"/>
    <mergeCell ref="F6:T7"/>
    <mergeCell ref="U6:Y7"/>
    <mergeCell ref="Z6:AH7"/>
    <mergeCell ref="A8:E10"/>
    <mergeCell ref="F8:AH10"/>
    <mergeCell ref="A11:E12"/>
    <mergeCell ref="F11:I12"/>
    <mergeCell ref="J11:L12"/>
    <mergeCell ref="M11:P12"/>
    <mergeCell ref="Q11:T12"/>
    <mergeCell ref="U11:X12"/>
    <mergeCell ref="Y11:AB12"/>
    <mergeCell ref="AC11:AH12"/>
    <mergeCell ref="A13:AH13"/>
    <mergeCell ref="A14:E20"/>
    <mergeCell ref="F14:J15"/>
    <mergeCell ref="K14:R14"/>
    <mergeCell ref="S14:Z14"/>
    <mergeCell ref="AA14:AH14"/>
    <mergeCell ref="K15:R15"/>
    <mergeCell ref="S15:V15"/>
    <mergeCell ref="W15:Z15"/>
    <mergeCell ref="AA15:AD15"/>
    <mergeCell ref="AE15:AH15"/>
    <mergeCell ref="F16:J16"/>
    <mergeCell ref="K16:O16"/>
    <mergeCell ref="P16:R16"/>
    <mergeCell ref="S16:V16"/>
    <mergeCell ref="W16:Z16"/>
    <mergeCell ref="AA16:AD16"/>
    <mergeCell ref="AE16:AH16"/>
    <mergeCell ref="F18:J19"/>
    <mergeCell ref="K18:R18"/>
    <mergeCell ref="K19:R19"/>
    <mergeCell ref="F20:J20"/>
    <mergeCell ref="K20:R20"/>
  </mergeCells>
  <dataValidations count="5">
    <dataValidation allowBlank="true" operator="between" showDropDown="false" showErrorMessage="true" showInputMessage="true" sqref="F16 F20 K20" type="list">
      <formula1>$AT$14:$AT$15</formula1>
      <formula2>0</formula2>
    </dataValidation>
    <dataValidation allowBlank="true" operator="between" showDropDown="false" showErrorMessage="true" showInputMessage="true" sqref="K15 K19" type="list">
      <formula1>$AU$14:$AU$15</formula1>
      <formula2>0</formula2>
    </dataValidation>
    <dataValidation allowBlank="true" operator="between" showDropDown="false" showErrorMessage="true" showInputMessage="true" sqref="P16:R16" type="list">
      <formula1>$AV$14:$AV$17</formula1>
      <formula2>0</formula2>
    </dataValidation>
    <dataValidation allowBlank="true" operator="between" showDropDown="false" showErrorMessage="true" showInputMessage="true" sqref="AU18" type="custom">
      <formula1>AT18=1</formula1>
      <formula2>0</formula2>
    </dataValidation>
    <dataValidation allowBlank="true" operator="between" showDropDown="false" showErrorMessage="true" showInputMessage="true" sqref="AT22" type="custom">
      <formula1>"AT19=1"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V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30" workbookViewId="0">
      <selection pane="topLeft" activeCell="M25" activeCellId="0" sqref="M25"/>
    </sheetView>
  </sheetViews>
  <sheetFormatPr defaultRowHeight="12" zeroHeight="false" outlineLevelRow="0" outlineLevelCol="0"/>
  <cols>
    <col collapsed="false" customWidth="true" hidden="false" outlineLevel="0" max="8" min="1" style="130" width="2.42"/>
    <col collapsed="false" customWidth="true" hidden="false" outlineLevel="0" max="9" min="9" style="130" width="2.57"/>
    <col collapsed="false" customWidth="true" hidden="false" outlineLevel="0" max="10" min="10" style="130" width="4.71"/>
    <col collapsed="false" customWidth="true" hidden="false" outlineLevel="0" max="11" min="11" style="130" width="1.71"/>
    <col collapsed="false" customWidth="true" hidden="false" outlineLevel="0" max="12" min="12" style="130" width="3.14"/>
    <col collapsed="false" customWidth="true" hidden="false" outlineLevel="0" max="13" min="13" style="130" width="1.71"/>
    <col collapsed="false" customWidth="true" hidden="false" outlineLevel="0" max="14" min="14" style="130" width="3.14"/>
    <col collapsed="false" customWidth="true" hidden="false" outlineLevel="0" max="15" min="15" style="130" width="1.71"/>
    <col collapsed="false" customWidth="true" hidden="false" outlineLevel="0" max="16" min="16" style="130" width="3.14"/>
    <col collapsed="false" customWidth="true" hidden="false" outlineLevel="0" max="17" min="17" style="130" width="1.58"/>
    <col collapsed="false" customWidth="true" hidden="false" outlineLevel="0" max="18" min="18" style="130" width="3.14"/>
    <col collapsed="false" customWidth="true" hidden="false" outlineLevel="0" max="19" min="19" style="130" width="1.71"/>
    <col collapsed="false" customWidth="true" hidden="false" outlineLevel="0" max="20" min="20" style="130" width="3.14"/>
    <col collapsed="false" customWidth="true" hidden="false" outlineLevel="0" max="21" min="21" style="130" width="1.71"/>
    <col collapsed="false" customWidth="true" hidden="false" outlineLevel="0" max="22" min="22" style="130" width="3.14"/>
    <col collapsed="false" customWidth="true" hidden="false" outlineLevel="0" max="23" min="23" style="130" width="1.58"/>
    <col collapsed="false" customWidth="true" hidden="false" outlineLevel="0" max="24" min="24" style="130" width="3.14"/>
    <col collapsed="false" customWidth="true" hidden="false" outlineLevel="0" max="45" min="25" style="130" width="2.57"/>
    <col collapsed="false" customWidth="true" hidden="false" outlineLevel="0" max="1025" min="46" style="130" width="9.14"/>
  </cols>
  <sheetData>
    <row r="1" customFormat="false" ht="4.5" hidden="false" customHeight="true" outlineLevel="0" collapsed="false">
      <c r="A1" s="131"/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</row>
    <row r="2" customFormat="false" ht="15" hidden="false" customHeight="true" outlineLevel="0" collapsed="false">
      <c r="A2" s="131" t="s">
        <v>269</v>
      </c>
      <c r="B2" s="131"/>
      <c r="C2" s="131"/>
      <c r="D2" s="131"/>
      <c r="E2" s="131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1" t="s">
        <v>270</v>
      </c>
      <c r="V2" s="131"/>
      <c r="W2" s="131"/>
      <c r="X2" s="131"/>
      <c r="Y2" s="131"/>
      <c r="Z2" s="132"/>
      <c r="AA2" s="132"/>
      <c r="AB2" s="132"/>
      <c r="AC2" s="132"/>
      <c r="AD2" s="132"/>
      <c r="AE2" s="132"/>
      <c r="AF2" s="132"/>
      <c r="AG2" s="132"/>
      <c r="AH2" s="132"/>
    </row>
    <row r="3" customFormat="false" ht="15" hidden="false" customHeight="true" outlineLevel="0" collapsed="false">
      <c r="A3" s="131"/>
      <c r="B3" s="131"/>
      <c r="C3" s="131"/>
      <c r="D3" s="131"/>
      <c r="E3" s="131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1"/>
      <c r="V3" s="131"/>
      <c r="W3" s="131"/>
      <c r="X3" s="131"/>
      <c r="Y3" s="131"/>
      <c r="Z3" s="132"/>
      <c r="AA3" s="132"/>
      <c r="AB3" s="132"/>
      <c r="AC3" s="132"/>
      <c r="AD3" s="132"/>
      <c r="AE3" s="132"/>
      <c r="AF3" s="132"/>
      <c r="AG3" s="132"/>
      <c r="AH3" s="132"/>
    </row>
    <row r="4" customFormat="false" ht="15" hidden="false" customHeight="true" outlineLevel="0" collapsed="false">
      <c r="A4" s="133" t="s">
        <v>271</v>
      </c>
      <c r="B4" s="133"/>
      <c r="C4" s="133"/>
      <c r="D4" s="133"/>
      <c r="E4" s="133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 t="s">
        <v>272</v>
      </c>
      <c r="V4" s="134"/>
      <c r="W4" s="134"/>
      <c r="X4" s="134"/>
      <c r="Y4" s="134"/>
      <c r="Z4" s="135"/>
      <c r="AA4" s="135"/>
      <c r="AB4" s="135"/>
      <c r="AC4" s="135"/>
      <c r="AD4" s="135"/>
      <c r="AE4" s="135"/>
      <c r="AF4" s="135"/>
      <c r="AG4" s="135"/>
      <c r="AH4" s="135"/>
    </row>
    <row r="5" customFormat="false" ht="15" hidden="false" customHeight="true" outlineLevel="0" collapsed="false">
      <c r="A5" s="133"/>
      <c r="B5" s="133"/>
      <c r="C5" s="133"/>
      <c r="D5" s="133"/>
      <c r="E5" s="133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5"/>
      <c r="AA5" s="135"/>
      <c r="AB5" s="135"/>
      <c r="AC5" s="135"/>
      <c r="AD5" s="135"/>
      <c r="AE5" s="135"/>
      <c r="AF5" s="135"/>
      <c r="AG5" s="135"/>
      <c r="AH5" s="135"/>
    </row>
    <row r="6" customFormat="false" ht="15" hidden="false" customHeight="true" outlineLevel="0" collapsed="false">
      <c r="A6" s="136" t="s">
        <v>273</v>
      </c>
      <c r="B6" s="136"/>
      <c r="C6" s="136"/>
      <c r="D6" s="136"/>
      <c r="E6" s="136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6" t="s">
        <v>274</v>
      </c>
      <c r="V6" s="136"/>
      <c r="W6" s="136"/>
      <c r="X6" s="136"/>
      <c r="Y6" s="136"/>
      <c r="Z6" s="134"/>
      <c r="AA6" s="134"/>
      <c r="AB6" s="134"/>
      <c r="AC6" s="134"/>
      <c r="AD6" s="134"/>
      <c r="AE6" s="134"/>
      <c r="AF6" s="134"/>
      <c r="AG6" s="134"/>
      <c r="AH6" s="134"/>
    </row>
    <row r="7" customFormat="false" ht="15" hidden="false" customHeight="true" outlineLevel="0" collapsed="false">
      <c r="A7" s="136"/>
      <c r="B7" s="136"/>
      <c r="C7" s="136"/>
      <c r="D7" s="136"/>
      <c r="E7" s="136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6"/>
      <c r="V7" s="136"/>
      <c r="W7" s="136"/>
      <c r="X7" s="136"/>
      <c r="Y7" s="136"/>
      <c r="Z7" s="134"/>
      <c r="AA7" s="134"/>
      <c r="AB7" s="134"/>
      <c r="AC7" s="134"/>
      <c r="AD7" s="134"/>
      <c r="AE7" s="134"/>
      <c r="AF7" s="134"/>
      <c r="AG7" s="134"/>
      <c r="AH7" s="134"/>
    </row>
    <row r="8" customFormat="false" ht="15" hidden="false" customHeight="true" outlineLevel="0" collapsed="false">
      <c r="A8" s="134" t="s">
        <v>275</v>
      </c>
      <c r="B8" s="134"/>
      <c r="C8" s="134"/>
      <c r="D8" s="134"/>
      <c r="E8" s="134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</row>
    <row r="9" customFormat="false" ht="15" hidden="false" customHeight="true" outlineLevel="0" collapsed="false">
      <c r="A9" s="134"/>
      <c r="B9" s="134"/>
      <c r="C9" s="134"/>
      <c r="D9" s="134"/>
      <c r="E9" s="134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</row>
    <row r="10" customFormat="false" ht="15" hidden="false" customHeight="true" outlineLevel="0" collapsed="false">
      <c r="A10" s="134"/>
      <c r="B10" s="134"/>
      <c r="C10" s="134"/>
      <c r="D10" s="134"/>
      <c r="E10" s="134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</row>
    <row r="11" customFormat="false" ht="14.1" hidden="false" customHeight="true" outlineLevel="0" collapsed="false">
      <c r="A11" s="137" t="s">
        <v>276</v>
      </c>
      <c r="B11" s="137"/>
      <c r="C11" s="137"/>
      <c r="D11" s="137"/>
      <c r="E11" s="137"/>
      <c r="F11" s="138" t="s">
        <v>277</v>
      </c>
      <c r="G11" s="138"/>
      <c r="H11" s="138"/>
      <c r="I11" s="138"/>
      <c r="J11" s="139"/>
      <c r="K11" s="139"/>
      <c r="L11" s="139"/>
      <c r="M11" s="139" t="s">
        <v>278</v>
      </c>
      <c r="N11" s="139"/>
      <c r="O11" s="139"/>
      <c r="P11" s="139"/>
      <c r="Q11" s="139"/>
      <c r="R11" s="139"/>
      <c r="S11" s="139"/>
      <c r="T11" s="139"/>
      <c r="U11" s="139" t="s">
        <v>279</v>
      </c>
      <c r="V11" s="139"/>
      <c r="W11" s="139"/>
      <c r="X11" s="139"/>
      <c r="Y11" s="139"/>
      <c r="Z11" s="139"/>
      <c r="AA11" s="139"/>
      <c r="AB11" s="139"/>
      <c r="AC11" s="140" t="s">
        <v>298</v>
      </c>
      <c r="AD11" s="140"/>
      <c r="AE11" s="140"/>
      <c r="AF11" s="140"/>
      <c r="AG11" s="140"/>
      <c r="AH11" s="140"/>
    </row>
    <row r="12" customFormat="false" ht="14.1" hidden="false" customHeight="true" outlineLevel="0" collapsed="false">
      <c r="A12" s="137"/>
      <c r="B12" s="137"/>
      <c r="C12" s="137"/>
      <c r="D12" s="137"/>
      <c r="E12" s="137"/>
      <c r="F12" s="138"/>
      <c r="G12" s="138"/>
      <c r="H12" s="138"/>
      <c r="I12" s="138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40"/>
      <c r="AD12" s="140"/>
      <c r="AE12" s="140"/>
      <c r="AF12" s="140"/>
      <c r="AG12" s="140"/>
      <c r="AH12" s="140"/>
    </row>
    <row r="13" customFormat="false" ht="4.5" hidden="false" customHeight="true" outlineLevel="0" collapsed="false">
      <c r="A13" s="141"/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</row>
    <row r="14" customFormat="false" ht="14.1" hidden="false" customHeight="true" outlineLevel="0" collapsed="false">
      <c r="A14" s="142" t="s">
        <v>280</v>
      </c>
      <c r="B14" s="142"/>
      <c r="C14" s="142"/>
      <c r="D14" s="142"/>
      <c r="E14" s="142"/>
      <c r="F14" s="143" t="s">
        <v>5</v>
      </c>
      <c r="G14" s="143"/>
      <c r="H14" s="143"/>
      <c r="I14" s="143"/>
      <c r="J14" s="143"/>
      <c r="K14" s="143"/>
      <c r="L14" s="143"/>
      <c r="M14" s="132" t="s">
        <v>282</v>
      </c>
      <c r="N14" s="132"/>
      <c r="O14" s="132"/>
      <c r="P14" s="132"/>
      <c r="Q14" s="132"/>
      <c r="R14" s="132"/>
      <c r="S14" s="132"/>
      <c r="T14" s="132"/>
      <c r="U14" s="144" t="s">
        <v>299</v>
      </c>
      <c r="V14" s="144"/>
      <c r="W14" s="144"/>
      <c r="X14" s="144"/>
      <c r="Y14" s="144"/>
      <c r="Z14" s="144"/>
      <c r="AA14" s="132" t="s">
        <v>300</v>
      </c>
      <c r="AB14" s="132"/>
      <c r="AC14" s="132"/>
      <c r="AD14" s="132"/>
      <c r="AE14" s="132"/>
      <c r="AF14" s="132"/>
      <c r="AG14" s="132"/>
      <c r="AH14" s="132"/>
      <c r="AT14" s="130" t="s">
        <v>284</v>
      </c>
      <c r="AU14" s="130" t="s">
        <v>301</v>
      </c>
      <c r="AV14" s="130" t="s">
        <v>71</v>
      </c>
    </row>
    <row r="15" customFormat="false" ht="14.1" hidden="false" customHeight="true" outlineLevel="0" collapsed="false">
      <c r="A15" s="142"/>
      <c r="B15" s="142"/>
      <c r="C15" s="142"/>
      <c r="D15" s="142"/>
      <c r="E15" s="142"/>
      <c r="F15" s="145" t="s">
        <v>285</v>
      </c>
      <c r="G15" s="145"/>
      <c r="H15" s="145"/>
      <c r="I15" s="145"/>
      <c r="J15" s="145"/>
      <c r="K15" s="145"/>
      <c r="L15" s="145"/>
      <c r="M15" s="146" t="s">
        <v>302</v>
      </c>
      <c r="N15" s="146"/>
      <c r="O15" s="146"/>
      <c r="P15" s="146"/>
      <c r="Q15" s="147" t="s">
        <v>303</v>
      </c>
      <c r="R15" s="147"/>
      <c r="S15" s="147"/>
      <c r="T15" s="147"/>
      <c r="U15" s="144"/>
      <c r="V15" s="144"/>
      <c r="W15" s="144"/>
      <c r="X15" s="144"/>
      <c r="Y15" s="144"/>
      <c r="Z15" s="144"/>
      <c r="AA15" s="134" t="s">
        <v>297</v>
      </c>
      <c r="AB15" s="134"/>
      <c r="AC15" s="134"/>
      <c r="AD15" s="134"/>
      <c r="AE15" s="134"/>
      <c r="AF15" s="134"/>
      <c r="AG15" s="134"/>
      <c r="AH15" s="134"/>
      <c r="AT15" s="130" t="s">
        <v>290</v>
      </c>
      <c r="AU15" s="130" t="s">
        <v>304</v>
      </c>
      <c r="AV15" s="130" t="s">
        <v>292</v>
      </c>
    </row>
    <row r="16" customFormat="false" ht="14.1" hidden="false" customHeight="true" outlineLevel="0" collapsed="false">
      <c r="A16" s="142"/>
      <c r="B16" s="142"/>
      <c r="C16" s="142"/>
      <c r="D16" s="142"/>
      <c r="E16" s="142"/>
      <c r="F16" s="148" t="s">
        <v>305</v>
      </c>
      <c r="G16" s="148"/>
      <c r="H16" s="148"/>
      <c r="I16" s="148"/>
      <c r="J16" s="148"/>
      <c r="K16" s="148"/>
      <c r="L16" s="148"/>
      <c r="M16" s="149"/>
      <c r="N16" s="149"/>
      <c r="O16" s="150" t="s">
        <v>306</v>
      </c>
      <c r="P16" s="150"/>
      <c r="Q16" s="150"/>
      <c r="R16" s="150"/>
      <c r="S16" s="151" t="s">
        <v>306</v>
      </c>
      <c r="T16" s="151"/>
      <c r="U16" s="144"/>
      <c r="V16" s="144"/>
      <c r="W16" s="144"/>
      <c r="X16" s="144"/>
      <c r="Y16" s="144"/>
      <c r="Z16" s="144"/>
      <c r="AA16" s="134" t="s">
        <v>285</v>
      </c>
      <c r="AB16" s="134"/>
      <c r="AC16" s="134"/>
      <c r="AD16" s="134"/>
      <c r="AE16" s="134"/>
      <c r="AF16" s="134"/>
      <c r="AG16" s="134"/>
      <c r="AH16" s="134"/>
      <c r="AU16" s="130" t="s">
        <v>307</v>
      </c>
      <c r="AV16" s="130" t="s">
        <v>294</v>
      </c>
    </row>
    <row r="17" customFormat="false" ht="14.1" hidden="false" customHeight="true" outlineLevel="0" collapsed="false">
      <c r="A17" s="142"/>
      <c r="B17" s="142"/>
      <c r="C17" s="142"/>
      <c r="D17" s="142"/>
      <c r="E17" s="142"/>
      <c r="F17" s="152"/>
      <c r="G17" s="152"/>
      <c r="H17" s="152"/>
      <c r="I17" s="152"/>
      <c r="J17" s="153" t="str">
        <f aca="false">J18</f>
        <v>Гкал/ч</v>
      </c>
      <c r="K17" s="153"/>
      <c r="L17" s="153"/>
      <c r="M17" s="154" t="s">
        <v>283</v>
      </c>
      <c r="N17" s="154"/>
      <c r="O17" s="154"/>
      <c r="P17" s="154"/>
      <c r="Q17" s="154"/>
      <c r="R17" s="154"/>
      <c r="S17" s="154"/>
      <c r="T17" s="154"/>
      <c r="U17" s="154" t="s">
        <v>308</v>
      </c>
      <c r="V17" s="154"/>
      <c r="W17" s="154"/>
      <c r="X17" s="154"/>
      <c r="Y17" s="154"/>
      <c r="Z17" s="154"/>
      <c r="AA17" s="134" t="s">
        <v>305</v>
      </c>
      <c r="AB17" s="134"/>
      <c r="AC17" s="134"/>
      <c r="AD17" s="134"/>
      <c r="AE17" s="134"/>
      <c r="AF17" s="134"/>
      <c r="AG17" s="134"/>
      <c r="AH17" s="134"/>
      <c r="AV17" s="130" t="s">
        <v>295</v>
      </c>
    </row>
    <row r="18" customFormat="false" ht="14.1" hidden="false" customHeight="true" outlineLevel="0" collapsed="false">
      <c r="A18" s="142"/>
      <c r="B18" s="142"/>
      <c r="C18" s="142"/>
      <c r="D18" s="142"/>
      <c r="E18" s="142"/>
      <c r="F18" s="155"/>
      <c r="G18" s="155"/>
      <c r="H18" s="155"/>
      <c r="I18" s="155"/>
      <c r="J18" s="156" t="s">
        <v>71</v>
      </c>
      <c r="K18" s="156"/>
      <c r="L18" s="156"/>
      <c r="M18" s="146" t="s">
        <v>309</v>
      </c>
      <c r="N18" s="146"/>
      <c r="O18" s="146"/>
      <c r="P18" s="146"/>
      <c r="Q18" s="153" t="s">
        <v>310</v>
      </c>
      <c r="R18" s="153"/>
      <c r="S18" s="153"/>
      <c r="T18" s="153"/>
      <c r="U18" s="154"/>
      <c r="V18" s="154"/>
      <c r="W18" s="154"/>
      <c r="X18" s="154"/>
      <c r="Y18" s="154"/>
      <c r="Z18" s="154"/>
      <c r="AA18" s="138" t="s">
        <v>290</v>
      </c>
      <c r="AB18" s="138"/>
      <c r="AC18" s="138"/>
      <c r="AD18" s="138"/>
      <c r="AE18" s="157"/>
      <c r="AF18" s="157"/>
      <c r="AG18" s="157"/>
      <c r="AH18" s="157"/>
    </row>
    <row r="19" customFormat="false" ht="14.1" hidden="false" customHeight="true" outlineLevel="0" collapsed="false">
      <c r="A19" s="142"/>
      <c r="B19" s="142"/>
      <c r="C19" s="142"/>
      <c r="D19" s="142"/>
      <c r="E19" s="142"/>
      <c r="F19" s="155"/>
      <c r="G19" s="155"/>
      <c r="H19" s="155"/>
      <c r="I19" s="155"/>
      <c r="J19" s="156"/>
      <c r="K19" s="156"/>
      <c r="L19" s="156"/>
      <c r="M19" s="138"/>
      <c r="N19" s="138"/>
      <c r="O19" s="139" t="s">
        <v>301</v>
      </c>
      <c r="P19" s="139"/>
      <c r="Q19" s="139"/>
      <c r="R19" s="139"/>
      <c r="S19" s="156" t="s">
        <v>301</v>
      </c>
      <c r="T19" s="156"/>
      <c r="U19" s="138"/>
      <c r="V19" s="138"/>
      <c r="W19" s="138"/>
      <c r="X19" s="138"/>
      <c r="Y19" s="156" t="s">
        <v>307</v>
      </c>
      <c r="Z19" s="156"/>
      <c r="AA19" s="138"/>
      <c r="AB19" s="138"/>
      <c r="AC19" s="138"/>
      <c r="AD19" s="138"/>
      <c r="AE19" s="157"/>
      <c r="AF19" s="157"/>
      <c r="AG19" s="157"/>
      <c r="AH19" s="157"/>
    </row>
    <row r="20" customFormat="false" ht="14.1" hidden="false" customHeight="true" outlineLevel="0" collapsed="false">
      <c r="A20" s="142"/>
      <c r="B20" s="142"/>
      <c r="C20" s="142"/>
      <c r="D20" s="142"/>
      <c r="E20" s="142"/>
      <c r="F20" s="158"/>
      <c r="G20" s="159"/>
      <c r="H20" s="159"/>
      <c r="I20" s="159"/>
      <c r="J20" s="160" t="s">
        <v>1</v>
      </c>
      <c r="K20" s="160" t="s">
        <v>164</v>
      </c>
      <c r="L20" s="160" t="s">
        <v>37</v>
      </c>
      <c r="M20" s="160" t="s">
        <v>164</v>
      </c>
      <c r="N20" s="160" t="s">
        <v>38</v>
      </c>
      <c r="O20" s="160" t="s">
        <v>164</v>
      </c>
      <c r="P20" s="160" t="s">
        <v>39</v>
      </c>
      <c r="Q20" s="160" t="s">
        <v>165</v>
      </c>
      <c r="R20" s="160" t="s">
        <v>40</v>
      </c>
      <c r="S20" s="160" t="s">
        <v>164</v>
      </c>
      <c r="T20" s="160" t="s">
        <v>41</v>
      </c>
      <c r="U20" s="160" t="s">
        <v>164</v>
      </c>
      <c r="V20" s="160" t="s">
        <v>42</v>
      </c>
      <c r="W20" s="160" t="s">
        <v>165</v>
      </c>
      <c r="X20" s="160" t="s">
        <v>43</v>
      </c>
      <c r="Y20" s="159"/>
      <c r="Z20" s="159"/>
      <c r="AA20" s="159"/>
      <c r="AB20" s="159"/>
      <c r="AC20" s="159"/>
      <c r="AD20" s="159"/>
      <c r="AE20" s="159"/>
      <c r="AF20" s="159"/>
      <c r="AG20" s="159"/>
      <c r="AH20" s="161"/>
    </row>
    <row r="21" customFormat="false" ht="4.5" hidden="false" customHeight="true" outlineLevel="0" collapsed="false">
      <c r="A21" s="141"/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</row>
    <row r="22" customFormat="false" ht="14.1" hidden="false" customHeight="true" outlineLevel="0" collapsed="false">
      <c r="A22" s="142" t="s">
        <v>311</v>
      </c>
      <c r="B22" s="142"/>
      <c r="C22" s="142"/>
      <c r="D22" s="142"/>
      <c r="E22" s="142"/>
      <c r="F22" s="131" t="s">
        <v>312</v>
      </c>
      <c r="G22" s="131"/>
      <c r="H22" s="131"/>
      <c r="I22" s="131"/>
      <c r="J22" s="131"/>
      <c r="K22" s="131"/>
      <c r="L22" s="131"/>
      <c r="M22" s="162" t="s">
        <v>282</v>
      </c>
      <c r="N22" s="162"/>
      <c r="O22" s="162"/>
      <c r="P22" s="162"/>
      <c r="Q22" s="162"/>
      <c r="R22" s="162"/>
      <c r="S22" s="162"/>
      <c r="T22" s="162"/>
      <c r="U22" s="163"/>
      <c r="V22" s="163"/>
      <c r="W22" s="163"/>
      <c r="X22" s="163"/>
      <c r="Y22" s="163"/>
      <c r="Z22" s="163"/>
      <c r="AA22" s="163"/>
      <c r="AB22" s="164"/>
      <c r="AC22" s="164"/>
      <c r="AD22" s="164"/>
      <c r="AE22" s="164"/>
      <c r="AF22" s="164"/>
      <c r="AG22" s="164"/>
      <c r="AH22" s="164"/>
      <c r="AU22" s="130" t="s">
        <v>312</v>
      </c>
      <c r="AV22" s="130" t="s">
        <v>313</v>
      </c>
    </row>
    <row r="23" customFormat="false" ht="14.1" hidden="false" customHeight="true" outlineLevel="0" collapsed="false">
      <c r="A23" s="142"/>
      <c r="B23" s="142"/>
      <c r="C23" s="142"/>
      <c r="D23" s="142"/>
      <c r="E23" s="142"/>
      <c r="F23" s="131" t="s">
        <v>313</v>
      </c>
      <c r="G23" s="131"/>
      <c r="H23" s="131"/>
      <c r="I23" s="131"/>
      <c r="J23" s="131"/>
      <c r="K23" s="131"/>
      <c r="L23" s="131"/>
      <c r="M23" s="152" t="s">
        <v>314</v>
      </c>
      <c r="N23" s="152"/>
      <c r="O23" s="152"/>
      <c r="P23" s="152"/>
      <c r="Q23" s="147" t="s">
        <v>315</v>
      </c>
      <c r="R23" s="147"/>
      <c r="S23" s="147"/>
      <c r="T23" s="147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35"/>
      <c r="AU23" s="130" t="s">
        <v>316</v>
      </c>
      <c r="AV23" s="130" t="s">
        <v>317</v>
      </c>
    </row>
    <row r="24" customFormat="false" ht="14.1" hidden="false" customHeight="true" outlineLevel="0" collapsed="false">
      <c r="A24" s="142"/>
      <c r="B24" s="142"/>
      <c r="C24" s="142"/>
      <c r="D24" s="142"/>
      <c r="E24" s="142"/>
      <c r="F24" s="132" t="s">
        <v>5</v>
      </c>
      <c r="G24" s="132"/>
      <c r="H24" s="132"/>
      <c r="I24" s="132"/>
      <c r="J24" s="132"/>
      <c r="K24" s="132"/>
      <c r="L24" s="132"/>
      <c r="M24" s="165"/>
      <c r="N24" s="165"/>
      <c r="O24" s="150" t="s">
        <v>306</v>
      </c>
      <c r="P24" s="150"/>
      <c r="Q24" s="150"/>
      <c r="R24" s="150"/>
      <c r="S24" s="151" t="s">
        <v>306</v>
      </c>
      <c r="T24" s="151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  <c r="AE24" s="160"/>
      <c r="AF24" s="160"/>
      <c r="AG24" s="160"/>
      <c r="AH24" s="135"/>
    </row>
    <row r="25" customFormat="false" ht="14.1" hidden="false" customHeight="true" outlineLevel="0" collapsed="false">
      <c r="A25" s="142"/>
      <c r="B25" s="142"/>
      <c r="C25" s="142"/>
      <c r="D25" s="142"/>
      <c r="E25" s="142"/>
      <c r="F25" s="166"/>
      <c r="G25" s="166"/>
      <c r="H25" s="166"/>
      <c r="I25" s="166"/>
      <c r="J25" s="167" t="s">
        <v>71</v>
      </c>
      <c r="K25" s="167"/>
      <c r="L25" s="167"/>
      <c r="M25" s="132" t="s">
        <v>318</v>
      </c>
      <c r="N25" s="132"/>
      <c r="O25" s="132"/>
      <c r="P25" s="132"/>
      <c r="Q25" s="132"/>
      <c r="R25" s="132"/>
      <c r="S25" s="132"/>
      <c r="T25" s="132"/>
      <c r="U25" s="160"/>
      <c r="V25" s="160"/>
      <c r="W25" s="160"/>
      <c r="X25" s="160"/>
      <c r="Y25" s="160"/>
      <c r="Z25" s="160"/>
      <c r="AA25" s="160"/>
      <c r="AB25" s="160"/>
      <c r="AC25" s="160"/>
      <c r="AD25" s="160"/>
      <c r="AE25" s="160"/>
      <c r="AF25" s="160"/>
      <c r="AG25" s="160"/>
      <c r="AH25" s="135"/>
    </row>
    <row r="26" customFormat="false" ht="14.1" hidden="false" customHeight="true" outlineLevel="0" collapsed="false">
      <c r="A26" s="142"/>
      <c r="B26" s="142"/>
      <c r="C26" s="142"/>
      <c r="D26" s="142"/>
      <c r="E26" s="142"/>
      <c r="F26" s="166"/>
      <c r="G26" s="166"/>
      <c r="H26" s="166"/>
      <c r="I26" s="166"/>
      <c r="J26" s="167"/>
      <c r="K26" s="167"/>
      <c r="L26" s="167"/>
      <c r="M26" s="138"/>
      <c r="N26" s="138"/>
      <c r="O26" s="138"/>
      <c r="P26" s="138"/>
      <c r="Q26" s="157" t="s">
        <v>307</v>
      </c>
      <c r="R26" s="157"/>
      <c r="S26" s="157"/>
      <c r="T26" s="157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35"/>
    </row>
    <row r="27" customFormat="false" ht="14.1" hidden="false" customHeight="true" outlineLevel="0" collapsed="false">
      <c r="A27" s="168"/>
      <c r="B27" s="169"/>
      <c r="C27" s="169"/>
      <c r="D27" s="169"/>
      <c r="E27" s="169"/>
      <c r="Y27" s="160"/>
      <c r="Z27" s="160"/>
      <c r="AA27" s="160"/>
      <c r="AB27" s="160"/>
      <c r="AC27" s="160"/>
      <c r="AD27" s="160"/>
      <c r="AE27" s="160"/>
      <c r="AF27" s="160"/>
      <c r="AG27" s="160"/>
      <c r="AH27" s="135"/>
    </row>
    <row r="28" customFormat="false" ht="14.1" hidden="false" customHeight="true" outlineLevel="0" collapsed="false">
      <c r="A28" s="170"/>
      <c r="B28" s="171"/>
      <c r="C28" s="171"/>
      <c r="D28" s="171"/>
      <c r="E28" s="171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35"/>
    </row>
    <row r="29" customFormat="false" ht="14.1" hidden="false" customHeight="true" outlineLevel="0" collapsed="false">
      <c r="A29" s="172"/>
      <c r="B29" s="160"/>
      <c r="C29" s="160"/>
      <c r="D29" s="160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35"/>
    </row>
    <row r="30" customFormat="false" ht="14.1" hidden="false" customHeight="true" outlineLevel="0" collapsed="false">
      <c r="A30" s="172"/>
      <c r="B30" s="160"/>
      <c r="C30" s="160"/>
      <c r="D30" s="160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35"/>
    </row>
    <row r="31" customFormat="false" ht="14.1" hidden="false" customHeight="true" outlineLevel="0" collapsed="false">
      <c r="A31" s="172"/>
      <c r="B31" s="160"/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35"/>
    </row>
    <row r="32" customFormat="false" ht="14.1" hidden="false" customHeight="true" outlineLevel="0" collapsed="false">
      <c r="A32" s="172"/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35"/>
    </row>
    <row r="33" customFormat="false" ht="14.1" hidden="false" customHeight="true" outlineLevel="0" collapsed="false">
      <c r="A33" s="172"/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35"/>
    </row>
    <row r="34" customFormat="false" ht="14.1" hidden="false" customHeight="true" outlineLevel="0" collapsed="false">
      <c r="A34" s="172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35"/>
    </row>
    <row r="35" customFormat="false" ht="14.1" hidden="false" customHeight="true" outlineLevel="0" collapsed="false">
      <c r="A35" s="172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35"/>
    </row>
    <row r="36" customFormat="false" ht="14.1" hidden="false" customHeight="true" outlineLevel="0" collapsed="false">
      <c r="A36" s="172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35"/>
    </row>
    <row r="37" customFormat="false" ht="14.1" hidden="false" customHeight="true" outlineLevel="0" collapsed="false">
      <c r="A37" s="172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35"/>
    </row>
    <row r="38" customFormat="false" ht="14.1" hidden="false" customHeight="true" outlineLevel="0" collapsed="false">
      <c r="A38" s="172"/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35"/>
    </row>
    <row r="39" customFormat="false" ht="14.1" hidden="false" customHeight="true" outlineLevel="0" collapsed="false">
      <c r="A39" s="172"/>
      <c r="B39" s="160"/>
      <c r="C39" s="160"/>
      <c r="D39" s="160"/>
      <c r="E39" s="160"/>
      <c r="F39" s="160"/>
      <c r="G39" s="160"/>
      <c r="H39" s="160"/>
      <c r="I39" s="160"/>
      <c r="J39" s="160" t="s">
        <v>2</v>
      </c>
      <c r="K39" s="160" t="s">
        <v>164</v>
      </c>
      <c r="L39" s="160" t="s">
        <v>37</v>
      </c>
      <c r="M39" s="160" t="s">
        <v>164</v>
      </c>
      <c r="N39" s="160" t="s">
        <v>38</v>
      </c>
      <c r="O39" s="160" t="s">
        <v>164</v>
      </c>
      <c r="P39" s="160" t="s">
        <v>39</v>
      </c>
      <c r="Q39" s="160" t="s">
        <v>165</v>
      </c>
      <c r="R39" s="160" t="s">
        <v>40</v>
      </c>
      <c r="S39" s="160" t="s">
        <v>164</v>
      </c>
      <c r="T39" s="160" t="s">
        <v>41</v>
      </c>
      <c r="U39" s="160" t="s">
        <v>164</v>
      </c>
      <c r="V39" s="160" t="s">
        <v>42</v>
      </c>
      <c r="W39" s="160" t="s">
        <v>165</v>
      </c>
      <c r="X39" s="160" t="s">
        <v>43</v>
      </c>
      <c r="Y39" s="160"/>
      <c r="Z39" s="160"/>
      <c r="AA39" s="160"/>
      <c r="AB39" s="160"/>
      <c r="AC39" s="160"/>
      <c r="AD39" s="160"/>
      <c r="AE39" s="160"/>
      <c r="AF39" s="160"/>
      <c r="AG39" s="160"/>
      <c r="AH39" s="135"/>
    </row>
    <row r="40" customFormat="false" ht="14.1" hidden="false" customHeight="true" outlineLevel="0" collapsed="false"/>
    <row r="41" customFormat="false" ht="14.1" hidden="false" customHeight="true" outlineLevel="0" collapsed="false"/>
    <row r="42" customFormat="false" ht="14.1" hidden="false" customHeight="true" outlineLevel="0" collapsed="false"/>
    <row r="43" customFormat="false" ht="14.1" hidden="false" customHeight="true" outlineLevel="0" collapsed="false"/>
    <row r="44" customFormat="false" ht="14.1" hidden="false" customHeight="true" outlineLevel="0" collapsed="false"/>
    <row r="45" customFormat="false" ht="14.1" hidden="false" customHeight="true" outlineLevel="0" collapsed="false"/>
    <row r="46" customFormat="false" ht="14.1" hidden="false" customHeight="true" outlineLevel="0" collapsed="false"/>
    <row r="47" customFormat="false" ht="14.1" hidden="false" customHeight="true" outlineLevel="0" collapsed="false"/>
    <row r="48" customFormat="false" ht="14.1" hidden="false" customHeight="true" outlineLevel="0" collapsed="false"/>
    <row r="49" customFormat="false" ht="14.1" hidden="false" customHeight="true" outlineLevel="0" collapsed="false"/>
    <row r="50" customFormat="false" ht="14.1" hidden="false" customHeight="true" outlineLevel="0" collapsed="false"/>
    <row r="51" customFormat="false" ht="14.1" hidden="false" customHeight="true" outlineLevel="0" collapsed="false"/>
    <row r="52" customFormat="false" ht="14.1" hidden="false" customHeight="true" outlineLevel="0" collapsed="false"/>
    <row r="53" customFormat="false" ht="14.1" hidden="false" customHeight="true" outlineLevel="0" collapsed="false"/>
    <row r="54" customFormat="false" ht="14.1" hidden="false" customHeight="true" outlineLevel="0" collapsed="false"/>
    <row r="55" customFormat="false" ht="14.1" hidden="false" customHeight="true" outlineLevel="0" collapsed="false"/>
    <row r="56" customFormat="false" ht="14.1" hidden="false" customHeight="true" outlineLevel="0" collapsed="false"/>
    <row r="57" customFormat="false" ht="14.1" hidden="false" customHeight="true" outlineLevel="0" collapsed="false"/>
    <row r="58" customFormat="false" ht="14.1" hidden="false" customHeight="true" outlineLevel="0" collapsed="false"/>
    <row r="59" customFormat="false" ht="14.1" hidden="false" customHeight="true" outlineLevel="0" collapsed="false"/>
    <row r="60" customFormat="false" ht="14.1" hidden="false" customHeight="true" outlineLevel="0" collapsed="false"/>
    <row r="61" customFormat="false" ht="14.1" hidden="false" customHeight="true" outlineLevel="0" collapsed="false"/>
    <row r="62" customFormat="false" ht="14.1" hidden="false" customHeight="true" outlineLevel="0" collapsed="false"/>
    <row r="63" customFormat="false" ht="14.1" hidden="false" customHeight="true" outlineLevel="0" collapsed="false"/>
    <row r="64" customFormat="false" ht="14.1" hidden="false" customHeight="true" outlineLevel="0" collapsed="false"/>
    <row r="65" customFormat="false" ht="14.1" hidden="false" customHeight="true" outlineLevel="0" collapsed="false"/>
    <row r="66" customFormat="false" ht="14.1" hidden="false" customHeight="true" outlineLevel="0" collapsed="false"/>
    <row r="67" customFormat="false" ht="14.1" hidden="false" customHeight="true" outlineLevel="0" collapsed="false"/>
    <row r="68" customFormat="false" ht="14.1" hidden="false" customHeight="true" outlineLevel="0" collapsed="false"/>
    <row r="69" customFormat="false" ht="14.1" hidden="false" customHeight="true" outlineLevel="0" collapsed="false"/>
    <row r="70" customFormat="false" ht="14.1" hidden="false" customHeight="true" outlineLevel="0" collapsed="false"/>
    <row r="71" customFormat="false" ht="14.1" hidden="false" customHeight="true" outlineLevel="0" collapsed="false"/>
    <row r="72" customFormat="false" ht="14.1" hidden="false" customHeight="true" outlineLevel="0" collapsed="false"/>
    <row r="73" customFormat="false" ht="14.1" hidden="false" customHeight="true" outlineLevel="0" collapsed="false"/>
    <row r="74" customFormat="false" ht="14.1" hidden="false" customHeight="true" outlineLevel="0" collapsed="false"/>
    <row r="75" customFormat="false" ht="14.1" hidden="false" customHeight="true" outlineLevel="0" collapsed="false"/>
    <row r="76" customFormat="false" ht="14.1" hidden="false" customHeight="true" outlineLevel="0" collapsed="false"/>
    <row r="77" customFormat="false" ht="14.1" hidden="false" customHeight="true" outlineLevel="0" collapsed="false"/>
    <row r="78" customFormat="false" ht="14.1" hidden="false" customHeight="true" outlineLevel="0" collapsed="false"/>
    <row r="79" customFormat="false" ht="14.1" hidden="false" customHeight="true" outlineLevel="0" collapsed="false"/>
    <row r="80" customFormat="false" ht="14.1" hidden="false" customHeight="true" outlineLevel="0" collapsed="false"/>
    <row r="81" customFormat="false" ht="14.1" hidden="false" customHeight="true" outlineLevel="0" collapsed="false"/>
    <row r="82" customFormat="false" ht="14.1" hidden="false" customHeight="true" outlineLevel="0" collapsed="false"/>
    <row r="83" customFormat="false" ht="14.1" hidden="false" customHeight="true" outlineLevel="0" collapsed="false"/>
    <row r="84" customFormat="false" ht="14.1" hidden="false" customHeight="true" outlineLevel="0" collapsed="false"/>
    <row r="85" customFormat="false" ht="14.1" hidden="false" customHeight="true" outlineLevel="0" collapsed="false"/>
    <row r="86" customFormat="false" ht="14.1" hidden="false" customHeight="true" outlineLevel="0" collapsed="false"/>
    <row r="87" customFormat="false" ht="14.1" hidden="false" customHeight="true" outlineLevel="0" collapsed="false"/>
    <row r="88" customFormat="false" ht="14.1" hidden="false" customHeight="true" outlineLevel="0" collapsed="false"/>
    <row r="89" customFormat="false" ht="14.1" hidden="false" customHeight="true" outlineLevel="0" collapsed="false"/>
    <row r="90" customFormat="false" ht="14.1" hidden="false" customHeight="true" outlineLevel="0" collapsed="false"/>
    <row r="91" customFormat="false" ht="14.1" hidden="false" customHeight="true" outlineLevel="0" collapsed="false"/>
    <row r="92" customFormat="false" ht="14.1" hidden="false" customHeight="true" outlineLevel="0" collapsed="false"/>
    <row r="93" customFormat="false" ht="14.1" hidden="false" customHeight="true" outlineLevel="0" collapsed="false"/>
    <row r="94" customFormat="false" ht="14.1" hidden="false" customHeight="true" outlineLevel="0" collapsed="false"/>
    <row r="95" customFormat="false" ht="14.1" hidden="false" customHeight="true" outlineLevel="0" collapsed="false"/>
    <row r="96" customFormat="false" ht="14.1" hidden="false" customHeight="true" outlineLevel="0" collapsed="false"/>
    <row r="97" customFormat="false" ht="14.1" hidden="false" customHeight="true" outlineLevel="0" collapsed="false"/>
    <row r="98" customFormat="false" ht="14.1" hidden="false" customHeight="true" outlineLevel="0" collapsed="false"/>
    <row r="99" customFormat="false" ht="14.1" hidden="false" customHeight="true" outlineLevel="0" collapsed="false"/>
    <row r="100" customFormat="false" ht="14.1" hidden="false" customHeight="true" outlineLevel="0" collapsed="false"/>
    <row r="101" customFormat="false" ht="14.1" hidden="false" customHeight="true" outlineLevel="0" collapsed="false"/>
    <row r="102" customFormat="false" ht="14.1" hidden="false" customHeight="true" outlineLevel="0" collapsed="false"/>
    <row r="103" customFormat="false" ht="14.1" hidden="false" customHeight="true" outlineLevel="0" collapsed="false"/>
    <row r="104" customFormat="false" ht="14.1" hidden="false" customHeight="true" outlineLevel="0" collapsed="false"/>
    <row r="105" customFormat="false" ht="14.1" hidden="false" customHeight="true" outlineLevel="0" collapsed="false"/>
    <row r="106" customFormat="false" ht="14.1" hidden="false" customHeight="true" outlineLevel="0" collapsed="false"/>
    <row r="107" customFormat="false" ht="14.1" hidden="false" customHeight="true" outlineLevel="0" collapsed="false"/>
    <row r="108" customFormat="false" ht="14.1" hidden="false" customHeight="true" outlineLevel="0" collapsed="false"/>
    <row r="109" customFormat="false" ht="14.1" hidden="false" customHeight="true" outlineLevel="0" collapsed="false"/>
    <row r="110" customFormat="false" ht="14.1" hidden="false" customHeight="true" outlineLevel="0" collapsed="false"/>
    <row r="111" customFormat="false" ht="14.1" hidden="false" customHeight="true" outlineLevel="0" collapsed="false"/>
    <row r="112" customFormat="false" ht="14.1" hidden="false" customHeight="true" outlineLevel="0" collapsed="false"/>
    <row r="113" customFormat="false" ht="14.1" hidden="false" customHeight="true" outlineLevel="0" collapsed="false"/>
    <row r="114" customFormat="false" ht="14.1" hidden="false" customHeight="true" outlineLevel="0" collapsed="false"/>
    <row r="115" customFormat="false" ht="14.1" hidden="false" customHeight="true" outlineLevel="0" collapsed="false"/>
    <row r="116" customFormat="false" ht="14.1" hidden="false" customHeight="true" outlineLevel="0" collapsed="false"/>
    <row r="117" customFormat="false" ht="14.1" hidden="false" customHeight="true" outlineLevel="0" collapsed="false"/>
    <row r="118" customFormat="false" ht="14.1" hidden="false" customHeight="true" outlineLevel="0" collapsed="false"/>
    <row r="119" customFormat="false" ht="14.1" hidden="false" customHeight="true" outlineLevel="0" collapsed="false"/>
    <row r="120" customFormat="false" ht="14.1" hidden="false" customHeight="true" outlineLevel="0" collapsed="false"/>
    <row r="121" customFormat="false" ht="14.1" hidden="false" customHeight="true" outlineLevel="0" collapsed="false"/>
    <row r="122" customFormat="false" ht="14.1" hidden="false" customHeight="true" outlineLevel="0" collapsed="false"/>
    <row r="123" customFormat="false" ht="14.1" hidden="false" customHeight="true" outlineLevel="0" collapsed="false"/>
    <row r="124" customFormat="false" ht="14.1" hidden="false" customHeight="true" outlineLevel="0" collapsed="false"/>
    <row r="125" customFormat="false" ht="14.1" hidden="false" customHeight="true" outlineLevel="0" collapsed="false"/>
    <row r="126" customFormat="false" ht="14.1" hidden="false" customHeight="true" outlineLevel="0" collapsed="false"/>
    <row r="127" customFormat="false" ht="14.1" hidden="false" customHeight="true" outlineLevel="0" collapsed="false"/>
    <row r="128" customFormat="false" ht="14.1" hidden="false" customHeight="true" outlineLevel="0" collapsed="false"/>
    <row r="129" customFormat="false" ht="14.1" hidden="false" customHeight="true" outlineLevel="0" collapsed="false"/>
    <row r="130" customFormat="false" ht="14.1" hidden="false" customHeight="true" outlineLevel="0" collapsed="false"/>
    <row r="131" customFormat="false" ht="14.1" hidden="false" customHeight="true" outlineLevel="0" collapsed="false"/>
    <row r="132" customFormat="false" ht="14.1" hidden="false" customHeight="true" outlineLevel="0" collapsed="false"/>
    <row r="133" customFormat="false" ht="14.1" hidden="false" customHeight="true" outlineLevel="0" collapsed="false"/>
    <row r="134" customFormat="false" ht="14.1" hidden="false" customHeight="true" outlineLevel="0" collapsed="false"/>
    <row r="135" customFormat="false" ht="14.1" hidden="false" customHeight="true" outlineLevel="0" collapsed="false"/>
    <row r="136" customFormat="false" ht="14.1" hidden="false" customHeight="true" outlineLevel="0" collapsed="false"/>
    <row r="137" customFormat="false" ht="14.1" hidden="false" customHeight="true" outlineLevel="0" collapsed="false"/>
    <row r="138" customFormat="false" ht="14.1" hidden="false" customHeight="true" outlineLevel="0" collapsed="false"/>
    <row r="139" customFormat="false" ht="14.1" hidden="false" customHeight="true" outlineLevel="0" collapsed="false"/>
    <row r="140" customFormat="false" ht="14.1" hidden="false" customHeight="true" outlineLevel="0" collapsed="false"/>
    <row r="141" customFormat="false" ht="14.1" hidden="false" customHeight="true" outlineLevel="0" collapsed="false"/>
    <row r="142" customFormat="false" ht="14.1" hidden="false" customHeight="true" outlineLevel="0" collapsed="false"/>
    <row r="143" customFormat="false" ht="14.1" hidden="false" customHeight="true" outlineLevel="0" collapsed="false"/>
    <row r="144" customFormat="false" ht="14.1" hidden="false" customHeight="true" outlineLevel="0" collapsed="false"/>
    <row r="145" customFormat="false" ht="14.1" hidden="false" customHeight="true" outlineLevel="0" collapsed="false"/>
    <row r="146" customFormat="false" ht="14.1" hidden="false" customHeight="true" outlineLevel="0" collapsed="false"/>
    <row r="147" customFormat="false" ht="14.1" hidden="false" customHeight="true" outlineLevel="0" collapsed="false"/>
    <row r="148" customFormat="false" ht="14.1" hidden="false" customHeight="true" outlineLevel="0" collapsed="false"/>
    <row r="149" customFormat="false" ht="14.1" hidden="false" customHeight="true" outlineLevel="0" collapsed="false"/>
    <row r="150" customFormat="false" ht="14.1" hidden="false" customHeight="true" outlineLevel="0" collapsed="false"/>
    <row r="151" customFormat="false" ht="14.1" hidden="false" customHeight="true" outlineLevel="0" collapsed="false"/>
    <row r="152" customFormat="false" ht="14.1" hidden="false" customHeight="true" outlineLevel="0" collapsed="false"/>
    <row r="153" customFormat="false" ht="14.1" hidden="false" customHeight="true" outlineLevel="0" collapsed="false"/>
    <row r="154" customFormat="false" ht="14.1" hidden="false" customHeight="true" outlineLevel="0" collapsed="false"/>
    <row r="155" customFormat="false" ht="14.1" hidden="false" customHeight="true" outlineLevel="0" collapsed="false"/>
    <row r="156" customFormat="false" ht="14.1" hidden="false" customHeight="true" outlineLevel="0" collapsed="false"/>
    <row r="157" customFormat="false" ht="14.1" hidden="false" customHeight="true" outlineLevel="0" collapsed="false"/>
    <row r="158" customFormat="false" ht="14.1" hidden="false" customHeight="true" outlineLevel="0" collapsed="false"/>
    <row r="159" customFormat="false" ht="14.1" hidden="false" customHeight="true" outlineLevel="0" collapsed="false"/>
    <row r="160" customFormat="false" ht="14.1" hidden="false" customHeight="true" outlineLevel="0" collapsed="false"/>
    <row r="161" customFormat="false" ht="14.1" hidden="false" customHeight="true" outlineLevel="0" collapsed="false"/>
    <row r="162" customFormat="false" ht="14.1" hidden="false" customHeight="true" outlineLevel="0" collapsed="false"/>
    <row r="163" customFormat="false" ht="14.1" hidden="false" customHeight="true" outlineLevel="0" collapsed="false"/>
    <row r="164" customFormat="false" ht="14.1" hidden="false" customHeight="true" outlineLevel="0" collapsed="false"/>
    <row r="165" customFormat="false" ht="14.1" hidden="false" customHeight="true" outlineLevel="0" collapsed="false"/>
    <row r="166" customFormat="false" ht="14.1" hidden="false" customHeight="true" outlineLevel="0" collapsed="false"/>
    <row r="167" customFormat="false" ht="14.1" hidden="false" customHeight="true" outlineLevel="0" collapsed="false"/>
    <row r="168" customFormat="false" ht="14.1" hidden="false" customHeight="true" outlineLevel="0" collapsed="false"/>
    <row r="169" customFormat="false" ht="14.1" hidden="false" customHeight="true" outlineLevel="0" collapsed="false"/>
    <row r="170" customFormat="false" ht="14.1" hidden="false" customHeight="true" outlineLevel="0" collapsed="false"/>
    <row r="171" customFormat="false" ht="14.1" hidden="false" customHeight="true" outlineLevel="0" collapsed="false"/>
    <row r="172" customFormat="false" ht="14.1" hidden="false" customHeight="true" outlineLevel="0" collapsed="false"/>
    <row r="173" customFormat="false" ht="14.1" hidden="false" customHeight="true" outlineLevel="0" collapsed="false"/>
    <row r="174" customFormat="false" ht="14.1" hidden="false" customHeight="true" outlineLevel="0" collapsed="false"/>
    <row r="175" customFormat="false" ht="14.1" hidden="false" customHeight="true" outlineLevel="0" collapsed="false"/>
    <row r="176" customFormat="false" ht="14.1" hidden="false" customHeight="true" outlineLevel="0" collapsed="false"/>
    <row r="177" customFormat="false" ht="14.1" hidden="false" customHeight="true" outlineLevel="0" collapsed="false"/>
    <row r="178" customFormat="false" ht="14.1" hidden="false" customHeight="true" outlineLevel="0" collapsed="false"/>
    <row r="179" customFormat="false" ht="14.1" hidden="false" customHeight="true" outlineLevel="0" collapsed="false"/>
    <row r="180" customFormat="false" ht="14.1" hidden="false" customHeight="true" outlineLevel="0" collapsed="false"/>
    <row r="181" customFormat="false" ht="14.1" hidden="false" customHeight="true" outlineLevel="0" collapsed="false"/>
    <row r="182" customFormat="false" ht="14.1" hidden="false" customHeight="true" outlineLevel="0" collapsed="false"/>
    <row r="183" customFormat="false" ht="14.1" hidden="false" customHeight="true" outlineLevel="0" collapsed="false"/>
    <row r="184" customFormat="false" ht="14.1" hidden="false" customHeight="true" outlineLevel="0" collapsed="false"/>
    <row r="185" customFormat="false" ht="14.1" hidden="false" customHeight="true" outlineLevel="0" collapsed="false"/>
    <row r="186" customFormat="false" ht="14.1" hidden="false" customHeight="true" outlineLevel="0" collapsed="false"/>
    <row r="187" customFormat="false" ht="14.1" hidden="false" customHeight="true" outlineLevel="0" collapsed="false"/>
    <row r="188" customFormat="false" ht="14.1" hidden="false" customHeight="true" outlineLevel="0" collapsed="false"/>
    <row r="189" customFormat="false" ht="14.1" hidden="false" customHeight="true" outlineLevel="0" collapsed="false"/>
    <row r="190" customFormat="false" ht="14.1" hidden="false" customHeight="true" outlineLevel="0" collapsed="false"/>
    <row r="191" customFormat="false" ht="14.1" hidden="false" customHeight="true" outlineLevel="0" collapsed="false"/>
    <row r="192" customFormat="false" ht="14.1" hidden="false" customHeight="true" outlineLevel="0" collapsed="false"/>
    <row r="193" customFormat="false" ht="14.1" hidden="false" customHeight="true" outlineLevel="0" collapsed="false"/>
    <row r="194" customFormat="false" ht="14.1" hidden="false" customHeight="true" outlineLevel="0" collapsed="false"/>
    <row r="195" customFormat="false" ht="14.1" hidden="false" customHeight="true" outlineLevel="0" collapsed="false"/>
    <row r="196" customFormat="false" ht="14.1" hidden="false" customHeight="true" outlineLevel="0" collapsed="false"/>
    <row r="197" customFormat="false" ht="14.1" hidden="false" customHeight="true" outlineLevel="0" collapsed="false"/>
    <row r="198" customFormat="false" ht="14.1" hidden="false" customHeight="true" outlineLevel="0" collapsed="false"/>
    <row r="199" customFormat="false" ht="14.1" hidden="false" customHeight="true" outlineLevel="0" collapsed="false"/>
    <row r="200" customFormat="false" ht="14.1" hidden="false" customHeight="true" outlineLevel="0" collapsed="false"/>
    <row r="201" customFormat="false" ht="14.1" hidden="false" customHeight="true" outlineLevel="0" collapsed="false"/>
    <row r="202" customFormat="false" ht="14.1" hidden="false" customHeight="true" outlineLevel="0" collapsed="false"/>
    <row r="203" customFormat="false" ht="14.1" hidden="false" customHeight="true" outlineLevel="0" collapsed="false"/>
    <row r="204" customFormat="false" ht="14.1" hidden="false" customHeight="true" outlineLevel="0" collapsed="false"/>
    <row r="205" customFormat="false" ht="14.1" hidden="false" customHeight="true" outlineLevel="0" collapsed="false"/>
    <row r="206" customFormat="false" ht="14.1" hidden="false" customHeight="true" outlineLevel="0" collapsed="false"/>
    <row r="207" customFormat="false" ht="14.1" hidden="false" customHeight="true" outlineLevel="0" collapsed="false"/>
    <row r="208" customFormat="false" ht="14.1" hidden="false" customHeight="true" outlineLevel="0" collapsed="false"/>
    <row r="209" customFormat="false" ht="14.1" hidden="false" customHeight="true" outlineLevel="0" collapsed="false"/>
    <row r="210" customFormat="false" ht="14.1" hidden="false" customHeight="true" outlineLevel="0" collapsed="false"/>
    <row r="211" customFormat="false" ht="14.1" hidden="false" customHeight="true" outlineLevel="0" collapsed="false"/>
    <row r="212" customFormat="false" ht="14.1" hidden="false" customHeight="true" outlineLevel="0" collapsed="false"/>
    <row r="213" customFormat="false" ht="14.1" hidden="false" customHeight="true" outlineLevel="0" collapsed="false"/>
    <row r="214" customFormat="false" ht="14.1" hidden="false" customHeight="true" outlineLevel="0" collapsed="false"/>
    <row r="215" customFormat="false" ht="14.1" hidden="false" customHeight="true" outlineLevel="0" collapsed="false"/>
    <row r="216" customFormat="false" ht="14.1" hidden="false" customHeight="true" outlineLevel="0" collapsed="false"/>
    <row r="217" customFormat="false" ht="14.1" hidden="false" customHeight="true" outlineLevel="0" collapsed="false"/>
    <row r="218" customFormat="false" ht="14.1" hidden="false" customHeight="true" outlineLevel="0" collapsed="false"/>
    <row r="219" customFormat="false" ht="14.1" hidden="false" customHeight="true" outlineLevel="0" collapsed="false"/>
    <row r="220" customFormat="false" ht="14.1" hidden="false" customHeight="true" outlineLevel="0" collapsed="false"/>
    <row r="221" customFormat="false" ht="14.1" hidden="false" customHeight="true" outlineLevel="0" collapsed="false"/>
    <row r="222" customFormat="false" ht="14.1" hidden="false" customHeight="true" outlineLevel="0" collapsed="false"/>
    <row r="223" customFormat="false" ht="14.1" hidden="false" customHeight="true" outlineLevel="0" collapsed="false"/>
    <row r="224" customFormat="false" ht="14.1" hidden="false" customHeight="true" outlineLevel="0" collapsed="false"/>
    <row r="225" customFormat="false" ht="14.1" hidden="false" customHeight="true" outlineLevel="0" collapsed="false"/>
    <row r="226" customFormat="false" ht="14.1" hidden="false" customHeight="true" outlineLevel="0" collapsed="false"/>
    <row r="227" customFormat="false" ht="14.1" hidden="false" customHeight="true" outlineLevel="0" collapsed="false"/>
    <row r="228" customFormat="false" ht="14.1" hidden="false" customHeight="true" outlineLevel="0" collapsed="false"/>
    <row r="229" customFormat="false" ht="14.1" hidden="false" customHeight="true" outlineLevel="0" collapsed="false"/>
    <row r="230" customFormat="false" ht="14.1" hidden="false" customHeight="true" outlineLevel="0" collapsed="false"/>
    <row r="231" customFormat="false" ht="14.1" hidden="false" customHeight="true" outlineLevel="0" collapsed="false"/>
    <row r="232" customFormat="false" ht="14.1" hidden="false" customHeight="true" outlineLevel="0" collapsed="false"/>
    <row r="233" customFormat="false" ht="14.1" hidden="false" customHeight="true" outlineLevel="0" collapsed="false"/>
    <row r="234" customFormat="false" ht="14.1" hidden="false" customHeight="true" outlineLevel="0" collapsed="false"/>
    <row r="235" customFormat="false" ht="14.1" hidden="false" customHeight="true" outlineLevel="0" collapsed="false"/>
    <row r="236" customFormat="false" ht="14.1" hidden="false" customHeight="true" outlineLevel="0" collapsed="false"/>
    <row r="237" customFormat="false" ht="14.1" hidden="false" customHeight="true" outlineLevel="0" collapsed="false"/>
    <row r="238" customFormat="false" ht="14.1" hidden="false" customHeight="true" outlineLevel="0" collapsed="false"/>
    <row r="239" customFormat="false" ht="14.1" hidden="false" customHeight="true" outlineLevel="0" collapsed="false"/>
    <row r="240" customFormat="false" ht="14.1" hidden="false" customHeight="true" outlineLevel="0" collapsed="false"/>
    <row r="241" customFormat="false" ht="14.1" hidden="false" customHeight="true" outlineLevel="0" collapsed="false"/>
    <row r="242" customFormat="false" ht="14.1" hidden="false" customHeight="true" outlineLevel="0" collapsed="false"/>
    <row r="243" customFormat="false" ht="14.1" hidden="false" customHeight="true" outlineLevel="0" collapsed="false"/>
    <row r="244" customFormat="false" ht="14.1" hidden="false" customHeight="true" outlineLevel="0" collapsed="false"/>
    <row r="245" customFormat="false" ht="14.1" hidden="false" customHeight="true" outlineLevel="0" collapsed="false"/>
    <row r="246" customFormat="false" ht="14.1" hidden="false" customHeight="true" outlineLevel="0" collapsed="false"/>
    <row r="247" customFormat="false" ht="14.1" hidden="false" customHeight="true" outlineLevel="0" collapsed="false"/>
    <row r="248" customFormat="false" ht="14.1" hidden="false" customHeight="true" outlineLevel="0" collapsed="false"/>
    <row r="249" customFormat="false" ht="14.1" hidden="false" customHeight="true" outlineLevel="0" collapsed="false"/>
    <row r="250" customFormat="false" ht="14.1" hidden="false" customHeight="true" outlineLevel="0" collapsed="false"/>
    <row r="251" customFormat="false" ht="14.1" hidden="false" customHeight="true" outlineLevel="0" collapsed="false"/>
    <row r="252" customFormat="false" ht="14.1" hidden="false" customHeight="true" outlineLevel="0" collapsed="false"/>
    <row r="253" customFormat="false" ht="14.1" hidden="false" customHeight="true" outlineLevel="0" collapsed="false"/>
    <row r="254" customFormat="false" ht="14.1" hidden="false" customHeight="true" outlineLevel="0" collapsed="false"/>
    <row r="255" customFormat="false" ht="14.1" hidden="false" customHeight="true" outlineLevel="0" collapsed="false"/>
    <row r="256" customFormat="false" ht="14.1" hidden="false" customHeight="true" outlineLevel="0" collapsed="false"/>
    <row r="257" customFormat="false" ht="14.1" hidden="false" customHeight="true" outlineLevel="0" collapsed="false"/>
    <row r="258" customFormat="false" ht="14.1" hidden="false" customHeight="true" outlineLevel="0" collapsed="false"/>
    <row r="259" customFormat="false" ht="14.1" hidden="false" customHeight="true" outlineLevel="0" collapsed="false"/>
    <row r="260" customFormat="false" ht="14.1" hidden="false" customHeight="true" outlineLevel="0" collapsed="false"/>
    <row r="261" customFormat="false" ht="14.1" hidden="false" customHeight="true" outlineLevel="0" collapsed="false"/>
    <row r="262" customFormat="false" ht="14.1" hidden="false" customHeight="true" outlineLevel="0" collapsed="false"/>
    <row r="263" customFormat="false" ht="14.1" hidden="false" customHeight="true" outlineLevel="0" collapsed="false"/>
    <row r="264" customFormat="false" ht="14.1" hidden="false" customHeight="true" outlineLevel="0" collapsed="false"/>
    <row r="265" customFormat="false" ht="14.1" hidden="false" customHeight="true" outlineLevel="0" collapsed="false"/>
    <row r="266" customFormat="false" ht="14.1" hidden="false" customHeight="true" outlineLevel="0" collapsed="false"/>
    <row r="267" customFormat="false" ht="14.1" hidden="false" customHeight="true" outlineLevel="0" collapsed="false"/>
    <row r="268" customFormat="false" ht="14.1" hidden="false" customHeight="true" outlineLevel="0" collapsed="false"/>
    <row r="269" customFormat="false" ht="14.1" hidden="false" customHeight="true" outlineLevel="0" collapsed="false"/>
    <row r="270" customFormat="false" ht="14.1" hidden="false" customHeight="true" outlineLevel="0" collapsed="false"/>
    <row r="271" customFormat="false" ht="14.1" hidden="false" customHeight="true" outlineLevel="0" collapsed="false"/>
    <row r="272" customFormat="false" ht="14.1" hidden="false" customHeight="true" outlineLevel="0" collapsed="false"/>
    <row r="273" customFormat="false" ht="14.1" hidden="false" customHeight="true" outlineLevel="0" collapsed="false"/>
    <row r="274" customFormat="false" ht="14.1" hidden="false" customHeight="true" outlineLevel="0" collapsed="false"/>
    <row r="275" customFormat="false" ht="14.1" hidden="false" customHeight="true" outlineLevel="0" collapsed="false"/>
    <row r="276" customFormat="false" ht="14.1" hidden="false" customHeight="true" outlineLevel="0" collapsed="false"/>
    <row r="277" customFormat="false" ht="14.1" hidden="false" customHeight="true" outlineLevel="0" collapsed="false"/>
    <row r="278" customFormat="false" ht="14.1" hidden="false" customHeight="true" outlineLevel="0" collapsed="false"/>
    <row r="279" customFormat="false" ht="14.1" hidden="false" customHeight="true" outlineLevel="0" collapsed="false"/>
    <row r="280" customFormat="false" ht="14.1" hidden="false" customHeight="true" outlineLevel="0" collapsed="false"/>
    <row r="281" customFormat="false" ht="14.1" hidden="false" customHeight="true" outlineLevel="0" collapsed="false"/>
    <row r="282" customFormat="false" ht="14.1" hidden="false" customHeight="true" outlineLevel="0" collapsed="false"/>
    <row r="283" customFormat="false" ht="14.1" hidden="false" customHeight="true" outlineLevel="0" collapsed="false"/>
    <row r="284" customFormat="false" ht="14.1" hidden="false" customHeight="true" outlineLevel="0" collapsed="false"/>
    <row r="285" customFormat="false" ht="14.1" hidden="false" customHeight="true" outlineLevel="0" collapsed="false"/>
    <row r="286" customFormat="false" ht="14.1" hidden="false" customHeight="true" outlineLevel="0" collapsed="false"/>
    <row r="287" customFormat="false" ht="14.1" hidden="false" customHeight="true" outlineLevel="0" collapsed="false"/>
    <row r="288" customFormat="false" ht="14.1" hidden="false" customHeight="true" outlineLevel="0" collapsed="false"/>
    <row r="289" customFormat="false" ht="14.1" hidden="false" customHeight="true" outlineLevel="0" collapsed="false"/>
    <row r="290" customFormat="false" ht="14.1" hidden="false" customHeight="true" outlineLevel="0" collapsed="false"/>
    <row r="291" customFormat="false" ht="14.1" hidden="false" customHeight="true" outlineLevel="0" collapsed="false"/>
    <row r="292" customFormat="false" ht="14.1" hidden="false" customHeight="true" outlineLevel="0" collapsed="false"/>
    <row r="293" customFormat="false" ht="14.1" hidden="false" customHeight="true" outlineLevel="0" collapsed="false"/>
    <row r="294" customFormat="false" ht="14.1" hidden="false" customHeight="true" outlineLevel="0" collapsed="false"/>
    <row r="295" customFormat="false" ht="14.1" hidden="false" customHeight="true" outlineLevel="0" collapsed="false"/>
    <row r="296" customFormat="false" ht="14.1" hidden="false" customHeight="true" outlineLevel="0" collapsed="false"/>
    <row r="297" customFormat="false" ht="14.1" hidden="false" customHeight="true" outlineLevel="0" collapsed="false"/>
    <row r="298" customFormat="false" ht="14.1" hidden="false" customHeight="true" outlineLevel="0" collapsed="false"/>
    <row r="299" customFormat="false" ht="14.1" hidden="false" customHeight="true" outlineLevel="0" collapsed="false"/>
    <row r="300" customFormat="false" ht="14.1" hidden="false" customHeight="true" outlineLevel="0" collapsed="false"/>
    <row r="301" customFormat="false" ht="14.1" hidden="false" customHeight="true" outlineLevel="0" collapsed="false"/>
    <row r="302" customFormat="false" ht="14.1" hidden="false" customHeight="true" outlineLevel="0" collapsed="false"/>
    <row r="303" customFormat="false" ht="14.1" hidden="false" customHeight="true" outlineLevel="0" collapsed="false"/>
    <row r="304" customFormat="false" ht="14.1" hidden="false" customHeight="true" outlineLevel="0" collapsed="false"/>
    <row r="305" customFormat="false" ht="14.1" hidden="false" customHeight="true" outlineLevel="0" collapsed="false"/>
    <row r="306" customFormat="false" ht="14.1" hidden="false" customHeight="true" outlineLevel="0" collapsed="false"/>
    <row r="307" customFormat="false" ht="14.1" hidden="false" customHeight="true" outlineLevel="0" collapsed="false"/>
    <row r="308" customFormat="false" ht="14.1" hidden="false" customHeight="true" outlineLevel="0" collapsed="false"/>
    <row r="309" customFormat="false" ht="14.1" hidden="false" customHeight="true" outlineLevel="0" collapsed="false"/>
    <row r="310" customFormat="false" ht="14.1" hidden="false" customHeight="true" outlineLevel="0" collapsed="false"/>
    <row r="311" customFormat="false" ht="14.1" hidden="false" customHeight="true" outlineLevel="0" collapsed="false"/>
    <row r="312" customFormat="false" ht="14.1" hidden="false" customHeight="true" outlineLevel="0" collapsed="false"/>
    <row r="313" customFormat="false" ht="14.1" hidden="false" customHeight="true" outlineLevel="0" collapsed="false"/>
    <row r="314" customFormat="false" ht="14.1" hidden="false" customHeight="true" outlineLevel="0" collapsed="false"/>
    <row r="315" customFormat="false" ht="14.1" hidden="false" customHeight="true" outlineLevel="0" collapsed="false"/>
    <row r="316" customFormat="false" ht="14.1" hidden="false" customHeight="true" outlineLevel="0" collapsed="false"/>
    <row r="317" customFormat="false" ht="14.1" hidden="false" customHeight="true" outlineLevel="0" collapsed="false"/>
    <row r="318" customFormat="false" ht="14.1" hidden="false" customHeight="true" outlineLevel="0" collapsed="false"/>
    <row r="319" customFormat="false" ht="14.1" hidden="false" customHeight="true" outlineLevel="0" collapsed="false"/>
    <row r="320" customFormat="false" ht="14.1" hidden="false" customHeight="true" outlineLevel="0" collapsed="false"/>
    <row r="321" customFormat="false" ht="14.1" hidden="false" customHeight="true" outlineLevel="0" collapsed="false"/>
    <row r="322" customFormat="false" ht="14.1" hidden="false" customHeight="true" outlineLevel="0" collapsed="false"/>
    <row r="323" customFormat="false" ht="14.1" hidden="false" customHeight="true" outlineLevel="0" collapsed="false"/>
    <row r="324" customFormat="false" ht="14.1" hidden="false" customHeight="true" outlineLevel="0" collapsed="false"/>
    <row r="325" customFormat="false" ht="14.1" hidden="false" customHeight="true" outlineLevel="0" collapsed="false"/>
    <row r="326" customFormat="false" ht="14.1" hidden="false" customHeight="true" outlineLevel="0" collapsed="false"/>
    <row r="327" customFormat="false" ht="14.1" hidden="false" customHeight="true" outlineLevel="0" collapsed="false"/>
    <row r="328" customFormat="false" ht="14.1" hidden="false" customHeight="true" outlineLevel="0" collapsed="false"/>
    <row r="329" customFormat="false" ht="14.1" hidden="false" customHeight="true" outlineLevel="0" collapsed="false"/>
    <row r="330" customFormat="false" ht="14.1" hidden="false" customHeight="true" outlineLevel="0" collapsed="false"/>
    <row r="331" customFormat="false" ht="14.1" hidden="false" customHeight="true" outlineLevel="0" collapsed="false"/>
    <row r="332" customFormat="false" ht="14.1" hidden="false" customHeight="true" outlineLevel="0" collapsed="false"/>
    <row r="333" customFormat="false" ht="14.1" hidden="false" customHeight="true" outlineLevel="0" collapsed="false"/>
    <row r="334" customFormat="false" ht="14.1" hidden="false" customHeight="true" outlineLevel="0" collapsed="false"/>
    <row r="335" customFormat="false" ht="14.1" hidden="false" customHeight="true" outlineLevel="0" collapsed="false"/>
    <row r="336" customFormat="false" ht="14.1" hidden="false" customHeight="true" outlineLevel="0" collapsed="false"/>
    <row r="337" customFormat="false" ht="14.1" hidden="false" customHeight="true" outlineLevel="0" collapsed="false"/>
    <row r="338" customFormat="false" ht="14.1" hidden="false" customHeight="true" outlineLevel="0" collapsed="false"/>
    <row r="339" customFormat="false" ht="14.1" hidden="false" customHeight="true" outlineLevel="0" collapsed="false"/>
    <row r="340" customFormat="false" ht="14.1" hidden="false" customHeight="true" outlineLevel="0" collapsed="false"/>
    <row r="341" customFormat="false" ht="14.1" hidden="false" customHeight="true" outlineLevel="0" collapsed="false"/>
    <row r="342" customFormat="false" ht="14.1" hidden="false" customHeight="true" outlineLevel="0" collapsed="false"/>
    <row r="343" customFormat="false" ht="14.1" hidden="false" customHeight="true" outlineLevel="0" collapsed="false"/>
    <row r="344" customFormat="false" ht="14.1" hidden="false" customHeight="true" outlineLevel="0" collapsed="false"/>
    <row r="345" customFormat="false" ht="14.1" hidden="false" customHeight="true" outlineLevel="0" collapsed="false"/>
    <row r="346" customFormat="false" ht="14.1" hidden="false" customHeight="true" outlineLevel="0" collapsed="false"/>
    <row r="347" customFormat="false" ht="14.1" hidden="false" customHeight="true" outlineLevel="0" collapsed="false"/>
    <row r="348" customFormat="false" ht="14.1" hidden="false" customHeight="true" outlineLevel="0" collapsed="false"/>
    <row r="349" customFormat="false" ht="14.1" hidden="false" customHeight="true" outlineLevel="0" collapsed="false"/>
    <row r="350" customFormat="false" ht="14.1" hidden="false" customHeight="true" outlineLevel="0" collapsed="false"/>
    <row r="351" customFormat="false" ht="14.1" hidden="false" customHeight="true" outlineLevel="0" collapsed="false"/>
    <row r="352" customFormat="false" ht="14.1" hidden="false" customHeight="true" outlineLevel="0" collapsed="false"/>
    <row r="353" customFormat="false" ht="14.1" hidden="false" customHeight="true" outlineLevel="0" collapsed="false"/>
    <row r="354" customFormat="false" ht="14.1" hidden="false" customHeight="true" outlineLevel="0" collapsed="false"/>
    <row r="355" customFormat="false" ht="14.1" hidden="false" customHeight="true" outlineLevel="0" collapsed="false"/>
    <row r="356" customFormat="false" ht="14.1" hidden="false" customHeight="true" outlineLevel="0" collapsed="false"/>
    <row r="357" customFormat="false" ht="14.1" hidden="false" customHeight="true" outlineLevel="0" collapsed="false"/>
    <row r="358" customFormat="false" ht="14.1" hidden="false" customHeight="true" outlineLevel="0" collapsed="false"/>
    <row r="359" customFormat="false" ht="14.1" hidden="false" customHeight="true" outlineLevel="0" collapsed="false"/>
    <row r="360" customFormat="false" ht="14.1" hidden="false" customHeight="true" outlineLevel="0" collapsed="false"/>
    <row r="361" customFormat="false" ht="14.1" hidden="false" customHeight="true" outlineLevel="0" collapsed="false"/>
    <row r="362" customFormat="false" ht="14.1" hidden="false" customHeight="true" outlineLevel="0" collapsed="false"/>
    <row r="363" customFormat="false" ht="14.1" hidden="false" customHeight="true" outlineLevel="0" collapsed="false"/>
    <row r="364" customFormat="false" ht="14.1" hidden="false" customHeight="true" outlineLevel="0" collapsed="false"/>
    <row r="365" customFormat="false" ht="14.1" hidden="false" customHeight="true" outlineLevel="0" collapsed="false"/>
    <row r="366" customFormat="false" ht="14.1" hidden="false" customHeight="true" outlineLevel="0" collapsed="false"/>
    <row r="367" customFormat="false" ht="14.1" hidden="false" customHeight="true" outlineLevel="0" collapsed="false"/>
    <row r="368" customFormat="false" ht="14.1" hidden="false" customHeight="true" outlineLevel="0" collapsed="false"/>
    <row r="369" customFormat="false" ht="14.1" hidden="false" customHeight="true" outlineLevel="0" collapsed="false"/>
    <row r="370" customFormat="false" ht="14.1" hidden="false" customHeight="true" outlineLevel="0" collapsed="false"/>
    <row r="371" customFormat="false" ht="14.1" hidden="false" customHeight="true" outlineLevel="0" collapsed="false"/>
    <row r="372" customFormat="false" ht="14.1" hidden="false" customHeight="true" outlineLevel="0" collapsed="false"/>
    <row r="373" customFormat="false" ht="14.1" hidden="false" customHeight="true" outlineLevel="0" collapsed="false"/>
    <row r="374" customFormat="false" ht="14.1" hidden="false" customHeight="true" outlineLevel="0" collapsed="false"/>
    <row r="375" customFormat="false" ht="14.1" hidden="false" customHeight="true" outlineLevel="0" collapsed="false"/>
    <row r="376" customFormat="false" ht="14.1" hidden="false" customHeight="true" outlineLevel="0" collapsed="false"/>
    <row r="377" customFormat="false" ht="14.1" hidden="false" customHeight="true" outlineLevel="0" collapsed="false"/>
    <row r="378" customFormat="false" ht="14.1" hidden="false" customHeight="true" outlineLevel="0" collapsed="false"/>
    <row r="379" customFormat="false" ht="14.1" hidden="false" customHeight="true" outlineLevel="0" collapsed="false"/>
    <row r="380" customFormat="false" ht="14.1" hidden="false" customHeight="true" outlineLevel="0" collapsed="false"/>
    <row r="381" customFormat="false" ht="14.1" hidden="false" customHeight="true" outlineLevel="0" collapsed="false"/>
    <row r="382" customFormat="false" ht="14.1" hidden="false" customHeight="true" outlineLevel="0" collapsed="false"/>
    <row r="383" customFormat="false" ht="14.1" hidden="false" customHeight="true" outlineLevel="0" collapsed="false"/>
    <row r="384" customFormat="false" ht="14.1" hidden="false" customHeight="true" outlineLevel="0" collapsed="false"/>
    <row r="385" customFormat="false" ht="14.1" hidden="false" customHeight="true" outlineLevel="0" collapsed="false"/>
    <row r="386" customFormat="false" ht="14.1" hidden="false" customHeight="true" outlineLevel="0" collapsed="false"/>
    <row r="387" customFormat="false" ht="14.1" hidden="false" customHeight="true" outlineLevel="0" collapsed="false"/>
    <row r="388" customFormat="false" ht="14.1" hidden="false" customHeight="true" outlineLevel="0" collapsed="false"/>
    <row r="389" customFormat="false" ht="14.1" hidden="false" customHeight="true" outlineLevel="0" collapsed="false"/>
    <row r="390" customFormat="false" ht="14.1" hidden="false" customHeight="true" outlineLevel="0" collapsed="false"/>
    <row r="391" customFormat="false" ht="14.1" hidden="false" customHeight="true" outlineLevel="0" collapsed="false"/>
    <row r="392" customFormat="false" ht="14.1" hidden="false" customHeight="true" outlineLevel="0" collapsed="false"/>
    <row r="393" customFormat="false" ht="14.1" hidden="false" customHeight="true" outlineLevel="0" collapsed="false"/>
    <row r="394" customFormat="false" ht="14.1" hidden="false" customHeight="true" outlineLevel="0" collapsed="false"/>
    <row r="395" customFormat="false" ht="14.1" hidden="false" customHeight="true" outlineLevel="0" collapsed="false"/>
    <row r="396" customFormat="false" ht="14.1" hidden="false" customHeight="true" outlineLevel="0" collapsed="false"/>
    <row r="397" customFormat="false" ht="14.1" hidden="false" customHeight="true" outlineLevel="0" collapsed="false"/>
    <row r="398" customFormat="false" ht="14.1" hidden="false" customHeight="true" outlineLevel="0" collapsed="false"/>
    <row r="399" customFormat="false" ht="14.1" hidden="false" customHeight="true" outlineLevel="0" collapsed="false"/>
    <row r="400" customFormat="false" ht="14.1" hidden="false" customHeight="true" outlineLevel="0" collapsed="false"/>
    <row r="401" customFormat="false" ht="14.1" hidden="false" customHeight="true" outlineLevel="0" collapsed="false"/>
    <row r="402" customFormat="false" ht="14.1" hidden="false" customHeight="true" outlineLevel="0" collapsed="false"/>
    <row r="403" customFormat="false" ht="14.1" hidden="false" customHeight="true" outlineLevel="0" collapsed="false"/>
    <row r="404" customFormat="false" ht="14.1" hidden="false" customHeight="true" outlineLevel="0" collapsed="false"/>
  </sheetData>
  <mergeCells count="75">
    <mergeCell ref="A1:AH1"/>
    <mergeCell ref="A2:E3"/>
    <mergeCell ref="F2:T3"/>
    <mergeCell ref="U2:Y3"/>
    <mergeCell ref="Z2:AH3"/>
    <mergeCell ref="A4:E5"/>
    <mergeCell ref="F4:T5"/>
    <mergeCell ref="U4:Y5"/>
    <mergeCell ref="Z4:AH5"/>
    <mergeCell ref="A6:E7"/>
    <mergeCell ref="F6:T7"/>
    <mergeCell ref="U6:Y7"/>
    <mergeCell ref="Z6:AH7"/>
    <mergeCell ref="A8:E10"/>
    <mergeCell ref="F8:AH10"/>
    <mergeCell ref="A11:E12"/>
    <mergeCell ref="F11:I12"/>
    <mergeCell ref="J11:L12"/>
    <mergeCell ref="M11:P12"/>
    <mergeCell ref="Q11:T12"/>
    <mergeCell ref="U11:X12"/>
    <mergeCell ref="Y11:AB12"/>
    <mergeCell ref="AC11:AH12"/>
    <mergeCell ref="A13:AH13"/>
    <mergeCell ref="A14:E20"/>
    <mergeCell ref="F14:L14"/>
    <mergeCell ref="M14:T14"/>
    <mergeCell ref="U14:Z16"/>
    <mergeCell ref="AA14:AH14"/>
    <mergeCell ref="F15:L15"/>
    <mergeCell ref="M15:P15"/>
    <mergeCell ref="Q15:T15"/>
    <mergeCell ref="AA15:AH15"/>
    <mergeCell ref="F16:L16"/>
    <mergeCell ref="M16:N16"/>
    <mergeCell ref="O16:P16"/>
    <mergeCell ref="Q16:R16"/>
    <mergeCell ref="S16:T16"/>
    <mergeCell ref="AA16:AH16"/>
    <mergeCell ref="F17:I17"/>
    <mergeCell ref="J17:L17"/>
    <mergeCell ref="M17:T17"/>
    <mergeCell ref="U17:Z18"/>
    <mergeCell ref="AA17:AH17"/>
    <mergeCell ref="F18:I19"/>
    <mergeCell ref="J18:L19"/>
    <mergeCell ref="M18:P18"/>
    <mergeCell ref="Q18:T18"/>
    <mergeCell ref="AA18:AD19"/>
    <mergeCell ref="AE18:AH19"/>
    <mergeCell ref="M19:N19"/>
    <mergeCell ref="O19:P19"/>
    <mergeCell ref="Q19:R19"/>
    <mergeCell ref="S19:T19"/>
    <mergeCell ref="U19:X19"/>
    <mergeCell ref="Y19:Z19"/>
    <mergeCell ref="A21:AH21"/>
    <mergeCell ref="A22:E26"/>
    <mergeCell ref="F22:L22"/>
    <mergeCell ref="M22:T22"/>
    <mergeCell ref="U22:AA22"/>
    <mergeCell ref="AB22:AH22"/>
    <mergeCell ref="F23:L23"/>
    <mergeCell ref="M23:P23"/>
    <mergeCell ref="Q23:T23"/>
    <mergeCell ref="F24:L24"/>
    <mergeCell ref="M24:N24"/>
    <mergeCell ref="O24:P24"/>
    <mergeCell ref="Q24:R24"/>
    <mergeCell ref="S24:T24"/>
    <mergeCell ref="F25:I26"/>
    <mergeCell ref="J25:L26"/>
    <mergeCell ref="M25:T25"/>
    <mergeCell ref="M26:P26"/>
    <mergeCell ref="Q26:T26"/>
  </mergeCells>
  <dataValidations count="7">
    <dataValidation allowBlank="true" operator="between" showDropDown="false" showErrorMessage="true" showInputMessage="true" sqref="AT22" type="custom">
      <formula1>"AT19=1"</formula1>
      <formula2>0</formula2>
    </dataValidation>
    <dataValidation allowBlank="true" operator="between" showDropDown="false" showErrorMessage="true" showInputMessage="true" sqref="AU17" type="custom">
      <formula1>AT17=1</formula1>
      <formula2>0</formula2>
    </dataValidation>
    <dataValidation allowBlank="true" operator="between" showDropDown="false" showErrorMessage="true" showInputMessage="true" sqref="J18:L19 J25" type="list">
      <formula1>$AV$14:$AV$17</formula1>
      <formula2>0</formula2>
    </dataValidation>
    <dataValidation allowBlank="true" operator="between" showDropDown="false" showErrorMessage="true" showInputMessage="true" sqref="O19:P19 S19:T19 Q26" type="list">
      <formula1>$AU$14:$AU$16</formula1>
      <formula2>0</formula2>
    </dataValidation>
    <dataValidation allowBlank="true" operator="between" showDropDown="false" showErrorMessage="true" showInputMessage="true" sqref="AA18:AD19" type="list">
      <formula1>$AT$14:$AT$15</formula1>
      <formula2>0</formula2>
    </dataValidation>
    <dataValidation allowBlank="true" operator="between" showDropDown="false" showErrorMessage="true" showInputMessage="true" sqref="F22:L22" type="list">
      <formula1>$AU$22:$AU$23</formula1>
      <formula2>0</formula2>
    </dataValidation>
    <dataValidation allowBlank="true" operator="between" showDropDown="false" showErrorMessage="true" showInputMessage="true" sqref="F23:L23" type="list">
      <formula1>$AV$22:$AV$23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AW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85" workbookViewId="0">
      <selection pane="topLeft" activeCell="AK29" activeCellId="0" sqref="AK29"/>
    </sheetView>
  </sheetViews>
  <sheetFormatPr defaultRowHeight="12" zeroHeight="false" outlineLevelRow="0" outlineLevelCol="0"/>
  <cols>
    <col collapsed="false" customWidth="true" hidden="false" outlineLevel="0" max="8" min="1" style="130" width="2.42"/>
    <col collapsed="false" customWidth="true" hidden="false" outlineLevel="0" max="9" min="9" style="130" width="2.57"/>
    <col collapsed="false" customWidth="true" hidden="false" outlineLevel="0" max="10" min="10" style="130" width="4.71"/>
    <col collapsed="false" customWidth="true" hidden="false" outlineLevel="0" max="11" min="11" style="130" width="1.71"/>
    <col collapsed="false" customWidth="true" hidden="false" outlineLevel="0" max="12" min="12" style="130" width="3.14"/>
    <col collapsed="false" customWidth="true" hidden="false" outlineLevel="0" max="13" min="13" style="130" width="1.71"/>
    <col collapsed="false" customWidth="true" hidden="false" outlineLevel="0" max="14" min="14" style="130" width="3.14"/>
    <col collapsed="false" customWidth="true" hidden="false" outlineLevel="0" max="15" min="15" style="130" width="1.71"/>
    <col collapsed="false" customWidth="true" hidden="false" outlineLevel="0" max="16" min="16" style="130" width="3.14"/>
    <col collapsed="false" customWidth="true" hidden="false" outlineLevel="0" max="17" min="17" style="130" width="1.58"/>
    <col collapsed="false" customWidth="true" hidden="false" outlineLevel="0" max="18" min="18" style="130" width="3.14"/>
    <col collapsed="false" customWidth="true" hidden="false" outlineLevel="0" max="19" min="19" style="130" width="1.71"/>
    <col collapsed="false" customWidth="true" hidden="false" outlineLevel="0" max="20" min="20" style="130" width="3.14"/>
    <col collapsed="false" customWidth="true" hidden="false" outlineLevel="0" max="21" min="21" style="130" width="1.71"/>
    <col collapsed="false" customWidth="true" hidden="false" outlineLevel="0" max="22" min="22" style="130" width="3.14"/>
    <col collapsed="false" customWidth="true" hidden="false" outlineLevel="0" max="23" min="23" style="130" width="1.58"/>
    <col collapsed="false" customWidth="true" hidden="false" outlineLevel="0" max="24" min="24" style="130" width="3.14"/>
    <col collapsed="false" customWidth="true" hidden="false" outlineLevel="0" max="45" min="25" style="130" width="2.57"/>
    <col collapsed="false" customWidth="true" hidden="false" outlineLevel="0" max="1025" min="46" style="130" width="9.14"/>
  </cols>
  <sheetData>
    <row r="1" customFormat="false" ht="4.5" hidden="false" customHeight="true" outlineLevel="0" collapsed="false">
      <c r="A1" s="131"/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</row>
    <row r="2" customFormat="false" ht="15" hidden="false" customHeight="true" outlineLevel="0" collapsed="false">
      <c r="A2" s="131" t="s">
        <v>269</v>
      </c>
      <c r="B2" s="131"/>
      <c r="C2" s="131"/>
      <c r="D2" s="131"/>
      <c r="E2" s="131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1" t="s">
        <v>270</v>
      </c>
      <c r="V2" s="131"/>
      <c r="W2" s="131"/>
      <c r="X2" s="131"/>
      <c r="Y2" s="131"/>
      <c r="Z2" s="132"/>
      <c r="AA2" s="132"/>
      <c r="AB2" s="132"/>
      <c r="AC2" s="132"/>
      <c r="AD2" s="132"/>
      <c r="AE2" s="132"/>
      <c r="AF2" s="132"/>
      <c r="AG2" s="132"/>
      <c r="AH2" s="132"/>
      <c r="AT2" s="130" t="s">
        <v>284</v>
      </c>
      <c r="AU2" s="130" t="s">
        <v>301</v>
      </c>
      <c r="AV2" s="130" t="s">
        <v>71</v>
      </c>
      <c r="AW2" s="130" t="s">
        <v>319</v>
      </c>
    </row>
    <row r="3" customFormat="false" ht="15" hidden="false" customHeight="true" outlineLevel="0" collapsed="false">
      <c r="A3" s="131"/>
      <c r="B3" s="131"/>
      <c r="C3" s="131"/>
      <c r="D3" s="131"/>
      <c r="E3" s="131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1"/>
      <c r="V3" s="131"/>
      <c r="W3" s="131"/>
      <c r="X3" s="131"/>
      <c r="Y3" s="131"/>
      <c r="Z3" s="132"/>
      <c r="AA3" s="132"/>
      <c r="AB3" s="132"/>
      <c r="AC3" s="132"/>
      <c r="AD3" s="132"/>
      <c r="AE3" s="132"/>
      <c r="AF3" s="132"/>
      <c r="AG3" s="132"/>
      <c r="AH3" s="132"/>
      <c r="AT3" s="130" t="s">
        <v>290</v>
      </c>
      <c r="AU3" s="130" t="s">
        <v>304</v>
      </c>
      <c r="AV3" s="130" t="s">
        <v>292</v>
      </c>
      <c r="AW3" s="130" t="s">
        <v>320</v>
      </c>
    </row>
    <row r="4" customFormat="false" ht="15" hidden="false" customHeight="true" outlineLevel="0" collapsed="false">
      <c r="A4" s="133" t="s">
        <v>271</v>
      </c>
      <c r="B4" s="133"/>
      <c r="C4" s="133"/>
      <c r="D4" s="133"/>
      <c r="E4" s="133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 t="s">
        <v>272</v>
      </c>
      <c r="V4" s="134"/>
      <c r="W4" s="134"/>
      <c r="X4" s="134"/>
      <c r="Y4" s="134"/>
      <c r="Z4" s="135"/>
      <c r="AA4" s="135"/>
      <c r="AB4" s="135"/>
      <c r="AC4" s="135"/>
      <c r="AD4" s="135"/>
      <c r="AE4" s="135"/>
      <c r="AF4" s="135"/>
      <c r="AG4" s="135"/>
      <c r="AH4" s="135"/>
      <c r="AU4" s="130" t="s">
        <v>307</v>
      </c>
      <c r="AV4" s="130" t="s">
        <v>294</v>
      </c>
      <c r="AW4" s="130" t="s">
        <v>321</v>
      </c>
    </row>
    <row r="5" customFormat="false" ht="15" hidden="false" customHeight="true" outlineLevel="0" collapsed="false">
      <c r="A5" s="133"/>
      <c r="B5" s="133"/>
      <c r="C5" s="133"/>
      <c r="D5" s="133"/>
      <c r="E5" s="133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5"/>
      <c r="AA5" s="135"/>
      <c r="AB5" s="135"/>
      <c r="AC5" s="135"/>
      <c r="AD5" s="135"/>
      <c r="AE5" s="135"/>
      <c r="AF5" s="135"/>
      <c r="AG5" s="135"/>
      <c r="AH5" s="135"/>
      <c r="AV5" s="130" t="s">
        <v>295</v>
      </c>
      <c r="AW5" s="130" t="s">
        <v>322</v>
      </c>
    </row>
    <row r="6" customFormat="false" ht="15" hidden="false" customHeight="true" outlineLevel="0" collapsed="false">
      <c r="A6" s="136" t="s">
        <v>273</v>
      </c>
      <c r="B6" s="136"/>
      <c r="C6" s="136"/>
      <c r="D6" s="136"/>
      <c r="E6" s="136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6" t="s">
        <v>274</v>
      </c>
      <c r="V6" s="136"/>
      <c r="W6" s="136"/>
      <c r="X6" s="136"/>
      <c r="Y6" s="136"/>
      <c r="Z6" s="134"/>
      <c r="AA6" s="134"/>
      <c r="AB6" s="134"/>
      <c r="AC6" s="134"/>
      <c r="AD6" s="134"/>
      <c r="AE6" s="134"/>
      <c r="AF6" s="134"/>
      <c r="AG6" s="134"/>
      <c r="AH6" s="134"/>
    </row>
    <row r="7" customFormat="false" ht="15" hidden="false" customHeight="true" outlineLevel="0" collapsed="false">
      <c r="A7" s="136"/>
      <c r="B7" s="136"/>
      <c r="C7" s="136"/>
      <c r="D7" s="136"/>
      <c r="E7" s="136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6"/>
      <c r="V7" s="136"/>
      <c r="W7" s="136"/>
      <c r="X7" s="136"/>
      <c r="Y7" s="136"/>
      <c r="Z7" s="134"/>
      <c r="AA7" s="134"/>
      <c r="AB7" s="134"/>
      <c r="AC7" s="134"/>
      <c r="AD7" s="134"/>
      <c r="AE7" s="134"/>
      <c r="AF7" s="134"/>
      <c r="AG7" s="134"/>
      <c r="AH7" s="134"/>
    </row>
    <row r="8" customFormat="false" ht="15" hidden="false" customHeight="true" outlineLevel="0" collapsed="false">
      <c r="A8" s="134" t="s">
        <v>275</v>
      </c>
      <c r="B8" s="134"/>
      <c r="C8" s="134"/>
      <c r="D8" s="134"/>
      <c r="E8" s="134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</row>
    <row r="9" customFormat="false" ht="15" hidden="false" customHeight="true" outlineLevel="0" collapsed="false">
      <c r="A9" s="134"/>
      <c r="B9" s="134"/>
      <c r="C9" s="134"/>
      <c r="D9" s="134"/>
      <c r="E9" s="134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</row>
    <row r="10" customFormat="false" ht="15" hidden="false" customHeight="true" outlineLevel="0" collapsed="false">
      <c r="A10" s="134"/>
      <c r="B10" s="134"/>
      <c r="C10" s="134"/>
      <c r="D10" s="134"/>
      <c r="E10" s="134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</row>
    <row r="11" customFormat="false" ht="14.1" hidden="false" customHeight="true" outlineLevel="0" collapsed="false">
      <c r="A11" s="137" t="s">
        <v>276</v>
      </c>
      <c r="B11" s="137"/>
      <c r="C11" s="137"/>
      <c r="D11" s="137"/>
      <c r="E11" s="137"/>
      <c r="F11" s="138" t="s">
        <v>277</v>
      </c>
      <c r="G11" s="138"/>
      <c r="H11" s="138"/>
      <c r="I11" s="138"/>
      <c r="J11" s="139"/>
      <c r="K11" s="139"/>
      <c r="L11" s="139"/>
      <c r="M11" s="139" t="s">
        <v>278</v>
      </c>
      <c r="N11" s="139"/>
      <c r="O11" s="139"/>
      <c r="P11" s="139"/>
      <c r="Q11" s="139"/>
      <c r="R11" s="139"/>
      <c r="S11" s="139"/>
      <c r="T11" s="139"/>
      <c r="U11" s="139" t="s">
        <v>279</v>
      </c>
      <c r="V11" s="139"/>
      <c r="W11" s="139"/>
      <c r="X11" s="139"/>
      <c r="Y11" s="139"/>
      <c r="Z11" s="139"/>
      <c r="AA11" s="139"/>
      <c r="AB11" s="139"/>
      <c r="AC11" s="140" t="s">
        <v>298</v>
      </c>
      <c r="AD11" s="140"/>
      <c r="AE11" s="140"/>
      <c r="AF11" s="140"/>
      <c r="AG11" s="140"/>
      <c r="AH11" s="140"/>
    </row>
    <row r="12" customFormat="false" ht="14.1" hidden="false" customHeight="true" outlineLevel="0" collapsed="false">
      <c r="A12" s="137"/>
      <c r="B12" s="137"/>
      <c r="C12" s="137"/>
      <c r="D12" s="137"/>
      <c r="E12" s="137"/>
      <c r="F12" s="138"/>
      <c r="G12" s="138"/>
      <c r="H12" s="138"/>
      <c r="I12" s="138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40"/>
      <c r="AD12" s="140"/>
      <c r="AE12" s="140"/>
      <c r="AF12" s="140"/>
      <c r="AG12" s="140"/>
      <c r="AH12" s="140"/>
    </row>
    <row r="13" customFormat="false" ht="4.5" hidden="false" customHeight="true" outlineLevel="0" collapsed="false">
      <c r="A13" s="141"/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</row>
    <row r="14" customFormat="false" ht="14.1" hidden="false" customHeight="true" outlineLevel="0" collapsed="false">
      <c r="A14" s="142" t="s">
        <v>280</v>
      </c>
      <c r="B14" s="142"/>
      <c r="C14" s="142"/>
      <c r="D14" s="142"/>
      <c r="E14" s="142"/>
      <c r="F14" s="143" t="s">
        <v>5</v>
      </c>
      <c r="G14" s="143"/>
      <c r="H14" s="143"/>
      <c r="I14" s="143"/>
      <c r="J14" s="143"/>
      <c r="K14" s="143"/>
      <c r="L14" s="143"/>
      <c r="M14" s="132" t="s">
        <v>282</v>
      </c>
      <c r="N14" s="132"/>
      <c r="O14" s="132"/>
      <c r="P14" s="132"/>
      <c r="Q14" s="132"/>
      <c r="R14" s="132"/>
      <c r="S14" s="132"/>
      <c r="T14" s="132"/>
      <c r="U14" s="144" t="s">
        <v>299</v>
      </c>
      <c r="V14" s="144"/>
      <c r="W14" s="144"/>
      <c r="X14" s="144"/>
      <c r="Y14" s="144"/>
      <c r="Z14" s="144"/>
      <c r="AA14" s="132" t="s">
        <v>300</v>
      </c>
      <c r="AB14" s="132"/>
      <c r="AC14" s="132"/>
      <c r="AD14" s="132"/>
      <c r="AE14" s="132"/>
      <c r="AF14" s="132"/>
      <c r="AG14" s="132"/>
      <c r="AH14" s="132"/>
    </row>
    <row r="15" customFormat="false" ht="14.1" hidden="false" customHeight="true" outlineLevel="0" collapsed="false">
      <c r="A15" s="142"/>
      <c r="B15" s="142"/>
      <c r="C15" s="142"/>
      <c r="D15" s="142"/>
      <c r="E15" s="142"/>
      <c r="F15" s="145" t="s">
        <v>285</v>
      </c>
      <c r="G15" s="145"/>
      <c r="H15" s="145"/>
      <c r="I15" s="145"/>
      <c r="J15" s="145"/>
      <c r="K15" s="145"/>
      <c r="L15" s="145"/>
      <c r="M15" s="146" t="s">
        <v>302</v>
      </c>
      <c r="N15" s="146"/>
      <c r="O15" s="146"/>
      <c r="P15" s="146"/>
      <c r="Q15" s="147" t="s">
        <v>303</v>
      </c>
      <c r="R15" s="147"/>
      <c r="S15" s="147"/>
      <c r="T15" s="147"/>
      <c r="U15" s="144"/>
      <c r="V15" s="144"/>
      <c r="W15" s="144"/>
      <c r="X15" s="144"/>
      <c r="Y15" s="144"/>
      <c r="Z15" s="144"/>
      <c r="AA15" s="134" t="s">
        <v>297</v>
      </c>
      <c r="AB15" s="134"/>
      <c r="AC15" s="134"/>
      <c r="AD15" s="134"/>
      <c r="AE15" s="134"/>
      <c r="AF15" s="134"/>
      <c r="AG15" s="134"/>
      <c r="AH15" s="134"/>
    </row>
    <row r="16" customFormat="false" ht="14.1" hidden="false" customHeight="true" outlineLevel="0" collapsed="false">
      <c r="A16" s="142"/>
      <c r="B16" s="142"/>
      <c r="C16" s="142"/>
      <c r="D16" s="142"/>
      <c r="E16" s="142"/>
      <c r="F16" s="148" t="s">
        <v>305</v>
      </c>
      <c r="G16" s="148"/>
      <c r="H16" s="148"/>
      <c r="I16" s="148"/>
      <c r="J16" s="148"/>
      <c r="K16" s="148"/>
      <c r="L16" s="148"/>
      <c r="M16" s="149"/>
      <c r="N16" s="149"/>
      <c r="O16" s="150" t="s">
        <v>306</v>
      </c>
      <c r="P16" s="150"/>
      <c r="Q16" s="150"/>
      <c r="R16" s="150"/>
      <c r="S16" s="151" t="s">
        <v>306</v>
      </c>
      <c r="T16" s="151"/>
      <c r="U16" s="144"/>
      <c r="V16" s="144"/>
      <c r="W16" s="144"/>
      <c r="X16" s="144"/>
      <c r="Y16" s="144"/>
      <c r="Z16" s="144"/>
      <c r="AA16" s="134" t="s">
        <v>285</v>
      </c>
      <c r="AB16" s="134"/>
      <c r="AC16" s="134"/>
      <c r="AD16" s="134"/>
      <c r="AE16" s="134"/>
      <c r="AF16" s="134"/>
      <c r="AG16" s="134"/>
      <c r="AH16" s="134"/>
    </row>
    <row r="17" customFormat="false" ht="14.1" hidden="false" customHeight="true" outlineLevel="0" collapsed="false">
      <c r="A17" s="142"/>
      <c r="B17" s="142"/>
      <c r="C17" s="142"/>
      <c r="D17" s="142"/>
      <c r="E17" s="142"/>
      <c r="F17" s="152"/>
      <c r="G17" s="152"/>
      <c r="H17" s="152"/>
      <c r="I17" s="152"/>
      <c r="J17" s="153" t="str">
        <f aca="false">J18</f>
        <v>Гкал/ч</v>
      </c>
      <c r="K17" s="153"/>
      <c r="L17" s="153"/>
      <c r="M17" s="154" t="s">
        <v>283</v>
      </c>
      <c r="N17" s="154"/>
      <c r="O17" s="154"/>
      <c r="P17" s="154"/>
      <c r="Q17" s="154"/>
      <c r="R17" s="154"/>
      <c r="S17" s="154"/>
      <c r="T17" s="154"/>
      <c r="U17" s="154" t="s">
        <v>308</v>
      </c>
      <c r="V17" s="154"/>
      <c r="W17" s="154"/>
      <c r="X17" s="154"/>
      <c r="Y17" s="154"/>
      <c r="Z17" s="154"/>
      <c r="AA17" s="134" t="s">
        <v>305</v>
      </c>
      <c r="AB17" s="134"/>
      <c r="AC17" s="134"/>
      <c r="AD17" s="134"/>
      <c r="AE17" s="134"/>
      <c r="AF17" s="134"/>
      <c r="AG17" s="134"/>
      <c r="AH17" s="134"/>
    </row>
    <row r="18" customFormat="false" ht="14.1" hidden="false" customHeight="true" outlineLevel="0" collapsed="false">
      <c r="A18" s="142"/>
      <c r="B18" s="142"/>
      <c r="C18" s="142"/>
      <c r="D18" s="142"/>
      <c r="E18" s="142"/>
      <c r="F18" s="155"/>
      <c r="G18" s="155"/>
      <c r="H18" s="155"/>
      <c r="I18" s="155"/>
      <c r="J18" s="156" t="s">
        <v>71</v>
      </c>
      <c r="K18" s="156"/>
      <c r="L18" s="156"/>
      <c r="M18" s="146" t="s">
        <v>309</v>
      </c>
      <c r="N18" s="146"/>
      <c r="O18" s="146"/>
      <c r="P18" s="146"/>
      <c r="Q18" s="153" t="s">
        <v>310</v>
      </c>
      <c r="R18" s="153"/>
      <c r="S18" s="153"/>
      <c r="T18" s="153"/>
      <c r="U18" s="154"/>
      <c r="V18" s="154"/>
      <c r="W18" s="154"/>
      <c r="X18" s="154"/>
      <c r="Y18" s="154"/>
      <c r="Z18" s="154"/>
      <c r="AA18" s="138" t="s">
        <v>290</v>
      </c>
      <c r="AB18" s="138"/>
      <c r="AC18" s="138"/>
      <c r="AD18" s="138"/>
      <c r="AE18" s="157"/>
      <c r="AF18" s="157"/>
      <c r="AG18" s="157"/>
      <c r="AH18" s="157"/>
    </row>
    <row r="19" customFormat="false" ht="14.1" hidden="false" customHeight="true" outlineLevel="0" collapsed="false">
      <c r="A19" s="142"/>
      <c r="B19" s="142"/>
      <c r="C19" s="142"/>
      <c r="D19" s="142"/>
      <c r="E19" s="142"/>
      <c r="F19" s="155"/>
      <c r="G19" s="155"/>
      <c r="H19" s="155"/>
      <c r="I19" s="155"/>
      <c r="J19" s="156"/>
      <c r="K19" s="156"/>
      <c r="L19" s="156"/>
      <c r="M19" s="138"/>
      <c r="N19" s="138"/>
      <c r="O19" s="139" t="s">
        <v>301</v>
      </c>
      <c r="P19" s="139"/>
      <c r="Q19" s="139"/>
      <c r="R19" s="139"/>
      <c r="S19" s="156" t="s">
        <v>301</v>
      </c>
      <c r="T19" s="156"/>
      <c r="U19" s="138"/>
      <c r="V19" s="138"/>
      <c r="W19" s="138"/>
      <c r="X19" s="138"/>
      <c r="Y19" s="156" t="s">
        <v>307</v>
      </c>
      <c r="Z19" s="156"/>
      <c r="AA19" s="138"/>
      <c r="AB19" s="138"/>
      <c r="AC19" s="138"/>
      <c r="AD19" s="138"/>
      <c r="AE19" s="157"/>
      <c r="AF19" s="157"/>
      <c r="AG19" s="157"/>
      <c r="AH19" s="157"/>
    </row>
    <row r="20" customFormat="false" ht="14.1" hidden="false" customHeight="true" outlineLevel="0" collapsed="false">
      <c r="A20" s="142"/>
      <c r="B20" s="142"/>
      <c r="C20" s="142"/>
      <c r="D20" s="142"/>
      <c r="E20" s="142"/>
      <c r="F20" s="158"/>
      <c r="G20" s="159"/>
      <c r="H20" s="159"/>
      <c r="I20" s="159"/>
      <c r="J20" s="160" t="s">
        <v>1</v>
      </c>
      <c r="K20" s="160" t="s">
        <v>164</v>
      </c>
      <c r="L20" s="160" t="s">
        <v>37</v>
      </c>
      <c r="M20" s="160" t="s">
        <v>164</v>
      </c>
      <c r="N20" s="160" t="s">
        <v>38</v>
      </c>
      <c r="O20" s="160" t="s">
        <v>164</v>
      </c>
      <c r="P20" s="160" t="s">
        <v>39</v>
      </c>
      <c r="Q20" s="160" t="s">
        <v>165</v>
      </c>
      <c r="R20" s="160" t="s">
        <v>40</v>
      </c>
      <c r="S20" s="160" t="s">
        <v>164</v>
      </c>
      <c r="T20" s="160" t="s">
        <v>41</v>
      </c>
      <c r="U20" s="160" t="s">
        <v>164</v>
      </c>
      <c r="V20" s="160" t="s">
        <v>42</v>
      </c>
      <c r="W20" s="160" t="s">
        <v>165</v>
      </c>
      <c r="X20" s="160" t="s">
        <v>43</v>
      </c>
      <c r="Y20" s="159"/>
      <c r="Z20" s="159"/>
      <c r="AA20" s="159"/>
      <c r="AB20" s="159"/>
      <c r="AC20" s="159"/>
      <c r="AD20" s="159"/>
      <c r="AE20" s="159"/>
      <c r="AF20" s="159"/>
      <c r="AG20" s="159"/>
      <c r="AH20" s="161"/>
    </row>
    <row r="21" customFormat="false" ht="4.5" hidden="false" customHeight="true" outlineLevel="0" collapsed="false">
      <c r="A21" s="141"/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</row>
    <row r="22" customFormat="false" ht="14.1" hidden="false" customHeight="true" outlineLevel="0" collapsed="false">
      <c r="A22" s="142" t="s">
        <v>311</v>
      </c>
      <c r="B22" s="142"/>
      <c r="C22" s="142"/>
      <c r="D22" s="142"/>
      <c r="E22" s="142"/>
      <c r="F22" s="162" t="s">
        <v>323</v>
      </c>
      <c r="G22" s="162"/>
      <c r="H22" s="162"/>
      <c r="I22" s="162"/>
      <c r="J22" s="162"/>
      <c r="K22" s="162"/>
      <c r="L22" s="162"/>
      <c r="M22" s="154" t="s">
        <v>5</v>
      </c>
      <c r="N22" s="154"/>
      <c r="O22" s="154"/>
      <c r="P22" s="154"/>
      <c r="Q22" s="154"/>
      <c r="R22" s="154"/>
      <c r="S22" s="154"/>
      <c r="T22" s="154"/>
      <c r="U22" s="132" t="s">
        <v>32</v>
      </c>
      <c r="V22" s="132"/>
      <c r="W22" s="132"/>
      <c r="X22" s="132"/>
      <c r="Y22" s="132"/>
      <c r="Z22" s="132"/>
      <c r="AA22" s="132"/>
      <c r="AB22" s="132" t="s">
        <v>324</v>
      </c>
      <c r="AC22" s="132"/>
      <c r="AD22" s="132"/>
      <c r="AE22" s="132"/>
      <c r="AF22" s="132"/>
      <c r="AG22" s="132"/>
      <c r="AH22" s="132"/>
    </row>
    <row r="23" customFormat="false" ht="14.1" hidden="false" customHeight="true" outlineLevel="0" collapsed="false">
      <c r="A23" s="142"/>
      <c r="B23" s="142"/>
      <c r="C23" s="142"/>
      <c r="D23" s="142"/>
      <c r="E23" s="142"/>
      <c r="F23" s="173" t="s">
        <v>316</v>
      </c>
      <c r="G23" s="173"/>
      <c r="H23" s="173"/>
      <c r="I23" s="173"/>
      <c r="J23" s="173"/>
      <c r="K23" s="173"/>
      <c r="L23" s="173"/>
      <c r="M23" s="138" t="n">
        <v>0.1</v>
      </c>
      <c r="N23" s="138"/>
      <c r="O23" s="138"/>
      <c r="P23" s="138"/>
      <c r="Q23" s="156" t="s">
        <v>71</v>
      </c>
      <c r="R23" s="156"/>
      <c r="S23" s="156"/>
      <c r="T23" s="156"/>
      <c r="U23" s="134" t="s">
        <v>325</v>
      </c>
      <c r="V23" s="134"/>
      <c r="W23" s="134"/>
      <c r="X23" s="134"/>
      <c r="Y23" s="134"/>
      <c r="Z23" s="134"/>
      <c r="AA23" s="134"/>
      <c r="AB23" s="134" t="s">
        <v>326</v>
      </c>
      <c r="AC23" s="134"/>
      <c r="AD23" s="134"/>
      <c r="AE23" s="134"/>
      <c r="AF23" s="134"/>
      <c r="AG23" s="134"/>
      <c r="AH23" s="134"/>
    </row>
    <row r="24" customFormat="false" ht="14.1" hidden="false" customHeight="true" outlineLevel="0" collapsed="false">
      <c r="A24" s="142"/>
      <c r="B24" s="142"/>
      <c r="C24" s="142"/>
      <c r="D24" s="142"/>
      <c r="E24" s="142"/>
      <c r="F24" s="162" t="s">
        <v>327</v>
      </c>
      <c r="G24" s="162"/>
      <c r="H24" s="162"/>
      <c r="I24" s="162"/>
      <c r="J24" s="162"/>
      <c r="K24" s="162"/>
      <c r="L24" s="162"/>
      <c r="M24" s="154" t="s">
        <v>282</v>
      </c>
      <c r="N24" s="154"/>
      <c r="O24" s="154"/>
      <c r="P24" s="154"/>
      <c r="Q24" s="154"/>
      <c r="R24" s="154"/>
      <c r="S24" s="154"/>
      <c r="T24" s="154"/>
      <c r="U24" s="134" t="s">
        <v>328</v>
      </c>
      <c r="V24" s="134"/>
      <c r="W24" s="134"/>
      <c r="X24" s="134"/>
      <c r="Y24" s="134"/>
      <c r="Z24" s="134"/>
      <c r="AA24" s="134"/>
      <c r="AB24" s="134" t="s">
        <v>54</v>
      </c>
      <c r="AC24" s="134"/>
      <c r="AD24" s="134"/>
      <c r="AE24" s="134"/>
      <c r="AF24" s="134"/>
      <c r="AG24" s="134"/>
      <c r="AH24" s="134"/>
    </row>
    <row r="25" customFormat="false" ht="14.1" hidden="false" customHeight="true" outlineLevel="0" collapsed="false">
      <c r="A25" s="142"/>
      <c r="B25" s="142"/>
      <c r="C25" s="142"/>
      <c r="D25" s="142"/>
      <c r="E25" s="142"/>
      <c r="F25" s="174" t="s">
        <v>329</v>
      </c>
      <c r="G25" s="174"/>
      <c r="H25" s="174"/>
      <c r="I25" s="174"/>
      <c r="J25" s="174"/>
      <c r="K25" s="174"/>
      <c r="L25" s="174"/>
      <c r="M25" s="146" t="s">
        <v>314</v>
      </c>
      <c r="N25" s="146"/>
      <c r="O25" s="146"/>
      <c r="P25" s="146"/>
      <c r="Q25" s="153" t="s">
        <v>315</v>
      </c>
      <c r="R25" s="153"/>
      <c r="S25" s="153"/>
      <c r="T25" s="153"/>
      <c r="U25" s="175" t="s">
        <v>330</v>
      </c>
      <c r="V25" s="175"/>
      <c r="W25" s="175"/>
      <c r="X25" s="175"/>
      <c r="Y25" s="175"/>
      <c r="Z25" s="175"/>
      <c r="AA25" s="175"/>
      <c r="AB25" s="175" t="s">
        <v>55</v>
      </c>
      <c r="AC25" s="175"/>
      <c r="AD25" s="175"/>
      <c r="AE25" s="175"/>
      <c r="AF25" s="175"/>
      <c r="AG25" s="175"/>
      <c r="AH25" s="175"/>
    </row>
    <row r="26" customFormat="false" ht="14.1" hidden="false" customHeight="true" outlineLevel="0" collapsed="false">
      <c r="A26" s="142"/>
      <c r="B26" s="142"/>
      <c r="C26" s="142"/>
      <c r="D26" s="142"/>
      <c r="E26" s="142"/>
      <c r="F26" s="176" t="s">
        <v>95</v>
      </c>
      <c r="G26" s="176"/>
      <c r="H26" s="176"/>
      <c r="I26" s="176"/>
      <c r="J26" s="176"/>
      <c r="K26" s="176"/>
      <c r="L26" s="176"/>
      <c r="M26" s="138" t="n">
        <v>95</v>
      </c>
      <c r="N26" s="138"/>
      <c r="O26" s="139" t="s">
        <v>306</v>
      </c>
      <c r="P26" s="139"/>
      <c r="Q26" s="139" t="n">
        <v>70</v>
      </c>
      <c r="R26" s="139"/>
      <c r="S26" s="156" t="s">
        <v>306</v>
      </c>
      <c r="T26" s="156"/>
      <c r="U26" s="132" t="s">
        <v>31</v>
      </c>
      <c r="V26" s="132"/>
      <c r="W26" s="132"/>
      <c r="X26" s="132"/>
      <c r="Y26" s="132"/>
      <c r="Z26" s="132"/>
      <c r="AA26" s="132"/>
      <c r="AB26" s="132" t="s">
        <v>331</v>
      </c>
      <c r="AC26" s="132"/>
      <c r="AD26" s="132"/>
      <c r="AE26" s="132"/>
      <c r="AF26" s="132"/>
      <c r="AG26" s="132"/>
      <c r="AH26" s="132"/>
    </row>
    <row r="27" customFormat="false" ht="14.1" hidden="false" customHeight="true" outlineLevel="0" collapsed="false">
      <c r="A27" s="142"/>
      <c r="B27" s="142"/>
      <c r="C27" s="142"/>
      <c r="D27" s="142"/>
      <c r="E27" s="142"/>
      <c r="F27" s="162" t="s">
        <v>332</v>
      </c>
      <c r="G27" s="162"/>
      <c r="H27" s="162"/>
      <c r="I27" s="162"/>
      <c r="J27" s="162"/>
      <c r="K27" s="162"/>
      <c r="L27" s="162"/>
      <c r="M27" s="154" t="s">
        <v>318</v>
      </c>
      <c r="N27" s="154"/>
      <c r="O27" s="154"/>
      <c r="P27" s="154"/>
      <c r="Q27" s="154"/>
      <c r="R27" s="154"/>
      <c r="S27" s="154"/>
      <c r="T27" s="154"/>
      <c r="U27" s="134" t="s">
        <v>53</v>
      </c>
      <c r="V27" s="134"/>
      <c r="W27" s="134"/>
      <c r="X27" s="134"/>
      <c r="Y27" s="134"/>
      <c r="Z27" s="134"/>
      <c r="AA27" s="134"/>
      <c r="AB27" s="134" t="s">
        <v>333</v>
      </c>
      <c r="AC27" s="134"/>
      <c r="AD27" s="134"/>
      <c r="AE27" s="134"/>
      <c r="AF27" s="134"/>
      <c r="AG27" s="134"/>
      <c r="AH27" s="134"/>
    </row>
    <row r="28" customFormat="false" ht="14.1" hidden="false" customHeight="true" outlineLevel="0" collapsed="false">
      <c r="A28" s="142"/>
      <c r="B28" s="142"/>
      <c r="C28" s="142"/>
      <c r="D28" s="142"/>
      <c r="E28" s="142"/>
      <c r="F28" s="177" t="s">
        <v>319</v>
      </c>
      <c r="G28" s="177"/>
      <c r="H28" s="177"/>
      <c r="I28" s="177"/>
      <c r="J28" s="177"/>
      <c r="K28" s="177"/>
      <c r="L28" s="177"/>
      <c r="M28" s="138" t="n">
        <v>3</v>
      </c>
      <c r="N28" s="138"/>
      <c r="O28" s="138"/>
      <c r="P28" s="138"/>
      <c r="Q28" s="156" t="s">
        <v>307</v>
      </c>
      <c r="R28" s="156"/>
      <c r="S28" s="156"/>
      <c r="T28" s="156"/>
      <c r="U28" s="175" t="s">
        <v>55</v>
      </c>
      <c r="V28" s="175"/>
      <c r="W28" s="175"/>
      <c r="X28" s="175"/>
      <c r="Y28" s="175"/>
      <c r="Z28" s="175"/>
      <c r="AA28" s="175"/>
      <c r="AB28" s="175" t="s">
        <v>334</v>
      </c>
      <c r="AC28" s="175"/>
      <c r="AD28" s="175"/>
      <c r="AE28" s="175"/>
      <c r="AF28" s="175"/>
      <c r="AG28" s="175"/>
      <c r="AH28" s="175"/>
    </row>
    <row r="29" customFormat="false" ht="14.1" hidden="false" customHeight="true" outlineLevel="0" collapsed="false">
      <c r="A29" s="142"/>
      <c r="B29" s="142"/>
      <c r="C29" s="142"/>
      <c r="D29" s="142"/>
      <c r="E29" s="142"/>
      <c r="F29" s="178"/>
      <c r="G29" s="179"/>
      <c r="H29" s="179"/>
      <c r="I29" s="179"/>
      <c r="J29" s="179" t="s">
        <v>2</v>
      </c>
      <c r="K29" s="179" t="s">
        <v>164</v>
      </c>
      <c r="L29" s="179" t="s">
        <v>37</v>
      </c>
      <c r="M29" s="179" t="s">
        <v>164</v>
      </c>
      <c r="N29" s="179" t="s">
        <v>38</v>
      </c>
      <c r="O29" s="179" t="s">
        <v>164</v>
      </c>
      <c r="P29" s="179" t="s">
        <v>39</v>
      </c>
      <c r="Q29" s="179" t="s">
        <v>165</v>
      </c>
      <c r="R29" s="179" t="s">
        <v>40</v>
      </c>
      <c r="S29" s="179" t="s">
        <v>164</v>
      </c>
      <c r="T29" s="179" t="s">
        <v>41</v>
      </c>
      <c r="U29" s="179" t="s">
        <v>164</v>
      </c>
      <c r="V29" s="179" t="s">
        <v>42</v>
      </c>
      <c r="W29" s="179" t="s">
        <v>165</v>
      </c>
      <c r="X29" s="179" t="s">
        <v>43</v>
      </c>
      <c r="Y29" s="179"/>
      <c r="Z29" s="179"/>
      <c r="AA29" s="179"/>
      <c r="AB29" s="179"/>
      <c r="AC29" s="179"/>
      <c r="AD29" s="179"/>
      <c r="AE29" s="179"/>
      <c r="AF29" s="179"/>
      <c r="AG29" s="179"/>
      <c r="AH29" s="180"/>
    </row>
    <row r="30" customFormat="false" ht="4.5" hidden="false" customHeight="true" outlineLevel="0" collapsed="false">
      <c r="A30" s="141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</row>
    <row r="31" customFormat="false" ht="14.1" hidden="false" customHeight="true" outlineLevel="0" collapsed="false">
      <c r="A31" s="142" t="s">
        <v>335</v>
      </c>
      <c r="B31" s="142"/>
      <c r="C31" s="142"/>
      <c r="D31" s="142"/>
      <c r="E31" s="142"/>
      <c r="F31" s="162" t="s">
        <v>323</v>
      </c>
      <c r="G31" s="162"/>
      <c r="H31" s="162"/>
      <c r="I31" s="162"/>
      <c r="J31" s="162"/>
      <c r="K31" s="162"/>
      <c r="L31" s="162"/>
      <c r="M31" s="154" t="s">
        <v>5</v>
      </c>
      <c r="N31" s="154"/>
      <c r="O31" s="154"/>
      <c r="P31" s="154"/>
      <c r="Q31" s="154"/>
      <c r="R31" s="154"/>
      <c r="S31" s="154"/>
      <c r="T31" s="154"/>
      <c r="U31" s="132" t="s">
        <v>32</v>
      </c>
      <c r="V31" s="132"/>
      <c r="W31" s="132"/>
      <c r="X31" s="132"/>
      <c r="Y31" s="132"/>
      <c r="Z31" s="132"/>
      <c r="AA31" s="132"/>
      <c r="AB31" s="132" t="s">
        <v>324</v>
      </c>
      <c r="AC31" s="132"/>
      <c r="AD31" s="132"/>
      <c r="AE31" s="132"/>
      <c r="AF31" s="132"/>
      <c r="AG31" s="132"/>
      <c r="AH31" s="132"/>
    </row>
    <row r="32" customFormat="false" ht="14.1" hidden="false" customHeight="true" outlineLevel="0" collapsed="false">
      <c r="A32" s="142"/>
      <c r="B32" s="142"/>
      <c r="C32" s="142"/>
      <c r="D32" s="142"/>
      <c r="E32" s="142"/>
      <c r="F32" s="173" t="s">
        <v>316</v>
      </c>
      <c r="G32" s="173"/>
      <c r="H32" s="173"/>
      <c r="I32" s="173"/>
      <c r="J32" s="173"/>
      <c r="K32" s="173"/>
      <c r="L32" s="173"/>
      <c r="M32" s="138"/>
      <c r="N32" s="138"/>
      <c r="O32" s="138"/>
      <c r="P32" s="138"/>
      <c r="Q32" s="156" t="s">
        <v>71</v>
      </c>
      <c r="R32" s="156"/>
      <c r="S32" s="156"/>
      <c r="T32" s="156"/>
      <c r="U32" s="134" t="s">
        <v>325</v>
      </c>
      <c r="V32" s="134"/>
      <c r="W32" s="134"/>
      <c r="X32" s="134"/>
      <c r="Y32" s="134"/>
      <c r="Z32" s="134"/>
      <c r="AA32" s="134"/>
      <c r="AB32" s="134" t="s">
        <v>326</v>
      </c>
      <c r="AC32" s="134"/>
      <c r="AD32" s="134"/>
      <c r="AE32" s="134"/>
      <c r="AF32" s="134"/>
      <c r="AG32" s="134"/>
      <c r="AH32" s="134"/>
    </row>
    <row r="33" customFormat="false" ht="14.1" hidden="false" customHeight="true" outlineLevel="0" collapsed="false">
      <c r="A33" s="142"/>
      <c r="B33" s="142"/>
      <c r="C33" s="142"/>
      <c r="D33" s="142"/>
      <c r="E33" s="142"/>
      <c r="F33" s="162" t="s">
        <v>327</v>
      </c>
      <c r="G33" s="162"/>
      <c r="H33" s="162"/>
      <c r="I33" s="162"/>
      <c r="J33" s="162"/>
      <c r="K33" s="162"/>
      <c r="L33" s="162"/>
      <c r="M33" s="154" t="s">
        <v>282</v>
      </c>
      <c r="N33" s="154"/>
      <c r="O33" s="154"/>
      <c r="P33" s="154"/>
      <c r="Q33" s="154"/>
      <c r="R33" s="154"/>
      <c r="S33" s="154"/>
      <c r="T33" s="154"/>
      <c r="U33" s="134" t="s">
        <v>328</v>
      </c>
      <c r="V33" s="134"/>
      <c r="W33" s="134"/>
      <c r="X33" s="134"/>
      <c r="Y33" s="134"/>
      <c r="Z33" s="134"/>
      <c r="AA33" s="134"/>
      <c r="AB33" s="134" t="s">
        <v>54</v>
      </c>
      <c r="AC33" s="134"/>
      <c r="AD33" s="134"/>
      <c r="AE33" s="134"/>
      <c r="AF33" s="134"/>
      <c r="AG33" s="134"/>
      <c r="AH33" s="134"/>
    </row>
    <row r="34" customFormat="false" ht="14.1" hidden="false" customHeight="true" outlineLevel="0" collapsed="false">
      <c r="A34" s="142"/>
      <c r="B34" s="142"/>
      <c r="C34" s="142"/>
      <c r="D34" s="142"/>
      <c r="E34" s="142"/>
      <c r="F34" s="174" t="s">
        <v>329</v>
      </c>
      <c r="G34" s="174"/>
      <c r="H34" s="174"/>
      <c r="I34" s="174"/>
      <c r="J34" s="174"/>
      <c r="K34" s="174"/>
      <c r="L34" s="174"/>
      <c r="M34" s="146" t="s">
        <v>314</v>
      </c>
      <c r="N34" s="146"/>
      <c r="O34" s="146"/>
      <c r="P34" s="146"/>
      <c r="Q34" s="153" t="s">
        <v>315</v>
      </c>
      <c r="R34" s="153"/>
      <c r="S34" s="153"/>
      <c r="T34" s="153"/>
      <c r="U34" s="175" t="s">
        <v>330</v>
      </c>
      <c r="V34" s="175"/>
      <c r="W34" s="175"/>
      <c r="X34" s="175"/>
      <c r="Y34" s="175"/>
      <c r="Z34" s="175"/>
      <c r="AA34" s="175"/>
      <c r="AB34" s="175" t="s">
        <v>55</v>
      </c>
      <c r="AC34" s="175"/>
      <c r="AD34" s="175"/>
      <c r="AE34" s="175"/>
      <c r="AF34" s="175"/>
      <c r="AG34" s="175"/>
      <c r="AH34" s="175"/>
    </row>
    <row r="35" customFormat="false" ht="14.1" hidden="false" customHeight="true" outlineLevel="0" collapsed="false">
      <c r="A35" s="142"/>
      <c r="B35" s="142"/>
      <c r="C35" s="142"/>
      <c r="D35" s="142"/>
      <c r="E35" s="142"/>
      <c r="F35" s="176" t="s">
        <v>95</v>
      </c>
      <c r="G35" s="176"/>
      <c r="H35" s="176"/>
      <c r="I35" s="176"/>
      <c r="J35" s="176"/>
      <c r="K35" s="176"/>
      <c r="L35" s="176"/>
      <c r="M35" s="138"/>
      <c r="N35" s="138"/>
      <c r="O35" s="139" t="s">
        <v>306</v>
      </c>
      <c r="P35" s="139"/>
      <c r="Q35" s="139"/>
      <c r="R35" s="139"/>
      <c r="S35" s="156" t="s">
        <v>306</v>
      </c>
      <c r="T35" s="156"/>
      <c r="U35" s="132" t="s">
        <v>31</v>
      </c>
      <c r="V35" s="132"/>
      <c r="W35" s="132"/>
      <c r="X35" s="132"/>
      <c r="Y35" s="132"/>
      <c r="Z35" s="132"/>
      <c r="AA35" s="132"/>
      <c r="AB35" s="132" t="s">
        <v>331</v>
      </c>
      <c r="AC35" s="132"/>
      <c r="AD35" s="132"/>
      <c r="AE35" s="132"/>
      <c r="AF35" s="132"/>
      <c r="AG35" s="132"/>
      <c r="AH35" s="132"/>
    </row>
    <row r="36" customFormat="false" ht="14.1" hidden="false" customHeight="true" outlineLevel="0" collapsed="false">
      <c r="A36" s="142"/>
      <c r="B36" s="142"/>
      <c r="C36" s="142"/>
      <c r="D36" s="142"/>
      <c r="E36" s="142"/>
      <c r="F36" s="162" t="s">
        <v>332</v>
      </c>
      <c r="G36" s="162"/>
      <c r="H36" s="162"/>
      <c r="I36" s="162"/>
      <c r="J36" s="162"/>
      <c r="K36" s="162"/>
      <c r="L36" s="162"/>
      <c r="M36" s="154" t="s">
        <v>318</v>
      </c>
      <c r="N36" s="154"/>
      <c r="O36" s="154"/>
      <c r="P36" s="154"/>
      <c r="Q36" s="154"/>
      <c r="R36" s="154"/>
      <c r="S36" s="154"/>
      <c r="T36" s="154"/>
      <c r="U36" s="134" t="s">
        <v>53</v>
      </c>
      <c r="V36" s="134"/>
      <c r="W36" s="134"/>
      <c r="X36" s="134"/>
      <c r="Y36" s="134"/>
      <c r="Z36" s="134"/>
      <c r="AA36" s="134"/>
      <c r="AB36" s="134" t="s">
        <v>333</v>
      </c>
      <c r="AC36" s="134"/>
      <c r="AD36" s="134"/>
      <c r="AE36" s="134"/>
      <c r="AF36" s="134"/>
      <c r="AG36" s="134"/>
      <c r="AH36" s="134"/>
    </row>
    <row r="37" customFormat="false" ht="14.1" hidden="false" customHeight="true" outlineLevel="0" collapsed="false">
      <c r="A37" s="142"/>
      <c r="B37" s="142"/>
      <c r="C37" s="142"/>
      <c r="D37" s="142"/>
      <c r="E37" s="142"/>
      <c r="F37" s="177" t="s">
        <v>319</v>
      </c>
      <c r="G37" s="177"/>
      <c r="H37" s="177"/>
      <c r="I37" s="177"/>
      <c r="J37" s="177"/>
      <c r="K37" s="177"/>
      <c r="L37" s="177"/>
      <c r="M37" s="138"/>
      <c r="N37" s="138"/>
      <c r="O37" s="138"/>
      <c r="P37" s="138"/>
      <c r="Q37" s="156" t="s">
        <v>307</v>
      </c>
      <c r="R37" s="156"/>
      <c r="S37" s="156"/>
      <c r="T37" s="156"/>
      <c r="U37" s="175" t="s">
        <v>55</v>
      </c>
      <c r="V37" s="175"/>
      <c r="W37" s="175"/>
      <c r="X37" s="175"/>
      <c r="Y37" s="175"/>
      <c r="Z37" s="175"/>
      <c r="AA37" s="175"/>
      <c r="AB37" s="175" t="s">
        <v>334</v>
      </c>
      <c r="AC37" s="175"/>
      <c r="AD37" s="175"/>
      <c r="AE37" s="175"/>
      <c r="AF37" s="175"/>
      <c r="AG37" s="175"/>
      <c r="AH37" s="175"/>
    </row>
    <row r="38" customFormat="false" ht="14.1" hidden="false" customHeight="true" outlineLevel="0" collapsed="false">
      <c r="A38" s="142"/>
      <c r="B38" s="142"/>
      <c r="C38" s="142"/>
      <c r="D38" s="142"/>
      <c r="E38" s="142"/>
      <c r="F38" s="178"/>
      <c r="G38" s="179"/>
      <c r="H38" s="179"/>
      <c r="I38" s="179"/>
      <c r="J38" s="179" t="s">
        <v>2</v>
      </c>
      <c r="K38" s="179" t="s">
        <v>164</v>
      </c>
      <c r="L38" s="179" t="s">
        <v>37</v>
      </c>
      <c r="M38" s="179" t="s">
        <v>164</v>
      </c>
      <c r="N38" s="179" t="s">
        <v>38</v>
      </c>
      <c r="O38" s="179" t="s">
        <v>164</v>
      </c>
      <c r="P38" s="179" t="s">
        <v>39</v>
      </c>
      <c r="Q38" s="179" t="s">
        <v>165</v>
      </c>
      <c r="R38" s="179" t="s">
        <v>40</v>
      </c>
      <c r="S38" s="179" t="s">
        <v>164</v>
      </c>
      <c r="T38" s="179" t="s">
        <v>41</v>
      </c>
      <c r="U38" s="179" t="s">
        <v>164</v>
      </c>
      <c r="V38" s="179" t="s">
        <v>42</v>
      </c>
      <c r="W38" s="179" t="s">
        <v>165</v>
      </c>
      <c r="X38" s="179" t="s">
        <v>43</v>
      </c>
      <c r="Y38" s="179"/>
      <c r="Z38" s="179"/>
      <c r="AA38" s="179"/>
      <c r="AB38" s="179"/>
      <c r="AC38" s="179"/>
      <c r="AD38" s="179"/>
      <c r="AE38" s="179"/>
      <c r="AF38" s="179"/>
      <c r="AG38" s="179"/>
      <c r="AH38" s="180"/>
    </row>
    <row r="39" customFormat="false" ht="4.5" hidden="false" customHeight="true" outlineLevel="0" collapsed="false">
      <c r="A39" s="141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</row>
    <row r="40" customFormat="false" ht="14.1" hidden="false" customHeight="true" outlineLevel="0" collapsed="false">
      <c r="A40" s="142" t="s">
        <v>336</v>
      </c>
      <c r="B40" s="142"/>
      <c r="C40" s="142"/>
      <c r="D40" s="142"/>
      <c r="E40" s="142"/>
      <c r="F40" s="162" t="s">
        <v>323</v>
      </c>
      <c r="G40" s="162"/>
      <c r="H40" s="162"/>
      <c r="I40" s="162"/>
      <c r="J40" s="162"/>
      <c r="K40" s="162"/>
      <c r="L40" s="162"/>
      <c r="M40" s="154" t="s">
        <v>5</v>
      </c>
      <c r="N40" s="154"/>
      <c r="O40" s="154"/>
      <c r="P40" s="154"/>
      <c r="Q40" s="154"/>
      <c r="R40" s="154"/>
      <c r="S40" s="154"/>
      <c r="T40" s="154"/>
      <c r="U40" s="132" t="s">
        <v>32</v>
      </c>
      <c r="V40" s="132"/>
      <c r="W40" s="132"/>
      <c r="X40" s="132"/>
      <c r="Y40" s="132"/>
      <c r="Z40" s="132"/>
      <c r="AA40" s="132"/>
      <c r="AB40" s="132" t="s">
        <v>324</v>
      </c>
      <c r="AC40" s="132"/>
      <c r="AD40" s="132"/>
      <c r="AE40" s="132"/>
      <c r="AF40" s="132"/>
      <c r="AG40" s="132"/>
      <c r="AH40" s="132"/>
    </row>
    <row r="41" customFormat="false" ht="14.1" hidden="false" customHeight="true" outlineLevel="0" collapsed="false">
      <c r="A41" s="142"/>
      <c r="B41" s="142"/>
      <c r="C41" s="142"/>
      <c r="D41" s="142"/>
      <c r="E41" s="142"/>
      <c r="F41" s="173" t="s">
        <v>316</v>
      </c>
      <c r="G41" s="173"/>
      <c r="H41" s="173"/>
      <c r="I41" s="173"/>
      <c r="J41" s="173"/>
      <c r="K41" s="173"/>
      <c r="L41" s="173"/>
      <c r="M41" s="138"/>
      <c r="N41" s="138"/>
      <c r="O41" s="138"/>
      <c r="P41" s="138"/>
      <c r="Q41" s="156" t="s">
        <v>71</v>
      </c>
      <c r="R41" s="156"/>
      <c r="S41" s="156"/>
      <c r="T41" s="156"/>
      <c r="U41" s="134" t="s">
        <v>325</v>
      </c>
      <c r="V41" s="134"/>
      <c r="W41" s="134"/>
      <c r="X41" s="134"/>
      <c r="Y41" s="134"/>
      <c r="Z41" s="134"/>
      <c r="AA41" s="134"/>
      <c r="AB41" s="134" t="s">
        <v>326</v>
      </c>
      <c r="AC41" s="134"/>
      <c r="AD41" s="134"/>
      <c r="AE41" s="134"/>
      <c r="AF41" s="134"/>
      <c r="AG41" s="134"/>
      <c r="AH41" s="134"/>
    </row>
    <row r="42" customFormat="false" ht="14.1" hidden="false" customHeight="true" outlineLevel="0" collapsed="false">
      <c r="A42" s="142"/>
      <c r="B42" s="142"/>
      <c r="C42" s="142"/>
      <c r="D42" s="142"/>
      <c r="E42" s="142"/>
      <c r="F42" s="162" t="s">
        <v>327</v>
      </c>
      <c r="G42" s="162"/>
      <c r="H42" s="162"/>
      <c r="I42" s="162"/>
      <c r="J42" s="162"/>
      <c r="K42" s="162"/>
      <c r="L42" s="162"/>
      <c r="M42" s="154" t="s">
        <v>282</v>
      </c>
      <c r="N42" s="154"/>
      <c r="O42" s="154"/>
      <c r="P42" s="154"/>
      <c r="Q42" s="154"/>
      <c r="R42" s="154"/>
      <c r="S42" s="154"/>
      <c r="T42" s="154"/>
      <c r="U42" s="134" t="s">
        <v>328</v>
      </c>
      <c r="V42" s="134"/>
      <c r="W42" s="134"/>
      <c r="X42" s="134"/>
      <c r="Y42" s="134"/>
      <c r="Z42" s="134"/>
      <c r="AA42" s="134"/>
      <c r="AB42" s="134" t="s">
        <v>54</v>
      </c>
      <c r="AC42" s="134"/>
      <c r="AD42" s="134"/>
      <c r="AE42" s="134"/>
      <c r="AF42" s="134"/>
      <c r="AG42" s="134"/>
      <c r="AH42" s="134"/>
    </row>
    <row r="43" customFormat="false" ht="14.1" hidden="false" customHeight="true" outlineLevel="0" collapsed="false">
      <c r="A43" s="142"/>
      <c r="B43" s="142"/>
      <c r="C43" s="142"/>
      <c r="D43" s="142"/>
      <c r="E43" s="142"/>
      <c r="F43" s="174" t="s">
        <v>329</v>
      </c>
      <c r="G43" s="174"/>
      <c r="H43" s="174"/>
      <c r="I43" s="174"/>
      <c r="J43" s="174"/>
      <c r="K43" s="174"/>
      <c r="L43" s="174"/>
      <c r="M43" s="146" t="s">
        <v>314</v>
      </c>
      <c r="N43" s="146"/>
      <c r="O43" s="146"/>
      <c r="P43" s="146"/>
      <c r="Q43" s="153" t="s">
        <v>315</v>
      </c>
      <c r="R43" s="153"/>
      <c r="S43" s="153"/>
      <c r="T43" s="153"/>
      <c r="U43" s="175" t="s">
        <v>330</v>
      </c>
      <c r="V43" s="175"/>
      <c r="W43" s="175"/>
      <c r="X43" s="175"/>
      <c r="Y43" s="175"/>
      <c r="Z43" s="175"/>
      <c r="AA43" s="175"/>
      <c r="AB43" s="175" t="s">
        <v>55</v>
      </c>
      <c r="AC43" s="175"/>
      <c r="AD43" s="175"/>
      <c r="AE43" s="175"/>
      <c r="AF43" s="175"/>
      <c r="AG43" s="175"/>
      <c r="AH43" s="175"/>
    </row>
    <row r="44" customFormat="false" ht="14.1" hidden="false" customHeight="true" outlineLevel="0" collapsed="false">
      <c r="A44" s="142"/>
      <c r="B44" s="142"/>
      <c r="C44" s="142"/>
      <c r="D44" s="142"/>
      <c r="E44" s="142"/>
      <c r="F44" s="176" t="s">
        <v>95</v>
      </c>
      <c r="G44" s="176"/>
      <c r="H44" s="176"/>
      <c r="I44" s="176"/>
      <c r="J44" s="176"/>
      <c r="K44" s="176"/>
      <c r="L44" s="176"/>
      <c r="M44" s="138"/>
      <c r="N44" s="138"/>
      <c r="O44" s="139" t="s">
        <v>306</v>
      </c>
      <c r="P44" s="139"/>
      <c r="Q44" s="139"/>
      <c r="R44" s="139"/>
      <c r="S44" s="156" t="s">
        <v>306</v>
      </c>
      <c r="T44" s="156"/>
      <c r="U44" s="132" t="s">
        <v>31</v>
      </c>
      <c r="V44" s="132"/>
      <c r="W44" s="132"/>
      <c r="X44" s="132"/>
      <c r="Y44" s="132"/>
      <c r="Z44" s="132"/>
      <c r="AA44" s="132"/>
      <c r="AB44" s="132" t="s">
        <v>331</v>
      </c>
      <c r="AC44" s="132"/>
      <c r="AD44" s="132"/>
      <c r="AE44" s="132"/>
      <c r="AF44" s="132"/>
      <c r="AG44" s="132"/>
      <c r="AH44" s="132"/>
    </row>
    <row r="45" customFormat="false" ht="14.1" hidden="false" customHeight="true" outlineLevel="0" collapsed="false">
      <c r="A45" s="142"/>
      <c r="B45" s="142"/>
      <c r="C45" s="142"/>
      <c r="D45" s="142"/>
      <c r="E45" s="142"/>
      <c r="F45" s="162" t="s">
        <v>332</v>
      </c>
      <c r="G45" s="162"/>
      <c r="H45" s="162"/>
      <c r="I45" s="162"/>
      <c r="J45" s="162"/>
      <c r="K45" s="162"/>
      <c r="L45" s="162"/>
      <c r="M45" s="154" t="s">
        <v>318</v>
      </c>
      <c r="N45" s="154"/>
      <c r="O45" s="154"/>
      <c r="P45" s="154"/>
      <c r="Q45" s="154"/>
      <c r="R45" s="154"/>
      <c r="S45" s="154"/>
      <c r="T45" s="154"/>
      <c r="U45" s="134" t="s">
        <v>53</v>
      </c>
      <c r="V45" s="134"/>
      <c r="W45" s="134"/>
      <c r="X45" s="134"/>
      <c r="Y45" s="134"/>
      <c r="Z45" s="134"/>
      <c r="AA45" s="134"/>
      <c r="AB45" s="134" t="s">
        <v>333</v>
      </c>
      <c r="AC45" s="134"/>
      <c r="AD45" s="134"/>
      <c r="AE45" s="134"/>
      <c r="AF45" s="134"/>
      <c r="AG45" s="134"/>
      <c r="AH45" s="134"/>
    </row>
    <row r="46" customFormat="false" ht="14.1" hidden="false" customHeight="true" outlineLevel="0" collapsed="false">
      <c r="A46" s="142"/>
      <c r="B46" s="142"/>
      <c r="C46" s="142"/>
      <c r="D46" s="142"/>
      <c r="E46" s="142"/>
      <c r="F46" s="177" t="s">
        <v>319</v>
      </c>
      <c r="G46" s="177"/>
      <c r="H46" s="177"/>
      <c r="I46" s="177"/>
      <c r="J46" s="177"/>
      <c r="K46" s="177"/>
      <c r="L46" s="177"/>
      <c r="M46" s="138"/>
      <c r="N46" s="138"/>
      <c r="O46" s="138"/>
      <c r="P46" s="138"/>
      <c r="Q46" s="156" t="s">
        <v>307</v>
      </c>
      <c r="R46" s="156"/>
      <c r="S46" s="156"/>
      <c r="T46" s="156"/>
      <c r="U46" s="175" t="s">
        <v>55</v>
      </c>
      <c r="V46" s="175"/>
      <c r="W46" s="175"/>
      <c r="X46" s="175"/>
      <c r="Y46" s="175"/>
      <c r="Z46" s="175"/>
      <c r="AA46" s="175"/>
      <c r="AB46" s="175" t="s">
        <v>334</v>
      </c>
      <c r="AC46" s="175"/>
      <c r="AD46" s="175"/>
      <c r="AE46" s="175"/>
      <c r="AF46" s="175"/>
      <c r="AG46" s="175"/>
      <c r="AH46" s="175"/>
    </row>
    <row r="47" customFormat="false" ht="14.1" hidden="false" customHeight="true" outlineLevel="0" collapsed="false">
      <c r="A47" s="142"/>
      <c r="B47" s="142"/>
      <c r="C47" s="142"/>
      <c r="D47" s="142"/>
      <c r="E47" s="142"/>
      <c r="F47" s="178"/>
      <c r="G47" s="179"/>
      <c r="H47" s="179"/>
      <c r="I47" s="179"/>
      <c r="J47" s="179" t="s">
        <v>2</v>
      </c>
      <c r="K47" s="179" t="s">
        <v>164</v>
      </c>
      <c r="L47" s="179" t="s">
        <v>37</v>
      </c>
      <c r="M47" s="179" t="s">
        <v>164</v>
      </c>
      <c r="N47" s="179" t="s">
        <v>38</v>
      </c>
      <c r="O47" s="179" t="s">
        <v>164</v>
      </c>
      <c r="P47" s="179" t="s">
        <v>39</v>
      </c>
      <c r="Q47" s="179" t="s">
        <v>165</v>
      </c>
      <c r="R47" s="179" t="s">
        <v>40</v>
      </c>
      <c r="S47" s="179" t="s">
        <v>164</v>
      </c>
      <c r="T47" s="179" t="s">
        <v>41</v>
      </c>
      <c r="U47" s="179" t="s">
        <v>164</v>
      </c>
      <c r="V47" s="179" t="s">
        <v>42</v>
      </c>
      <c r="W47" s="179" t="s">
        <v>165</v>
      </c>
      <c r="X47" s="179" t="s">
        <v>43</v>
      </c>
      <c r="Y47" s="179"/>
      <c r="Z47" s="179"/>
      <c r="AA47" s="179"/>
      <c r="AB47" s="179"/>
      <c r="AC47" s="179"/>
      <c r="AD47" s="179"/>
      <c r="AE47" s="179"/>
      <c r="AF47" s="179"/>
      <c r="AG47" s="179"/>
      <c r="AH47" s="180"/>
    </row>
    <row r="48" customFormat="false" ht="4.5" hidden="false" customHeight="true" outlineLevel="0" collapsed="false">
      <c r="A48" s="141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</row>
    <row r="49" customFormat="false" ht="14.1" hidden="false" customHeight="true" outlineLevel="0" collapsed="false"/>
    <row r="50" customFormat="false" ht="14.1" hidden="false" customHeight="true" outlineLevel="0" collapsed="false"/>
    <row r="51" customFormat="false" ht="14.1" hidden="false" customHeight="true" outlineLevel="0" collapsed="false"/>
    <row r="52" customFormat="false" ht="14.1" hidden="false" customHeight="true" outlineLevel="0" collapsed="false"/>
    <row r="53" customFormat="false" ht="14.1" hidden="false" customHeight="true" outlineLevel="0" collapsed="false"/>
    <row r="54" customFormat="false" ht="14.1" hidden="false" customHeight="true" outlineLevel="0" collapsed="false"/>
    <row r="55" customFormat="false" ht="14.1" hidden="false" customHeight="true" outlineLevel="0" collapsed="false"/>
    <row r="56" customFormat="false" ht="14.1" hidden="false" customHeight="true" outlineLevel="0" collapsed="false"/>
    <row r="57" customFormat="false" ht="14.1" hidden="false" customHeight="true" outlineLevel="0" collapsed="false"/>
    <row r="58" customFormat="false" ht="14.1" hidden="false" customHeight="true" outlineLevel="0" collapsed="false"/>
    <row r="59" customFormat="false" ht="14.1" hidden="false" customHeight="true" outlineLevel="0" collapsed="false"/>
    <row r="60" customFormat="false" ht="14.1" hidden="false" customHeight="true" outlineLevel="0" collapsed="false"/>
    <row r="61" customFormat="false" ht="14.1" hidden="false" customHeight="true" outlineLevel="0" collapsed="false"/>
    <row r="62" customFormat="false" ht="14.1" hidden="false" customHeight="true" outlineLevel="0" collapsed="false"/>
    <row r="63" customFormat="false" ht="14.1" hidden="false" customHeight="true" outlineLevel="0" collapsed="false"/>
    <row r="64" customFormat="false" ht="14.1" hidden="false" customHeight="true" outlineLevel="0" collapsed="false"/>
    <row r="65" customFormat="false" ht="14.1" hidden="false" customHeight="true" outlineLevel="0" collapsed="false"/>
    <row r="66" customFormat="false" ht="14.1" hidden="false" customHeight="true" outlineLevel="0" collapsed="false"/>
    <row r="67" customFormat="false" ht="14.1" hidden="false" customHeight="true" outlineLevel="0" collapsed="false"/>
    <row r="68" customFormat="false" ht="14.1" hidden="false" customHeight="true" outlineLevel="0" collapsed="false"/>
    <row r="69" customFormat="false" ht="14.1" hidden="false" customHeight="true" outlineLevel="0" collapsed="false"/>
    <row r="70" customFormat="false" ht="14.1" hidden="false" customHeight="true" outlineLevel="0" collapsed="false"/>
    <row r="71" customFormat="false" ht="14.1" hidden="false" customHeight="true" outlineLevel="0" collapsed="false"/>
    <row r="72" customFormat="false" ht="14.1" hidden="false" customHeight="true" outlineLevel="0" collapsed="false"/>
    <row r="73" customFormat="false" ht="14.1" hidden="false" customHeight="true" outlineLevel="0" collapsed="false"/>
    <row r="74" customFormat="false" ht="14.1" hidden="false" customHeight="true" outlineLevel="0" collapsed="false"/>
    <row r="75" customFormat="false" ht="14.1" hidden="false" customHeight="true" outlineLevel="0" collapsed="false"/>
    <row r="76" customFormat="false" ht="14.1" hidden="false" customHeight="true" outlineLevel="0" collapsed="false"/>
    <row r="77" customFormat="false" ht="14.1" hidden="false" customHeight="true" outlineLevel="0" collapsed="false"/>
    <row r="78" customFormat="false" ht="14.1" hidden="false" customHeight="true" outlineLevel="0" collapsed="false"/>
    <row r="79" customFormat="false" ht="14.1" hidden="false" customHeight="true" outlineLevel="0" collapsed="false"/>
    <row r="80" customFormat="false" ht="14.1" hidden="false" customHeight="true" outlineLevel="0" collapsed="false"/>
    <row r="81" customFormat="false" ht="14.1" hidden="false" customHeight="true" outlineLevel="0" collapsed="false"/>
    <row r="82" customFormat="false" ht="14.1" hidden="false" customHeight="true" outlineLevel="0" collapsed="false"/>
    <row r="83" customFormat="false" ht="14.1" hidden="false" customHeight="true" outlineLevel="0" collapsed="false"/>
    <row r="84" customFormat="false" ht="14.1" hidden="false" customHeight="true" outlineLevel="0" collapsed="false"/>
    <row r="85" customFormat="false" ht="14.1" hidden="false" customHeight="true" outlineLevel="0" collapsed="false"/>
    <row r="86" customFormat="false" ht="14.1" hidden="false" customHeight="true" outlineLevel="0" collapsed="false"/>
    <row r="87" customFormat="false" ht="14.1" hidden="false" customHeight="true" outlineLevel="0" collapsed="false"/>
    <row r="88" customFormat="false" ht="14.1" hidden="false" customHeight="true" outlineLevel="0" collapsed="false"/>
    <row r="89" customFormat="false" ht="14.1" hidden="false" customHeight="true" outlineLevel="0" collapsed="false"/>
    <row r="90" customFormat="false" ht="14.1" hidden="false" customHeight="true" outlineLevel="0" collapsed="false"/>
    <row r="91" customFormat="false" ht="14.1" hidden="false" customHeight="true" outlineLevel="0" collapsed="false"/>
    <row r="92" customFormat="false" ht="14.1" hidden="false" customHeight="true" outlineLevel="0" collapsed="false"/>
    <row r="93" customFormat="false" ht="14.1" hidden="false" customHeight="true" outlineLevel="0" collapsed="false"/>
    <row r="94" customFormat="false" ht="14.1" hidden="false" customHeight="true" outlineLevel="0" collapsed="false"/>
    <row r="95" customFormat="false" ht="14.1" hidden="false" customHeight="true" outlineLevel="0" collapsed="false"/>
    <row r="96" customFormat="false" ht="14.1" hidden="false" customHeight="true" outlineLevel="0" collapsed="false"/>
    <row r="97" customFormat="false" ht="14.1" hidden="false" customHeight="true" outlineLevel="0" collapsed="false"/>
    <row r="98" customFormat="false" ht="14.1" hidden="false" customHeight="true" outlineLevel="0" collapsed="false"/>
    <row r="99" customFormat="false" ht="14.1" hidden="false" customHeight="true" outlineLevel="0" collapsed="false"/>
    <row r="100" customFormat="false" ht="14.1" hidden="false" customHeight="true" outlineLevel="0" collapsed="false"/>
    <row r="101" customFormat="false" ht="14.1" hidden="false" customHeight="true" outlineLevel="0" collapsed="false"/>
    <row r="102" customFormat="false" ht="14.1" hidden="false" customHeight="true" outlineLevel="0" collapsed="false"/>
    <row r="103" customFormat="false" ht="14.1" hidden="false" customHeight="true" outlineLevel="0" collapsed="false"/>
    <row r="104" customFormat="false" ht="14.1" hidden="false" customHeight="true" outlineLevel="0" collapsed="false"/>
    <row r="105" customFormat="false" ht="14.1" hidden="false" customHeight="true" outlineLevel="0" collapsed="false"/>
    <row r="106" customFormat="false" ht="14.1" hidden="false" customHeight="true" outlineLevel="0" collapsed="false"/>
    <row r="107" customFormat="false" ht="14.1" hidden="false" customHeight="true" outlineLevel="0" collapsed="false"/>
    <row r="108" customFormat="false" ht="14.1" hidden="false" customHeight="true" outlineLevel="0" collapsed="false"/>
    <row r="109" customFormat="false" ht="14.1" hidden="false" customHeight="true" outlineLevel="0" collapsed="false"/>
    <row r="110" customFormat="false" ht="14.1" hidden="false" customHeight="true" outlineLevel="0" collapsed="false"/>
    <row r="111" customFormat="false" ht="14.1" hidden="false" customHeight="true" outlineLevel="0" collapsed="false"/>
    <row r="112" customFormat="false" ht="14.1" hidden="false" customHeight="true" outlineLevel="0" collapsed="false"/>
    <row r="113" customFormat="false" ht="14.1" hidden="false" customHeight="true" outlineLevel="0" collapsed="false"/>
    <row r="114" customFormat="false" ht="14.1" hidden="false" customHeight="true" outlineLevel="0" collapsed="false"/>
    <row r="115" customFormat="false" ht="14.1" hidden="false" customHeight="true" outlineLevel="0" collapsed="false"/>
    <row r="116" customFormat="false" ht="14.1" hidden="false" customHeight="true" outlineLevel="0" collapsed="false"/>
    <row r="117" customFormat="false" ht="14.1" hidden="false" customHeight="true" outlineLevel="0" collapsed="false"/>
    <row r="118" customFormat="false" ht="14.1" hidden="false" customHeight="true" outlineLevel="0" collapsed="false"/>
    <row r="119" customFormat="false" ht="14.1" hidden="false" customHeight="true" outlineLevel="0" collapsed="false"/>
    <row r="120" customFormat="false" ht="14.1" hidden="false" customHeight="true" outlineLevel="0" collapsed="false"/>
    <row r="121" customFormat="false" ht="14.1" hidden="false" customHeight="true" outlineLevel="0" collapsed="false"/>
    <row r="122" customFormat="false" ht="14.1" hidden="false" customHeight="true" outlineLevel="0" collapsed="false"/>
    <row r="123" customFormat="false" ht="14.1" hidden="false" customHeight="true" outlineLevel="0" collapsed="false"/>
    <row r="124" customFormat="false" ht="14.1" hidden="false" customHeight="true" outlineLevel="0" collapsed="false"/>
    <row r="125" customFormat="false" ht="14.1" hidden="false" customHeight="true" outlineLevel="0" collapsed="false"/>
    <row r="126" customFormat="false" ht="14.1" hidden="false" customHeight="true" outlineLevel="0" collapsed="false"/>
    <row r="127" customFormat="false" ht="14.1" hidden="false" customHeight="true" outlineLevel="0" collapsed="false"/>
    <row r="128" customFormat="false" ht="14.1" hidden="false" customHeight="true" outlineLevel="0" collapsed="false"/>
    <row r="129" customFormat="false" ht="14.1" hidden="false" customHeight="true" outlineLevel="0" collapsed="false"/>
    <row r="130" customFormat="false" ht="14.1" hidden="false" customHeight="true" outlineLevel="0" collapsed="false"/>
    <row r="131" customFormat="false" ht="14.1" hidden="false" customHeight="true" outlineLevel="0" collapsed="false"/>
    <row r="132" customFormat="false" ht="14.1" hidden="false" customHeight="true" outlineLevel="0" collapsed="false"/>
    <row r="133" customFormat="false" ht="14.1" hidden="false" customHeight="true" outlineLevel="0" collapsed="false"/>
    <row r="134" customFormat="false" ht="14.1" hidden="false" customHeight="true" outlineLevel="0" collapsed="false"/>
    <row r="135" customFormat="false" ht="14.1" hidden="false" customHeight="true" outlineLevel="0" collapsed="false"/>
    <row r="136" customFormat="false" ht="14.1" hidden="false" customHeight="true" outlineLevel="0" collapsed="false"/>
    <row r="137" customFormat="false" ht="14.1" hidden="false" customHeight="true" outlineLevel="0" collapsed="false"/>
    <row r="138" customFormat="false" ht="14.1" hidden="false" customHeight="true" outlineLevel="0" collapsed="false"/>
    <row r="139" customFormat="false" ht="14.1" hidden="false" customHeight="true" outlineLevel="0" collapsed="false"/>
    <row r="140" customFormat="false" ht="14.1" hidden="false" customHeight="true" outlineLevel="0" collapsed="false"/>
    <row r="141" customFormat="false" ht="14.1" hidden="false" customHeight="true" outlineLevel="0" collapsed="false"/>
    <row r="142" customFormat="false" ht="14.1" hidden="false" customHeight="true" outlineLevel="0" collapsed="false"/>
    <row r="143" customFormat="false" ht="14.1" hidden="false" customHeight="true" outlineLevel="0" collapsed="false"/>
    <row r="144" customFormat="false" ht="14.1" hidden="false" customHeight="true" outlineLevel="0" collapsed="false"/>
    <row r="145" customFormat="false" ht="14.1" hidden="false" customHeight="true" outlineLevel="0" collapsed="false"/>
    <row r="146" customFormat="false" ht="14.1" hidden="false" customHeight="true" outlineLevel="0" collapsed="false"/>
    <row r="147" customFormat="false" ht="14.1" hidden="false" customHeight="true" outlineLevel="0" collapsed="false"/>
    <row r="148" customFormat="false" ht="14.1" hidden="false" customHeight="true" outlineLevel="0" collapsed="false"/>
    <row r="149" customFormat="false" ht="14.1" hidden="false" customHeight="true" outlineLevel="0" collapsed="false"/>
    <row r="150" customFormat="false" ht="14.1" hidden="false" customHeight="true" outlineLevel="0" collapsed="false"/>
    <row r="151" customFormat="false" ht="14.1" hidden="false" customHeight="true" outlineLevel="0" collapsed="false"/>
    <row r="152" customFormat="false" ht="14.1" hidden="false" customHeight="true" outlineLevel="0" collapsed="false"/>
    <row r="153" customFormat="false" ht="14.1" hidden="false" customHeight="true" outlineLevel="0" collapsed="false"/>
    <row r="154" customFormat="false" ht="14.1" hidden="false" customHeight="true" outlineLevel="0" collapsed="false"/>
    <row r="155" customFormat="false" ht="14.1" hidden="false" customHeight="true" outlineLevel="0" collapsed="false"/>
    <row r="156" customFormat="false" ht="14.1" hidden="false" customHeight="true" outlineLevel="0" collapsed="false"/>
    <row r="157" customFormat="false" ht="14.1" hidden="false" customHeight="true" outlineLevel="0" collapsed="false"/>
    <row r="158" customFormat="false" ht="14.1" hidden="false" customHeight="true" outlineLevel="0" collapsed="false"/>
    <row r="159" customFormat="false" ht="14.1" hidden="false" customHeight="true" outlineLevel="0" collapsed="false"/>
    <row r="160" customFormat="false" ht="14.1" hidden="false" customHeight="true" outlineLevel="0" collapsed="false"/>
    <row r="161" customFormat="false" ht="14.1" hidden="false" customHeight="true" outlineLevel="0" collapsed="false"/>
    <row r="162" customFormat="false" ht="14.1" hidden="false" customHeight="true" outlineLevel="0" collapsed="false"/>
    <row r="163" customFormat="false" ht="14.1" hidden="false" customHeight="true" outlineLevel="0" collapsed="false"/>
    <row r="164" customFormat="false" ht="14.1" hidden="false" customHeight="true" outlineLevel="0" collapsed="false"/>
    <row r="165" customFormat="false" ht="14.1" hidden="false" customHeight="true" outlineLevel="0" collapsed="false"/>
    <row r="166" customFormat="false" ht="14.1" hidden="false" customHeight="true" outlineLevel="0" collapsed="false"/>
    <row r="167" customFormat="false" ht="14.1" hidden="false" customHeight="true" outlineLevel="0" collapsed="false"/>
    <row r="168" customFormat="false" ht="14.1" hidden="false" customHeight="true" outlineLevel="0" collapsed="false"/>
    <row r="169" customFormat="false" ht="14.1" hidden="false" customHeight="true" outlineLevel="0" collapsed="false"/>
    <row r="170" customFormat="false" ht="14.1" hidden="false" customHeight="true" outlineLevel="0" collapsed="false"/>
    <row r="171" customFormat="false" ht="14.1" hidden="false" customHeight="true" outlineLevel="0" collapsed="false"/>
    <row r="172" customFormat="false" ht="14.1" hidden="false" customHeight="true" outlineLevel="0" collapsed="false"/>
    <row r="173" customFormat="false" ht="14.1" hidden="false" customHeight="true" outlineLevel="0" collapsed="false"/>
    <row r="174" customFormat="false" ht="14.1" hidden="false" customHeight="true" outlineLevel="0" collapsed="false"/>
    <row r="175" customFormat="false" ht="14.1" hidden="false" customHeight="true" outlineLevel="0" collapsed="false"/>
    <row r="176" customFormat="false" ht="14.1" hidden="false" customHeight="true" outlineLevel="0" collapsed="false"/>
    <row r="177" customFormat="false" ht="14.1" hidden="false" customHeight="true" outlineLevel="0" collapsed="false"/>
    <row r="178" customFormat="false" ht="14.1" hidden="false" customHeight="true" outlineLevel="0" collapsed="false"/>
    <row r="179" customFormat="false" ht="14.1" hidden="false" customHeight="true" outlineLevel="0" collapsed="false"/>
    <row r="180" customFormat="false" ht="14.1" hidden="false" customHeight="true" outlineLevel="0" collapsed="false"/>
    <row r="181" customFormat="false" ht="14.1" hidden="false" customHeight="true" outlineLevel="0" collapsed="false"/>
    <row r="182" customFormat="false" ht="14.1" hidden="false" customHeight="true" outlineLevel="0" collapsed="false"/>
    <row r="183" customFormat="false" ht="14.1" hidden="false" customHeight="true" outlineLevel="0" collapsed="false"/>
    <row r="184" customFormat="false" ht="14.1" hidden="false" customHeight="true" outlineLevel="0" collapsed="false"/>
    <row r="185" customFormat="false" ht="14.1" hidden="false" customHeight="true" outlineLevel="0" collapsed="false"/>
    <row r="186" customFormat="false" ht="14.1" hidden="false" customHeight="true" outlineLevel="0" collapsed="false"/>
    <row r="187" customFormat="false" ht="14.1" hidden="false" customHeight="true" outlineLevel="0" collapsed="false"/>
    <row r="188" customFormat="false" ht="14.1" hidden="false" customHeight="true" outlineLevel="0" collapsed="false"/>
    <row r="189" customFormat="false" ht="14.1" hidden="false" customHeight="true" outlineLevel="0" collapsed="false"/>
    <row r="190" customFormat="false" ht="14.1" hidden="false" customHeight="true" outlineLevel="0" collapsed="false"/>
    <row r="191" customFormat="false" ht="14.1" hidden="false" customHeight="true" outlineLevel="0" collapsed="false"/>
    <row r="192" customFormat="false" ht="14.1" hidden="false" customHeight="true" outlineLevel="0" collapsed="false"/>
    <row r="193" customFormat="false" ht="14.1" hidden="false" customHeight="true" outlineLevel="0" collapsed="false"/>
    <row r="194" customFormat="false" ht="14.1" hidden="false" customHeight="true" outlineLevel="0" collapsed="false"/>
    <row r="195" customFormat="false" ht="14.1" hidden="false" customHeight="true" outlineLevel="0" collapsed="false"/>
    <row r="196" customFormat="false" ht="14.1" hidden="false" customHeight="true" outlineLevel="0" collapsed="false"/>
    <row r="197" customFormat="false" ht="14.1" hidden="false" customHeight="true" outlineLevel="0" collapsed="false"/>
    <row r="198" customFormat="false" ht="14.1" hidden="false" customHeight="true" outlineLevel="0" collapsed="false"/>
    <row r="199" customFormat="false" ht="14.1" hidden="false" customHeight="true" outlineLevel="0" collapsed="false"/>
    <row r="200" customFormat="false" ht="14.1" hidden="false" customHeight="true" outlineLevel="0" collapsed="false"/>
    <row r="201" customFormat="false" ht="14.1" hidden="false" customHeight="true" outlineLevel="0" collapsed="false"/>
    <row r="202" customFormat="false" ht="14.1" hidden="false" customHeight="true" outlineLevel="0" collapsed="false"/>
    <row r="203" customFormat="false" ht="14.1" hidden="false" customHeight="true" outlineLevel="0" collapsed="false"/>
    <row r="204" customFormat="false" ht="14.1" hidden="false" customHeight="true" outlineLevel="0" collapsed="false"/>
    <row r="205" customFormat="false" ht="14.1" hidden="false" customHeight="true" outlineLevel="0" collapsed="false"/>
    <row r="206" customFormat="false" ht="14.1" hidden="false" customHeight="true" outlineLevel="0" collapsed="false"/>
    <row r="207" customFormat="false" ht="14.1" hidden="false" customHeight="true" outlineLevel="0" collapsed="false"/>
    <row r="208" customFormat="false" ht="14.1" hidden="false" customHeight="true" outlineLevel="0" collapsed="false"/>
    <row r="209" customFormat="false" ht="14.1" hidden="false" customHeight="true" outlineLevel="0" collapsed="false"/>
    <row r="210" customFormat="false" ht="14.1" hidden="false" customHeight="true" outlineLevel="0" collapsed="false"/>
    <row r="211" customFormat="false" ht="14.1" hidden="false" customHeight="true" outlineLevel="0" collapsed="false"/>
    <row r="212" customFormat="false" ht="14.1" hidden="false" customHeight="true" outlineLevel="0" collapsed="false"/>
    <row r="213" customFormat="false" ht="14.1" hidden="false" customHeight="true" outlineLevel="0" collapsed="false"/>
    <row r="214" customFormat="false" ht="14.1" hidden="false" customHeight="true" outlineLevel="0" collapsed="false"/>
    <row r="215" customFormat="false" ht="14.1" hidden="false" customHeight="true" outlineLevel="0" collapsed="false"/>
    <row r="216" customFormat="false" ht="14.1" hidden="false" customHeight="true" outlineLevel="0" collapsed="false"/>
    <row r="217" customFormat="false" ht="14.1" hidden="false" customHeight="true" outlineLevel="0" collapsed="false"/>
    <row r="218" customFormat="false" ht="14.1" hidden="false" customHeight="true" outlineLevel="0" collapsed="false"/>
    <row r="219" customFormat="false" ht="14.1" hidden="false" customHeight="true" outlineLevel="0" collapsed="false"/>
    <row r="220" customFormat="false" ht="14.1" hidden="false" customHeight="true" outlineLevel="0" collapsed="false"/>
    <row r="221" customFormat="false" ht="14.1" hidden="false" customHeight="true" outlineLevel="0" collapsed="false"/>
    <row r="222" customFormat="false" ht="14.1" hidden="false" customHeight="true" outlineLevel="0" collapsed="false"/>
    <row r="223" customFormat="false" ht="14.1" hidden="false" customHeight="true" outlineLevel="0" collapsed="false"/>
    <row r="224" customFormat="false" ht="14.1" hidden="false" customHeight="true" outlineLevel="0" collapsed="false"/>
    <row r="225" customFormat="false" ht="14.1" hidden="false" customHeight="true" outlineLevel="0" collapsed="false"/>
    <row r="226" customFormat="false" ht="14.1" hidden="false" customHeight="true" outlineLevel="0" collapsed="false"/>
    <row r="227" customFormat="false" ht="14.1" hidden="false" customHeight="true" outlineLevel="0" collapsed="false"/>
    <row r="228" customFormat="false" ht="14.1" hidden="false" customHeight="true" outlineLevel="0" collapsed="false"/>
    <row r="229" customFormat="false" ht="14.1" hidden="false" customHeight="true" outlineLevel="0" collapsed="false"/>
    <row r="230" customFormat="false" ht="14.1" hidden="false" customHeight="true" outlineLevel="0" collapsed="false"/>
    <row r="231" customFormat="false" ht="14.1" hidden="false" customHeight="true" outlineLevel="0" collapsed="false"/>
    <row r="232" customFormat="false" ht="14.1" hidden="false" customHeight="true" outlineLevel="0" collapsed="false"/>
    <row r="233" customFormat="false" ht="14.1" hidden="false" customHeight="true" outlineLevel="0" collapsed="false"/>
    <row r="234" customFormat="false" ht="14.1" hidden="false" customHeight="true" outlineLevel="0" collapsed="false"/>
    <row r="235" customFormat="false" ht="14.1" hidden="false" customHeight="true" outlineLevel="0" collapsed="false"/>
    <row r="236" customFormat="false" ht="14.1" hidden="false" customHeight="true" outlineLevel="0" collapsed="false"/>
    <row r="237" customFormat="false" ht="14.1" hidden="false" customHeight="true" outlineLevel="0" collapsed="false"/>
    <row r="238" customFormat="false" ht="14.1" hidden="false" customHeight="true" outlineLevel="0" collapsed="false"/>
    <row r="239" customFormat="false" ht="14.1" hidden="false" customHeight="true" outlineLevel="0" collapsed="false"/>
    <row r="240" customFormat="false" ht="14.1" hidden="false" customHeight="true" outlineLevel="0" collapsed="false"/>
    <row r="241" customFormat="false" ht="14.1" hidden="false" customHeight="true" outlineLevel="0" collapsed="false"/>
    <row r="242" customFormat="false" ht="14.1" hidden="false" customHeight="true" outlineLevel="0" collapsed="false"/>
    <row r="243" customFormat="false" ht="14.1" hidden="false" customHeight="true" outlineLevel="0" collapsed="false"/>
    <row r="244" customFormat="false" ht="14.1" hidden="false" customHeight="true" outlineLevel="0" collapsed="false"/>
    <row r="245" customFormat="false" ht="14.1" hidden="false" customHeight="true" outlineLevel="0" collapsed="false"/>
    <row r="246" customFormat="false" ht="14.1" hidden="false" customHeight="true" outlineLevel="0" collapsed="false"/>
    <row r="247" customFormat="false" ht="14.1" hidden="false" customHeight="true" outlineLevel="0" collapsed="false"/>
    <row r="248" customFormat="false" ht="14.1" hidden="false" customHeight="true" outlineLevel="0" collapsed="false"/>
    <row r="249" customFormat="false" ht="14.1" hidden="false" customHeight="true" outlineLevel="0" collapsed="false"/>
    <row r="250" customFormat="false" ht="14.1" hidden="false" customHeight="true" outlineLevel="0" collapsed="false"/>
    <row r="251" customFormat="false" ht="14.1" hidden="false" customHeight="true" outlineLevel="0" collapsed="false"/>
    <row r="252" customFormat="false" ht="14.1" hidden="false" customHeight="true" outlineLevel="0" collapsed="false"/>
    <row r="253" customFormat="false" ht="14.1" hidden="false" customHeight="true" outlineLevel="0" collapsed="false"/>
    <row r="254" customFormat="false" ht="14.1" hidden="false" customHeight="true" outlineLevel="0" collapsed="false"/>
    <row r="255" customFormat="false" ht="14.1" hidden="false" customHeight="true" outlineLevel="0" collapsed="false"/>
    <row r="256" customFormat="false" ht="14.1" hidden="false" customHeight="true" outlineLevel="0" collapsed="false"/>
    <row r="257" customFormat="false" ht="14.1" hidden="false" customHeight="true" outlineLevel="0" collapsed="false"/>
    <row r="258" customFormat="false" ht="14.1" hidden="false" customHeight="true" outlineLevel="0" collapsed="false"/>
    <row r="259" customFormat="false" ht="14.1" hidden="false" customHeight="true" outlineLevel="0" collapsed="false"/>
    <row r="260" customFormat="false" ht="14.1" hidden="false" customHeight="true" outlineLevel="0" collapsed="false"/>
    <row r="261" customFormat="false" ht="14.1" hidden="false" customHeight="true" outlineLevel="0" collapsed="false"/>
    <row r="262" customFormat="false" ht="14.1" hidden="false" customHeight="true" outlineLevel="0" collapsed="false"/>
    <row r="263" customFormat="false" ht="14.1" hidden="false" customHeight="true" outlineLevel="0" collapsed="false"/>
    <row r="264" customFormat="false" ht="14.1" hidden="false" customHeight="true" outlineLevel="0" collapsed="false"/>
    <row r="265" customFormat="false" ht="14.1" hidden="false" customHeight="true" outlineLevel="0" collapsed="false"/>
    <row r="266" customFormat="false" ht="14.1" hidden="false" customHeight="true" outlineLevel="0" collapsed="false"/>
    <row r="267" customFormat="false" ht="14.1" hidden="false" customHeight="true" outlineLevel="0" collapsed="false"/>
    <row r="268" customFormat="false" ht="14.1" hidden="false" customHeight="true" outlineLevel="0" collapsed="false"/>
    <row r="269" customFormat="false" ht="14.1" hidden="false" customHeight="true" outlineLevel="0" collapsed="false"/>
    <row r="270" customFormat="false" ht="14.1" hidden="false" customHeight="true" outlineLevel="0" collapsed="false"/>
    <row r="271" customFormat="false" ht="14.1" hidden="false" customHeight="true" outlineLevel="0" collapsed="false"/>
    <row r="272" customFormat="false" ht="14.1" hidden="false" customHeight="true" outlineLevel="0" collapsed="false"/>
    <row r="273" customFormat="false" ht="14.1" hidden="false" customHeight="true" outlineLevel="0" collapsed="false"/>
    <row r="274" customFormat="false" ht="14.1" hidden="false" customHeight="true" outlineLevel="0" collapsed="false"/>
    <row r="275" customFormat="false" ht="14.1" hidden="false" customHeight="true" outlineLevel="0" collapsed="false"/>
    <row r="276" customFormat="false" ht="14.1" hidden="false" customHeight="true" outlineLevel="0" collapsed="false"/>
    <row r="277" customFormat="false" ht="14.1" hidden="false" customHeight="true" outlineLevel="0" collapsed="false"/>
    <row r="278" customFormat="false" ht="14.1" hidden="false" customHeight="true" outlineLevel="0" collapsed="false"/>
    <row r="279" customFormat="false" ht="14.1" hidden="false" customHeight="true" outlineLevel="0" collapsed="false"/>
    <row r="280" customFormat="false" ht="14.1" hidden="false" customHeight="true" outlineLevel="0" collapsed="false"/>
    <row r="281" customFormat="false" ht="14.1" hidden="false" customHeight="true" outlineLevel="0" collapsed="false"/>
    <row r="282" customFormat="false" ht="14.1" hidden="false" customHeight="true" outlineLevel="0" collapsed="false"/>
    <row r="283" customFormat="false" ht="14.1" hidden="false" customHeight="true" outlineLevel="0" collapsed="false"/>
    <row r="284" customFormat="false" ht="14.1" hidden="false" customHeight="true" outlineLevel="0" collapsed="false"/>
    <row r="285" customFormat="false" ht="14.1" hidden="false" customHeight="true" outlineLevel="0" collapsed="false"/>
    <row r="286" customFormat="false" ht="14.1" hidden="false" customHeight="true" outlineLevel="0" collapsed="false"/>
    <row r="287" customFormat="false" ht="14.1" hidden="false" customHeight="true" outlineLevel="0" collapsed="false"/>
    <row r="288" customFormat="false" ht="14.1" hidden="false" customHeight="true" outlineLevel="0" collapsed="false"/>
    <row r="289" customFormat="false" ht="14.1" hidden="false" customHeight="true" outlineLevel="0" collapsed="false"/>
    <row r="290" customFormat="false" ht="14.1" hidden="false" customHeight="true" outlineLevel="0" collapsed="false"/>
    <row r="291" customFormat="false" ht="14.1" hidden="false" customHeight="true" outlineLevel="0" collapsed="false"/>
    <row r="292" customFormat="false" ht="14.1" hidden="false" customHeight="true" outlineLevel="0" collapsed="false"/>
    <row r="293" customFormat="false" ht="14.1" hidden="false" customHeight="true" outlineLevel="0" collapsed="false"/>
    <row r="294" customFormat="false" ht="14.1" hidden="false" customHeight="true" outlineLevel="0" collapsed="false"/>
    <row r="295" customFormat="false" ht="14.1" hidden="false" customHeight="true" outlineLevel="0" collapsed="false"/>
    <row r="296" customFormat="false" ht="14.1" hidden="false" customHeight="true" outlineLevel="0" collapsed="false"/>
    <row r="297" customFormat="false" ht="14.1" hidden="false" customHeight="true" outlineLevel="0" collapsed="false"/>
    <row r="298" customFormat="false" ht="14.1" hidden="false" customHeight="true" outlineLevel="0" collapsed="false"/>
    <row r="299" customFormat="false" ht="14.1" hidden="false" customHeight="true" outlineLevel="0" collapsed="false"/>
    <row r="300" customFormat="false" ht="14.1" hidden="false" customHeight="true" outlineLevel="0" collapsed="false"/>
    <row r="301" customFormat="false" ht="14.1" hidden="false" customHeight="true" outlineLevel="0" collapsed="false"/>
    <row r="302" customFormat="false" ht="14.1" hidden="false" customHeight="true" outlineLevel="0" collapsed="false"/>
    <row r="303" customFormat="false" ht="14.1" hidden="false" customHeight="true" outlineLevel="0" collapsed="false"/>
    <row r="304" customFormat="false" ht="14.1" hidden="false" customHeight="true" outlineLevel="0" collapsed="false"/>
    <row r="305" customFormat="false" ht="14.1" hidden="false" customHeight="true" outlineLevel="0" collapsed="false"/>
    <row r="306" customFormat="false" ht="14.1" hidden="false" customHeight="true" outlineLevel="0" collapsed="false"/>
    <row r="307" customFormat="false" ht="14.1" hidden="false" customHeight="true" outlineLevel="0" collapsed="false"/>
    <row r="308" customFormat="false" ht="14.1" hidden="false" customHeight="true" outlineLevel="0" collapsed="false"/>
    <row r="309" customFormat="false" ht="14.1" hidden="false" customHeight="true" outlineLevel="0" collapsed="false"/>
    <row r="310" customFormat="false" ht="14.1" hidden="false" customHeight="true" outlineLevel="0" collapsed="false"/>
    <row r="311" customFormat="false" ht="14.1" hidden="false" customHeight="true" outlineLevel="0" collapsed="false"/>
    <row r="312" customFormat="false" ht="14.1" hidden="false" customHeight="true" outlineLevel="0" collapsed="false"/>
    <row r="313" customFormat="false" ht="14.1" hidden="false" customHeight="true" outlineLevel="0" collapsed="false"/>
    <row r="314" customFormat="false" ht="14.1" hidden="false" customHeight="true" outlineLevel="0" collapsed="false"/>
    <row r="315" customFormat="false" ht="14.1" hidden="false" customHeight="true" outlineLevel="0" collapsed="false"/>
    <row r="316" customFormat="false" ht="14.1" hidden="false" customHeight="true" outlineLevel="0" collapsed="false"/>
    <row r="317" customFormat="false" ht="14.1" hidden="false" customHeight="true" outlineLevel="0" collapsed="false"/>
    <row r="318" customFormat="false" ht="14.1" hidden="false" customHeight="true" outlineLevel="0" collapsed="false"/>
    <row r="319" customFormat="false" ht="14.1" hidden="false" customHeight="true" outlineLevel="0" collapsed="false"/>
    <row r="320" customFormat="false" ht="14.1" hidden="false" customHeight="true" outlineLevel="0" collapsed="false"/>
    <row r="321" customFormat="false" ht="14.1" hidden="false" customHeight="true" outlineLevel="0" collapsed="false"/>
    <row r="322" customFormat="false" ht="14.1" hidden="false" customHeight="true" outlineLevel="0" collapsed="false"/>
    <row r="323" customFormat="false" ht="14.1" hidden="false" customHeight="true" outlineLevel="0" collapsed="false"/>
    <row r="324" customFormat="false" ht="14.1" hidden="false" customHeight="true" outlineLevel="0" collapsed="false"/>
    <row r="325" customFormat="false" ht="14.1" hidden="false" customHeight="true" outlineLevel="0" collapsed="false"/>
    <row r="326" customFormat="false" ht="14.1" hidden="false" customHeight="true" outlineLevel="0" collapsed="false"/>
    <row r="327" customFormat="false" ht="14.1" hidden="false" customHeight="true" outlineLevel="0" collapsed="false"/>
    <row r="328" customFormat="false" ht="14.1" hidden="false" customHeight="true" outlineLevel="0" collapsed="false"/>
    <row r="329" customFormat="false" ht="14.1" hidden="false" customHeight="true" outlineLevel="0" collapsed="false"/>
    <row r="330" customFormat="false" ht="14.1" hidden="false" customHeight="true" outlineLevel="0" collapsed="false"/>
    <row r="331" customFormat="false" ht="14.1" hidden="false" customHeight="true" outlineLevel="0" collapsed="false"/>
    <row r="332" customFormat="false" ht="14.1" hidden="false" customHeight="true" outlineLevel="0" collapsed="false"/>
    <row r="333" customFormat="false" ht="14.1" hidden="false" customHeight="true" outlineLevel="0" collapsed="false"/>
    <row r="334" customFormat="false" ht="14.1" hidden="false" customHeight="true" outlineLevel="0" collapsed="false"/>
    <row r="335" customFormat="false" ht="14.1" hidden="false" customHeight="true" outlineLevel="0" collapsed="false"/>
    <row r="336" customFormat="false" ht="14.1" hidden="false" customHeight="true" outlineLevel="0" collapsed="false"/>
    <row r="337" customFormat="false" ht="14.1" hidden="false" customHeight="true" outlineLevel="0" collapsed="false"/>
    <row r="338" customFormat="false" ht="14.1" hidden="false" customHeight="true" outlineLevel="0" collapsed="false"/>
    <row r="339" customFormat="false" ht="14.1" hidden="false" customHeight="true" outlineLevel="0" collapsed="false"/>
    <row r="340" customFormat="false" ht="14.1" hidden="false" customHeight="true" outlineLevel="0" collapsed="false"/>
    <row r="341" customFormat="false" ht="14.1" hidden="false" customHeight="true" outlineLevel="0" collapsed="false"/>
    <row r="342" customFormat="false" ht="14.1" hidden="false" customHeight="true" outlineLevel="0" collapsed="false"/>
    <row r="343" customFormat="false" ht="14.1" hidden="false" customHeight="true" outlineLevel="0" collapsed="false"/>
    <row r="344" customFormat="false" ht="14.1" hidden="false" customHeight="true" outlineLevel="0" collapsed="false"/>
    <row r="345" customFormat="false" ht="14.1" hidden="false" customHeight="true" outlineLevel="0" collapsed="false"/>
    <row r="346" customFormat="false" ht="14.1" hidden="false" customHeight="true" outlineLevel="0" collapsed="false"/>
    <row r="347" customFormat="false" ht="14.1" hidden="false" customHeight="true" outlineLevel="0" collapsed="false"/>
    <row r="348" customFormat="false" ht="14.1" hidden="false" customHeight="true" outlineLevel="0" collapsed="false"/>
    <row r="349" customFormat="false" ht="14.1" hidden="false" customHeight="true" outlineLevel="0" collapsed="false"/>
    <row r="350" customFormat="false" ht="14.1" hidden="false" customHeight="true" outlineLevel="0" collapsed="false"/>
    <row r="351" customFormat="false" ht="14.1" hidden="false" customHeight="true" outlineLevel="0" collapsed="false"/>
    <row r="352" customFormat="false" ht="14.1" hidden="false" customHeight="true" outlineLevel="0" collapsed="false"/>
    <row r="353" customFormat="false" ht="14.1" hidden="false" customHeight="true" outlineLevel="0" collapsed="false"/>
    <row r="354" customFormat="false" ht="14.1" hidden="false" customHeight="true" outlineLevel="0" collapsed="false"/>
    <row r="355" customFormat="false" ht="14.1" hidden="false" customHeight="true" outlineLevel="0" collapsed="false"/>
    <row r="356" customFormat="false" ht="14.1" hidden="false" customHeight="true" outlineLevel="0" collapsed="false"/>
    <row r="357" customFormat="false" ht="14.1" hidden="false" customHeight="true" outlineLevel="0" collapsed="false"/>
    <row r="358" customFormat="false" ht="14.1" hidden="false" customHeight="true" outlineLevel="0" collapsed="false"/>
    <row r="359" customFormat="false" ht="14.1" hidden="false" customHeight="true" outlineLevel="0" collapsed="false"/>
    <row r="360" customFormat="false" ht="14.1" hidden="false" customHeight="true" outlineLevel="0" collapsed="false"/>
    <row r="361" customFormat="false" ht="14.1" hidden="false" customHeight="true" outlineLevel="0" collapsed="false"/>
    <row r="362" customFormat="false" ht="14.1" hidden="false" customHeight="true" outlineLevel="0" collapsed="false"/>
    <row r="363" customFormat="false" ht="14.1" hidden="false" customHeight="true" outlineLevel="0" collapsed="false"/>
    <row r="364" customFormat="false" ht="14.1" hidden="false" customHeight="true" outlineLevel="0" collapsed="false"/>
    <row r="365" customFormat="false" ht="14.1" hidden="false" customHeight="true" outlineLevel="0" collapsed="false"/>
    <row r="366" customFormat="false" ht="14.1" hidden="false" customHeight="true" outlineLevel="0" collapsed="false"/>
    <row r="367" customFormat="false" ht="14.1" hidden="false" customHeight="true" outlineLevel="0" collapsed="false"/>
    <row r="368" customFormat="false" ht="14.1" hidden="false" customHeight="true" outlineLevel="0" collapsed="false"/>
    <row r="369" customFormat="false" ht="14.1" hidden="false" customHeight="true" outlineLevel="0" collapsed="false"/>
    <row r="370" customFormat="false" ht="14.1" hidden="false" customHeight="true" outlineLevel="0" collapsed="false"/>
    <row r="371" customFormat="false" ht="14.1" hidden="false" customHeight="true" outlineLevel="0" collapsed="false"/>
    <row r="372" customFormat="false" ht="14.1" hidden="false" customHeight="true" outlineLevel="0" collapsed="false"/>
    <row r="373" customFormat="false" ht="14.1" hidden="false" customHeight="true" outlineLevel="0" collapsed="false"/>
    <row r="374" customFormat="false" ht="14.1" hidden="false" customHeight="true" outlineLevel="0" collapsed="false"/>
    <row r="375" customFormat="false" ht="14.1" hidden="false" customHeight="true" outlineLevel="0" collapsed="false"/>
    <row r="376" customFormat="false" ht="14.1" hidden="false" customHeight="true" outlineLevel="0" collapsed="false"/>
    <row r="377" customFormat="false" ht="14.1" hidden="false" customHeight="true" outlineLevel="0" collapsed="false"/>
    <row r="378" customFormat="false" ht="14.1" hidden="false" customHeight="true" outlineLevel="0" collapsed="false"/>
    <row r="379" customFormat="false" ht="14.1" hidden="false" customHeight="true" outlineLevel="0" collapsed="false"/>
    <row r="380" customFormat="false" ht="14.1" hidden="false" customHeight="true" outlineLevel="0" collapsed="false"/>
    <row r="381" customFormat="false" ht="14.1" hidden="false" customHeight="true" outlineLevel="0" collapsed="false"/>
    <row r="382" customFormat="false" ht="14.1" hidden="false" customHeight="true" outlineLevel="0" collapsed="false"/>
    <row r="383" customFormat="false" ht="14.1" hidden="false" customHeight="true" outlineLevel="0" collapsed="false"/>
    <row r="384" customFormat="false" ht="14.1" hidden="false" customHeight="true" outlineLevel="0" collapsed="false"/>
    <row r="385" customFormat="false" ht="14.1" hidden="false" customHeight="true" outlineLevel="0" collapsed="false"/>
    <row r="386" customFormat="false" ht="14.1" hidden="false" customHeight="true" outlineLevel="0" collapsed="false"/>
    <row r="387" customFormat="false" ht="14.1" hidden="false" customHeight="true" outlineLevel="0" collapsed="false"/>
    <row r="388" customFormat="false" ht="14.1" hidden="false" customHeight="true" outlineLevel="0" collapsed="false"/>
    <row r="389" customFormat="false" ht="14.1" hidden="false" customHeight="true" outlineLevel="0" collapsed="false"/>
    <row r="390" customFormat="false" ht="14.1" hidden="false" customHeight="true" outlineLevel="0" collapsed="false"/>
    <row r="391" customFormat="false" ht="14.1" hidden="false" customHeight="true" outlineLevel="0" collapsed="false"/>
    <row r="392" customFormat="false" ht="14.1" hidden="false" customHeight="true" outlineLevel="0" collapsed="false"/>
    <row r="393" customFormat="false" ht="14.1" hidden="false" customHeight="true" outlineLevel="0" collapsed="false"/>
    <row r="394" customFormat="false" ht="14.1" hidden="false" customHeight="true" outlineLevel="0" collapsed="false"/>
    <row r="395" customFormat="false" ht="14.1" hidden="false" customHeight="true" outlineLevel="0" collapsed="false"/>
    <row r="396" customFormat="false" ht="14.1" hidden="false" customHeight="true" outlineLevel="0" collapsed="false"/>
    <row r="397" customFormat="false" ht="14.1" hidden="false" customHeight="true" outlineLevel="0" collapsed="false"/>
    <row r="398" customFormat="false" ht="14.1" hidden="false" customHeight="true" outlineLevel="0" collapsed="false"/>
    <row r="399" customFormat="false" ht="14.1" hidden="false" customHeight="true" outlineLevel="0" collapsed="false"/>
    <row r="400" customFormat="false" ht="14.1" hidden="false" customHeight="true" outlineLevel="0" collapsed="false"/>
    <row r="401" customFormat="false" ht="14.1" hidden="false" customHeight="true" outlineLevel="0" collapsed="false"/>
    <row r="402" customFormat="false" ht="14.1" hidden="false" customHeight="true" outlineLevel="0" collapsed="false"/>
    <row r="403" customFormat="false" ht="14.1" hidden="false" customHeight="true" outlineLevel="0" collapsed="false"/>
    <row r="404" customFormat="false" ht="14.1" hidden="false" customHeight="true" outlineLevel="0" collapsed="false"/>
    <row r="405" customFormat="false" ht="14.1" hidden="false" customHeight="true" outlineLevel="0" collapsed="false"/>
    <row r="406" customFormat="false" ht="14.1" hidden="false" customHeight="true" outlineLevel="0" collapsed="false"/>
  </sheetData>
  <mergeCells count="165">
    <mergeCell ref="A1:AH1"/>
    <mergeCell ref="A2:E3"/>
    <mergeCell ref="F2:T3"/>
    <mergeCell ref="U2:Y3"/>
    <mergeCell ref="Z2:AH3"/>
    <mergeCell ref="A4:E5"/>
    <mergeCell ref="F4:T5"/>
    <mergeCell ref="U4:Y5"/>
    <mergeCell ref="Z4:AH5"/>
    <mergeCell ref="A6:E7"/>
    <mergeCell ref="F6:T7"/>
    <mergeCell ref="U6:Y7"/>
    <mergeCell ref="Z6:AH7"/>
    <mergeCell ref="A8:E10"/>
    <mergeCell ref="F8:AH10"/>
    <mergeCell ref="A11:E12"/>
    <mergeCell ref="F11:I12"/>
    <mergeCell ref="J11:L12"/>
    <mergeCell ref="M11:P12"/>
    <mergeCell ref="Q11:T12"/>
    <mergeCell ref="U11:X12"/>
    <mergeCell ref="Y11:AB12"/>
    <mergeCell ref="AC11:AH12"/>
    <mergeCell ref="A13:AH13"/>
    <mergeCell ref="A14:E20"/>
    <mergeCell ref="F14:L14"/>
    <mergeCell ref="M14:T14"/>
    <mergeCell ref="U14:Z16"/>
    <mergeCell ref="AA14:AH14"/>
    <mergeCell ref="F15:L15"/>
    <mergeCell ref="M15:P15"/>
    <mergeCell ref="Q15:T15"/>
    <mergeCell ref="AA15:AH15"/>
    <mergeCell ref="F16:L16"/>
    <mergeCell ref="M16:N16"/>
    <mergeCell ref="O16:P16"/>
    <mergeCell ref="Q16:R16"/>
    <mergeCell ref="S16:T16"/>
    <mergeCell ref="AA16:AH16"/>
    <mergeCell ref="F17:I17"/>
    <mergeCell ref="J17:L17"/>
    <mergeCell ref="M17:T17"/>
    <mergeCell ref="U17:Z18"/>
    <mergeCell ref="AA17:AH17"/>
    <mergeCell ref="F18:I19"/>
    <mergeCell ref="J18:L19"/>
    <mergeCell ref="M18:P18"/>
    <mergeCell ref="Q18:T18"/>
    <mergeCell ref="AA18:AD19"/>
    <mergeCell ref="AE18:AH19"/>
    <mergeCell ref="M19:N19"/>
    <mergeCell ref="O19:P19"/>
    <mergeCell ref="Q19:R19"/>
    <mergeCell ref="S19:T19"/>
    <mergeCell ref="U19:X19"/>
    <mergeCell ref="Y19:Z19"/>
    <mergeCell ref="A21:AH21"/>
    <mergeCell ref="A22:E29"/>
    <mergeCell ref="F22:L22"/>
    <mergeCell ref="M22:T22"/>
    <mergeCell ref="U22:AA22"/>
    <mergeCell ref="AB22:AH22"/>
    <mergeCell ref="F23:L23"/>
    <mergeCell ref="M23:P23"/>
    <mergeCell ref="Q23:T23"/>
    <mergeCell ref="U23:AA23"/>
    <mergeCell ref="AB23:AH23"/>
    <mergeCell ref="F24:L24"/>
    <mergeCell ref="M24:T24"/>
    <mergeCell ref="U24:AA24"/>
    <mergeCell ref="AB24:AH24"/>
    <mergeCell ref="F25:L25"/>
    <mergeCell ref="M25:P25"/>
    <mergeCell ref="Q25:T25"/>
    <mergeCell ref="U25:AA25"/>
    <mergeCell ref="AB25:AH25"/>
    <mergeCell ref="F26:L26"/>
    <mergeCell ref="M26:N26"/>
    <mergeCell ref="O26:P26"/>
    <mergeCell ref="Q26:R26"/>
    <mergeCell ref="S26:T26"/>
    <mergeCell ref="U26:AA26"/>
    <mergeCell ref="AB26:AH26"/>
    <mergeCell ref="F27:L27"/>
    <mergeCell ref="M27:T27"/>
    <mergeCell ref="U27:AA27"/>
    <mergeCell ref="AB27:AH27"/>
    <mergeCell ref="F28:L28"/>
    <mergeCell ref="M28:P28"/>
    <mergeCell ref="Q28:T28"/>
    <mergeCell ref="U28:AA28"/>
    <mergeCell ref="AB28:AH28"/>
    <mergeCell ref="A30:AH30"/>
    <mergeCell ref="A31:E38"/>
    <mergeCell ref="F31:L31"/>
    <mergeCell ref="M31:T31"/>
    <mergeCell ref="U31:AA31"/>
    <mergeCell ref="AB31:AH31"/>
    <mergeCell ref="F32:L32"/>
    <mergeCell ref="M32:P32"/>
    <mergeCell ref="Q32:T32"/>
    <mergeCell ref="U32:AA32"/>
    <mergeCell ref="AB32:AH32"/>
    <mergeCell ref="F33:L33"/>
    <mergeCell ref="M33:T33"/>
    <mergeCell ref="U33:AA33"/>
    <mergeCell ref="AB33:AH33"/>
    <mergeCell ref="F34:L34"/>
    <mergeCell ref="M34:P34"/>
    <mergeCell ref="Q34:T34"/>
    <mergeCell ref="U34:AA34"/>
    <mergeCell ref="AB34:AH34"/>
    <mergeCell ref="F35:L35"/>
    <mergeCell ref="M35:N35"/>
    <mergeCell ref="O35:P35"/>
    <mergeCell ref="Q35:R35"/>
    <mergeCell ref="S35:T35"/>
    <mergeCell ref="U35:AA35"/>
    <mergeCell ref="AB35:AH35"/>
    <mergeCell ref="F36:L36"/>
    <mergeCell ref="M36:T36"/>
    <mergeCell ref="U36:AA36"/>
    <mergeCell ref="AB36:AH36"/>
    <mergeCell ref="F37:L37"/>
    <mergeCell ref="M37:P37"/>
    <mergeCell ref="Q37:T37"/>
    <mergeCell ref="U37:AA37"/>
    <mergeCell ref="AB37:AH37"/>
    <mergeCell ref="A39:AH39"/>
    <mergeCell ref="A40:E47"/>
    <mergeCell ref="F40:L40"/>
    <mergeCell ref="M40:T40"/>
    <mergeCell ref="U40:AA40"/>
    <mergeCell ref="AB40:AH40"/>
    <mergeCell ref="F41:L41"/>
    <mergeCell ref="M41:P41"/>
    <mergeCell ref="Q41:T41"/>
    <mergeCell ref="U41:AA41"/>
    <mergeCell ref="AB41:AH41"/>
    <mergeCell ref="F42:L42"/>
    <mergeCell ref="M42:T42"/>
    <mergeCell ref="U42:AA42"/>
    <mergeCell ref="AB42:AH42"/>
    <mergeCell ref="F43:L43"/>
    <mergeCell ref="M43:P43"/>
    <mergeCell ref="Q43:T43"/>
    <mergeCell ref="U43:AA43"/>
    <mergeCell ref="AB43:AH43"/>
    <mergeCell ref="F44:L44"/>
    <mergeCell ref="M44:N44"/>
    <mergeCell ref="O44:P44"/>
    <mergeCell ref="Q44:R44"/>
    <mergeCell ref="S44:T44"/>
    <mergeCell ref="U44:AA44"/>
    <mergeCell ref="AB44:AH44"/>
    <mergeCell ref="F45:L45"/>
    <mergeCell ref="M45:T45"/>
    <mergeCell ref="U45:AA45"/>
    <mergeCell ref="AB45:AH45"/>
    <mergeCell ref="F46:L46"/>
    <mergeCell ref="M46:P46"/>
    <mergeCell ref="Q46:T46"/>
    <mergeCell ref="U46:AA46"/>
    <mergeCell ref="AB46:AH46"/>
    <mergeCell ref="A48:AH48"/>
  </mergeCells>
  <dataValidations count="6">
    <dataValidation allowBlank="true" operator="between" showDropDown="false" showErrorMessage="true" showInputMessage="true" sqref="AT22" type="custom">
      <formula1>"AT19=1"</formula1>
      <formula2>0</formula2>
    </dataValidation>
    <dataValidation allowBlank="true" operator="between" showDropDown="false" showErrorMessage="true" showInputMessage="true" sqref="AU5" type="custom">
      <formula1>AT5=1</formula1>
      <formula2>0</formula2>
    </dataValidation>
    <dataValidation allowBlank="true" operator="between" showDropDown="false" showErrorMessage="true" showInputMessage="true" sqref="AA18:AD19" type="list">
      <formula1>$AT$2:$AT$3</formula1>
      <formula2>0</formula2>
    </dataValidation>
    <dataValidation allowBlank="true" operator="between" showDropDown="false" showErrorMessage="true" showInputMessage="true" sqref="O19:P19 S19:T19 Q28 Q37 Q46" type="list">
      <formula1>$AU$2:$AU$4</formula1>
      <formula2>0</formula2>
    </dataValidation>
    <dataValidation allowBlank="true" operator="between" showDropDown="false" showErrorMessage="true" showInputMessage="true" sqref="J18:L19 Q23:T23 Q32:T32 Q41:T41" type="list">
      <formula1>$AV$2:$AV$5</formula1>
      <formula2>0</formula2>
    </dataValidation>
    <dataValidation allowBlank="true" operator="between" showDropDown="false" showErrorMessage="true" showInputMessage="true" sqref="F28:L28 F37:L37 F46:L46" type="list">
      <formula1>$AW$2:$AW$5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0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AU69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60" workbookViewId="0">
      <selection pane="topLeft" activeCell="F21" activeCellId="0" sqref="F21"/>
    </sheetView>
  </sheetViews>
  <sheetFormatPr defaultRowHeight="12" zeroHeight="false" outlineLevelRow="0" outlineLevelCol="0"/>
  <cols>
    <col collapsed="false" customWidth="true" hidden="false" outlineLevel="0" max="1" min="1" style="181" width="9.14"/>
    <col collapsed="false" customWidth="true" hidden="false" outlineLevel="0" max="2" min="2" style="181" width="4.71"/>
    <col collapsed="false" customWidth="true" hidden="false" outlineLevel="0" max="3" min="3" style="181" width="1.71"/>
    <col collapsed="false" customWidth="true" hidden="false" outlineLevel="0" max="4" min="4" style="181" width="3.14"/>
    <col collapsed="false" customWidth="true" hidden="false" outlineLevel="0" max="5" min="5" style="181" width="1.71"/>
    <col collapsed="false" customWidth="true" hidden="false" outlineLevel="0" max="6" min="6" style="181" width="3.14"/>
    <col collapsed="false" customWidth="true" hidden="false" outlineLevel="0" max="7" min="7" style="181" width="1.71"/>
    <col collapsed="false" customWidth="true" hidden="false" outlineLevel="0" max="8" min="8" style="181" width="4.86"/>
    <col collapsed="false" customWidth="true" hidden="false" outlineLevel="0" max="9" min="9" style="181" width="1.58"/>
    <col collapsed="false" customWidth="true" hidden="false" outlineLevel="0" max="10" min="10" style="181" width="4.86"/>
    <col collapsed="false" customWidth="true" hidden="false" outlineLevel="0" max="11" min="11" style="181" width="1.71"/>
    <col collapsed="false" customWidth="true" hidden="false" outlineLevel="0" max="12" min="12" style="181" width="3.14"/>
    <col collapsed="false" customWidth="true" hidden="false" outlineLevel="0" max="13" min="13" style="181" width="1.71"/>
    <col collapsed="false" customWidth="true" hidden="false" outlineLevel="0" max="14" min="14" style="181" width="3.14"/>
    <col collapsed="false" customWidth="true" hidden="false" outlineLevel="0" max="15" min="15" style="181" width="1.58"/>
    <col collapsed="false" customWidth="true" hidden="false" outlineLevel="0" max="16" min="16" style="181" width="4.86"/>
    <col collapsed="false" customWidth="true" hidden="false" outlineLevel="0" max="17" min="17" style="181" width="1.71"/>
    <col collapsed="false" customWidth="true" hidden="false" outlineLevel="0" max="18" min="18" style="181" width="3.14"/>
    <col collapsed="false" customWidth="true" hidden="false" outlineLevel="0" max="19" min="19" style="181" width="1.71"/>
    <col collapsed="false" customWidth="true" hidden="false" outlineLevel="0" max="20" min="20" style="181" width="3.14"/>
    <col collapsed="false" customWidth="true" hidden="false" outlineLevel="0" max="21" min="21" style="181" width="1.71"/>
    <col collapsed="false" customWidth="true" hidden="false" outlineLevel="0" max="22" min="22" style="181" width="3.14"/>
    <col collapsed="false" customWidth="true" hidden="false" outlineLevel="0" max="23" min="23" style="181" width="1.71"/>
    <col collapsed="false" customWidth="true" hidden="false" outlineLevel="0" max="24" min="24" style="181" width="3.14"/>
    <col collapsed="false" customWidth="true" hidden="false" outlineLevel="0" max="25" min="25" style="181" width="1.71"/>
    <col collapsed="false" customWidth="true" hidden="false" outlineLevel="0" max="26" min="26" style="181" width="3.14"/>
    <col collapsed="false" customWidth="true" hidden="false" outlineLevel="0" max="27" min="27" style="181" width="1.71"/>
    <col collapsed="false" customWidth="true" hidden="false" outlineLevel="0" max="28" min="28" style="181" width="3.14"/>
    <col collapsed="false" customWidth="true" hidden="false" outlineLevel="0" max="29" min="29" style="181" width="1.58"/>
    <col collapsed="false" customWidth="true" hidden="false" outlineLevel="0" max="30" min="30" style="181" width="3.57"/>
    <col collapsed="false" customWidth="true" hidden="false" outlineLevel="0" max="31" min="31" style="181" width="1.71"/>
    <col collapsed="false" customWidth="true" hidden="false" outlineLevel="0" max="32" min="32" style="181" width="3.14"/>
    <col collapsed="false" customWidth="true" hidden="false" outlineLevel="0" max="33" min="33" style="181" width="1.71"/>
    <col collapsed="false" customWidth="true" hidden="false" outlineLevel="0" max="34" min="34" style="181" width="3.14"/>
    <col collapsed="false" customWidth="true" hidden="false" outlineLevel="0" max="35" min="35" style="181" width="1.58"/>
    <col collapsed="false" customWidth="true" hidden="false" outlineLevel="0" max="36" min="36" style="181" width="3.14"/>
    <col collapsed="false" customWidth="true" hidden="false" outlineLevel="0" max="37" min="37" style="181" width="1.71"/>
    <col collapsed="false" customWidth="true" hidden="false" outlineLevel="0" max="38" min="38" style="181" width="3.14"/>
    <col collapsed="false" customWidth="true" hidden="false" outlineLevel="0" max="39" min="39" style="181" width="1.71"/>
    <col collapsed="false" customWidth="true" hidden="false" outlineLevel="0" max="40" min="40" style="181" width="3.14"/>
    <col collapsed="false" customWidth="true" hidden="false" outlineLevel="0" max="41" min="41" style="181" width="1.71"/>
    <col collapsed="false" customWidth="true" hidden="false" outlineLevel="0" max="42" min="42" style="181" width="3.14"/>
    <col collapsed="false" customWidth="true" hidden="false" outlineLevel="0" max="1025" min="43" style="181" width="9.14"/>
  </cols>
  <sheetData>
    <row r="1" customFormat="false" ht="12" hidden="false" customHeight="false" outlineLevel="0" collapsed="false">
      <c r="A1" s="132" t="s">
        <v>269</v>
      </c>
      <c r="B1" s="13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3" t="s">
        <v>270</v>
      </c>
      <c r="Q1" s="183"/>
      <c r="R1" s="183"/>
      <c r="S1" s="183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5"/>
      <c r="AG1" s="185"/>
      <c r="AH1" s="185"/>
      <c r="AI1" s="185"/>
      <c r="AJ1" s="185"/>
    </row>
    <row r="2" customFormat="false" ht="12" hidden="false" customHeight="false" outlineLevel="0" collapsed="false">
      <c r="A2" s="132"/>
      <c r="B2" s="13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3"/>
      <c r="Q2" s="183"/>
      <c r="R2" s="183"/>
      <c r="S2" s="183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5"/>
      <c r="AG2" s="185"/>
      <c r="AH2" s="185"/>
      <c r="AI2" s="185"/>
      <c r="AJ2" s="185"/>
    </row>
    <row r="3" customFormat="false" ht="15" hidden="false" customHeight="true" outlineLevel="0" collapsed="false">
      <c r="A3" s="136" t="s">
        <v>271</v>
      </c>
      <c r="B3" s="13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7" t="s">
        <v>272</v>
      </c>
      <c r="Q3" s="187"/>
      <c r="R3" s="187"/>
      <c r="S3" s="187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5"/>
      <c r="AG3" s="185"/>
      <c r="AH3" s="185"/>
      <c r="AI3" s="185"/>
      <c r="AJ3" s="185"/>
    </row>
    <row r="4" customFormat="false" ht="12" hidden="false" customHeight="false" outlineLevel="0" collapsed="false">
      <c r="A4" s="136"/>
      <c r="B4" s="13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7"/>
      <c r="Q4" s="187"/>
      <c r="R4" s="187"/>
      <c r="S4" s="187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5"/>
      <c r="AG4" s="185"/>
      <c r="AH4" s="185"/>
      <c r="AI4" s="185"/>
      <c r="AJ4" s="185"/>
    </row>
    <row r="5" customFormat="false" ht="15" hidden="false" customHeight="true" outlineLevel="0" collapsed="false">
      <c r="A5" s="136" t="s">
        <v>273</v>
      </c>
      <c r="B5" s="136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90" t="s">
        <v>274</v>
      </c>
      <c r="Q5" s="190"/>
      <c r="R5" s="190"/>
      <c r="S5" s="190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5"/>
      <c r="AG5" s="185"/>
      <c r="AH5" s="185"/>
      <c r="AI5" s="185"/>
      <c r="AJ5" s="185"/>
    </row>
    <row r="6" customFormat="false" ht="12" hidden="false" customHeight="false" outlineLevel="0" collapsed="false">
      <c r="A6" s="136"/>
      <c r="B6" s="136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90"/>
      <c r="Q6" s="190"/>
      <c r="R6" s="190"/>
      <c r="S6" s="190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5"/>
      <c r="AG6" s="185"/>
      <c r="AH6" s="185"/>
      <c r="AI6" s="185"/>
      <c r="AJ6" s="185"/>
    </row>
    <row r="7" customFormat="false" ht="12" hidden="false" customHeight="false" outlineLevel="0" collapsed="false">
      <c r="A7" s="134" t="s">
        <v>275</v>
      </c>
      <c r="B7" s="134"/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85"/>
      <c r="AG7" s="185"/>
      <c r="AH7" s="185"/>
      <c r="AI7" s="185"/>
      <c r="AJ7" s="185"/>
    </row>
    <row r="8" customFormat="false" ht="12" hidden="false" customHeight="false" outlineLevel="0" collapsed="false">
      <c r="A8" s="134"/>
      <c r="B8" s="134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85"/>
      <c r="AG8" s="185"/>
      <c r="AH8" s="185"/>
      <c r="AI8" s="185"/>
      <c r="AJ8" s="185"/>
    </row>
    <row r="9" customFormat="false" ht="12" hidden="false" customHeight="false" outlineLevel="0" collapsed="false">
      <c r="A9" s="134"/>
      <c r="B9" s="134"/>
      <c r="C9" s="191"/>
      <c r="D9" s="191"/>
      <c r="E9" s="191"/>
      <c r="F9" s="191"/>
      <c r="G9" s="191"/>
      <c r="H9" s="191"/>
      <c r="I9" s="191"/>
      <c r="J9" s="191"/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D9" s="191"/>
      <c r="AE9" s="191"/>
      <c r="AF9" s="185"/>
      <c r="AG9" s="185"/>
      <c r="AH9" s="185"/>
      <c r="AI9" s="185"/>
      <c r="AJ9" s="185"/>
    </row>
    <row r="10" customFormat="false" ht="15" hidden="false" customHeight="true" outlineLevel="0" collapsed="false">
      <c r="A10" s="133" t="s">
        <v>276</v>
      </c>
      <c r="B10" s="133"/>
      <c r="C10" s="146" t="s">
        <v>277</v>
      </c>
      <c r="D10" s="146"/>
      <c r="E10" s="146"/>
      <c r="F10" s="146"/>
      <c r="G10" s="146"/>
      <c r="H10" s="187" t="s">
        <v>278</v>
      </c>
      <c r="I10" s="187"/>
      <c r="J10" s="187"/>
      <c r="K10" s="187"/>
      <c r="L10" s="187"/>
      <c r="M10" s="187" t="s">
        <v>279</v>
      </c>
      <c r="N10" s="187"/>
      <c r="O10" s="187"/>
      <c r="P10" s="187"/>
      <c r="Q10" s="187"/>
      <c r="R10" s="192" t="s">
        <v>298</v>
      </c>
      <c r="S10" s="192"/>
      <c r="T10" s="192"/>
      <c r="U10" s="192"/>
      <c r="V10" s="192"/>
      <c r="W10" s="192"/>
      <c r="X10" s="192"/>
      <c r="Y10" s="147" t="s">
        <v>308</v>
      </c>
      <c r="Z10" s="147"/>
      <c r="AA10" s="147"/>
      <c r="AB10" s="147"/>
      <c r="AC10" s="147"/>
      <c r="AD10" s="147"/>
      <c r="AE10" s="147"/>
      <c r="AF10" s="169"/>
      <c r="AG10" s="169"/>
      <c r="AH10" s="169"/>
      <c r="AI10" s="185"/>
      <c r="AJ10" s="185"/>
    </row>
    <row r="11" customFormat="false" ht="12.75" hidden="false" customHeight="false" outlineLevel="0" collapsed="false">
      <c r="A11" s="133"/>
      <c r="B11" s="133"/>
      <c r="C11" s="193"/>
      <c r="D11" s="193"/>
      <c r="E11" s="193"/>
      <c r="F11" s="193"/>
      <c r="G11" s="193"/>
      <c r="H11" s="194"/>
      <c r="I11" s="194"/>
      <c r="J11" s="194"/>
      <c r="K11" s="194"/>
      <c r="L11" s="194"/>
      <c r="M11" s="195"/>
      <c r="N11" s="195"/>
      <c r="O11" s="195"/>
      <c r="P11" s="195"/>
      <c r="Q11" s="195"/>
      <c r="R11" s="192"/>
      <c r="S11" s="192"/>
      <c r="T11" s="192"/>
      <c r="U11" s="192"/>
      <c r="V11" s="192"/>
      <c r="W11" s="192"/>
      <c r="X11" s="192"/>
      <c r="Y11" s="196"/>
      <c r="Z11" s="196"/>
      <c r="AA11" s="196"/>
      <c r="AB11" s="196"/>
      <c r="AC11" s="196"/>
      <c r="AD11" s="196"/>
      <c r="AE11" s="196"/>
      <c r="AF11" s="169"/>
      <c r="AG11" s="169"/>
      <c r="AH11" s="169"/>
      <c r="AI11" s="185"/>
      <c r="AJ11" s="185"/>
    </row>
    <row r="12" customFormat="false" ht="15" hidden="false" customHeight="true" outlineLevel="0" collapsed="false">
      <c r="A12" s="132"/>
      <c r="B12" s="132"/>
      <c r="C12" s="197" t="s">
        <v>5</v>
      </c>
      <c r="D12" s="197"/>
      <c r="E12" s="197"/>
      <c r="F12" s="197"/>
      <c r="G12" s="197"/>
      <c r="H12" s="197"/>
      <c r="I12" s="197"/>
      <c r="J12" s="197"/>
      <c r="K12" s="197"/>
      <c r="L12" s="183" t="s">
        <v>282</v>
      </c>
      <c r="M12" s="183"/>
      <c r="N12" s="183"/>
      <c r="O12" s="183"/>
      <c r="P12" s="183"/>
      <c r="Q12" s="183"/>
      <c r="R12" s="183"/>
      <c r="S12" s="183"/>
      <c r="T12" s="198" t="s">
        <v>283</v>
      </c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85"/>
      <c r="AG12" s="185"/>
      <c r="AH12" s="185"/>
      <c r="AI12" s="185"/>
      <c r="AJ12" s="185"/>
    </row>
    <row r="13" customFormat="false" ht="12" hidden="false" customHeight="false" outlineLevel="0" collapsed="false">
      <c r="A13" s="134" t="s">
        <v>337</v>
      </c>
      <c r="B13" s="134"/>
      <c r="C13" s="199" t="n">
        <f aca="false">SUM(C14:G17)</f>
        <v>0.6</v>
      </c>
      <c r="D13" s="199"/>
      <c r="E13" s="199"/>
      <c r="F13" s="199"/>
      <c r="G13" s="199"/>
      <c r="H13" s="187" t="s">
        <v>71</v>
      </c>
      <c r="I13" s="187"/>
      <c r="J13" s="187"/>
      <c r="K13" s="187"/>
      <c r="L13" s="187" t="s">
        <v>85</v>
      </c>
      <c r="M13" s="187"/>
      <c r="N13" s="200" t="n">
        <v>130</v>
      </c>
      <c r="O13" s="200"/>
      <c r="P13" s="187" t="s">
        <v>98</v>
      </c>
      <c r="Q13" s="187"/>
      <c r="R13" s="200" t="n">
        <v>70</v>
      </c>
      <c r="S13" s="200"/>
      <c r="T13" s="187" t="s">
        <v>288</v>
      </c>
      <c r="U13" s="187"/>
      <c r="V13" s="187"/>
      <c r="W13" s="200" t="n">
        <v>0.6</v>
      </c>
      <c r="X13" s="200"/>
      <c r="Y13" s="200"/>
      <c r="Z13" s="187" t="s">
        <v>289</v>
      </c>
      <c r="AA13" s="187"/>
      <c r="AB13" s="187"/>
      <c r="AC13" s="188" t="n">
        <v>0.4</v>
      </c>
      <c r="AD13" s="188"/>
      <c r="AE13" s="188"/>
      <c r="AF13" s="185"/>
      <c r="AG13" s="185"/>
      <c r="AH13" s="185"/>
      <c r="AI13" s="185"/>
      <c r="AJ13" s="185"/>
      <c r="AK13" s="185"/>
      <c r="AL13" s="185"/>
      <c r="AM13" s="185"/>
      <c r="AQ13" s="181" t="n">
        <v>150</v>
      </c>
      <c r="AR13" s="181" t="n">
        <v>130</v>
      </c>
      <c r="AS13" s="181" t="n">
        <v>115</v>
      </c>
      <c r="AT13" s="181" t="n">
        <v>105</v>
      </c>
      <c r="AU13" s="181" t="n">
        <v>95</v>
      </c>
    </row>
    <row r="14" customFormat="false" ht="12" hidden="false" customHeight="false" outlineLevel="0" collapsed="false">
      <c r="A14" s="134" t="s">
        <v>312</v>
      </c>
      <c r="B14" s="134"/>
      <c r="C14" s="186" t="n">
        <v>0.2</v>
      </c>
      <c r="D14" s="186"/>
      <c r="E14" s="186"/>
      <c r="F14" s="186"/>
      <c r="G14" s="186"/>
      <c r="H14" s="187" t="s">
        <v>71</v>
      </c>
      <c r="I14" s="187"/>
      <c r="J14" s="187"/>
      <c r="K14" s="187"/>
      <c r="L14" s="187" t="s">
        <v>105</v>
      </c>
      <c r="M14" s="187"/>
      <c r="N14" s="200" t="n">
        <v>95</v>
      </c>
      <c r="O14" s="200"/>
      <c r="P14" s="187" t="s">
        <v>111</v>
      </c>
      <c r="Q14" s="187"/>
      <c r="R14" s="200" t="n">
        <v>70</v>
      </c>
      <c r="S14" s="200"/>
      <c r="T14" s="187" t="s">
        <v>338</v>
      </c>
      <c r="U14" s="187"/>
      <c r="V14" s="187"/>
      <c r="W14" s="187"/>
      <c r="X14" s="187"/>
      <c r="Y14" s="187"/>
      <c r="Z14" s="200"/>
      <c r="AA14" s="200"/>
      <c r="AB14" s="200"/>
      <c r="AC14" s="147" t="s">
        <v>118</v>
      </c>
      <c r="AD14" s="147"/>
      <c r="AE14" s="147"/>
      <c r="AF14" s="185"/>
      <c r="AI14" s="185"/>
      <c r="AJ14" s="185" t="s">
        <v>312</v>
      </c>
      <c r="AK14" s="185"/>
      <c r="AL14" s="185"/>
      <c r="AM14" s="185"/>
    </row>
    <row r="15" customFormat="false" ht="12" hidden="false" customHeight="false" outlineLevel="0" collapsed="false">
      <c r="A15" s="134" t="s">
        <v>316</v>
      </c>
      <c r="B15" s="134"/>
      <c r="C15" s="186"/>
      <c r="D15" s="186"/>
      <c r="E15" s="186"/>
      <c r="F15" s="186"/>
      <c r="G15" s="186"/>
      <c r="H15" s="187" t="s">
        <v>71</v>
      </c>
      <c r="I15" s="187"/>
      <c r="J15" s="187"/>
      <c r="K15" s="187"/>
      <c r="L15" s="187" t="s">
        <v>339</v>
      </c>
      <c r="M15" s="187"/>
      <c r="N15" s="200"/>
      <c r="O15" s="200"/>
      <c r="P15" s="187" t="s">
        <v>340</v>
      </c>
      <c r="Q15" s="187"/>
      <c r="R15" s="200"/>
      <c r="S15" s="200"/>
      <c r="T15" s="187" t="s">
        <v>338</v>
      </c>
      <c r="U15" s="187"/>
      <c r="V15" s="187"/>
      <c r="W15" s="187"/>
      <c r="X15" s="187"/>
      <c r="Y15" s="187"/>
      <c r="Z15" s="200"/>
      <c r="AA15" s="200"/>
      <c r="AB15" s="200"/>
      <c r="AC15" s="147" t="s">
        <v>118</v>
      </c>
      <c r="AD15" s="147"/>
      <c r="AE15" s="147"/>
      <c r="AF15" s="185"/>
      <c r="AI15" s="185"/>
      <c r="AJ15" s="185" t="s">
        <v>316</v>
      </c>
      <c r="AK15" s="185"/>
      <c r="AL15" s="185"/>
      <c r="AM15" s="185"/>
    </row>
    <row r="16" customFormat="false" ht="12" hidden="false" customHeight="false" outlineLevel="0" collapsed="false">
      <c r="A16" s="134" t="s">
        <v>312</v>
      </c>
      <c r="B16" s="134"/>
      <c r="C16" s="186"/>
      <c r="D16" s="186"/>
      <c r="E16" s="186"/>
      <c r="F16" s="186"/>
      <c r="G16" s="186"/>
      <c r="H16" s="187" t="s">
        <v>71</v>
      </c>
      <c r="I16" s="187"/>
      <c r="J16" s="187"/>
      <c r="K16" s="187"/>
      <c r="L16" s="187" t="s">
        <v>341</v>
      </c>
      <c r="M16" s="187"/>
      <c r="N16" s="200"/>
      <c r="O16" s="200"/>
      <c r="P16" s="187" t="s">
        <v>342</v>
      </c>
      <c r="Q16" s="187"/>
      <c r="R16" s="200"/>
      <c r="S16" s="200"/>
      <c r="T16" s="187" t="s">
        <v>338</v>
      </c>
      <c r="U16" s="187"/>
      <c r="V16" s="187"/>
      <c r="W16" s="187"/>
      <c r="X16" s="187"/>
      <c r="Y16" s="187"/>
      <c r="Z16" s="200"/>
      <c r="AA16" s="200"/>
      <c r="AB16" s="200"/>
      <c r="AC16" s="147" t="s">
        <v>118</v>
      </c>
      <c r="AD16" s="147"/>
      <c r="AE16" s="147"/>
      <c r="AF16" s="185"/>
      <c r="AI16" s="185"/>
      <c r="AJ16" s="185" t="s">
        <v>343</v>
      </c>
      <c r="AK16" s="185"/>
      <c r="AL16" s="185"/>
      <c r="AM16" s="185"/>
    </row>
    <row r="17" customFormat="false" ht="12.75" hidden="false" customHeight="false" outlineLevel="0" collapsed="false">
      <c r="A17" s="175" t="s">
        <v>344</v>
      </c>
      <c r="B17" s="175"/>
      <c r="C17" s="201" t="n">
        <v>0.4</v>
      </c>
      <c r="D17" s="201"/>
      <c r="E17" s="201"/>
      <c r="F17" s="201"/>
      <c r="G17" s="201"/>
      <c r="H17" s="139" t="s">
        <v>71</v>
      </c>
      <c r="I17" s="139"/>
      <c r="J17" s="139"/>
      <c r="K17" s="139"/>
      <c r="L17" s="139" t="s">
        <v>178</v>
      </c>
      <c r="M17" s="139"/>
      <c r="N17" s="202"/>
      <c r="O17" s="202"/>
      <c r="P17" s="139" t="s">
        <v>202</v>
      </c>
      <c r="Q17" s="139"/>
      <c r="R17" s="202"/>
      <c r="S17" s="202"/>
      <c r="T17" s="139" t="s">
        <v>345</v>
      </c>
      <c r="U17" s="139"/>
      <c r="V17" s="139"/>
      <c r="W17" s="139"/>
      <c r="X17" s="139"/>
      <c r="Y17" s="139"/>
      <c r="Z17" s="202"/>
      <c r="AA17" s="202"/>
      <c r="AB17" s="202"/>
      <c r="AC17" s="157" t="s">
        <v>304</v>
      </c>
      <c r="AD17" s="157"/>
      <c r="AE17" s="157"/>
      <c r="AF17" s="185"/>
    </row>
    <row r="18" customFormat="false" ht="6" hidden="false" customHeight="true" outlineLevel="0" collapsed="false">
      <c r="A18" s="203"/>
      <c r="B18" s="159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  <c r="AE18" s="204"/>
      <c r="AF18" s="185"/>
    </row>
    <row r="19" customFormat="false" ht="12" hidden="false" customHeight="true" outlineLevel="0" collapsed="false">
      <c r="A19" s="144" t="s">
        <v>346</v>
      </c>
      <c r="B19" s="144"/>
      <c r="C19" s="197" t="s">
        <v>300</v>
      </c>
      <c r="D19" s="197"/>
      <c r="E19" s="197"/>
      <c r="F19" s="197"/>
      <c r="G19" s="197"/>
      <c r="H19" s="197"/>
      <c r="I19" s="183" t="s">
        <v>297</v>
      </c>
      <c r="J19" s="183"/>
      <c r="K19" s="183"/>
      <c r="L19" s="183"/>
      <c r="M19" s="183"/>
      <c r="N19" s="183"/>
      <c r="O19" s="183" t="s">
        <v>347</v>
      </c>
      <c r="P19" s="183"/>
      <c r="Q19" s="183"/>
      <c r="R19" s="183"/>
      <c r="S19" s="183"/>
      <c r="T19" s="183"/>
      <c r="U19" s="183"/>
      <c r="V19" s="183"/>
      <c r="W19" s="198" t="s">
        <v>348</v>
      </c>
      <c r="X19" s="198"/>
      <c r="Y19" s="198"/>
      <c r="Z19" s="198"/>
      <c r="AA19" s="198"/>
      <c r="AB19" s="198"/>
      <c r="AC19" s="198"/>
      <c r="AD19" s="198"/>
      <c r="AE19" s="198"/>
      <c r="AF19" s="185"/>
      <c r="AJ19" s="181" t="s">
        <v>349</v>
      </c>
      <c r="AM19" s="181" t="s">
        <v>53</v>
      </c>
      <c r="AR19" s="181" t="s">
        <v>350</v>
      </c>
      <c r="AS19" s="181" t="s">
        <v>351</v>
      </c>
      <c r="AT19" s="181" t="s">
        <v>352</v>
      </c>
      <c r="AU19" s="181" t="s">
        <v>353</v>
      </c>
    </row>
    <row r="20" customFormat="false" ht="12.75" hidden="false" customHeight="false" outlineLevel="0" collapsed="false">
      <c r="A20" s="144"/>
      <c r="B20" s="144"/>
      <c r="C20" s="201" t="s">
        <v>349</v>
      </c>
      <c r="D20" s="201"/>
      <c r="E20" s="201"/>
      <c r="F20" s="201"/>
      <c r="G20" s="201"/>
      <c r="H20" s="201"/>
      <c r="I20" s="202" t="s">
        <v>349</v>
      </c>
      <c r="J20" s="202"/>
      <c r="K20" s="202"/>
      <c r="L20" s="202"/>
      <c r="M20" s="202"/>
      <c r="N20" s="202"/>
      <c r="O20" s="202" t="s">
        <v>349</v>
      </c>
      <c r="P20" s="202"/>
      <c r="Q20" s="202"/>
      <c r="R20" s="202" t="s">
        <v>55</v>
      </c>
      <c r="S20" s="202"/>
      <c r="T20" s="202"/>
      <c r="U20" s="202"/>
      <c r="V20" s="202"/>
      <c r="W20" s="202" t="s">
        <v>349</v>
      </c>
      <c r="X20" s="202"/>
      <c r="Y20" s="202"/>
      <c r="Z20" s="205" t="s">
        <v>53</v>
      </c>
      <c r="AA20" s="205"/>
      <c r="AB20" s="205"/>
      <c r="AC20" s="205"/>
      <c r="AD20" s="205"/>
      <c r="AE20" s="205"/>
      <c r="AF20" s="185"/>
      <c r="AJ20" s="181" t="s">
        <v>354</v>
      </c>
      <c r="AL20" s="181" t="s">
        <v>55</v>
      </c>
      <c r="AM20" s="181" t="s">
        <v>55</v>
      </c>
      <c r="AR20" s="181" t="n">
        <f aca="false">IF(I20&lt;&gt;"Есть",0,IF(AND(I20="Есть",C13&gt;0,N13&gt;0,R13&gt;0,W13&gt;0,AC13&gt;0),2,"X1"))</f>
        <v>2</v>
      </c>
      <c r="AS20" s="181" t="n">
        <f aca="false">IF(I20&lt;&gt;"Нет",0,IF(AND(I20="Нет",C13&gt;0,N13&gt;0,R13&gt;0,W13&gt;0,AC13&gt;0),1,"X1"))</f>
        <v>0</v>
      </c>
      <c r="AT20" s="181" t="n">
        <f aca="false">IF(I20&lt;&gt;"Автоматически",0,IF(AND(I20="Автоматически",C13&gt;0,N13&gt;0,R13&gt;0,W13&gt;0,AC13&gt;0),AU20,"X1"))</f>
        <v>0</v>
      </c>
      <c r="AU20" s="181" t="n">
        <f aca="false">IF(OR(C24="Независимая",C28="Независимая",C32="Независимая"),2,IF(OR(C24="Зависимая",C28="Зависимая",C32="Зависимая"),1,"X1"))</f>
        <v>1</v>
      </c>
    </row>
    <row r="21" customFormat="false" ht="12.75" hidden="false" customHeight="false" outlineLevel="0" collapsed="false">
      <c r="A21" s="158"/>
      <c r="B21" s="179" t="s">
        <v>1</v>
      </c>
      <c r="C21" s="206" t="s">
        <v>164</v>
      </c>
      <c r="D21" s="206" t="n">
        <f aca="false">IF(I20="Есть",AR20,IF(I20="Нет",AS20,IF(I20="Автоматически",AT20,"Х1")))</f>
        <v>2</v>
      </c>
      <c r="E21" s="206" t="s">
        <v>164</v>
      </c>
      <c r="F21" s="207" t="str">
        <f aca="false">IF(AND(C13&gt;0,N13&gt;0,C20&gt;0,I20&gt;0,R13&gt;0,D37&lt;&gt;"Х1"),VLOOKUP(1,БВ!BC4:BE15,2,0),"X2")</f>
        <v>08</v>
      </c>
      <c r="G21" s="206" t="s">
        <v>164</v>
      </c>
      <c r="H21" s="207" t="str">
        <f aca="false">IF(D21=1,"00",IF(AND(C13&gt;0,SUM(C14:G16)&gt;0,N13&gt;0,R13&gt;0,I20&gt;0,D37&lt;&gt;"Х1"),VLOOKUP(1,БВ!BG4:BI15,2,0),"X3"))</f>
        <v>3</v>
      </c>
      <c r="I21" s="206" t="s">
        <v>164</v>
      </c>
      <c r="J21" s="206" t="str">
        <f aca="false">IF(C20="Нет","0",IF(AND(C13&gt;0,N13&gt;0,R13&gt;0,C20&gt;0,D37&lt;&gt;"Х1"),VLOOKUP(1,БВ!BK4:BM13,2,0),"X4"))</f>
        <v>4</v>
      </c>
      <c r="K21" s="206" t="s">
        <v>164</v>
      </c>
      <c r="L21" s="207" t="str">
        <f aca="false">IF(OR(C20="Нет",D21=1),"0",IF(AND(C13&gt;0,N13&gt;0,R13&gt;0,C20&gt;0,D37&lt;&gt;"Х1"),VLOOKUP(1,БВ!BK4:BM13,2,0),"X5"))</f>
        <v>4</v>
      </c>
      <c r="M21" s="206" t="s">
        <v>164</v>
      </c>
      <c r="N21" s="206" t="str">
        <f aca="false">IF(O20="Нет","00",IF(AND(C13&gt;0,N13&gt;0,R20&gt;0,R13&gt;0,O20&gt;0),VLOOKUP(1,IF(R20="Вогез",БВ!BS5:BU20,БВ!BV4:BX20),2,0),"X6"))</f>
        <v>08</v>
      </c>
      <c r="O21" s="206" t="s">
        <v>165</v>
      </c>
      <c r="P21" s="206" t="str">
        <f aca="false">IF(O20="Нет","0",IF(AND(C13&gt;0,N13&gt;0,R20&gt;0,R13&gt;0,O20&gt;0),VLOOKUP(1,БВ!BZ4:CB6,2,0),"X7"))</f>
        <v>2</v>
      </c>
      <c r="Q21" s="206" t="s">
        <v>164</v>
      </c>
      <c r="R21" s="206" t="str">
        <f aca="false">IF(W20="Нет","00",IF(AND(C13&gt;0,N13&gt;0,Z20&gt;0,R13&gt;0,W20&gt;0),VLOOKUP(1,БВ!CD4:CF15,2,0),"X8"))</f>
        <v>07</v>
      </c>
      <c r="S21" s="206" t="s">
        <v>165</v>
      </c>
      <c r="T21" s="206" t="str">
        <f aca="false">IF(W20="Нет","0",IF(AND(C13&gt;0,N13&gt;0,Z20&gt;0,R13&gt;0,W20&gt;0),VLOOKUP(1,БВ!CH4:CJ6,2,0),"X9"))</f>
        <v>1</v>
      </c>
      <c r="U21" s="206"/>
      <c r="V21" s="206"/>
      <c r="W21" s="206"/>
      <c r="X21" s="206"/>
      <c r="Y21" s="206"/>
      <c r="Z21" s="208"/>
      <c r="AA21" s="209"/>
      <c r="AB21" s="209"/>
      <c r="AC21" s="209"/>
      <c r="AD21" s="209"/>
      <c r="AE21" s="210"/>
      <c r="AF21" s="185"/>
      <c r="AJ21" s="181" t="s">
        <v>285</v>
      </c>
      <c r="AL21" s="181" t="s">
        <v>223</v>
      </c>
      <c r="AM21" s="181" t="s">
        <v>355</v>
      </c>
    </row>
    <row r="22" customFormat="false" ht="5.25" hidden="false" customHeight="true" outlineLevel="0" collapsed="false">
      <c r="A22" s="211"/>
      <c r="B22" s="160"/>
      <c r="C22" s="179"/>
      <c r="D22" s="160"/>
      <c r="E22" s="160"/>
      <c r="F22" s="212"/>
      <c r="G22" s="160"/>
      <c r="H22" s="212"/>
      <c r="I22" s="160"/>
      <c r="J22" s="160"/>
      <c r="K22" s="160"/>
      <c r="L22" s="212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212"/>
      <c r="AA22" s="185"/>
      <c r="AB22" s="185"/>
      <c r="AC22" s="185"/>
      <c r="AD22" s="185"/>
      <c r="AE22" s="204"/>
      <c r="AF22" s="185"/>
    </row>
    <row r="23" customFormat="false" ht="12" hidden="false" customHeight="true" outlineLevel="0" collapsed="false">
      <c r="A23" s="142" t="s">
        <v>356</v>
      </c>
      <c r="B23" s="142"/>
      <c r="C23" s="213" t="s">
        <v>62</v>
      </c>
      <c r="D23" s="213"/>
      <c r="E23" s="213"/>
      <c r="F23" s="213"/>
      <c r="G23" s="213"/>
      <c r="H23" s="213"/>
      <c r="I23" s="183" t="s">
        <v>32</v>
      </c>
      <c r="J23" s="183"/>
      <c r="K23" s="183"/>
      <c r="L23" s="183"/>
      <c r="M23" s="183"/>
      <c r="N23" s="183"/>
      <c r="O23" s="183" t="s">
        <v>357</v>
      </c>
      <c r="P23" s="183"/>
      <c r="Q23" s="183"/>
      <c r="R23" s="183"/>
      <c r="S23" s="183"/>
      <c r="T23" s="183"/>
      <c r="U23" s="183" t="s">
        <v>324</v>
      </c>
      <c r="V23" s="183"/>
      <c r="W23" s="183"/>
      <c r="X23" s="183"/>
      <c r="Y23" s="183"/>
      <c r="Z23" s="183"/>
      <c r="AA23" s="198" t="s">
        <v>358</v>
      </c>
      <c r="AB23" s="198"/>
      <c r="AC23" s="198"/>
      <c r="AD23" s="198"/>
      <c r="AE23" s="198"/>
      <c r="AF23" s="185"/>
      <c r="AJ23" s="181" t="s">
        <v>79</v>
      </c>
      <c r="AK23" s="181" t="s">
        <v>33</v>
      </c>
      <c r="AL23" s="181" t="s">
        <v>53</v>
      </c>
      <c r="AM23" s="181" t="s">
        <v>83</v>
      </c>
      <c r="AN23" s="181" t="s">
        <v>333</v>
      </c>
    </row>
    <row r="24" customFormat="false" ht="12.75" hidden="false" customHeight="false" outlineLevel="0" collapsed="false">
      <c r="A24" s="142"/>
      <c r="B24" s="142"/>
      <c r="C24" s="214" t="s">
        <v>79</v>
      </c>
      <c r="D24" s="214"/>
      <c r="E24" s="214"/>
      <c r="F24" s="214"/>
      <c r="G24" s="214"/>
      <c r="H24" s="214"/>
      <c r="I24" s="202" t="s">
        <v>34</v>
      </c>
      <c r="J24" s="202"/>
      <c r="K24" s="202"/>
      <c r="L24" s="202"/>
      <c r="M24" s="202"/>
      <c r="N24" s="202"/>
      <c r="O24" s="202" t="s">
        <v>54</v>
      </c>
      <c r="P24" s="202"/>
      <c r="Q24" s="202"/>
      <c r="R24" s="202"/>
      <c r="S24" s="202"/>
      <c r="T24" s="202"/>
      <c r="U24" s="202" t="s">
        <v>83</v>
      </c>
      <c r="V24" s="202"/>
      <c r="W24" s="202"/>
      <c r="X24" s="202"/>
      <c r="Y24" s="202"/>
      <c r="Z24" s="202"/>
      <c r="AA24" s="205" t="s">
        <v>333</v>
      </c>
      <c r="AB24" s="205"/>
      <c r="AC24" s="205"/>
      <c r="AD24" s="205"/>
      <c r="AE24" s="205"/>
      <c r="AF24" s="185"/>
      <c r="AJ24" s="181" t="s">
        <v>95</v>
      </c>
      <c r="AK24" s="181" t="s">
        <v>34</v>
      </c>
      <c r="AL24" s="181" t="s">
        <v>55</v>
      </c>
      <c r="AM24" s="181" t="s">
        <v>55</v>
      </c>
      <c r="AN24" s="181" t="s">
        <v>97</v>
      </c>
    </row>
    <row r="25" customFormat="false" ht="12.75" hidden="false" customHeight="false" outlineLevel="0" collapsed="false">
      <c r="A25" s="215"/>
      <c r="B25" s="179" t="s">
        <v>29</v>
      </c>
      <c r="C25" s="179" t="s">
        <v>164</v>
      </c>
      <c r="D25" s="179" t="n">
        <f aca="false">IF(C24="зависимая",1,IF(C24="независимая",2,"Х1"))</f>
        <v>1</v>
      </c>
      <c r="E25" s="179" t="s">
        <v>164</v>
      </c>
      <c r="F25" s="216" t="str">
        <f aca="false">IF(AND(C14&gt;0,N13&gt;0,R13&gt;0,N14&gt;0,R14&gt;0),VLOOKUP(1,'БОВ (1)'!BQ4:BS15,2,0),"X2")</f>
        <v>06</v>
      </c>
      <c r="G25" s="179" t="s">
        <v>164</v>
      </c>
      <c r="H25" s="216" t="str">
        <f aca="false">IF(AND(C14&gt;0,N13&gt;0,R13&gt;0,N14&gt;0,R14&gt;0,O24&gt;0,W13&gt;0,AC13&gt;0),VLOOKUP(1,'БОВ (1)'!BU4:BX26,2,0),"X3")</f>
        <v>07</v>
      </c>
      <c r="I25" s="179" t="s">
        <v>165</v>
      </c>
      <c r="J25" s="179" t="str">
        <f aca="false">IF(O24&gt;0,VLOOKUP(1,'БОВ (1)'!BZ4:CB6,2,0),"X4")</f>
        <v>3</v>
      </c>
      <c r="K25" s="179" t="s">
        <v>164</v>
      </c>
      <c r="L25" s="216" t="str">
        <f aca="false">IF(AND(C14&gt;0,N13&gt;0,R13&gt;0,N14&gt;0,R14&gt;0),VLOOKUP(1,'БОВ (1)'!CD4:CF15,2,0),"X5")</f>
        <v>07</v>
      </c>
      <c r="M25" s="179" t="s">
        <v>164</v>
      </c>
      <c r="N25" s="179" t="n">
        <f aca="false">IF(Z14&gt;5,"X6",IF(AND(C14&gt;0,N13&gt;0,R13&gt;0,N14&gt;0,R14&gt;0,I24&gt;0),VLOOKUP(1,IF('БОВ (1)'!B15="TOP-SD",'БОВ (1)'!CH4:CJ14,IF('БОВ (1)'!B15="Yonos MAXO-D",'БОВ (1)'!CK4:CM14,IF('БОВ (1)'!B15="Stratos-D",'БОВ (1)'!CN4:CP14,0))),2,0),"X6"))</f>
        <v>3</v>
      </c>
      <c r="O25" s="179" t="s">
        <v>165</v>
      </c>
      <c r="P25" s="179" t="n">
        <f aca="false">IF(I24&gt;0,VLOOKUP(1,'БОВ (1)'!CR4:CT7,2,0),"X7")</f>
        <v>2</v>
      </c>
      <c r="Q25" s="179" t="s">
        <v>164</v>
      </c>
      <c r="R25" s="179" t="str">
        <f aca="false">IF(AND(C14&gt;0,N13&gt;0,R13&gt;0,N14&gt;0,R14&gt;0,C24&gt;0),VLOOKUP(1,'БОВ (1)'!CW4:CY10,2,0),"X8")</f>
        <v>0</v>
      </c>
      <c r="S25" s="179" t="s">
        <v>165</v>
      </c>
      <c r="T25" s="179" t="str">
        <f aca="false">IF(AND(C14&gt;0,N13&gt;0,R13&gt;0,N14&gt;0,R14&gt;0,C24&gt;0),VLOOKUP(1,'БОВ (1)'!DA4:DC9,2,0),"X9")</f>
        <v>0</v>
      </c>
      <c r="U25" s="179" t="s">
        <v>164</v>
      </c>
      <c r="V25" s="179" t="str">
        <f aca="false">IF(U24&gt;0,VLOOKUP(1,'БОВ (1)'!DE4:DG6,2,0),"X10")</f>
        <v>1</v>
      </c>
      <c r="W25" s="179" t="s">
        <v>164</v>
      </c>
      <c r="X25" s="179" t="str">
        <f aca="false">IF(AA24&gt;0,VLOOKUP(1,'БОВ (1)'!DI4:DK5,2,0),"X11")</f>
        <v>1</v>
      </c>
      <c r="Y25" s="179"/>
      <c r="Z25" s="217"/>
      <c r="AA25" s="179"/>
      <c r="AB25" s="217"/>
      <c r="AC25" s="179"/>
      <c r="AD25" s="179"/>
      <c r="AE25" s="180"/>
      <c r="AF25" s="212"/>
      <c r="AG25" s="130"/>
      <c r="AH25" s="130"/>
      <c r="AI25" s="130"/>
      <c r="AJ25" s="130"/>
      <c r="AK25" s="130" t="s">
        <v>35</v>
      </c>
      <c r="AL25" s="181" t="s">
        <v>54</v>
      </c>
      <c r="AM25" s="181" t="s">
        <v>54</v>
      </c>
      <c r="AN25" s="130"/>
      <c r="AO25" s="130"/>
      <c r="AP25" s="130"/>
    </row>
    <row r="26" customFormat="false" ht="5.25" hidden="false" customHeight="true" outlineLevel="0" collapsed="false">
      <c r="A26" s="211"/>
      <c r="B26" s="179"/>
      <c r="C26" s="160"/>
      <c r="D26" s="160"/>
      <c r="E26" s="160"/>
      <c r="F26" s="212"/>
      <c r="G26" s="160"/>
      <c r="H26" s="212"/>
      <c r="I26" s="160"/>
      <c r="J26" s="160"/>
      <c r="K26" s="160"/>
      <c r="L26" s="212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212"/>
      <c r="AA26" s="185"/>
      <c r="AB26" s="185"/>
      <c r="AC26" s="185"/>
      <c r="AD26" s="185"/>
      <c r="AE26" s="204"/>
      <c r="AF26" s="185"/>
    </row>
    <row r="27" customFormat="false" ht="12" hidden="false" customHeight="true" outlineLevel="0" collapsed="false">
      <c r="A27" s="142" t="s">
        <v>359</v>
      </c>
      <c r="B27" s="142"/>
      <c r="C27" s="213" t="s">
        <v>62</v>
      </c>
      <c r="D27" s="213"/>
      <c r="E27" s="213"/>
      <c r="F27" s="213"/>
      <c r="G27" s="213"/>
      <c r="H27" s="213"/>
      <c r="I27" s="183" t="s">
        <v>32</v>
      </c>
      <c r="J27" s="183"/>
      <c r="K27" s="183"/>
      <c r="L27" s="183"/>
      <c r="M27" s="183"/>
      <c r="N27" s="183"/>
      <c r="O27" s="183" t="s">
        <v>357</v>
      </c>
      <c r="P27" s="183"/>
      <c r="Q27" s="183"/>
      <c r="R27" s="183"/>
      <c r="S27" s="183"/>
      <c r="T27" s="183"/>
      <c r="U27" s="183" t="s">
        <v>324</v>
      </c>
      <c r="V27" s="183"/>
      <c r="W27" s="183"/>
      <c r="X27" s="183"/>
      <c r="Y27" s="183"/>
      <c r="Z27" s="183"/>
      <c r="AA27" s="198" t="s">
        <v>358</v>
      </c>
      <c r="AB27" s="198"/>
      <c r="AC27" s="198"/>
      <c r="AD27" s="198"/>
      <c r="AE27" s="198"/>
      <c r="AF27" s="185"/>
    </row>
    <row r="28" customFormat="false" ht="12.75" hidden="false" customHeight="false" outlineLevel="0" collapsed="false">
      <c r="A28" s="142"/>
      <c r="B28" s="142"/>
      <c r="C28" s="214"/>
      <c r="D28" s="214"/>
      <c r="E28" s="214"/>
      <c r="F28" s="214"/>
      <c r="G28" s="214"/>
      <c r="H28" s="214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5" t="s">
        <v>97</v>
      </c>
      <c r="AB28" s="205"/>
      <c r="AC28" s="205"/>
      <c r="AD28" s="205"/>
      <c r="AE28" s="205"/>
      <c r="AF28" s="185"/>
    </row>
    <row r="29" customFormat="false" ht="12.75" hidden="false" customHeight="false" outlineLevel="0" collapsed="false">
      <c r="A29" s="215"/>
      <c r="B29" s="179" t="s">
        <v>159</v>
      </c>
      <c r="C29" s="179" t="s">
        <v>164</v>
      </c>
      <c r="D29" s="179" t="str">
        <f aca="false">IF(C28="зависимая",1,IF(C28="независимая",2,"Х1"))</f>
        <v>Х1</v>
      </c>
      <c r="E29" s="179" t="s">
        <v>164</v>
      </c>
      <c r="F29" s="216" t="str">
        <f aca="false">IF(AND(C15&gt;0,N13&gt;0,R13&gt;0,N15&gt;0,R15&gt;0),VLOOKUP(1,'БОВ (2)'!BQ4:BS15,2,0),"X2")</f>
        <v>X2</v>
      </c>
      <c r="G29" s="179" t="s">
        <v>164</v>
      </c>
      <c r="H29" s="216" t="str">
        <f aca="false">IF(AND(C15&gt;0,N13&gt;0,R13&gt;0,N15&gt;0,R15&gt;0,O28&gt;0,W13&gt;0,AC13&gt;0),VLOOKUP(1,'БОВ (2)'!BU4:BX26,2,0),"X3")</f>
        <v>X3</v>
      </c>
      <c r="I29" s="179" t="s">
        <v>165</v>
      </c>
      <c r="J29" s="179" t="str">
        <f aca="false">IF(O28&gt;0,VLOOKUP(1,'БОВ (2)'!BZ4:CB6,2,0),"X4")</f>
        <v>X4</v>
      </c>
      <c r="K29" s="179" t="s">
        <v>164</v>
      </c>
      <c r="L29" s="216" t="str">
        <f aca="false">IF(AND(C15&gt;0,N13&gt;0,R13&gt;0,N15&gt;0,R15&gt;0),VLOOKUP(1,'БОВ (2)'!CD4:CF15,2,0),"X5")</f>
        <v>X5</v>
      </c>
      <c r="M29" s="179" t="s">
        <v>164</v>
      </c>
      <c r="N29" s="179" t="str">
        <f aca="false">IF(Z15&gt;5,"X6",IF(AND(C15&gt;0,N13&gt;0,R13&gt;0,N15&gt;0,R15&gt;0,I28&gt;0),VLOOKUP(1,IF('БОВ (2)'!B15="TOP-SD",'БОВ (2)'!CH4:CJ14,IF('БОВ (2)'!B15="Yonos MAXO-D",'БОВ (2)'!CK4:CM14,IF('БОВ (2)'!B15="Stratos-D",'БОВ (2)'!CN4:CP14,0))),2,0),"X6"))</f>
        <v>X6</v>
      </c>
      <c r="O29" s="179" t="s">
        <v>165</v>
      </c>
      <c r="P29" s="179" t="str">
        <f aca="false">IF(I28&gt;0,VLOOKUP(1,'БОВ (2)'!CR4:CT7,2,0),"X7")</f>
        <v>X7</v>
      </c>
      <c r="Q29" s="179" t="s">
        <v>164</v>
      </c>
      <c r="R29" s="179" t="str">
        <f aca="false">IF(AND(C15&gt;0,N13&gt;0,R13&gt;0,N15&gt;0,R15&gt;0,C28&gt;0),VLOOKUP(1,'БОВ (2)'!CW4:CY10,2,0),"X8")</f>
        <v>X8</v>
      </c>
      <c r="S29" s="179" t="s">
        <v>165</v>
      </c>
      <c r="T29" s="179" t="str">
        <f aca="false">IF(AND(C15&gt;0,N13&gt;0,R13&gt;0,N15&gt;0,R15&gt;0,C28&gt;0),VLOOKUP(1,'БОВ (2)'!DA4:DC9,2,0),"X9")</f>
        <v>X9</v>
      </c>
      <c r="U29" s="179" t="s">
        <v>164</v>
      </c>
      <c r="V29" s="179" t="str">
        <f aca="false">IF(U28&gt;0,VLOOKUP(1,'БОВ (2)'!DE4:DG6,2,0),"X10")</f>
        <v>X10</v>
      </c>
      <c r="W29" s="179" t="s">
        <v>164</v>
      </c>
      <c r="X29" s="179" t="str">
        <f aca="false">IF(AA28&gt;0,VLOOKUP(1,'БОВ (2)'!DI4:DK5,2,0),"X11")</f>
        <v>0</v>
      </c>
      <c r="Y29" s="179"/>
      <c r="Z29" s="217"/>
      <c r="AA29" s="179"/>
      <c r="AB29" s="217"/>
      <c r="AC29" s="179"/>
      <c r="AD29" s="179"/>
      <c r="AE29" s="180"/>
      <c r="AF29" s="185"/>
    </row>
    <row r="30" customFormat="false" ht="6" hidden="false" customHeight="true" outlineLevel="0" collapsed="false">
      <c r="A30" s="168"/>
      <c r="B30" s="218"/>
      <c r="C30" s="160"/>
      <c r="D30" s="160"/>
      <c r="E30" s="160"/>
      <c r="F30" s="212"/>
      <c r="G30" s="160"/>
      <c r="H30" s="212"/>
      <c r="I30" s="160"/>
      <c r="J30" s="160"/>
      <c r="K30" s="160"/>
      <c r="L30" s="212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212"/>
      <c r="AA30" s="160"/>
      <c r="AB30" s="212"/>
      <c r="AC30" s="160"/>
      <c r="AD30" s="160"/>
      <c r="AE30" s="135"/>
      <c r="AF30" s="185"/>
    </row>
    <row r="31" customFormat="false" ht="12" hidden="false" customHeight="true" outlineLevel="0" collapsed="false">
      <c r="A31" s="142" t="s">
        <v>360</v>
      </c>
      <c r="B31" s="142"/>
      <c r="C31" s="213" t="s">
        <v>62</v>
      </c>
      <c r="D31" s="213"/>
      <c r="E31" s="213"/>
      <c r="F31" s="213"/>
      <c r="G31" s="213"/>
      <c r="H31" s="213"/>
      <c r="I31" s="183" t="s">
        <v>32</v>
      </c>
      <c r="J31" s="183"/>
      <c r="K31" s="183"/>
      <c r="L31" s="183"/>
      <c r="M31" s="183"/>
      <c r="N31" s="183"/>
      <c r="O31" s="183" t="s">
        <v>357</v>
      </c>
      <c r="P31" s="183"/>
      <c r="Q31" s="183"/>
      <c r="R31" s="183"/>
      <c r="S31" s="183"/>
      <c r="T31" s="183"/>
      <c r="U31" s="183" t="s">
        <v>324</v>
      </c>
      <c r="V31" s="183"/>
      <c r="W31" s="183"/>
      <c r="X31" s="183"/>
      <c r="Y31" s="183"/>
      <c r="Z31" s="183"/>
      <c r="AA31" s="198" t="s">
        <v>358</v>
      </c>
      <c r="AB31" s="198"/>
      <c r="AC31" s="198"/>
      <c r="AD31" s="198"/>
      <c r="AE31" s="198"/>
      <c r="AF31" s="185"/>
    </row>
    <row r="32" customFormat="false" ht="12.75" hidden="false" customHeight="false" outlineLevel="0" collapsed="false">
      <c r="A32" s="142"/>
      <c r="B32" s="142"/>
      <c r="C32" s="214"/>
      <c r="D32" s="214"/>
      <c r="E32" s="214"/>
      <c r="F32" s="214"/>
      <c r="G32" s="214"/>
      <c r="H32" s="214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  <c r="AA32" s="205"/>
      <c r="AB32" s="205"/>
      <c r="AC32" s="205"/>
      <c r="AD32" s="205"/>
      <c r="AE32" s="205"/>
      <c r="AF32" s="185"/>
    </row>
    <row r="33" customFormat="false" ht="12.75" hidden="false" customHeight="false" outlineLevel="0" collapsed="false">
      <c r="A33" s="170"/>
      <c r="B33" s="206" t="s">
        <v>160</v>
      </c>
      <c r="C33" s="206" t="s">
        <v>164</v>
      </c>
      <c r="D33" s="179" t="str">
        <f aca="false">IF(C32="зависимая",1,IF(C32="независимая",2,"Х1"))</f>
        <v>Х1</v>
      </c>
      <c r="E33" s="179" t="s">
        <v>164</v>
      </c>
      <c r="F33" s="216" t="str">
        <f aca="false">IF(AND(C16&gt;0,N13&gt;0,R13&gt;0,N16&gt;0,R16&gt;0),VLOOKUP(1,'БОВ (3)'!BQ4:BS15,2,0),"X2")</f>
        <v>X2</v>
      </c>
      <c r="G33" s="179" t="s">
        <v>164</v>
      </c>
      <c r="H33" s="216" t="str">
        <f aca="false">IF(AND(C16&gt;0,N13&gt;0,R13&gt;0,N16&gt;0,R16&gt;0,O32&gt;0,W13&gt;0,AC13&gt;0),VLOOKUP(1,'БОВ (3)'!BU4:BX26,2,0),"X3")</f>
        <v>X3</v>
      </c>
      <c r="I33" s="179" t="s">
        <v>165</v>
      </c>
      <c r="J33" s="179" t="str">
        <f aca="false">IF(O32&gt;0,VLOOKUP(1,'БОВ (3)'!BZ4:CB6,2,0),"X4")</f>
        <v>X4</v>
      </c>
      <c r="K33" s="179" t="s">
        <v>164</v>
      </c>
      <c r="L33" s="216" t="str">
        <f aca="false">IF(AND(C16&gt;0,N13&gt;0,R13&gt;0,N16&gt;0,R16&gt;0),VLOOKUP(1,'БОВ (3)'!CD4:CF15,2,0),"X5")</f>
        <v>X5</v>
      </c>
      <c r="M33" s="179" t="s">
        <v>164</v>
      </c>
      <c r="N33" s="179" t="str">
        <f aca="false">IF(Z16&gt;5,"X6",IF(AND(C16&gt;0,N13&gt;0,R13&gt;0,N16&gt;0,R16&gt;0,I32&gt;0),VLOOKUP(1,IF('БОВ (3)'!B15="TOP-SD",'БОВ (3)'!CH4:CJ14,IF('БОВ (3)'!B15="Yonos MAXO-D",'БОВ (3)'!CK4:CM14,IF('БОВ (3)'!B15="Stratos-D",'БОВ (3)'!CN4:CP14,0))),2,0),"X6"))</f>
        <v>X6</v>
      </c>
      <c r="O33" s="179" t="s">
        <v>165</v>
      </c>
      <c r="P33" s="179" t="str">
        <f aca="false">IF(I32&gt;0,VLOOKUP(1,'БОВ (3)'!CR4:CT7,2,0),"X7")</f>
        <v>X7</v>
      </c>
      <c r="Q33" s="179" t="s">
        <v>164</v>
      </c>
      <c r="R33" s="179" t="str">
        <f aca="false">IF(AND(C13&gt;0,N13&gt;0,R13&gt;0,N16&gt;0,R16&gt;0,C32&gt;0),VLOOKUP(1,'БОВ (3)'!CW4:CY10,2,0),"X8")</f>
        <v>X8</v>
      </c>
      <c r="S33" s="179" t="s">
        <v>165</v>
      </c>
      <c r="T33" s="179" t="str">
        <f aca="false">IF(AND(C16&gt;0,N13&gt;0,R13&gt;0,N16&gt;0,R16&gt;0,C32&gt;0),VLOOKUP(1,'БОВ (3)'!DA4:DC9,2,0),"X9")</f>
        <v>X9</v>
      </c>
      <c r="U33" s="179" t="s">
        <v>164</v>
      </c>
      <c r="V33" s="179" t="str">
        <f aca="false">IF(U32&gt;0,VLOOKUP(1,'БОВ (3)'!DE4:DG6,2,0),"X10")</f>
        <v>X10</v>
      </c>
      <c r="W33" s="179" t="s">
        <v>164</v>
      </c>
      <c r="X33" s="179" t="str">
        <f aca="false">IF(AA32&gt;0,VLOOKUP(1,'БОВ (3)'!DI4:DK5,2,0),"X11")</f>
        <v>X11</v>
      </c>
      <c r="Y33" s="206"/>
      <c r="Z33" s="208"/>
      <c r="AA33" s="206"/>
      <c r="AB33" s="208"/>
      <c r="AC33" s="206"/>
      <c r="AD33" s="206"/>
      <c r="AE33" s="177"/>
      <c r="AF33" s="185"/>
    </row>
    <row r="34" customFormat="false" ht="6" hidden="false" customHeight="true" outlineLevel="0" collapsed="false">
      <c r="A34" s="168"/>
      <c r="B34" s="160"/>
      <c r="C34" s="218"/>
      <c r="D34" s="160"/>
      <c r="E34" s="160"/>
      <c r="F34" s="212"/>
      <c r="G34" s="160"/>
      <c r="H34" s="212"/>
      <c r="I34" s="160"/>
      <c r="J34" s="160"/>
      <c r="K34" s="160"/>
      <c r="L34" s="212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212"/>
      <c r="AA34" s="160"/>
      <c r="AB34" s="212"/>
      <c r="AC34" s="160"/>
      <c r="AD34" s="160"/>
      <c r="AE34" s="135"/>
      <c r="AF34" s="185"/>
    </row>
    <row r="35" customFormat="false" ht="12" hidden="false" customHeight="true" outlineLevel="0" collapsed="false">
      <c r="A35" s="142" t="s">
        <v>361</v>
      </c>
      <c r="B35" s="142"/>
      <c r="C35" s="213" t="s">
        <v>62</v>
      </c>
      <c r="D35" s="213"/>
      <c r="E35" s="213"/>
      <c r="F35" s="213"/>
      <c r="G35" s="213"/>
      <c r="H35" s="213"/>
      <c r="I35" s="183" t="s">
        <v>32</v>
      </c>
      <c r="J35" s="183"/>
      <c r="K35" s="183"/>
      <c r="L35" s="183"/>
      <c r="M35" s="183"/>
      <c r="N35" s="183"/>
      <c r="O35" s="183" t="s">
        <v>357</v>
      </c>
      <c r="P35" s="183"/>
      <c r="Q35" s="183"/>
      <c r="R35" s="183"/>
      <c r="S35" s="183"/>
      <c r="T35" s="183"/>
      <c r="U35" s="183" t="s">
        <v>324</v>
      </c>
      <c r="V35" s="183"/>
      <c r="W35" s="183"/>
      <c r="X35" s="183"/>
      <c r="Y35" s="183"/>
      <c r="Z35" s="183"/>
      <c r="AA35" s="198" t="s">
        <v>358</v>
      </c>
      <c r="AB35" s="198"/>
      <c r="AC35" s="198"/>
      <c r="AD35" s="198"/>
      <c r="AE35" s="198"/>
      <c r="AF35" s="185"/>
      <c r="AJ35" s="181" t="s">
        <v>285</v>
      </c>
      <c r="AK35" s="181" t="s">
        <v>191</v>
      </c>
      <c r="AL35" s="219" t="s">
        <v>53</v>
      </c>
      <c r="AR35" s="181" t="s">
        <v>362</v>
      </c>
      <c r="AS35" s="181" t="s">
        <v>363</v>
      </c>
      <c r="AT35" s="181" t="s">
        <v>364</v>
      </c>
    </row>
    <row r="36" customFormat="false" ht="12.75" hidden="false" customHeight="false" outlineLevel="0" collapsed="false">
      <c r="A36" s="142"/>
      <c r="B36" s="142"/>
      <c r="C36" s="214" t="s">
        <v>285</v>
      </c>
      <c r="D36" s="214"/>
      <c r="E36" s="214"/>
      <c r="F36" s="214"/>
      <c r="G36" s="214"/>
      <c r="H36" s="214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  <c r="AA36" s="205"/>
      <c r="AB36" s="205"/>
      <c r="AC36" s="205"/>
      <c r="AD36" s="205"/>
      <c r="AE36" s="205"/>
      <c r="AF36" s="185"/>
      <c r="AJ36" s="181" t="s">
        <v>365</v>
      </c>
      <c r="AK36" s="130" t="s">
        <v>195</v>
      </c>
      <c r="AL36" s="181" t="s">
        <v>55</v>
      </c>
      <c r="AR36" s="181" t="n">
        <f aca="false">IF(C36&lt;&gt;"Принуд. Паралл.",0,IF(AND(C36="Принуд. Паралл.",C17&gt;0),1,"Х1"))</f>
        <v>0</v>
      </c>
      <c r="AS36" s="181" t="n">
        <f aca="false">IF(C36&lt;&gt;"Принудит. Смеш.",0,IF(AND(C36="Принудит. Смеш.",C17&gt;0,SUM(C14:G16)&gt;0,N13&gt;0,R13&gt;0),2,"Х1"))</f>
        <v>0</v>
      </c>
      <c r="AT36" s="181" t="n">
        <f aca="false">IF(C36&lt;&gt;"Автоматически",0,IF(AND(C36="Автоматически",C17&gt;0,SUM(C14:G16)&gt;0,N13&gt;0,R13&gt;0),IF(AND(C17/(C14+C15+C16)&gt;0.2,C17/(C14+C15+C16)&lt;1),2,1),"Х1"))</f>
        <v>1</v>
      </c>
    </row>
    <row r="37" customFormat="false" ht="12.75" hidden="false" customHeight="false" outlineLevel="0" collapsed="false">
      <c r="A37" s="203"/>
      <c r="B37" s="206" t="s">
        <v>366</v>
      </c>
      <c r="C37" s="206" t="s">
        <v>164</v>
      </c>
      <c r="D37" s="206" t="n">
        <f aca="false">IF(C36="Принуд. Паралл.",AR36,IF(C36="Принудит. Смеш.",AS36,IF(C36="Автоматически",AT36,"Х1")))</f>
        <v>1</v>
      </c>
      <c r="E37" s="206" t="s">
        <v>164</v>
      </c>
      <c r="F37" s="207" t="str">
        <f aca="false">IF(D37=1,IF(AND(C17&gt;0,N17&gt;0,R17&gt;0),VLOOKUP(1,БГ!BB4:BD15,2,0),"X2"),IF(D37=2,IF(AND(C17&gt;0,N17&gt;0,R17&gt;0,SUM(C14:G16)&gt;0,N13&gt;0,R13&gt;0),VLOOKUP(1,'БГ-С'!BM4:BO15,2,0),"X2"),"X2"))</f>
        <v>X2</v>
      </c>
      <c r="G37" s="206" t="s">
        <v>164</v>
      </c>
      <c r="H37" s="207" t="str">
        <f aca="false">IF(D37=1,IF(AND(C17&gt;0,N17&gt;0,R17&gt;0,O36&gt;0),VLOOKUP(1,БГ!BF4:BI26,2,0),"X3"),IF(D37=2,IF(AND(C17&gt;0,N17&gt;0,R17&gt;0,SUM(C14:G16)&gt;0,N13&gt;0,R13&gt;0,O36&gt;0),VLOOKUP(1,'БГ-С'!BQ4:BT26,2,0),"X3"),"X3"))</f>
        <v>X3</v>
      </c>
      <c r="I37" s="206" t="s">
        <v>165</v>
      </c>
      <c r="J37" s="206" t="str">
        <f aca="false">IF(D37=1,IF(AND(C17&gt;0,N17&gt;0,R17&gt;0,O36&gt;0),VLOOKUP(1,БГ!BK4:BM6,2,0),"X4"),IF(D37=2,IF(AND(C17&gt;0,N17&gt;0,R17&gt;0,SUM(C14:G16)&gt;0,N13&gt;0,R13&gt;0,O36&gt;0),VLOOKUP(1,'БГ-С'!BV4:BX6,2,0),"X4"),"X4"))</f>
        <v>X4</v>
      </c>
      <c r="K37" s="206" t="s">
        <v>164</v>
      </c>
      <c r="L37" s="207" t="str">
        <f aca="false">IF(D37=1,IF(AND(C17&gt;0,N17&gt;0,R17&gt;0),VLOOKUP(1,БГ!BO4:BQ15,2,0),"X5"),IF(D37=2,IF(AND(C17&gt;0,N17&gt;0,R17&gt;0,SUM(C14:G16)&gt;0,N13&gt;0,R13&gt;0),VLOOKUP(1,'БГ-С'!BZ4:CB15,2,0),"X5"),"X5"))</f>
        <v>X5</v>
      </c>
      <c r="M37" s="206" t="s">
        <v>164</v>
      </c>
      <c r="N37" s="206" t="str">
        <f aca="false">IF(D37=1,IF(AND(C17&gt;0,N17&gt;0,R17&gt;0),VLOOKUP(1,БГ!BS4:BU15,2,0),"X6"),IF(D37=2,IF(AND(C17&gt;0,N17&gt;0,R17&gt;0,SUM(C14:G16)&gt;0,N13&gt;0,R13&gt;0),VLOOKUP(1,'БГ-С'!CD4:CF15,2,0),"X6"),"X6"))</f>
        <v>X6</v>
      </c>
      <c r="O37" s="206" t="s">
        <v>164</v>
      </c>
      <c r="P37" s="206" t="str">
        <f aca="false">IF(D37=1,IF(AND(C17&gt;0,N17&gt;0,R17&gt;0),VLOOKUP(1,БГ!BW4:BY15,2,0),"X7"),IF(D37=2,IF(AND(C17&gt;0,N17&gt;0,R17&gt;0,SUM(C14:G16)&gt;0,N13&gt;0,R13&gt;0),VLOOKUP(1,'БГ-С'!CH4:CJ15,2,0),"X7"),"X7"))</f>
        <v>X7</v>
      </c>
      <c r="Q37" s="206" t="s">
        <v>164</v>
      </c>
      <c r="R37" s="206" t="str">
        <f aca="false">IF(D37=1,IF(AND(C17&gt;0,N17&gt;0,R17&gt;0),VLOOKUP(1,БГ!CA4:CC15,2,0),"X8"),IF(D37=2,IF(AND(C17&gt;0,N17&gt;0,R17&gt;0,SUM(C14:G16)&gt;0,N13&gt;0,R13&gt;0),VLOOKUP(1,'БГ-С'!CL4:CN15,2,0),"X8"),"X8"))</f>
        <v>X8</v>
      </c>
      <c r="S37" s="206" t="s">
        <v>164</v>
      </c>
      <c r="T37" s="206" t="str">
        <f aca="false">IF(D37=1,IF(AND(C17&gt;0,N17&gt;0,R17&gt;0),VLOOKUP(1,БГ!CE4:CG9,2,0),"X9"),IF(D37=2,IF(AND(C17&gt;0,N17&gt;0,R17&gt;0,SUM(C14:G16)&gt;0,N13&gt;0,R13&gt;0),VLOOKUP(1,'БГ-С'!CP4:CR9,2,0),"X9"),"X9"))</f>
        <v>X9</v>
      </c>
      <c r="U37" s="206" t="s">
        <v>164</v>
      </c>
      <c r="V37" s="220" t="str">
        <f aca="false">IF(D37=1,IF(AND(C17&gt;0,N17&gt;0,R17&gt;0,I36&gt;0),VLOOKUP(1,IF(I36="stratos-z",БГ!CI4:CK7,БГ!CL4:CN7),2,0),"X10"),IF(D37=2,IF(AND(C17&gt;0,N17&gt;0,R17&gt;0,SUM(C14:G16)&gt;0,N13&gt;0,R13&gt;0,I36&gt;0),VLOOKUP(1,IF(I36="stratos-z",'БГ-С'!CT4:CV7,'БГ-С'!CW4:CY7),2,0),"X10"),"X10"))</f>
        <v>X10</v>
      </c>
      <c r="W37" s="206" t="s">
        <v>165</v>
      </c>
      <c r="X37" s="206" t="str">
        <f aca="false">IF(D37=1,IF(AND(C17&gt;0,N17&gt;0,R17&gt;0,I36&gt;0),VLOOKUP(1,БГ!CP5:CR6,2,0),"X11"),IF(D37=2,IF(AND(C17&gt;0,N17&gt;0,R17&gt;0,SUM(C14:G16)&gt;0,N13&gt;0,R13&gt;0,I36&gt;0),VLOOKUP(1,'БГ-С'!DA5:DC6,2,0),"X11"),"X11"))</f>
        <v>X11</v>
      </c>
      <c r="Y37" s="206" t="s">
        <v>164</v>
      </c>
      <c r="Z37" s="221" t="str">
        <f aca="false">IF(D37=1,IF(AND(C17&gt;0,N17&gt;0,R17&gt;0,C17&lt;1.001),VLOOKUP(1,БГ!CU5:CW19,2,0),"X12"),IF(D37=2,IF(AND(C17&gt;0,N17&gt;0,R17&gt;0,SUM(C14:G16)&gt;0,N13&gt;0,R13&gt;0),VLOOKUP(1,'БГ-С'!DF5:DH19,2,0),"X12"),"X12"))</f>
        <v>X12</v>
      </c>
      <c r="AA37" s="209" t="s">
        <v>164</v>
      </c>
      <c r="AB37" s="207" t="str">
        <f aca="false">IF(D37=1,IF(U36&gt;0,VLOOKUP(1,БГ!CY4:DA6,2,0),"X13"),IF(D37=2,IF(U36&gt;0,VLOOKUP(1,'БГ-С'!DJ4:DL6,2,0),"X13"),"X13"))</f>
        <v>X13</v>
      </c>
      <c r="AC37" s="209" t="s">
        <v>164</v>
      </c>
      <c r="AD37" s="207" t="str">
        <f aca="false">IF(D37=1,IF(AA36&gt;0,VLOOKUP(1,БГ!DC4:DE5,2,0),"X14"),IF(D37=2,IF(AA36&gt;0,VLOOKUP(1,'БГ-С'!DN4:DP5,2,0),"X14"),"X14"))</f>
        <v>X14</v>
      </c>
      <c r="AE37" s="210"/>
      <c r="AF37" s="185"/>
      <c r="AJ37" s="181" t="s">
        <v>367</v>
      </c>
      <c r="AL37" s="181" t="s">
        <v>54</v>
      </c>
    </row>
    <row r="38" customFormat="false" ht="6" hidden="false" customHeight="true" outlineLevel="0" collapsed="false">
      <c r="A38" s="168"/>
      <c r="B38" s="218"/>
      <c r="C38" s="160"/>
      <c r="D38" s="160"/>
      <c r="E38" s="160"/>
      <c r="F38" s="212"/>
      <c r="G38" s="160"/>
      <c r="H38" s="212"/>
      <c r="I38" s="160"/>
      <c r="J38" s="160"/>
      <c r="K38" s="160"/>
      <c r="L38" s="212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212"/>
      <c r="AA38" s="160"/>
      <c r="AB38" s="212"/>
      <c r="AC38" s="160"/>
      <c r="AD38" s="160"/>
      <c r="AE38" s="135"/>
      <c r="AF38" s="185"/>
      <c r="AL38" s="181" t="s">
        <v>368</v>
      </c>
    </row>
    <row r="39" customFormat="false" ht="12" hidden="false" customHeight="true" outlineLevel="0" collapsed="false">
      <c r="A39" s="142" t="s">
        <v>369</v>
      </c>
      <c r="B39" s="142"/>
      <c r="C39" s="213" t="s">
        <v>281</v>
      </c>
      <c r="D39" s="213"/>
      <c r="E39" s="213"/>
      <c r="F39" s="213"/>
      <c r="G39" s="213"/>
      <c r="H39" s="213"/>
      <c r="I39" s="183" t="s">
        <v>370</v>
      </c>
      <c r="J39" s="183"/>
      <c r="K39" s="183"/>
      <c r="L39" s="183"/>
      <c r="M39" s="183"/>
      <c r="N39" s="183"/>
      <c r="O39" s="183" t="s">
        <v>371</v>
      </c>
      <c r="P39" s="183"/>
      <c r="Q39" s="183"/>
      <c r="R39" s="183"/>
      <c r="S39" s="183"/>
      <c r="T39" s="183"/>
      <c r="U39" s="183" t="s">
        <v>372</v>
      </c>
      <c r="V39" s="183"/>
      <c r="W39" s="183"/>
      <c r="X39" s="183"/>
      <c r="Y39" s="183"/>
      <c r="Z39" s="183"/>
      <c r="AA39" s="198" t="s">
        <v>373</v>
      </c>
      <c r="AB39" s="198"/>
      <c r="AC39" s="198"/>
      <c r="AD39" s="198"/>
      <c r="AE39" s="198"/>
      <c r="AF39" s="185"/>
      <c r="AJ39" s="181" t="s">
        <v>285</v>
      </c>
      <c r="AK39" s="181" t="s">
        <v>374</v>
      </c>
      <c r="AL39" s="181" t="s">
        <v>375</v>
      </c>
      <c r="AM39" s="181" t="s">
        <v>376</v>
      </c>
    </row>
    <row r="40" customFormat="false" ht="12.75" hidden="false" customHeight="false" outlineLevel="0" collapsed="false">
      <c r="A40" s="142"/>
      <c r="B40" s="142"/>
      <c r="C40" s="214" t="s">
        <v>377</v>
      </c>
      <c r="D40" s="214"/>
      <c r="E40" s="214"/>
      <c r="F40" s="214"/>
      <c r="G40" s="214"/>
      <c r="H40" s="214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  <c r="AA40" s="205"/>
      <c r="AB40" s="205"/>
      <c r="AC40" s="205"/>
      <c r="AD40" s="205"/>
      <c r="AE40" s="205"/>
      <c r="AJ40" s="181" t="s">
        <v>377</v>
      </c>
      <c r="AK40" s="181" t="s">
        <v>378</v>
      </c>
      <c r="AL40" s="181" t="s">
        <v>55</v>
      </c>
      <c r="AM40" s="181" t="s">
        <v>379</v>
      </c>
    </row>
    <row r="41" customFormat="false" ht="12" hidden="false" customHeight="true" outlineLevel="0" collapsed="false">
      <c r="A41" s="158"/>
      <c r="B41" s="179" t="s">
        <v>380</v>
      </c>
      <c r="C41" s="179" t="s">
        <v>164</v>
      </c>
      <c r="D41" s="179" t="s">
        <v>37</v>
      </c>
      <c r="E41" s="179" t="s">
        <v>164</v>
      </c>
      <c r="F41" s="217" t="s">
        <v>38</v>
      </c>
      <c r="G41" s="179" t="s">
        <v>165</v>
      </c>
      <c r="H41" s="217" t="s">
        <v>39</v>
      </c>
      <c r="I41" s="179" t="s">
        <v>164</v>
      </c>
      <c r="J41" s="179" t="s">
        <v>40</v>
      </c>
      <c r="K41" s="179" t="s">
        <v>165</v>
      </c>
      <c r="L41" s="217" t="s">
        <v>41</v>
      </c>
      <c r="M41" s="179" t="s">
        <v>164</v>
      </c>
      <c r="N41" s="179" t="s">
        <v>42</v>
      </c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61"/>
      <c r="AJ41" s="181" t="s">
        <v>381</v>
      </c>
      <c r="AK41" s="181" t="s">
        <v>382</v>
      </c>
      <c r="AM41" s="181" t="s">
        <v>383</v>
      </c>
    </row>
    <row r="42" customFormat="false" ht="6" hidden="false" customHeight="true" outlineLevel="0" collapsed="false">
      <c r="A42" s="168"/>
      <c r="B42" s="160"/>
      <c r="C42" s="160"/>
      <c r="D42" s="160"/>
      <c r="E42" s="160"/>
      <c r="F42" s="212"/>
      <c r="G42" s="160"/>
      <c r="H42" s="212"/>
      <c r="I42" s="160"/>
      <c r="J42" s="160"/>
      <c r="K42" s="160"/>
      <c r="L42" s="212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212"/>
      <c r="AA42" s="160"/>
      <c r="AB42" s="212"/>
      <c r="AC42" s="160"/>
      <c r="AD42" s="160"/>
      <c r="AE42" s="135"/>
      <c r="AF42" s="185"/>
    </row>
    <row r="43" customFormat="false" ht="12" hidden="false" customHeight="true" outlineLevel="0" collapsed="false">
      <c r="A43" s="142" t="s">
        <v>384</v>
      </c>
      <c r="B43" s="142"/>
      <c r="C43" s="213" t="s">
        <v>281</v>
      </c>
      <c r="D43" s="213"/>
      <c r="E43" s="213"/>
      <c r="F43" s="213"/>
      <c r="G43" s="213"/>
      <c r="H43" s="213"/>
      <c r="I43" s="183" t="s">
        <v>370</v>
      </c>
      <c r="J43" s="183"/>
      <c r="K43" s="183"/>
      <c r="L43" s="183"/>
      <c r="M43" s="183"/>
      <c r="N43" s="183"/>
      <c r="O43" s="183" t="s">
        <v>371</v>
      </c>
      <c r="P43" s="183"/>
      <c r="Q43" s="183"/>
      <c r="R43" s="183"/>
      <c r="S43" s="183"/>
      <c r="T43" s="183"/>
      <c r="U43" s="183" t="s">
        <v>372</v>
      </c>
      <c r="V43" s="183"/>
      <c r="W43" s="183"/>
      <c r="X43" s="183"/>
      <c r="Y43" s="183"/>
      <c r="Z43" s="183"/>
      <c r="AA43" s="198" t="s">
        <v>373</v>
      </c>
      <c r="AB43" s="198"/>
      <c r="AC43" s="198"/>
      <c r="AD43" s="198"/>
      <c r="AE43" s="198"/>
    </row>
    <row r="44" customFormat="false" ht="12.75" hidden="false" customHeight="false" outlineLevel="0" collapsed="false">
      <c r="A44" s="142"/>
      <c r="B44" s="142"/>
      <c r="C44" s="214"/>
      <c r="D44" s="214"/>
      <c r="E44" s="214"/>
      <c r="F44" s="214"/>
      <c r="G44" s="214"/>
      <c r="H44" s="214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5" t="s">
        <v>383</v>
      </c>
      <c r="AB44" s="205"/>
      <c r="AC44" s="205"/>
      <c r="AD44" s="205"/>
      <c r="AE44" s="205"/>
    </row>
    <row r="45" customFormat="false" ht="12.75" hidden="false" customHeight="false" outlineLevel="0" collapsed="false">
      <c r="A45" s="158"/>
      <c r="B45" s="179" t="s">
        <v>385</v>
      </c>
      <c r="C45" s="179" t="s">
        <v>164</v>
      </c>
      <c r="D45" s="179" t="s">
        <v>37</v>
      </c>
      <c r="E45" s="179" t="s">
        <v>164</v>
      </c>
      <c r="F45" s="217" t="s">
        <v>38</v>
      </c>
      <c r="G45" s="179" t="s">
        <v>165</v>
      </c>
      <c r="H45" s="217" t="s">
        <v>39</v>
      </c>
      <c r="I45" s="179" t="s">
        <v>164</v>
      </c>
      <c r="J45" s="179" t="s">
        <v>40</v>
      </c>
      <c r="K45" s="179" t="s">
        <v>165</v>
      </c>
      <c r="L45" s="217" t="s">
        <v>41</v>
      </c>
      <c r="M45" s="179" t="s">
        <v>164</v>
      </c>
      <c r="N45" s="179" t="s">
        <v>42</v>
      </c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61"/>
    </row>
    <row r="46" customFormat="false" ht="6" hidden="false" customHeight="true" outlineLevel="0" collapsed="false">
      <c r="A46" s="168"/>
      <c r="B46" s="160"/>
      <c r="C46" s="160"/>
      <c r="D46" s="160"/>
      <c r="E46" s="160"/>
      <c r="F46" s="212"/>
      <c r="G46" s="160"/>
      <c r="H46" s="212"/>
      <c r="I46" s="160"/>
      <c r="J46" s="160"/>
      <c r="K46" s="160"/>
      <c r="L46" s="212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212"/>
      <c r="AA46" s="160"/>
      <c r="AB46" s="212"/>
      <c r="AC46" s="160"/>
      <c r="AD46" s="160"/>
      <c r="AE46" s="135"/>
      <c r="AF46" s="185"/>
    </row>
    <row r="47" customFormat="false" ht="12" hidden="false" customHeight="true" outlineLevel="0" collapsed="false">
      <c r="A47" s="142" t="s">
        <v>386</v>
      </c>
      <c r="B47" s="142"/>
      <c r="C47" s="213" t="s">
        <v>281</v>
      </c>
      <c r="D47" s="213"/>
      <c r="E47" s="213"/>
      <c r="F47" s="213"/>
      <c r="G47" s="213"/>
      <c r="H47" s="213"/>
      <c r="I47" s="183" t="s">
        <v>370</v>
      </c>
      <c r="J47" s="183"/>
      <c r="K47" s="183"/>
      <c r="L47" s="183"/>
      <c r="M47" s="183"/>
      <c r="N47" s="183"/>
      <c r="O47" s="183" t="s">
        <v>371</v>
      </c>
      <c r="P47" s="183"/>
      <c r="Q47" s="183"/>
      <c r="R47" s="183"/>
      <c r="S47" s="183"/>
      <c r="T47" s="183"/>
      <c r="U47" s="183" t="s">
        <v>372</v>
      </c>
      <c r="V47" s="183"/>
      <c r="W47" s="183"/>
      <c r="X47" s="183"/>
      <c r="Y47" s="183"/>
      <c r="Z47" s="183"/>
      <c r="AA47" s="198" t="s">
        <v>373</v>
      </c>
      <c r="AB47" s="198"/>
      <c r="AC47" s="198"/>
      <c r="AD47" s="198"/>
      <c r="AE47" s="198"/>
    </row>
    <row r="48" customFormat="false" ht="12.75" hidden="false" customHeight="false" outlineLevel="0" collapsed="false">
      <c r="A48" s="142"/>
      <c r="B48" s="142"/>
      <c r="C48" s="214"/>
      <c r="D48" s="214"/>
      <c r="E48" s="214"/>
      <c r="F48" s="214"/>
      <c r="G48" s="214"/>
      <c r="H48" s="214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  <c r="AA48" s="205"/>
      <c r="AB48" s="205"/>
      <c r="AC48" s="205"/>
      <c r="AD48" s="205"/>
      <c r="AE48" s="205"/>
    </row>
    <row r="49" customFormat="false" ht="12.75" hidden="false" customHeight="false" outlineLevel="0" collapsed="false">
      <c r="A49" s="203"/>
      <c r="B49" s="206" t="s">
        <v>387</v>
      </c>
      <c r="C49" s="206" t="s">
        <v>164</v>
      </c>
      <c r="D49" s="206" t="s">
        <v>37</v>
      </c>
      <c r="E49" s="206" t="s">
        <v>164</v>
      </c>
      <c r="F49" s="208" t="s">
        <v>38</v>
      </c>
      <c r="G49" s="206" t="s">
        <v>165</v>
      </c>
      <c r="H49" s="208" t="s">
        <v>39</v>
      </c>
      <c r="I49" s="206" t="s">
        <v>164</v>
      </c>
      <c r="J49" s="206" t="s">
        <v>40</v>
      </c>
      <c r="K49" s="206" t="s">
        <v>165</v>
      </c>
      <c r="L49" s="208" t="s">
        <v>41</v>
      </c>
      <c r="M49" s="206" t="s">
        <v>164</v>
      </c>
      <c r="N49" s="206" t="s">
        <v>42</v>
      </c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Y49" s="209"/>
      <c r="Z49" s="209"/>
      <c r="AA49" s="209"/>
      <c r="AB49" s="209"/>
      <c r="AC49" s="209"/>
      <c r="AD49" s="209"/>
      <c r="AE49" s="210"/>
    </row>
    <row r="50" customFormat="false" ht="6" hidden="false" customHeight="true" outlineLevel="0" collapsed="false">
      <c r="A50" s="168"/>
      <c r="B50" s="160"/>
      <c r="C50" s="179"/>
      <c r="D50" s="160"/>
      <c r="E50" s="160"/>
      <c r="F50" s="212"/>
      <c r="G50" s="160"/>
      <c r="H50" s="212"/>
      <c r="I50" s="160"/>
      <c r="J50" s="160"/>
      <c r="K50" s="160"/>
      <c r="L50" s="212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212"/>
      <c r="AA50" s="160"/>
      <c r="AB50" s="212"/>
      <c r="AC50" s="160"/>
      <c r="AD50" s="160"/>
      <c r="AE50" s="135"/>
      <c r="AF50" s="185"/>
    </row>
    <row r="51" customFormat="false" ht="12" hidden="false" customHeight="true" outlineLevel="0" collapsed="false">
      <c r="A51" s="142" t="s">
        <v>388</v>
      </c>
      <c r="B51" s="14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</row>
    <row r="52" customFormat="false" ht="12" hidden="false" customHeight="false" outlineLevel="0" collapsed="false">
      <c r="A52" s="142"/>
      <c r="B52" s="14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Y52" s="222"/>
      <c r="Z52" s="222"/>
      <c r="AA52" s="222"/>
      <c r="AB52" s="222"/>
      <c r="AC52" s="222"/>
      <c r="AD52" s="222"/>
      <c r="AE52" s="222"/>
    </row>
    <row r="53" customFormat="false" ht="12" hidden="false" customHeight="false" outlineLevel="0" collapsed="false">
      <c r="A53" s="142"/>
      <c r="B53" s="14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Y53" s="222"/>
      <c r="Z53" s="222"/>
      <c r="AA53" s="222"/>
      <c r="AB53" s="222"/>
      <c r="AC53" s="222"/>
      <c r="AD53" s="222"/>
      <c r="AE53" s="222"/>
    </row>
    <row r="54" customFormat="false" ht="12" hidden="false" customHeight="false" outlineLevel="0" collapsed="false">
      <c r="A54" s="142"/>
      <c r="B54" s="142"/>
      <c r="C54" s="222"/>
      <c r="D54" s="222"/>
      <c r="E54" s="222"/>
      <c r="F54" s="222"/>
      <c r="G54" s="222"/>
      <c r="H54" s="222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Y54" s="222"/>
      <c r="Z54" s="222"/>
      <c r="AA54" s="222"/>
      <c r="AB54" s="222"/>
      <c r="AC54" s="222"/>
      <c r="AD54" s="222"/>
      <c r="AE54" s="222"/>
    </row>
    <row r="55" customFormat="false" ht="12" hidden="false" customHeight="false" outlineLevel="0" collapsed="false">
      <c r="A55" s="142"/>
      <c r="B55" s="142"/>
      <c r="C55" s="222"/>
      <c r="D55" s="222"/>
      <c r="E55" s="222"/>
      <c r="F55" s="222"/>
      <c r="G55" s="222"/>
      <c r="H55" s="22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Y55" s="222"/>
      <c r="Z55" s="222"/>
      <c r="AA55" s="222"/>
      <c r="AB55" s="222"/>
      <c r="AC55" s="222"/>
      <c r="AD55" s="222"/>
      <c r="AE55" s="222"/>
    </row>
    <row r="56" customFormat="false" ht="12" hidden="false" customHeight="false" outlineLevel="0" collapsed="false">
      <c r="A56" s="142"/>
      <c r="B56" s="142"/>
      <c r="C56" s="222"/>
      <c r="D56" s="222"/>
      <c r="E56" s="222"/>
      <c r="F56" s="222"/>
      <c r="G56" s="222"/>
      <c r="H56" s="222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Y56" s="222"/>
      <c r="Z56" s="222"/>
      <c r="AA56" s="222"/>
      <c r="AB56" s="222"/>
      <c r="AC56" s="222"/>
      <c r="AD56" s="222"/>
      <c r="AE56" s="222"/>
    </row>
    <row r="57" customFormat="false" ht="12.75" hidden="false" customHeight="false" outlineLevel="0" collapsed="false">
      <c r="A57" s="142"/>
      <c r="B57" s="142"/>
      <c r="C57" s="222"/>
      <c r="D57" s="222"/>
      <c r="E57" s="222"/>
      <c r="F57" s="222"/>
      <c r="G57" s="222"/>
      <c r="H57" s="22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Y57" s="222"/>
      <c r="Z57" s="222"/>
      <c r="AA57" s="222"/>
      <c r="AB57" s="222"/>
      <c r="AC57" s="222"/>
      <c r="AD57" s="222"/>
      <c r="AE57" s="222"/>
    </row>
    <row r="69" customFormat="false" ht="12" hidden="false" customHeight="false" outlineLevel="0" collapsed="false">
      <c r="B69" s="160" t="s">
        <v>2</v>
      </c>
      <c r="C69" s="160" t="s">
        <v>164</v>
      </c>
      <c r="D69" s="160" t="s">
        <v>37</v>
      </c>
      <c r="E69" s="160" t="s">
        <v>164</v>
      </c>
      <c r="F69" s="212" t="s">
        <v>38</v>
      </c>
      <c r="G69" s="160" t="s">
        <v>164</v>
      </c>
      <c r="H69" s="212" t="s">
        <v>39</v>
      </c>
      <c r="I69" s="160" t="s">
        <v>165</v>
      </c>
      <c r="J69" s="160" t="s">
        <v>40</v>
      </c>
      <c r="K69" s="160" t="s">
        <v>164</v>
      </c>
      <c r="L69" s="212" t="s">
        <v>41</v>
      </c>
      <c r="M69" s="160" t="s">
        <v>164</v>
      </c>
      <c r="N69" s="160" t="s">
        <v>42</v>
      </c>
      <c r="O69" s="160" t="s">
        <v>165</v>
      </c>
      <c r="P69" s="160" t="s">
        <v>43</v>
      </c>
      <c r="Q69" s="160" t="s">
        <v>164</v>
      </c>
      <c r="R69" s="160" t="s">
        <v>44</v>
      </c>
      <c r="S69" s="160" t="s">
        <v>164</v>
      </c>
      <c r="T69" s="160" t="s">
        <v>45</v>
      </c>
      <c r="U69" s="160" t="s">
        <v>164</v>
      </c>
      <c r="V69" s="160" t="s">
        <v>46</v>
      </c>
      <c r="W69" s="160" t="s">
        <v>164</v>
      </c>
      <c r="X69" s="160" t="s">
        <v>47</v>
      </c>
      <c r="Y69" s="160" t="s">
        <v>164</v>
      </c>
      <c r="Z69" s="212" t="s">
        <v>170</v>
      </c>
    </row>
  </sheetData>
  <mergeCells count="169">
    <mergeCell ref="A1:B2"/>
    <mergeCell ref="C1:O2"/>
    <mergeCell ref="P1:S2"/>
    <mergeCell ref="T1:AE2"/>
    <mergeCell ref="A3:B4"/>
    <mergeCell ref="C3:O4"/>
    <mergeCell ref="P3:S4"/>
    <mergeCell ref="T3:AE4"/>
    <mergeCell ref="A5:B6"/>
    <mergeCell ref="C5:O6"/>
    <mergeCell ref="P5:S6"/>
    <mergeCell ref="T5:AE6"/>
    <mergeCell ref="A7:B9"/>
    <mergeCell ref="C7:AE9"/>
    <mergeCell ref="A10:B11"/>
    <mergeCell ref="C10:G10"/>
    <mergeCell ref="H10:L10"/>
    <mergeCell ref="M10:Q10"/>
    <mergeCell ref="R10:X11"/>
    <mergeCell ref="Y10:AE10"/>
    <mergeCell ref="C11:G11"/>
    <mergeCell ref="H11:L11"/>
    <mergeCell ref="M11:Q11"/>
    <mergeCell ref="Y11:AE11"/>
    <mergeCell ref="A12:B12"/>
    <mergeCell ref="C12:K12"/>
    <mergeCell ref="L12:S12"/>
    <mergeCell ref="T12:AE12"/>
    <mergeCell ref="A13:B13"/>
    <mergeCell ref="C13:G13"/>
    <mergeCell ref="H13:K13"/>
    <mergeCell ref="L13:M13"/>
    <mergeCell ref="N13:O13"/>
    <mergeCell ref="P13:Q13"/>
    <mergeCell ref="R13:S13"/>
    <mergeCell ref="T13:V13"/>
    <mergeCell ref="W13:Y13"/>
    <mergeCell ref="Z13:AB13"/>
    <mergeCell ref="AC13:AE13"/>
    <mergeCell ref="A14:B14"/>
    <mergeCell ref="C14:G14"/>
    <mergeCell ref="H14:K14"/>
    <mergeCell ref="L14:M14"/>
    <mergeCell ref="N14:O14"/>
    <mergeCell ref="P14:Q14"/>
    <mergeCell ref="R14:S14"/>
    <mergeCell ref="T14:Y14"/>
    <mergeCell ref="Z14:AB14"/>
    <mergeCell ref="AC14:AE14"/>
    <mergeCell ref="A15:B15"/>
    <mergeCell ref="C15:G15"/>
    <mergeCell ref="H15:K15"/>
    <mergeCell ref="L15:M15"/>
    <mergeCell ref="N15:O15"/>
    <mergeCell ref="P15:Q15"/>
    <mergeCell ref="R15:S15"/>
    <mergeCell ref="T15:Y15"/>
    <mergeCell ref="Z15:AB15"/>
    <mergeCell ref="AC15:AE15"/>
    <mergeCell ref="A16:B16"/>
    <mergeCell ref="C16:G16"/>
    <mergeCell ref="H16:K16"/>
    <mergeCell ref="L16:M16"/>
    <mergeCell ref="N16:O16"/>
    <mergeCell ref="P16:Q16"/>
    <mergeCell ref="R16:S16"/>
    <mergeCell ref="T16:Y16"/>
    <mergeCell ref="Z16:AB16"/>
    <mergeCell ref="AC16:AE16"/>
    <mergeCell ref="A17:B17"/>
    <mergeCell ref="C17:G17"/>
    <mergeCell ref="H17:K17"/>
    <mergeCell ref="L17:M17"/>
    <mergeCell ref="N17:O17"/>
    <mergeCell ref="P17:Q17"/>
    <mergeCell ref="R17:S17"/>
    <mergeCell ref="T17:Y17"/>
    <mergeCell ref="Z17:AB17"/>
    <mergeCell ref="AC17:AE17"/>
    <mergeCell ref="A19:B20"/>
    <mergeCell ref="C19:H19"/>
    <mergeCell ref="I19:N19"/>
    <mergeCell ref="O19:V19"/>
    <mergeCell ref="W19:AE19"/>
    <mergeCell ref="C20:H20"/>
    <mergeCell ref="I20:N20"/>
    <mergeCell ref="O20:Q20"/>
    <mergeCell ref="R20:V20"/>
    <mergeCell ref="W20:Y20"/>
    <mergeCell ref="Z20:AE20"/>
    <mergeCell ref="A23:B24"/>
    <mergeCell ref="C23:H23"/>
    <mergeCell ref="I23:N23"/>
    <mergeCell ref="O23:T23"/>
    <mergeCell ref="U23:Z23"/>
    <mergeCell ref="AA23:AE23"/>
    <mergeCell ref="C24:H24"/>
    <mergeCell ref="I24:N24"/>
    <mergeCell ref="O24:T24"/>
    <mergeCell ref="U24:Z24"/>
    <mergeCell ref="AA24:AE24"/>
    <mergeCell ref="A27:B28"/>
    <mergeCell ref="C27:H27"/>
    <mergeCell ref="I27:N27"/>
    <mergeCell ref="O27:T27"/>
    <mergeCell ref="U27:Z27"/>
    <mergeCell ref="AA27:AE27"/>
    <mergeCell ref="C28:H28"/>
    <mergeCell ref="I28:N28"/>
    <mergeCell ref="O28:T28"/>
    <mergeCell ref="U28:Z28"/>
    <mergeCell ref="AA28:AE28"/>
    <mergeCell ref="A31:B32"/>
    <mergeCell ref="C31:H31"/>
    <mergeCell ref="I31:N31"/>
    <mergeCell ref="O31:T31"/>
    <mergeCell ref="U31:Z31"/>
    <mergeCell ref="AA31:AE31"/>
    <mergeCell ref="C32:H32"/>
    <mergeCell ref="I32:N32"/>
    <mergeCell ref="O32:T32"/>
    <mergeCell ref="U32:Z32"/>
    <mergeCell ref="AA32:AE32"/>
    <mergeCell ref="A35:B36"/>
    <mergeCell ref="C35:H35"/>
    <mergeCell ref="I35:N35"/>
    <mergeCell ref="O35:T35"/>
    <mergeCell ref="U35:Z35"/>
    <mergeCell ref="AA35:AE35"/>
    <mergeCell ref="C36:H36"/>
    <mergeCell ref="I36:N36"/>
    <mergeCell ref="O36:T36"/>
    <mergeCell ref="U36:Z36"/>
    <mergeCell ref="AA36:AE36"/>
    <mergeCell ref="A39:B40"/>
    <mergeCell ref="C39:H39"/>
    <mergeCell ref="I39:N39"/>
    <mergeCell ref="O39:T39"/>
    <mergeCell ref="U39:Z39"/>
    <mergeCell ref="AA39:AE39"/>
    <mergeCell ref="C40:H40"/>
    <mergeCell ref="I40:N40"/>
    <mergeCell ref="O40:T40"/>
    <mergeCell ref="U40:Z40"/>
    <mergeCell ref="AA40:AE40"/>
    <mergeCell ref="A43:B44"/>
    <mergeCell ref="C43:H43"/>
    <mergeCell ref="I43:N43"/>
    <mergeCell ref="O43:T43"/>
    <mergeCell ref="U43:Z43"/>
    <mergeCell ref="AA43:AE43"/>
    <mergeCell ref="C44:H44"/>
    <mergeCell ref="I44:N44"/>
    <mergeCell ref="O44:T44"/>
    <mergeCell ref="U44:Z44"/>
    <mergeCell ref="AA44:AE44"/>
    <mergeCell ref="A47:B48"/>
    <mergeCell ref="C47:H47"/>
    <mergeCell ref="I47:N47"/>
    <mergeCell ref="O47:T47"/>
    <mergeCell ref="U47:Z47"/>
    <mergeCell ref="AA47:AE47"/>
    <mergeCell ref="C48:H48"/>
    <mergeCell ref="I48:N48"/>
    <mergeCell ref="O48:T48"/>
    <mergeCell ref="U48:Z48"/>
    <mergeCell ref="AA48:AE48"/>
    <mergeCell ref="A51:B57"/>
    <mergeCell ref="C51:AE57"/>
  </mergeCells>
  <conditionalFormatting sqref="N25">
    <cfRule type="expression" priority="2" aboveAverage="0" equalAverage="0" bottom="0" percent="0" rank="0" text="" dxfId="0">
      <formula>$Z$14&gt;5</formula>
    </cfRule>
  </conditionalFormatting>
  <conditionalFormatting sqref="N29">
    <cfRule type="expression" priority="3" aboveAverage="0" equalAverage="0" bottom="0" percent="0" rank="0" text="" dxfId="1">
      <formula>$Z$15&gt;5</formula>
    </cfRule>
  </conditionalFormatting>
  <conditionalFormatting sqref="N33">
    <cfRule type="expression" priority="4" aboveAverage="0" equalAverage="0" bottom="0" percent="0" rank="0" text="" dxfId="2">
      <formula>$Z$15&gt;5</formula>
    </cfRule>
  </conditionalFormatting>
  <conditionalFormatting sqref="A17:B17">
    <cfRule type="expression" priority="5" aboveAverage="0" equalAverage="0" bottom="0" percent="0" rank="0" text="" dxfId="3">
      <formula>$AR$36="Х1"</formula>
    </cfRule>
  </conditionalFormatting>
  <conditionalFormatting sqref="A14:B17 L13:M13 P13:Q13">
    <cfRule type="expression" priority="6" aboveAverage="0" equalAverage="0" bottom="0" percent="0" rank="0" text="" dxfId="4">
      <formula>OR($AS$36="Х1",$AT$36="Х1")</formula>
    </cfRule>
  </conditionalFormatting>
  <conditionalFormatting sqref="C17:G17">
    <cfRule type="expression" priority="7" aboveAverage="0" equalAverage="0" bottom="0" percent="0" rank="0" text="" dxfId="5">
      <formula>$C$17&gt;=1.001</formula>
    </cfRule>
  </conditionalFormatting>
  <conditionalFormatting sqref="A14:B17 L13:M13 P13:Q13 T13:V13 Z13:AB13">
    <cfRule type="expression" priority="8" aboveAverage="0" equalAverage="0" bottom="0" percent="0" rank="0" text="" dxfId="6">
      <formula>OR($AR$20="X1",$AS$20="X1",$AT$20="X1")</formula>
    </cfRule>
  </conditionalFormatting>
  <conditionalFormatting sqref="A14:B17 L13:M13 P13:Q13 T13:V13 Z13:AB13 C23:H23 C27:H27 C31:H31">
    <cfRule type="expression" priority="9" aboveAverage="0" equalAverage="0" bottom="0" percent="0" rank="0" text="" dxfId="7">
      <formula>$AT$20="X1"</formula>
    </cfRule>
  </conditionalFormatting>
  <dataValidations count="19">
    <dataValidation allowBlank="true" operator="between" showDropDown="false" showErrorMessage="true" showInputMessage="true" sqref="C20:H20 O20 W20" type="list">
      <formula1>$AJ$19:$AJ$20</formula1>
      <formula2>0</formula2>
    </dataValidation>
    <dataValidation allowBlank="true" operator="between" showDropDown="false" showErrorMessage="true" showInputMessage="true" sqref="Z20:AE20" type="list">
      <formula1>$AM$19:$AM$21</formula1>
      <formula2>0</formula2>
    </dataValidation>
    <dataValidation allowBlank="true" operator="between" showDropDown="false" showErrorMessage="true" showInputMessage="true" sqref="R20:V20" type="list">
      <formula1>$AL$19:$AL$21</formula1>
      <formula2>0</formula2>
    </dataValidation>
    <dataValidation allowBlank="true" operator="between" showDropDown="false" showErrorMessage="true" showInputMessage="true" sqref="C24:H24 C28:H28 C32:H32" type="list">
      <formula1>$AJ$23:$AJ$24</formula1>
      <formula2>0</formula2>
    </dataValidation>
    <dataValidation allowBlank="true" operator="between" showDropDown="false" showErrorMessage="true" showInputMessage="true" sqref="I24:N24 I28:N28 I32:N32" type="list">
      <formula1>$AK$23:$AK$25</formula1>
      <formula2>0</formula2>
    </dataValidation>
    <dataValidation allowBlank="true" operator="between" showDropDown="false" showErrorMessage="true" showInputMessage="true" sqref="O24:T24 O28:T28 O32:T32" type="list">
      <formula1>$AL$23:$AL$25</formula1>
      <formula2>0</formula2>
    </dataValidation>
    <dataValidation allowBlank="true" operator="between" showDropDown="false" showErrorMessage="true" showInputMessage="true" sqref="U24:Z24 U28:Z28 U32:Z32 U36:Z36" type="list">
      <formula1>$AM$23:$AM$25</formula1>
      <formula2>0</formula2>
    </dataValidation>
    <dataValidation allowBlank="true" operator="between" showDropDown="false" showErrorMessage="true" showInputMessage="true" sqref="AA28:AE28 AA32:AE32 AA36:AE36" type="list">
      <formula1>$AN$23:$AN$24</formula1>
      <formula2>0</formula2>
    </dataValidation>
    <dataValidation allowBlank="true" operator="between" showDropDown="false" showErrorMessage="true" showInputMessage="true" sqref="C36:H36" type="list">
      <formula1>$AJ$35:$AJ$37</formula1>
      <formula2>0</formula2>
    </dataValidation>
    <dataValidation allowBlank="true" operator="between" showDropDown="false" showErrorMessage="true" showInputMessage="true" sqref="C40:N40 C44:N44 C48:N48" type="list">
      <formula1>$AJ$39:$AJ$41</formula1>
      <formula2>0</formula2>
    </dataValidation>
    <dataValidation allowBlank="true" operator="between" showDropDown="false" showErrorMessage="true" showInputMessage="true" sqref="O40:T40 O44:T44 O48:T48" type="list">
      <formula1>$AK$39:$AK$41</formula1>
      <formula2>0</formula2>
    </dataValidation>
    <dataValidation allowBlank="true" operator="between" showDropDown="false" showErrorMessage="true" showInputMessage="true" sqref="U40:Z40 U44:Z44 U48:Z48" type="list">
      <formula1>$AL$39:$AL$40</formula1>
      <formula2>0</formula2>
    </dataValidation>
    <dataValidation allowBlank="true" operator="between" showDropDown="false" showErrorMessage="true" showInputMessage="true" sqref="AA40:AE40 AA44:AE44 AA48:AE48" type="list">
      <formula1>$AM$39:$AM$41</formula1>
      <formula2>0</formula2>
    </dataValidation>
    <dataValidation allowBlank="true" operator="between" showDropDown="false" showErrorMessage="true" showInputMessage="true" sqref="O36:T36" type="list">
      <formula1>$AL$35:$AL$38</formula1>
      <formula2>0</formula2>
    </dataValidation>
    <dataValidation allowBlank="true" operator="between" showDropDown="false" showErrorMessage="true" showInputMessage="true" sqref="AA24:AE24" type="list">
      <formula1>$AN$22:$AN$23</formula1>
      <formula2>0</formula2>
    </dataValidation>
    <dataValidation allowBlank="true" operator="between" showDropDown="false" showErrorMessage="true" showInputMessage="true" sqref="A14:B16" type="list">
      <formula1>$AJ$14:$AJ$16</formula1>
      <formula2>0</formula2>
    </dataValidation>
    <dataValidation allowBlank="true" operator="between" showDropDown="false" showErrorMessage="true" showInputMessage="true" sqref="I36:N36" type="list">
      <formula1>$AK$35:$AK$36</formula1>
      <formula2>0</formula2>
    </dataValidation>
    <dataValidation allowBlank="true" operator="between" showDropDown="false" showErrorMessage="true" showInputMessage="true" sqref="I20:N20" type="list">
      <formula1>$AJ$19:$AJ$21</formula1>
      <formula2>0</formula2>
    </dataValidation>
    <dataValidation allowBlank="true" operator="between" showDropDown="false" showErrorMessage="true" showInputMessage="true" sqref="N13:O13" type="list">
      <formula1>$AQ$13:$AU$13</formula1>
      <formula2>0</formula2>
    </dataValidation>
  </dataValidations>
  <printOptions headings="false" gridLines="false" gridLinesSet="true" horizontalCentered="true" verticalCentered="false"/>
  <pageMargins left="0.236111111111111" right="0.236111111111111" top="0.747916666666667" bottom="0.747916666666667" header="0.511805555555555" footer="0.511805555555555"/>
  <pageSetup paperSize="9" scale="100" firstPageNumber="0" fitToWidth="1" fitToHeight="0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LibreOffice/5.4.4.2$Windows_X86_64 LibreOffice_project/2524958677847fb3bb44820e40380acbe820f960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ru-RU</dc:language>
  <cp:lastModifiedBy/>
  <dcterms:modified xsi:type="dcterms:W3CDTF">2018-03-23T01:35:34Z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