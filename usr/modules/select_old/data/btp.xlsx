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filterPrivacy="1" defaultThemeVersion="166925"/>
  <xr:revisionPtr revIDLastSave="0" documentId="12_ncr:500000_{5D095DA4-EDE3-492C-969F-2B908283036E}" xr6:coauthVersionLast="31" xr6:coauthVersionMax="31" xr10:uidLastSave="{00000000-0000-0000-0000-000000000000}"/>
  <bookViews>
    <workbookView xWindow="0" yWindow="0" windowWidth="28800" windowHeight="12225" tabRatio="500" activeTab="8" xr2:uid="{00000000-000D-0000-FFFF-FFFF00000000}"/>
  </bookViews>
  <sheets>
    <sheet name="Лист1" sheetId="1" r:id="rId1"/>
    <sheet name="Лист2" sheetId="2" state="hidden" r:id="rId2"/>
    <sheet name="bov1" sheetId="3" r:id="rId3"/>
    <sheet name="bov2" sheetId="4" r:id="rId4"/>
    <sheet name="bov3" sheetId="5" r:id="rId5"/>
    <sheet name="Лист3" sheetId="6" state="hidden" r:id="rId6"/>
    <sheet name="bg" sheetId="7" r:id="rId7"/>
    <sheet name="bgs" sheetId="8" r:id="rId8"/>
    <sheet name="im" sheetId="9" r:id="rId9"/>
    <sheet name="ol4" sheetId="13" r:id="rId10"/>
  </sheets>
  <definedNames>
    <definedName name="_xlnm.Print_Area" localSheetId="9">'ol4'!$A$1:$AE$66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1" i="9" l="1"/>
  <c r="L11" i="9" s="1"/>
  <c r="L4" i="9"/>
  <c r="K4" i="9"/>
  <c r="Q9" i="8"/>
  <c r="P9" i="8"/>
  <c r="P4" i="8"/>
  <c r="K4" i="8"/>
  <c r="T4" i="8"/>
  <c r="X4" i="8"/>
  <c r="B4" i="7"/>
  <c r="AU6" i="7" s="1"/>
  <c r="AT36" i="13"/>
  <c r="D37" i="13" s="1"/>
  <c r="AS36" i="13"/>
  <c r="AR36" i="13"/>
  <c r="X33" i="13"/>
  <c r="V33" i="13"/>
  <c r="T33" i="13"/>
  <c r="P33" i="13"/>
  <c r="N33" i="13"/>
  <c r="L33" i="13"/>
  <c r="J33" i="13"/>
  <c r="H33" i="13"/>
  <c r="F33" i="13"/>
  <c r="D33" i="13"/>
  <c r="V29" i="13"/>
  <c r="T29" i="13"/>
  <c r="R29" i="13"/>
  <c r="P29" i="13"/>
  <c r="N29" i="13"/>
  <c r="L29" i="13"/>
  <c r="J29" i="13"/>
  <c r="H29" i="13"/>
  <c r="F29" i="13"/>
  <c r="D29" i="13"/>
  <c r="D25" i="13"/>
  <c r="AU20" i="13"/>
  <c r="AT20" i="13"/>
  <c r="AS20" i="13"/>
  <c r="C13" i="13"/>
  <c r="R33" i="13" s="1"/>
  <c r="B13" i="9"/>
  <c r="CH5" i="9" s="1"/>
  <c r="B12" i="9"/>
  <c r="BZ6" i="9" s="1"/>
  <c r="B17" i="8"/>
  <c r="DN5" i="8" s="1"/>
  <c r="B16" i="8"/>
  <c r="DJ5" i="8" s="1"/>
  <c r="B15" i="8"/>
  <c r="DA5" i="8" s="1"/>
  <c r="B14" i="8"/>
  <c r="BV6" i="8" s="1"/>
  <c r="B10" i="8"/>
  <c r="B9" i="8"/>
  <c r="B8" i="8"/>
  <c r="B7" i="8" s="1"/>
  <c r="B4" i="8"/>
  <c r="B17" i="7"/>
  <c r="B16" i="7"/>
  <c r="CY6" i="7" s="1"/>
  <c r="B15" i="7"/>
  <c r="B14" i="7"/>
  <c r="BK6" i="7" s="1"/>
  <c r="B10" i="7"/>
  <c r="B9" i="7"/>
  <c r="B8" i="7"/>
  <c r="B7" i="7" s="1"/>
  <c r="DC5" i="7"/>
  <c r="DC4" i="7"/>
  <c r="B18" i="5"/>
  <c r="T17" i="5"/>
  <c r="B17" i="5"/>
  <c r="DI5" i="5" s="1"/>
  <c r="T16" i="5"/>
  <c r="B16" i="5"/>
  <c r="DE6" i="5" s="1"/>
  <c r="T15" i="5"/>
  <c r="B15" i="5"/>
  <c r="E14" i="5" s="1"/>
  <c r="CH14" i="5" s="1"/>
  <c r="T14" i="5"/>
  <c r="B14" i="5"/>
  <c r="BZ5" i="5" s="1"/>
  <c r="T13" i="5"/>
  <c r="T12" i="5"/>
  <c r="T11" i="5"/>
  <c r="B11" i="5"/>
  <c r="T10" i="5"/>
  <c r="B10" i="5"/>
  <c r="T9" i="5"/>
  <c r="B9" i="5"/>
  <c r="B12" i="5" s="1"/>
  <c r="T8" i="5"/>
  <c r="B8" i="5"/>
  <c r="T7" i="5"/>
  <c r="B7" i="5"/>
  <c r="T6" i="5"/>
  <c r="B6" i="5"/>
  <c r="T5" i="5"/>
  <c r="B5" i="5"/>
  <c r="T4" i="5"/>
  <c r="B4" i="5"/>
  <c r="AY10" i="5" s="1"/>
  <c r="B18" i="4"/>
  <c r="T17" i="4"/>
  <c r="B17" i="4"/>
  <c r="DI4" i="4" s="1"/>
  <c r="T16" i="4"/>
  <c r="B16" i="4"/>
  <c r="DE6" i="4" s="1"/>
  <c r="T15" i="4"/>
  <c r="B15" i="4"/>
  <c r="T14" i="4"/>
  <c r="B14" i="4"/>
  <c r="T13" i="4"/>
  <c r="T12" i="4"/>
  <c r="T11" i="4"/>
  <c r="B11" i="4"/>
  <c r="T10" i="4"/>
  <c r="B10" i="4"/>
  <c r="T9" i="4"/>
  <c r="B9" i="4"/>
  <c r="T8" i="4"/>
  <c r="B8" i="4"/>
  <c r="T7" i="4"/>
  <c r="B7" i="4"/>
  <c r="CR6" i="4"/>
  <c r="BZ6" i="4"/>
  <c r="T6" i="4"/>
  <c r="B6" i="4"/>
  <c r="DI5" i="4"/>
  <c r="DE5" i="4"/>
  <c r="CR5" i="4"/>
  <c r="BZ5" i="4"/>
  <c r="BA5" i="4"/>
  <c r="T5" i="4"/>
  <c r="B5" i="4"/>
  <c r="DE4" i="4"/>
  <c r="BZ4" i="4"/>
  <c r="T4" i="4"/>
  <c r="B4" i="4"/>
  <c r="BD10" i="4" s="1"/>
  <c r="B18" i="3"/>
  <c r="T17" i="3"/>
  <c r="B17" i="3"/>
  <c r="DI5" i="3" s="1"/>
  <c r="T16" i="3"/>
  <c r="B16" i="3"/>
  <c r="T15" i="3"/>
  <c r="B15" i="3"/>
  <c r="T14" i="3"/>
  <c r="B14" i="3"/>
  <c r="T13" i="3"/>
  <c r="T12" i="3"/>
  <c r="T11" i="3"/>
  <c r="B11" i="3"/>
  <c r="T10" i="3"/>
  <c r="B10" i="3"/>
  <c r="T9" i="3"/>
  <c r="F9" i="3"/>
  <c r="DA8" i="3" s="1"/>
  <c r="E9" i="3"/>
  <c r="CW10" i="3" s="1"/>
  <c r="B9" i="3"/>
  <c r="B12" i="3" s="1"/>
  <c r="T8" i="3"/>
  <c r="B8" i="3"/>
  <c r="T7" i="3"/>
  <c r="B7" i="3"/>
  <c r="T6" i="3"/>
  <c r="B6" i="3"/>
  <c r="DE5" i="3"/>
  <c r="T5" i="3"/>
  <c r="B5" i="3"/>
  <c r="T4" i="3"/>
  <c r="B4" i="3"/>
  <c r="BI12" i="3" s="1"/>
  <c r="AJ35" i="2"/>
  <c r="AJ34" i="2"/>
  <c r="AI34" i="2"/>
  <c r="AJ33" i="2"/>
  <c r="AI33" i="2"/>
  <c r="AH33" i="2"/>
  <c r="AJ32" i="2"/>
  <c r="AI32" i="2"/>
  <c r="AH32" i="2"/>
  <c r="AG32" i="2"/>
  <c r="AJ31" i="2"/>
  <c r="AI31" i="2"/>
  <c r="AH31" i="2"/>
  <c r="AG31" i="2"/>
  <c r="AF31" i="2"/>
  <c r="AJ30" i="2"/>
  <c r="AI30" i="2"/>
  <c r="AH30" i="2"/>
  <c r="AG30" i="2"/>
  <c r="AF30" i="2"/>
  <c r="AE30" i="2"/>
  <c r="AJ29" i="2"/>
  <c r="AI29" i="2"/>
  <c r="AH29" i="2"/>
  <c r="AG29" i="2"/>
  <c r="AF29" i="2"/>
  <c r="AE29" i="2"/>
  <c r="AD29" i="2"/>
  <c r="AJ28" i="2"/>
  <c r="AI28" i="2"/>
  <c r="AH28" i="2"/>
  <c r="AG28" i="2"/>
  <c r="AF28" i="2"/>
  <c r="AE28" i="2"/>
  <c r="AD28" i="2"/>
  <c r="AC28" i="2"/>
  <c r="AJ27" i="2"/>
  <c r="AI27" i="2"/>
  <c r="AH27" i="2"/>
  <c r="AG27" i="2"/>
  <c r="AF27" i="2"/>
  <c r="AE27" i="2"/>
  <c r="AD27" i="2"/>
  <c r="AC27" i="2"/>
  <c r="AB27" i="2"/>
  <c r="AJ26" i="2"/>
  <c r="AI26" i="2"/>
  <c r="AH26" i="2"/>
  <c r="AG26" i="2"/>
  <c r="AF26" i="2"/>
  <c r="AE26" i="2"/>
  <c r="AD26" i="2"/>
  <c r="AC26" i="2"/>
  <c r="AB26" i="2"/>
  <c r="AA26" i="2"/>
  <c r="AJ25" i="2"/>
  <c r="AI25" i="2"/>
  <c r="AH25" i="2"/>
  <c r="AG25" i="2"/>
  <c r="AF25" i="2"/>
  <c r="AE25" i="2"/>
  <c r="AD25" i="2"/>
  <c r="AC25" i="2"/>
  <c r="AB25" i="2"/>
  <c r="AA25" i="2"/>
  <c r="Z25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U8" i="2"/>
  <c r="T8" i="2"/>
  <c r="S8" i="2"/>
  <c r="R8" i="2"/>
  <c r="Q8" i="2"/>
  <c r="P8" i="2"/>
  <c r="O8" i="2"/>
  <c r="N8" i="2"/>
  <c r="M8" i="2"/>
  <c r="L8" i="2"/>
  <c r="K8" i="2"/>
  <c r="J8" i="2"/>
  <c r="I8" i="2"/>
  <c r="P7" i="2"/>
  <c r="O7" i="2"/>
  <c r="N7" i="2"/>
  <c r="M7" i="2"/>
  <c r="L7" i="2"/>
  <c r="K7" i="2"/>
  <c r="J7" i="2"/>
  <c r="I7" i="2"/>
  <c r="H7" i="2"/>
  <c r="O6" i="2"/>
  <c r="N6" i="2"/>
  <c r="M6" i="2"/>
  <c r="L6" i="2"/>
  <c r="K6" i="2"/>
  <c r="J6" i="2"/>
  <c r="I6" i="2"/>
  <c r="H6" i="2"/>
  <c r="G6" i="2"/>
  <c r="N5" i="2"/>
  <c r="M5" i="2"/>
  <c r="L5" i="2"/>
  <c r="K5" i="2"/>
  <c r="J5" i="2"/>
  <c r="I5" i="2"/>
  <c r="H5" i="2"/>
  <c r="G5" i="2"/>
  <c r="F5" i="2"/>
  <c r="M4" i="2"/>
  <c r="L4" i="2"/>
  <c r="K4" i="2"/>
  <c r="J4" i="2"/>
  <c r="I4" i="2"/>
  <c r="H4" i="2"/>
  <c r="G4" i="2"/>
  <c r="F4" i="2"/>
  <c r="E4" i="2"/>
  <c r="L3" i="2"/>
  <c r="K3" i="2"/>
  <c r="J3" i="2"/>
  <c r="I3" i="2"/>
  <c r="H3" i="2"/>
  <c r="G3" i="2"/>
  <c r="F3" i="2"/>
  <c r="E3" i="2"/>
  <c r="D3" i="2"/>
  <c r="K2" i="2"/>
  <c r="J2" i="2"/>
  <c r="I2" i="2"/>
  <c r="H2" i="2"/>
  <c r="G2" i="2"/>
  <c r="F2" i="2"/>
  <c r="E2" i="2"/>
  <c r="D2" i="2"/>
  <c r="C2" i="2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CW4" i="3" l="1"/>
  <c r="R25" i="13" s="1"/>
  <c r="BK4" i="7"/>
  <c r="DA6" i="8"/>
  <c r="CW5" i="3"/>
  <c r="CN4" i="5"/>
  <c r="CN5" i="5"/>
  <c r="CK6" i="5"/>
  <c r="DE4" i="5"/>
  <c r="DE5" i="5"/>
  <c r="CR6" i="5"/>
  <c r="CN9" i="5"/>
  <c r="F4" i="3"/>
  <c r="AT4" i="3"/>
  <c r="BD9" i="3"/>
  <c r="BZ4" i="5"/>
  <c r="DI4" i="5"/>
  <c r="BZ4" i="9"/>
  <c r="P21" i="13" s="1"/>
  <c r="BZ5" i="9"/>
  <c r="CH6" i="9"/>
  <c r="CK8" i="5"/>
  <c r="BA4" i="3"/>
  <c r="CW7" i="3"/>
  <c r="CH4" i="5"/>
  <c r="CH5" i="5"/>
  <c r="BZ6" i="5"/>
  <c r="CR7" i="5"/>
  <c r="CH4" i="9"/>
  <c r="T21" i="13" s="1"/>
  <c r="BF6" i="3"/>
  <c r="BA8" i="3"/>
  <c r="BD10" i="3"/>
  <c r="AY5" i="3"/>
  <c r="CW6" i="3"/>
  <c r="BI11" i="3"/>
  <c r="CY4" i="7"/>
  <c r="CY5" i="7"/>
  <c r="AU7" i="7"/>
  <c r="BD7" i="3"/>
  <c r="BA7" i="4"/>
  <c r="I5" i="3"/>
  <c r="AT4" i="5"/>
  <c r="BA5" i="5"/>
  <c r="BF9" i="5"/>
  <c r="DI4" i="3"/>
  <c r="X25" i="13" s="1"/>
  <c r="BF5" i="3"/>
  <c r="AT6" i="3"/>
  <c r="BF7" i="3"/>
  <c r="BI8" i="3"/>
  <c r="BF9" i="3"/>
  <c r="BF10" i="3"/>
  <c r="BK11" i="3"/>
  <c r="BK12" i="3"/>
  <c r="BF4" i="4"/>
  <c r="BI6" i="4"/>
  <c r="AV8" i="4"/>
  <c r="AV4" i="5"/>
  <c r="BI5" i="5"/>
  <c r="BF6" i="5"/>
  <c r="AV7" i="5"/>
  <c r="BK7" i="5"/>
  <c r="AT8" i="5"/>
  <c r="AY11" i="5"/>
  <c r="F16" i="5"/>
  <c r="U7" i="5" s="1"/>
  <c r="R7" i="5" s="1"/>
  <c r="BK5" i="7"/>
  <c r="F11" i="7"/>
  <c r="N6" i="7" s="1"/>
  <c r="R6" i="7" s="1"/>
  <c r="DN4" i="8"/>
  <c r="BC57" i="8"/>
  <c r="AR20" i="13"/>
  <c r="D21" i="13" s="1"/>
  <c r="BI10" i="5"/>
  <c r="BD4" i="3"/>
  <c r="BI5" i="3"/>
  <c r="AV6" i="3"/>
  <c r="AT7" i="3"/>
  <c r="BK8" i="3"/>
  <c r="AT9" i="3"/>
  <c r="AT10" i="3"/>
  <c r="AT11" i="3"/>
  <c r="I12" i="3"/>
  <c r="BI13" i="3"/>
  <c r="BF9" i="4"/>
  <c r="BI13" i="4"/>
  <c r="BD4" i="5"/>
  <c r="AT5" i="5"/>
  <c r="BK5" i="5"/>
  <c r="BI6" i="5"/>
  <c r="AY7" i="5"/>
  <c r="CN7" i="5"/>
  <c r="BD8" i="5"/>
  <c r="AV9" i="5"/>
  <c r="AU3" i="7"/>
  <c r="I8" i="3"/>
  <c r="BI4" i="5"/>
  <c r="AY6" i="5"/>
  <c r="BI7" i="5"/>
  <c r="BI13" i="5"/>
  <c r="BK4" i="3"/>
  <c r="AV5" i="3"/>
  <c r="BD6" i="3"/>
  <c r="AV7" i="3"/>
  <c r="F11" i="3"/>
  <c r="N15" i="3" s="1"/>
  <c r="AY8" i="3"/>
  <c r="CW8" i="3"/>
  <c r="AV9" i="3"/>
  <c r="AV10" i="3"/>
  <c r="AV11" i="3"/>
  <c r="BA11" i="4"/>
  <c r="BF4" i="5"/>
  <c r="AY5" i="5"/>
  <c r="AV6" i="5"/>
  <c r="BK6" i="5"/>
  <c r="BF7" i="5"/>
  <c r="BK8" i="5"/>
  <c r="AY9" i="5"/>
  <c r="N17" i="3"/>
  <c r="N12" i="3"/>
  <c r="BZ4" i="3"/>
  <c r="BZ6" i="3"/>
  <c r="I11" i="3"/>
  <c r="I10" i="3"/>
  <c r="I7" i="3"/>
  <c r="I6" i="3"/>
  <c r="I4" i="3"/>
  <c r="BZ5" i="3"/>
  <c r="DA5" i="3"/>
  <c r="BI4" i="4"/>
  <c r="BD5" i="4"/>
  <c r="BK6" i="4"/>
  <c r="BD7" i="4"/>
  <c r="BF8" i="4"/>
  <c r="BK9" i="4"/>
  <c r="AT10" i="4"/>
  <c r="BC92" i="8"/>
  <c r="BC88" i="8"/>
  <c r="BC84" i="8"/>
  <c r="BC80" i="8"/>
  <c r="BC76" i="8"/>
  <c r="BC72" i="8"/>
  <c r="BC93" i="8"/>
  <c r="BC89" i="8"/>
  <c r="BC85" i="8"/>
  <c r="BC81" i="8"/>
  <c r="BC77" i="8"/>
  <c r="BC73" i="8"/>
  <c r="BC86" i="8"/>
  <c r="BC78" i="8"/>
  <c r="BC70" i="8"/>
  <c r="BC66" i="8"/>
  <c r="BC62" i="8"/>
  <c r="BC58" i="8"/>
  <c r="BC54" i="8"/>
  <c r="BC50" i="8"/>
  <c r="BC46" i="8"/>
  <c r="BC42" i="8"/>
  <c r="BC38" i="8"/>
  <c r="BC34" i="8"/>
  <c r="BC30" i="8"/>
  <c r="BC20" i="8"/>
  <c r="BC90" i="8"/>
  <c r="BC82" i="8"/>
  <c r="BC74" i="8"/>
  <c r="BC68" i="8"/>
  <c r="BC64" i="8"/>
  <c r="BC60" i="8"/>
  <c r="BC56" i="8"/>
  <c r="BC52" i="8"/>
  <c r="BC48" i="8"/>
  <c r="BC44" i="8"/>
  <c r="BC40" i="8"/>
  <c r="BC36" i="8"/>
  <c r="BC32" i="8"/>
  <c r="BC28" i="8"/>
  <c r="BC23" i="8"/>
  <c r="BC79" i="8"/>
  <c r="BC69" i="8"/>
  <c r="BC61" i="8"/>
  <c r="BC53" i="8"/>
  <c r="BC45" i="8"/>
  <c r="BC37" i="8"/>
  <c r="BC29" i="8"/>
  <c r="F17" i="8"/>
  <c r="BC15" i="8"/>
  <c r="BC14" i="8"/>
  <c r="BC13" i="8"/>
  <c r="BC5" i="8"/>
  <c r="BC4" i="8"/>
  <c r="BC83" i="8"/>
  <c r="BC63" i="8"/>
  <c r="BC55" i="8"/>
  <c r="BC47" i="8"/>
  <c r="BC39" i="8"/>
  <c r="BC31" i="8"/>
  <c r="BC26" i="8"/>
  <c r="BC24" i="8"/>
  <c r="F21" i="8"/>
  <c r="F23" i="8" s="1"/>
  <c r="BC19" i="8"/>
  <c r="BC17" i="8"/>
  <c r="BC16" i="8"/>
  <c r="BC11" i="8"/>
  <c r="BC10" i="8"/>
  <c r="BC9" i="8"/>
  <c r="BC75" i="8"/>
  <c r="BC67" i="8"/>
  <c r="BC51" i="8"/>
  <c r="BC35" i="8"/>
  <c r="BC25" i="8"/>
  <c r="BC12" i="8"/>
  <c r="BC6" i="8"/>
  <c r="BC71" i="8"/>
  <c r="BC65" i="8"/>
  <c r="BC49" i="8"/>
  <c r="BC33" i="8"/>
  <c r="BC21" i="8"/>
  <c r="BC8" i="8"/>
  <c r="BC41" i="8"/>
  <c r="BC22" i="8"/>
  <c r="BC43" i="8"/>
  <c r="BC7" i="8"/>
  <c r="BC27" i="8"/>
  <c r="BC18" i="8"/>
  <c r="BC91" i="8"/>
  <c r="BC59" i="8"/>
  <c r="BC87" i="8"/>
  <c r="DA9" i="3"/>
  <c r="DA4" i="3"/>
  <c r="T25" i="13" s="1"/>
  <c r="DA6" i="3"/>
  <c r="DA7" i="3"/>
  <c r="I13" i="3"/>
  <c r="X4" i="3"/>
  <c r="X5" i="3" s="1"/>
  <c r="I14" i="3"/>
  <c r="I15" i="3"/>
  <c r="DE4" i="3"/>
  <c r="V25" i="13" s="1"/>
  <c r="DE6" i="3"/>
  <c r="I17" i="3"/>
  <c r="AV4" i="4"/>
  <c r="BK5" i="4"/>
  <c r="AY6" i="4"/>
  <c r="BI8" i="4"/>
  <c r="B12" i="4"/>
  <c r="AT9" i="4"/>
  <c r="CR6" i="3"/>
  <c r="CR7" i="3"/>
  <c r="CR5" i="3"/>
  <c r="F16" i="4"/>
  <c r="U11" i="4" s="1"/>
  <c r="R11" i="4" s="1"/>
  <c r="BK13" i="4"/>
  <c r="AY11" i="4"/>
  <c r="BI10" i="4"/>
  <c r="AY10" i="4"/>
  <c r="BI9" i="4"/>
  <c r="AY9" i="4"/>
  <c r="BD8" i="4"/>
  <c r="AT8" i="4"/>
  <c r="BI7" i="4"/>
  <c r="AY7" i="4"/>
  <c r="BK12" i="4"/>
  <c r="AV11" i="4"/>
  <c r="BA10" i="4"/>
  <c r="BD9" i="4"/>
  <c r="BA8" i="4"/>
  <c r="BK7" i="4"/>
  <c r="AV7" i="4"/>
  <c r="BF6" i="4"/>
  <c r="AV6" i="4"/>
  <c r="BI5" i="4"/>
  <c r="AY5" i="4"/>
  <c r="BD4" i="4"/>
  <c r="AT4" i="4"/>
  <c r="BI12" i="4"/>
  <c r="BK11" i="4"/>
  <c r="AT11" i="4"/>
  <c r="BK10" i="4"/>
  <c r="AV10" i="4"/>
  <c r="BA9" i="4"/>
  <c r="BK8" i="4"/>
  <c r="AY8" i="4"/>
  <c r="BF7" i="4"/>
  <c r="AT7" i="4"/>
  <c r="BD6" i="4"/>
  <c r="AT6" i="4"/>
  <c r="BF5" i="4"/>
  <c r="AV5" i="4"/>
  <c r="BK4" i="4"/>
  <c r="BA4" i="4"/>
  <c r="F9" i="4" s="1"/>
  <c r="F4" i="4"/>
  <c r="BI11" i="4"/>
  <c r="AY4" i="4"/>
  <c r="AT5" i="4"/>
  <c r="BA6" i="4"/>
  <c r="AV9" i="4"/>
  <c r="BF10" i="4"/>
  <c r="F11" i="4"/>
  <c r="N10" i="4" s="1"/>
  <c r="X29" i="13"/>
  <c r="E18" i="7"/>
  <c r="CP6" i="7"/>
  <c r="AV4" i="3"/>
  <c r="BF4" i="3"/>
  <c r="BA5" i="3"/>
  <c r="BK5" i="3"/>
  <c r="AY6" i="3"/>
  <c r="BI6" i="3"/>
  <c r="AY7" i="3"/>
  <c r="BI7" i="3"/>
  <c r="AT8" i="3"/>
  <c r="BD8" i="3"/>
  <c r="AY9" i="3"/>
  <c r="BI9" i="3"/>
  <c r="CW9" i="3"/>
  <c r="AY10" i="3"/>
  <c r="BI10" i="3"/>
  <c r="AY11" i="3"/>
  <c r="BK13" i="3"/>
  <c r="F16" i="3"/>
  <c r="U11" i="3" s="1"/>
  <c r="R11" i="3" s="1"/>
  <c r="E9" i="4"/>
  <c r="E14" i="4"/>
  <c r="CR7" i="4"/>
  <c r="BK12" i="5"/>
  <c r="BI11" i="5"/>
  <c r="AT11" i="5"/>
  <c r="F11" i="5"/>
  <c r="N17" i="5" s="1"/>
  <c r="BD10" i="5"/>
  <c r="AT10" i="5"/>
  <c r="BD9" i="5"/>
  <c r="AT9" i="5"/>
  <c r="BI8" i="5"/>
  <c r="AY8" i="5"/>
  <c r="BD7" i="5"/>
  <c r="AT7" i="5"/>
  <c r="BD6" i="5"/>
  <c r="AT6" i="5"/>
  <c r="BF5" i="5"/>
  <c r="AV5" i="5"/>
  <c r="BK4" i="5"/>
  <c r="BA4" i="5"/>
  <c r="F9" i="5" s="1"/>
  <c r="F4" i="5"/>
  <c r="I11" i="5" s="1"/>
  <c r="BI12" i="5"/>
  <c r="BA11" i="5"/>
  <c r="BK10" i="5"/>
  <c r="BA10" i="5"/>
  <c r="BK9" i="5"/>
  <c r="BA9" i="5"/>
  <c r="BF8" i="5"/>
  <c r="AV8" i="5"/>
  <c r="BK13" i="5"/>
  <c r="AV11" i="5"/>
  <c r="BF10" i="5"/>
  <c r="AY4" i="5"/>
  <c r="E9" i="5" s="1"/>
  <c r="CK4" i="5"/>
  <c r="BD5" i="5"/>
  <c r="CR5" i="5"/>
  <c r="BA6" i="5"/>
  <c r="CN6" i="5"/>
  <c r="BA7" i="5"/>
  <c r="BA8" i="5"/>
  <c r="CH8" i="5"/>
  <c r="BI9" i="5"/>
  <c r="AV10" i="5"/>
  <c r="BK11" i="5"/>
  <c r="N13" i="5"/>
  <c r="CH13" i="5"/>
  <c r="CP5" i="7"/>
  <c r="AY4" i="3"/>
  <c r="BI4" i="3"/>
  <c r="AT5" i="3"/>
  <c r="BD5" i="3"/>
  <c r="BA6" i="3"/>
  <c r="BK6" i="3"/>
  <c r="BA7" i="3"/>
  <c r="BK7" i="3"/>
  <c r="AV8" i="3"/>
  <c r="BF8" i="3"/>
  <c r="BA9" i="3"/>
  <c r="BK9" i="3"/>
  <c r="BA10" i="3"/>
  <c r="BK10" i="3"/>
  <c r="BA11" i="3"/>
  <c r="X4" i="5"/>
  <c r="I9" i="5"/>
  <c r="CN14" i="5"/>
  <c r="CN13" i="5"/>
  <c r="CH12" i="5"/>
  <c r="CK10" i="5"/>
  <c r="CK9" i="5"/>
  <c r="CK7" i="5"/>
  <c r="CH6" i="5"/>
  <c r="CK5" i="5"/>
  <c r="CR4" i="5"/>
  <c r="CK14" i="5"/>
  <c r="CK13" i="5"/>
  <c r="CH10" i="5"/>
  <c r="CH9" i="5"/>
  <c r="CN8" i="5"/>
  <c r="CH7" i="5"/>
  <c r="CH11" i="5"/>
  <c r="CN10" i="5"/>
  <c r="AU4" i="7"/>
  <c r="AU5" i="7"/>
  <c r="B11" i="7"/>
  <c r="I9" i="7" s="1"/>
  <c r="F15" i="7"/>
  <c r="F17" i="7" s="1"/>
  <c r="BV5" i="8"/>
  <c r="BV4" i="8"/>
  <c r="DJ4" i="8"/>
  <c r="DJ6" i="8"/>
  <c r="E24" i="8"/>
  <c r="F4" i="7"/>
  <c r="B11" i="8"/>
  <c r="AD37" i="13"/>
  <c r="V37" i="13"/>
  <c r="N37" i="13"/>
  <c r="F37" i="13"/>
  <c r="AB37" i="13"/>
  <c r="T37" i="13"/>
  <c r="L37" i="13"/>
  <c r="X37" i="13"/>
  <c r="P37" i="13"/>
  <c r="H37" i="13"/>
  <c r="Z37" i="13"/>
  <c r="R37" i="13"/>
  <c r="J37" i="13"/>
  <c r="V14" i="8" l="1"/>
  <c r="Z14" i="8" s="1"/>
  <c r="V17" i="8"/>
  <c r="Z17" i="8" s="1"/>
  <c r="V6" i="8"/>
  <c r="Z6" i="8" s="1"/>
  <c r="U9" i="3"/>
  <c r="V11" i="8"/>
  <c r="Z11" i="8" s="1"/>
  <c r="Y4" i="8"/>
  <c r="V13" i="8"/>
  <c r="Z13" i="8" s="1"/>
  <c r="AP3" i="7"/>
  <c r="N9" i="7"/>
  <c r="R9" i="7" s="1"/>
  <c r="N14" i="7"/>
  <c r="R14" i="7" s="1"/>
  <c r="N10" i="7"/>
  <c r="R10" i="7" s="1"/>
  <c r="N13" i="7"/>
  <c r="R13" i="7" s="1"/>
  <c r="AP8" i="7"/>
  <c r="N12" i="7"/>
  <c r="R12" i="7" s="1"/>
  <c r="N15" i="7"/>
  <c r="R15" i="7" s="1"/>
  <c r="N5" i="7"/>
  <c r="R5" i="7" s="1"/>
  <c r="AP6" i="7"/>
  <c r="N17" i="7"/>
  <c r="R17" i="7" s="1"/>
  <c r="N16" i="7"/>
  <c r="R16" i="7" s="1"/>
  <c r="AP5" i="7"/>
  <c r="N8" i="7"/>
  <c r="R8" i="7" s="1"/>
  <c r="AP7" i="7"/>
  <c r="N11" i="7"/>
  <c r="R11" i="7" s="1"/>
  <c r="I15" i="7"/>
  <c r="I6" i="7"/>
  <c r="I4" i="7"/>
  <c r="I8" i="7"/>
  <c r="U15" i="4"/>
  <c r="R15" i="4" s="1"/>
  <c r="N4" i="3"/>
  <c r="I9" i="3"/>
  <c r="I16" i="3"/>
  <c r="F5" i="3" s="1"/>
  <c r="U15" i="5"/>
  <c r="R15" i="5" s="1"/>
  <c r="U6" i="5"/>
  <c r="R6" i="5" s="1"/>
  <c r="U13" i="5"/>
  <c r="R13" i="5" s="1"/>
  <c r="U12" i="5"/>
  <c r="R12" i="5" s="1"/>
  <c r="U17" i="5"/>
  <c r="R17" i="5" s="1"/>
  <c r="U4" i="5"/>
  <c r="R4" i="5" s="1"/>
  <c r="N16" i="3"/>
  <c r="U8" i="5"/>
  <c r="R8" i="5" s="1"/>
  <c r="U11" i="5"/>
  <c r="R11" i="5" s="1"/>
  <c r="F4" i="9"/>
  <c r="I17" i="5"/>
  <c r="U13" i="4"/>
  <c r="R13" i="4" s="1"/>
  <c r="N11" i="3"/>
  <c r="I10" i="5"/>
  <c r="I7" i="5"/>
  <c r="N9" i="3"/>
  <c r="N5" i="3"/>
  <c r="N8" i="3"/>
  <c r="U16" i="5"/>
  <c r="R16" i="5" s="1"/>
  <c r="U5" i="5"/>
  <c r="R5" i="5" s="1"/>
  <c r="U10" i="5"/>
  <c r="R10" i="5" s="1"/>
  <c r="I13" i="5"/>
  <c r="I15" i="5"/>
  <c r="I4" i="5"/>
  <c r="N7" i="3"/>
  <c r="N14" i="3"/>
  <c r="N13" i="3"/>
  <c r="U9" i="5"/>
  <c r="R9" i="5" s="1"/>
  <c r="E9" i="7"/>
  <c r="CU18" i="7" s="1"/>
  <c r="U17" i="4"/>
  <c r="R17" i="4" s="1"/>
  <c r="N10" i="3"/>
  <c r="N6" i="3"/>
  <c r="F12" i="3" s="1"/>
  <c r="F13" i="3"/>
  <c r="AO11" i="3" s="1"/>
  <c r="N7" i="7"/>
  <c r="R7" i="7" s="1"/>
  <c r="AP4" i="7"/>
  <c r="U14" i="5"/>
  <c r="R14" i="5" s="1"/>
  <c r="N4" i="7"/>
  <c r="R4" i="7" s="1"/>
  <c r="DA9" i="4"/>
  <c r="DA6" i="4"/>
  <c r="DA7" i="4"/>
  <c r="DA5" i="4"/>
  <c r="DA4" i="4"/>
  <c r="DA8" i="4"/>
  <c r="CW8" i="5"/>
  <c r="CW6" i="5"/>
  <c r="CW7" i="5"/>
  <c r="CW10" i="5"/>
  <c r="CW5" i="5"/>
  <c r="CW9" i="5"/>
  <c r="CW4" i="5"/>
  <c r="CU15" i="7"/>
  <c r="CU9" i="7"/>
  <c r="CW10" i="4"/>
  <c r="CW9" i="4"/>
  <c r="CW8" i="4"/>
  <c r="CW4" i="4"/>
  <c r="CW6" i="4"/>
  <c r="CW7" i="4"/>
  <c r="CW5" i="4"/>
  <c r="CI5" i="7"/>
  <c r="CI4" i="7"/>
  <c r="CL7" i="7"/>
  <c r="CI6" i="7"/>
  <c r="CL6" i="7"/>
  <c r="CL4" i="7"/>
  <c r="CI7" i="7"/>
  <c r="CL5" i="7"/>
  <c r="N5" i="4"/>
  <c r="AK5" i="7"/>
  <c r="AK4" i="7"/>
  <c r="AM7" i="7"/>
  <c r="AM5" i="7"/>
  <c r="AK6" i="7"/>
  <c r="AM4" i="7"/>
  <c r="AK7" i="7"/>
  <c r="AM6" i="7"/>
  <c r="N5" i="5"/>
  <c r="X5" i="5"/>
  <c r="I14" i="5"/>
  <c r="I8" i="5"/>
  <c r="I16" i="5"/>
  <c r="I5" i="5"/>
  <c r="CH14" i="4"/>
  <c r="CH13" i="4"/>
  <c r="CK8" i="4"/>
  <c r="CN10" i="4"/>
  <c r="CK7" i="4"/>
  <c r="CK6" i="4"/>
  <c r="CN5" i="4"/>
  <c r="CH4" i="4"/>
  <c r="CH12" i="4"/>
  <c r="CK10" i="4"/>
  <c r="CN9" i="4"/>
  <c r="CN8" i="4"/>
  <c r="CH7" i="4"/>
  <c r="CH6" i="4"/>
  <c r="CK5" i="4"/>
  <c r="CR4" i="4"/>
  <c r="CN14" i="4"/>
  <c r="CN13" i="4"/>
  <c r="CH11" i="4"/>
  <c r="CK9" i="4"/>
  <c r="CN7" i="4"/>
  <c r="CK4" i="4"/>
  <c r="CH9" i="4"/>
  <c r="CH5" i="4"/>
  <c r="CN6" i="4"/>
  <c r="CK13" i="4"/>
  <c r="CH10" i="4"/>
  <c r="CN4" i="4"/>
  <c r="CK14" i="4"/>
  <c r="CH8" i="4"/>
  <c r="N7" i="4"/>
  <c r="I6" i="5"/>
  <c r="I16" i="4"/>
  <c r="U17" i="3"/>
  <c r="R17" i="3" s="1"/>
  <c r="U15" i="3"/>
  <c r="R15" i="3" s="1"/>
  <c r="U12" i="4"/>
  <c r="R12" i="4" s="1"/>
  <c r="J25" i="13"/>
  <c r="X4" i="7"/>
  <c r="I5" i="7"/>
  <c r="N10" i="5"/>
  <c r="I17" i="4"/>
  <c r="I13" i="4"/>
  <c r="I6" i="4"/>
  <c r="X4" i="4"/>
  <c r="AF4" i="8"/>
  <c r="I13" i="7"/>
  <c r="N14" i="5"/>
  <c r="N15" i="5"/>
  <c r="F14" i="9"/>
  <c r="U16" i="3"/>
  <c r="R16" i="3" s="1"/>
  <c r="U14" i="3"/>
  <c r="R14" i="3" s="1"/>
  <c r="U8" i="3"/>
  <c r="R8" i="3" s="1"/>
  <c r="U5" i="3"/>
  <c r="R5" i="3" s="1"/>
  <c r="U12" i="3"/>
  <c r="R12" i="3" s="1"/>
  <c r="U10" i="3"/>
  <c r="R10" i="3" s="1"/>
  <c r="U4" i="3"/>
  <c r="R4" i="3" s="1"/>
  <c r="R9" i="3"/>
  <c r="U7" i="3"/>
  <c r="R7" i="3" s="1"/>
  <c r="U6" i="3"/>
  <c r="R6" i="3" s="1"/>
  <c r="I14" i="4"/>
  <c r="I12" i="5"/>
  <c r="I12" i="4"/>
  <c r="AC22" i="3"/>
  <c r="AC19" i="3"/>
  <c r="Z18" i="3"/>
  <c r="Z17" i="3"/>
  <c r="Z15" i="3"/>
  <c r="Z13" i="3"/>
  <c r="AF12" i="3"/>
  <c r="AC11" i="3"/>
  <c r="AC10" i="3"/>
  <c r="AC9" i="3"/>
  <c r="AC7" i="3"/>
  <c r="AC6" i="3"/>
  <c r="AF5" i="3"/>
  <c r="Z4" i="3"/>
  <c r="AC20" i="3"/>
  <c r="Z19" i="3"/>
  <c r="AF16" i="3"/>
  <c r="AF14" i="3"/>
  <c r="AC12" i="3"/>
  <c r="Z11" i="3"/>
  <c r="Z10" i="3"/>
  <c r="Z9" i="3"/>
  <c r="AF8" i="3"/>
  <c r="Z7" i="3"/>
  <c r="Z6" i="3"/>
  <c r="AC5" i="3"/>
  <c r="AC21" i="3"/>
  <c r="AC17" i="3"/>
  <c r="AC15" i="3"/>
  <c r="Z14" i="3"/>
  <c r="AF9" i="3"/>
  <c r="AC8" i="3"/>
  <c r="AF7" i="3"/>
  <c r="AF6" i="3"/>
  <c r="Z21" i="3"/>
  <c r="AC18" i="3"/>
  <c r="AC16" i="3"/>
  <c r="AF13" i="3"/>
  <c r="AF11" i="3"/>
  <c r="Z8" i="3"/>
  <c r="Z12" i="3"/>
  <c r="Z20" i="3"/>
  <c r="Z16" i="3"/>
  <c r="AC13" i="3"/>
  <c r="Z5" i="3"/>
  <c r="AF4" i="3"/>
  <c r="AF15" i="3"/>
  <c r="AC14" i="3"/>
  <c r="AF10" i="3"/>
  <c r="AC4" i="3"/>
  <c r="U13" i="3"/>
  <c r="R13" i="3" s="1"/>
  <c r="AS5" i="8"/>
  <c r="AS4" i="8"/>
  <c r="AU7" i="8"/>
  <c r="AS7" i="8"/>
  <c r="AU6" i="8"/>
  <c r="AS6" i="8"/>
  <c r="AU5" i="8"/>
  <c r="AU4" i="8"/>
  <c r="I8" i="4"/>
  <c r="N12" i="5"/>
  <c r="F13" i="5"/>
  <c r="N7" i="5"/>
  <c r="N6" i="5"/>
  <c r="N4" i="5"/>
  <c r="N11" i="5"/>
  <c r="N15" i="4"/>
  <c r="N14" i="4"/>
  <c r="F13" i="4"/>
  <c r="N12" i="4"/>
  <c r="N17" i="4"/>
  <c r="N6" i="4"/>
  <c r="N4" i="4"/>
  <c r="N8" i="4"/>
  <c r="N16" i="4"/>
  <c r="N13" i="4"/>
  <c r="V12" i="8"/>
  <c r="Z12" i="8" s="1"/>
  <c r="AX8" i="8"/>
  <c r="AX7" i="8"/>
  <c r="AX3" i="8"/>
  <c r="E19" i="8" s="1"/>
  <c r="AX6" i="8"/>
  <c r="V7" i="8"/>
  <c r="Z7" i="8" s="1"/>
  <c r="V16" i="8"/>
  <c r="Z16" i="8" s="1"/>
  <c r="V10" i="8"/>
  <c r="Z10" i="8" s="1"/>
  <c r="V5" i="8"/>
  <c r="Z5" i="8" s="1"/>
  <c r="V4" i="8"/>
  <c r="AX5" i="8"/>
  <c r="AX4" i="8"/>
  <c r="V9" i="8"/>
  <c r="Z9" i="8" s="1"/>
  <c r="F4" i="8"/>
  <c r="I16" i="7"/>
  <c r="I10" i="7"/>
  <c r="X5" i="7"/>
  <c r="I12" i="7"/>
  <c r="I14" i="7"/>
  <c r="I7" i="7"/>
  <c r="I17" i="7"/>
  <c r="CW7" i="8"/>
  <c r="CW6" i="8"/>
  <c r="CT7" i="8"/>
  <c r="CT6" i="8"/>
  <c r="CW5" i="8"/>
  <c r="CW4" i="8"/>
  <c r="CT5" i="8"/>
  <c r="CT4" i="8"/>
  <c r="V8" i="8"/>
  <c r="Z8" i="8" s="1"/>
  <c r="I11" i="7"/>
  <c r="V15" i="8"/>
  <c r="Z15" i="8" s="1"/>
  <c r="N16" i="5"/>
  <c r="N8" i="5"/>
  <c r="N11" i="4"/>
  <c r="DA7" i="5"/>
  <c r="DA5" i="5"/>
  <c r="DA9" i="5"/>
  <c r="DA4" i="5"/>
  <c r="DA8" i="5"/>
  <c r="DA6" i="5"/>
  <c r="I10" i="4"/>
  <c r="I5" i="4"/>
  <c r="I9" i="4"/>
  <c r="X5" i="4"/>
  <c r="I15" i="4"/>
  <c r="I11" i="4"/>
  <c r="I7" i="4"/>
  <c r="U16" i="4"/>
  <c r="R16" i="4" s="1"/>
  <c r="U9" i="4"/>
  <c r="R9" i="4" s="1"/>
  <c r="U8" i="4"/>
  <c r="R8" i="4" s="1"/>
  <c r="U6" i="4"/>
  <c r="R6" i="4" s="1"/>
  <c r="U4" i="4"/>
  <c r="R4" i="4" s="1"/>
  <c r="U14" i="4"/>
  <c r="R14" i="4" s="1"/>
  <c r="U5" i="4"/>
  <c r="R5" i="4" s="1"/>
  <c r="U10" i="4"/>
  <c r="R10" i="4" s="1"/>
  <c r="N9" i="5"/>
  <c r="N9" i="4"/>
  <c r="F11" i="8"/>
  <c r="U7" i="4"/>
  <c r="R7" i="4" s="1"/>
  <c r="AK8" i="3"/>
  <c r="AK9" i="3"/>
  <c r="I4" i="4"/>
  <c r="N13" i="8" l="1"/>
  <c r="Q4" i="8"/>
  <c r="N7" i="8"/>
  <c r="N6" i="8"/>
  <c r="CU19" i="7"/>
  <c r="CU8" i="7"/>
  <c r="F17" i="5"/>
  <c r="I5" i="8"/>
  <c r="L4" i="8"/>
  <c r="I7" i="8"/>
  <c r="I16" i="8"/>
  <c r="CU7" i="7"/>
  <c r="CU12" i="7"/>
  <c r="E13" i="7"/>
  <c r="CE9" i="7" s="1"/>
  <c r="CU11" i="7"/>
  <c r="CU16" i="7"/>
  <c r="CU6" i="7"/>
  <c r="CU5" i="7"/>
  <c r="CU10" i="7"/>
  <c r="F16" i="7"/>
  <c r="CA9" i="7" s="1"/>
  <c r="CU14" i="7"/>
  <c r="CU17" i="7"/>
  <c r="CU13" i="7"/>
  <c r="AK4" i="3"/>
  <c r="AM13" i="3"/>
  <c r="AK10" i="3"/>
  <c r="AM9" i="3"/>
  <c r="AK5" i="3"/>
  <c r="AK13" i="3"/>
  <c r="F12" i="7"/>
  <c r="BW15" i="7" s="1"/>
  <c r="CE4" i="7"/>
  <c r="CE7" i="7"/>
  <c r="AK12" i="3"/>
  <c r="AM12" i="3"/>
  <c r="AM5" i="3"/>
  <c r="AO5" i="3"/>
  <c r="AM10" i="3"/>
  <c r="AM4" i="3"/>
  <c r="AO9" i="3"/>
  <c r="F17" i="4"/>
  <c r="AK6" i="3"/>
  <c r="AK7" i="3"/>
  <c r="AK11" i="3"/>
  <c r="AM6" i="3"/>
  <c r="AM11" i="3"/>
  <c r="AO6" i="3"/>
  <c r="AO10" i="3"/>
  <c r="AO8" i="3"/>
  <c r="AO4" i="3"/>
  <c r="AM8" i="3"/>
  <c r="AO13" i="3"/>
  <c r="AM7" i="3"/>
  <c r="AO12" i="3"/>
  <c r="AO7" i="3"/>
  <c r="F5" i="5"/>
  <c r="BQ10" i="5" s="1"/>
  <c r="AC20" i="4"/>
  <c r="Z19" i="4"/>
  <c r="AF16" i="4"/>
  <c r="AF14" i="4"/>
  <c r="AC12" i="4"/>
  <c r="Z11" i="4"/>
  <c r="Z10" i="4"/>
  <c r="Z9" i="4"/>
  <c r="AF8" i="4"/>
  <c r="Z7" i="4"/>
  <c r="Z21" i="4"/>
  <c r="AC19" i="4"/>
  <c r="AC15" i="4"/>
  <c r="Z14" i="4"/>
  <c r="Z13" i="4"/>
  <c r="AF12" i="4"/>
  <c r="AF11" i="4"/>
  <c r="AF7" i="4"/>
  <c r="Z5" i="4"/>
  <c r="AF4" i="4"/>
  <c r="Z15" i="4"/>
  <c r="Z12" i="4"/>
  <c r="AC11" i="4"/>
  <c r="AF10" i="4"/>
  <c r="AC7" i="4"/>
  <c r="AF6" i="4"/>
  <c r="AC4" i="4"/>
  <c r="AC22" i="4"/>
  <c r="Z20" i="4"/>
  <c r="AC18" i="4"/>
  <c r="AC17" i="4"/>
  <c r="AC16" i="4"/>
  <c r="AF13" i="4"/>
  <c r="AF15" i="4"/>
  <c r="AC14" i="4"/>
  <c r="AC13" i="4"/>
  <c r="AC10" i="4"/>
  <c r="AC6" i="4"/>
  <c r="Z4" i="4"/>
  <c r="Z18" i="4"/>
  <c r="Z16" i="4"/>
  <c r="AC8" i="4"/>
  <c r="Z6" i="4"/>
  <c r="Z17" i="4"/>
  <c r="AC9" i="4"/>
  <c r="AF9" i="4"/>
  <c r="Z8" i="4"/>
  <c r="AF5" i="4"/>
  <c r="AC21" i="4"/>
  <c r="AC5" i="4"/>
  <c r="I11" i="8"/>
  <c r="I10" i="8"/>
  <c r="I9" i="8"/>
  <c r="AF5" i="8"/>
  <c r="F14" i="8"/>
  <c r="I4" i="8"/>
  <c r="I15" i="8"/>
  <c r="I14" i="8"/>
  <c r="I13" i="8"/>
  <c r="I8" i="8"/>
  <c r="I6" i="8"/>
  <c r="I17" i="8"/>
  <c r="I12" i="8"/>
  <c r="F5" i="4"/>
  <c r="Z21" i="5"/>
  <c r="AC18" i="5"/>
  <c r="AC17" i="5"/>
  <c r="Z16" i="5"/>
  <c r="AC15" i="5"/>
  <c r="Z14" i="5"/>
  <c r="AC13" i="5"/>
  <c r="AF11" i="5"/>
  <c r="AF10" i="5"/>
  <c r="AF9" i="5"/>
  <c r="Z8" i="5"/>
  <c r="AF7" i="5"/>
  <c r="AF6" i="5"/>
  <c r="AC4" i="5"/>
  <c r="AC22" i="5"/>
  <c r="AC19" i="5"/>
  <c r="Z18" i="5"/>
  <c r="Z17" i="5"/>
  <c r="Z15" i="5"/>
  <c r="Z13" i="5"/>
  <c r="AF12" i="5"/>
  <c r="AC11" i="5"/>
  <c r="AC10" i="5"/>
  <c r="AC9" i="5"/>
  <c r="AC21" i="5"/>
  <c r="AC16" i="5"/>
  <c r="AF14" i="5"/>
  <c r="Z12" i="5"/>
  <c r="Z19" i="5"/>
  <c r="AF16" i="5"/>
  <c r="AF13" i="5"/>
  <c r="AC12" i="5"/>
  <c r="AF8" i="5"/>
  <c r="Z7" i="5"/>
  <c r="Z6" i="5"/>
  <c r="AC5" i="5"/>
  <c r="Z11" i="5"/>
  <c r="AC8" i="5"/>
  <c r="Z5" i="5"/>
  <c r="AC20" i="5"/>
  <c r="AC14" i="5"/>
  <c r="AF4" i="5"/>
  <c r="AC6" i="5"/>
  <c r="Z4" i="5"/>
  <c r="Z9" i="5"/>
  <c r="AC7" i="5"/>
  <c r="AF5" i="5"/>
  <c r="Z10" i="5"/>
  <c r="AF15" i="5"/>
  <c r="Z20" i="5"/>
  <c r="AC21" i="7"/>
  <c r="Z20" i="7"/>
  <c r="Z19" i="7"/>
  <c r="Z18" i="7"/>
  <c r="AC17" i="7"/>
  <c r="AF15" i="7"/>
  <c r="AC14" i="7"/>
  <c r="AC12" i="7"/>
  <c r="AF10" i="7"/>
  <c r="AC9" i="7"/>
  <c r="AF8" i="7"/>
  <c r="Z21" i="7"/>
  <c r="Z17" i="7"/>
  <c r="AF16" i="7"/>
  <c r="AC15" i="7"/>
  <c r="Z14" i="7"/>
  <c r="AF13" i="7"/>
  <c r="Z12" i="7"/>
  <c r="AF11" i="7"/>
  <c r="AC10" i="7"/>
  <c r="Z9" i="7"/>
  <c r="AC8" i="7"/>
  <c r="Z16" i="7"/>
  <c r="Z10" i="7"/>
  <c r="AC7" i="7"/>
  <c r="AF6" i="7"/>
  <c r="AC20" i="7"/>
  <c r="AC18" i="7"/>
  <c r="AC13" i="7"/>
  <c r="AC11" i="7"/>
  <c r="Z7" i="7"/>
  <c r="AC6" i="7"/>
  <c r="AF5" i="7"/>
  <c r="AF4" i="7"/>
  <c r="AF14" i="7"/>
  <c r="Z13" i="7"/>
  <c r="Z11" i="7"/>
  <c r="Z6" i="7"/>
  <c r="AC4" i="7"/>
  <c r="AC22" i="7"/>
  <c r="AF7" i="7"/>
  <c r="AC19" i="7"/>
  <c r="AC5" i="7"/>
  <c r="Z4" i="7"/>
  <c r="AF9" i="7"/>
  <c r="Z5" i="7"/>
  <c r="Z15" i="7"/>
  <c r="Z8" i="7"/>
  <c r="AF12" i="7"/>
  <c r="AC16" i="7"/>
  <c r="Z4" i="8"/>
  <c r="F22" i="8" s="1"/>
  <c r="F18" i="8"/>
  <c r="AO13" i="5"/>
  <c r="AK12" i="5"/>
  <c r="AM8" i="5"/>
  <c r="AK5" i="5"/>
  <c r="AO4" i="5"/>
  <c r="AM13" i="5"/>
  <c r="AO11" i="5"/>
  <c r="AO10" i="5"/>
  <c r="AO9" i="5"/>
  <c r="AK8" i="5"/>
  <c r="AK10" i="5"/>
  <c r="AK11" i="5"/>
  <c r="AO7" i="5"/>
  <c r="AO6" i="5"/>
  <c r="AM4" i="5"/>
  <c r="AO12" i="5"/>
  <c r="AM9" i="5"/>
  <c r="AM7" i="5"/>
  <c r="AM6" i="5"/>
  <c r="AO5" i="5"/>
  <c r="AK4" i="5"/>
  <c r="AM12" i="5"/>
  <c r="AM10" i="5"/>
  <c r="AK9" i="5"/>
  <c r="AK7" i="5"/>
  <c r="AK6" i="5"/>
  <c r="AM5" i="5"/>
  <c r="AK13" i="5"/>
  <c r="AM11" i="5"/>
  <c r="AO8" i="5"/>
  <c r="F17" i="3"/>
  <c r="F5" i="7"/>
  <c r="BQ14" i="3"/>
  <c r="BQ13" i="3"/>
  <c r="BQ5" i="3"/>
  <c r="BQ15" i="3"/>
  <c r="BQ11" i="3"/>
  <c r="BQ8" i="3"/>
  <c r="BQ4" i="3"/>
  <c r="BQ10" i="3"/>
  <c r="BQ9" i="3"/>
  <c r="BQ7" i="3"/>
  <c r="BQ6" i="3"/>
  <c r="BQ12" i="3"/>
  <c r="M15" i="9"/>
  <c r="M12" i="9"/>
  <c r="M11" i="9"/>
  <c r="AO10" i="9"/>
  <c r="AO9" i="9"/>
  <c r="AO8" i="9"/>
  <c r="AO7" i="9"/>
  <c r="AO5" i="9"/>
  <c r="AO4" i="9"/>
  <c r="M10" i="9"/>
  <c r="M4" i="9"/>
  <c r="AO3" i="9"/>
  <c r="E16" i="9" s="1"/>
  <c r="M17" i="9"/>
  <c r="M13" i="9"/>
  <c r="M8" i="9"/>
  <c r="AO6" i="9"/>
  <c r="M9" i="9"/>
  <c r="M7" i="9"/>
  <c r="M14" i="9"/>
  <c r="M6" i="9"/>
  <c r="M16" i="9"/>
  <c r="M5" i="9"/>
  <c r="BE93" i="8"/>
  <c r="BB93" i="8" s="1"/>
  <c r="BE89" i="8"/>
  <c r="BB89" i="8" s="1"/>
  <c r="BE85" i="8"/>
  <c r="BB85" i="8" s="1"/>
  <c r="BE81" i="8"/>
  <c r="BB81" i="8" s="1"/>
  <c r="BE77" i="8"/>
  <c r="BB77" i="8" s="1"/>
  <c r="BE73" i="8"/>
  <c r="BB73" i="8" s="1"/>
  <c r="BE90" i="8"/>
  <c r="BB90" i="8" s="1"/>
  <c r="BE86" i="8"/>
  <c r="BB86" i="8" s="1"/>
  <c r="BE82" i="8"/>
  <c r="BB82" i="8" s="1"/>
  <c r="BE78" i="8"/>
  <c r="BB78" i="8" s="1"/>
  <c r="BE74" i="8"/>
  <c r="BB74" i="8" s="1"/>
  <c r="BE70" i="8"/>
  <c r="BB70" i="8" s="1"/>
  <c r="BE91" i="8"/>
  <c r="BB91" i="8" s="1"/>
  <c r="BE83" i="8"/>
  <c r="BB83" i="8" s="1"/>
  <c r="BE75" i="8"/>
  <c r="BB75" i="8" s="1"/>
  <c r="BE67" i="8"/>
  <c r="BB67" i="8" s="1"/>
  <c r="BE63" i="8"/>
  <c r="BB63" i="8" s="1"/>
  <c r="BE59" i="8"/>
  <c r="BB59" i="8" s="1"/>
  <c r="BE55" i="8"/>
  <c r="BB55" i="8" s="1"/>
  <c r="BE51" i="8"/>
  <c r="BB51" i="8" s="1"/>
  <c r="BE47" i="8"/>
  <c r="BB47" i="8" s="1"/>
  <c r="BE43" i="8"/>
  <c r="BB43" i="8" s="1"/>
  <c r="BE39" i="8"/>
  <c r="BB39" i="8" s="1"/>
  <c r="BE35" i="8"/>
  <c r="BB35" i="8" s="1"/>
  <c r="BE31" i="8"/>
  <c r="BB31" i="8" s="1"/>
  <c r="BE27" i="8"/>
  <c r="BB27" i="8" s="1"/>
  <c r="BE26" i="8"/>
  <c r="BB26" i="8" s="1"/>
  <c r="BE25" i="8"/>
  <c r="BB25" i="8" s="1"/>
  <c r="BE24" i="8"/>
  <c r="BB24" i="8" s="1"/>
  <c r="BE21" i="8"/>
  <c r="BB21" i="8" s="1"/>
  <c r="BE87" i="8"/>
  <c r="BB87" i="8" s="1"/>
  <c r="BE79" i="8"/>
  <c r="BB79" i="8" s="1"/>
  <c r="BE71" i="8"/>
  <c r="BB71" i="8" s="1"/>
  <c r="BE69" i="8"/>
  <c r="BB69" i="8" s="1"/>
  <c r="BE65" i="8"/>
  <c r="BB65" i="8" s="1"/>
  <c r="BE61" i="8"/>
  <c r="BB61" i="8" s="1"/>
  <c r="BE57" i="8"/>
  <c r="BB57" i="8" s="1"/>
  <c r="BE53" i="8"/>
  <c r="BB53" i="8" s="1"/>
  <c r="BE49" i="8"/>
  <c r="BB49" i="8" s="1"/>
  <c r="BE45" i="8"/>
  <c r="BB45" i="8" s="1"/>
  <c r="BE41" i="8"/>
  <c r="BB41" i="8" s="1"/>
  <c r="BE37" i="8"/>
  <c r="BB37" i="8" s="1"/>
  <c r="BE33" i="8"/>
  <c r="BB33" i="8" s="1"/>
  <c r="BE29" i="8"/>
  <c r="BB29" i="8" s="1"/>
  <c r="BE22" i="8"/>
  <c r="BB22" i="8" s="1"/>
  <c r="BE84" i="8"/>
  <c r="BB84" i="8" s="1"/>
  <c r="BE66" i="8"/>
  <c r="BB66" i="8" s="1"/>
  <c r="BE58" i="8"/>
  <c r="BB58" i="8" s="1"/>
  <c r="BE50" i="8"/>
  <c r="BB50" i="8" s="1"/>
  <c r="BE42" i="8"/>
  <c r="BB42" i="8" s="1"/>
  <c r="BE34" i="8"/>
  <c r="BB34" i="8" s="1"/>
  <c r="BE19" i="8"/>
  <c r="BB19" i="8" s="1"/>
  <c r="BE17" i="8"/>
  <c r="BB17" i="8" s="1"/>
  <c r="BE16" i="8"/>
  <c r="BB16" i="8" s="1"/>
  <c r="N15" i="8"/>
  <c r="N14" i="8"/>
  <c r="BE11" i="8"/>
  <c r="BB11" i="8" s="1"/>
  <c r="BE10" i="8"/>
  <c r="BB10" i="8" s="1"/>
  <c r="BE9" i="8"/>
  <c r="BB9" i="8" s="1"/>
  <c r="N5" i="8"/>
  <c r="N4" i="8"/>
  <c r="BE88" i="8"/>
  <c r="BB88" i="8" s="1"/>
  <c r="BE72" i="8"/>
  <c r="BB72" i="8" s="1"/>
  <c r="BE68" i="8"/>
  <c r="BB68" i="8" s="1"/>
  <c r="BE60" i="8"/>
  <c r="BB60" i="8" s="1"/>
  <c r="BE52" i="8"/>
  <c r="BB52" i="8" s="1"/>
  <c r="BE44" i="8"/>
  <c r="BB44" i="8" s="1"/>
  <c r="BE36" i="8"/>
  <c r="BB36" i="8" s="1"/>
  <c r="BE28" i="8"/>
  <c r="BB28" i="8" s="1"/>
  <c r="BE12" i="8"/>
  <c r="BB12" i="8" s="1"/>
  <c r="BE8" i="8"/>
  <c r="BB8" i="8" s="1"/>
  <c r="BE7" i="8"/>
  <c r="BB7" i="8" s="1"/>
  <c r="BE56" i="8"/>
  <c r="BB56" i="8" s="1"/>
  <c r="BE40" i="8"/>
  <c r="BB40" i="8" s="1"/>
  <c r="BE20" i="8"/>
  <c r="BB20" i="8" s="1"/>
  <c r="BE92" i="8"/>
  <c r="BB92" i="8" s="1"/>
  <c r="BE54" i="8"/>
  <c r="BB54" i="8" s="1"/>
  <c r="BE38" i="8"/>
  <c r="BB38" i="8" s="1"/>
  <c r="BE18" i="8"/>
  <c r="BB18" i="8" s="1"/>
  <c r="BE15" i="8"/>
  <c r="BB15" i="8" s="1"/>
  <c r="BE14" i="8"/>
  <c r="BB14" i="8" s="1"/>
  <c r="BE13" i="8"/>
  <c r="BB13" i="8" s="1"/>
  <c r="N8" i="8"/>
  <c r="BE5" i="8"/>
  <c r="BB5" i="8" s="1"/>
  <c r="BE4" i="8"/>
  <c r="BB4" i="8" s="1"/>
  <c r="BE76" i="8"/>
  <c r="BB76" i="8" s="1"/>
  <c r="BE62" i="8"/>
  <c r="BB62" i="8" s="1"/>
  <c r="BE30" i="8"/>
  <c r="BB30" i="8" s="1"/>
  <c r="BE80" i="8"/>
  <c r="BB80" i="8" s="1"/>
  <c r="BE64" i="8"/>
  <c r="BB64" i="8" s="1"/>
  <c r="BE32" i="8"/>
  <c r="BB32" i="8" s="1"/>
  <c r="BE23" i="8"/>
  <c r="BB23" i="8" s="1"/>
  <c r="BE6" i="8"/>
  <c r="BB6" i="8" s="1"/>
  <c r="BE48" i="8"/>
  <c r="BB48" i="8" s="1"/>
  <c r="N17" i="8"/>
  <c r="BE46" i="8"/>
  <c r="BB46" i="8" s="1"/>
  <c r="N9" i="8"/>
  <c r="N10" i="8"/>
  <c r="N11" i="8"/>
  <c r="N12" i="8"/>
  <c r="N16" i="8"/>
  <c r="F12" i="4"/>
  <c r="AK13" i="4"/>
  <c r="AO12" i="4"/>
  <c r="AM11" i="4"/>
  <c r="AM10" i="4"/>
  <c r="AM9" i="4"/>
  <c r="AM7" i="4"/>
  <c r="AO13" i="4"/>
  <c r="AK10" i="4"/>
  <c r="AO9" i="4"/>
  <c r="AM8" i="4"/>
  <c r="AK6" i="4"/>
  <c r="AM5" i="4"/>
  <c r="AM13" i="4"/>
  <c r="AK9" i="4"/>
  <c r="AK8" i="4"/>
  <c r="AK5" i="4"/>
  <c r="AO4" i="4"/>
  <c r="AM12" i="4"/>
  <c r="AO11" i="4"/>
  <c r="AO8" i="4"/>
  <c r="AO7" i="4"/>
  <c r="AK11" i="4"/>
  <c r="AK7" i="4"/>
  <c r="AO5" i="4"/>
  <c r="AO10" i="4"/>
  <c r="AK4" i="4"/>
  <c r="AK12" i="4"/>
  <c r="AO6" i="4"/>
  <c r="AM4" i="4"/>
  <c r="AM6" i="4"/>
  <c r="F12" i="5"/>
  <c r="F7" i="3"/>
  <c r="F6" i="3"/>
  <c r="CD12" i="3"/>
  <c r="CD6" i="3"/>
  <c r="CD10" i="3"/>
  <c r="CD9" i="3"/>
  <c r="CD7" i="3"/>
  <c r="CD5" i="3"/>
  <c r="CD14" i="3"/>
  <c r="CD13" i="3"/>
  <c r="CD8" i="3"/>
  <c r="CD15" i="3"/>
  <c r="CD11" i="3"/>
  <c r="CD4" i="3"/>
  <c r="AL6" i="9"/>
  <c r="S5" i="9"/>
  <c r="AD5" i="9"/>
  <c r="I12" i="9"/>
  <c r="AL11" i="9"/>
  <c r="I11" i="9"/>
  <c r="AL9" i="9"/>
  <c r="I14" i="9"/>
  <c r="AL10" i="9"/>
  <c r="AL7" i="9"/>
  <c r="I9" i="9"/>
  <c r="AL8" i="9"/>
  <c r="I7" i="9"/>
  <c r="AL5" i="9"/>
  <c r="AL4" i="9"/>
  <c r="AL3" i="9"/>
  <c r="I16" i="9"/>
  <c r="I5" i="9"/>
  <c r="I17" i="9"/>
  <c r="I6" i="9"/>
  <c r="I15" i="9"/>
  <c r="I8" i="9"/>
  <c r="I10" i="9"/>
  <c r="I13" i="9"/>
  <c r="I4" i="9"/>
  <c r="CP9" i="8"/>
  <c r="CP8" i="8"/>
  <c r="CP5" i="8"/>
  <c r="CP4" i="8"/>
  <c r="CP7" i="8"/>
  <c r="CP6" i="8"/>
  <c r="BW11" i="7" l="1"/>
  <c r="BW4" i="7"/>
  <c r="U4" i="8"/>
  <c r="R9" i="8"/>
  <c r="CA4" i="7"/>
  <c r="CA7" i="7"/>
  <c r="CA8" i="7"/>
  <c r="CA13" i="7"/>
  <c r="CA12" i="7"/>
  <c r="BW14" i="7"/>
  <c r="BW10" i="7"/>
  <c r="CA15" i="7"/>
  <c r="BW6" i="7"/>
  <c r="BW12" i="7"/>
  <c r="CE5" i="7"/>
  <c r="CA5" i="7"/>
  <c r="CA10" i="7"/>
  <c r="CA14" i="7"/>
  <c r="BW8" i="7"/>
  <c r="BW9" i="7"/>
  <c r="BW13" i="7"/>
  <c r="CE6" i="7"/>
  <c r="CE8" i="7"/>
  <c r="CA11" i="7"/>
  <c r="CA6" i="7"/>
  <c r="BW7" i="7"/>
  <c r="BW5" i="7"/>
  <c r="BQ8" i="5"/>
  <c r="BQ12" i="5"/>
  <c r="BQ7" i="5"/>
  <c r="E14" i="3"/>
  <c r="CH9" i="3" s="1"/>
  <c r="BQ5" i="5"/>
  <c r="BQ6" i="5"/>
  <c r="BQ15" i="5"/>
  <c r="BQ13" i="5"/>
  <c r="BQ9" i="5"/>
  <c r="BQ11" i="5"/>
  <c r="BQ4" i="5"/>
  <c r="BQ14" i="5"/>
  <c r="F5" i="8"/>
  <c r="BM12" i="8" s="1"/>
  <c r="E12" i="9"/>
  <c r="BK6" i="9" s="1"/>
  <c r="BQ15" i="4"/>
  <c r="BQ11" i="4"/>
  <c r="BQ8" i="4"/>
  <c r="BQ10" i="4"/>
  <c r="BQ4" i="4"/>
  <c r="BQ9" i="4"/>
  <c r="BQ6" i="4"/>
  <c r="BQ14" i="4"/>
  <c r="BQ13" i="4"/>
  <c r="BQ5" i="4"/>
  <c r="BQ12" i="4"/>
  <c r="BQ7" i="4"/>
  <c r="AE14" i="9"/>
  <c r="AH12" i="9"/>
  <c r="AH11" i="9"/>
  <c r="AE10" i="9"/>
  <c r="AE9" i="9"/>
  <c r="AE8" i="9"/>
  <c r="AE7" i="9"/>
  <c r="AE5" i="9"/>
  <c r="AE4" i="9"/>
  <c r="AE12" i="9"/>
  <c r="AE11" i="9"/>
  <c r="AH6" i="9"/>
  <c r="AH14" i="9"/>
  <c r="AE13" i="9"/>
  <c r="AH10" i="9"/>
  <c r="AH8" i="9"/>
  <c r="AH5" i="9"/>
  <c r="AH13" i="9"/>
  <c r="AE15" i="9"/>
  <c r="AH4" i="9"/>
  <c r="AH9" i="9"/>
  <c r="AE6" i="9"/>
  <c r="AH7" i="9"/>
  <c r="L25" i="13"/>
  <c r="E9" i="8"/>
  <c r="F12" i="8"/>
  <c r="BO12" i="9"/>
  <c r="BO10" i="9"/>
  <c r="BO9" i="9"/>
  <c r="BO8" i="9"/>
  <c r="BO7" i="9"/>
  <c r="BO5" i="9"/>
  <c r="BO4" i="9"/>
  <c r="BO11" i="9"/>
  <c r="BO6" i="9"/>
  <c r="BS15" i="7"/>
  <c r="BO14" i="7"/>
  <c r="BB13" i="7"/>
  <c r="BO12" i="7"/>
  <c r="BB11" i="7"/>
  <c r="BS10" i="7"/>
  <c r="BO9" i="7"/>
  <c r="BO8" i="7"/>
  <c r="BO15" i="7"/>
  <c r="BS13" i="7"/>
  <c r="BS11" i="7"/>
  <c r="BO10" i="7"/>
  <c r="BS14" i="7"/>
  <c r="BS8" i="7"/>
  <c r="BO7" i="7"/>
  <c r="BO6" i="7"/>
  <c r="BS5" i="7"/>
  <c r="BB5" i="7"/>
  <c r="BS4" i="7"/>
  <c r="BB4" i="7"/>
  <c r="BB14" i="7"/>
  <c r="BS12" i="7"/>
  <c r="BS9" i="7"/>
  <c r="BB8" i="7"/>
  <c r="BO5" i="7"/>
  <c r="BO4" i="7"/>
  <c r="BB15" i="7"/>
  <c r="BB9" i="7"/>
  <c r="BB7" i="7"/>
  <c r="BO13" i="7"/>
  <c r="BO11" i="7"/>
  <c r="BS7" i="7"/>
  <c r="BB6" i="7"/>
  <c r="BB12" i="7"/>
  <c r="BB10" i="7"/>
  <c r="BS6" i="7"/>
  <c r="CH12" i="8"/>
  <c r="CH8" i="8"/>
  <c r="CH7" i="8"/>
  <c r="CH6" i="8"/>
  <c r="CH5" i="8"/>
  <c r="CH4" i="8"/>
  <c r="CH11" i="8"/>
  <c r="CH10" i="8"/>
  <c r="CH9" i="8"/>
  <c r="CH15" i="8"/>
  <c r="CH14" i="8"/>
  <c r="CH13" i="8"/>
  <c r="CH10" i="3"/>
  <c r="CH5" i="3"/>
  <c r="CK8" i="3"/>
  <c r="CN13" i="3"/>
  <c r="CH6" i="3"/>
  <c r="CK5" i="3"/>
  <c r="CH11" i="3"/>
  <c r="AH21" i="8"/>
  <c r="AK21" i="8"/>
  <c r="AK18" i="8"/>
  <c r="AK16" i="8"/>
  <c r="AH15" i="8"/>
  <c r="AH14" i="8"/>
  <c r="AH13" i="8"/>
  <c r="AN12" i="8"/>
  <c r="AK11" i="8"/>
  <c r="AK10" i="8"/>
  <c r="AK9" i="8"/>
  <c r="AK7" i="8"/>
  <c r="AN6" i="8"/>
  <c r="AK20" i="8"/>
  <c r="AH18" i="8"/>
  <c r="AH16" i="8"/>
  <c r="AK12" i="8"/>
  <c r="AH11" i="8"/>
  <c r="AH10" i="8"/>
  <c r="AH9" i="8"/>
  <c r="AN8" i="8"/>
  <c r="AH7" i="8"/>
  <c r="AK6" i="8"/>
  <c r="AN5" i="8"/>
  <c r="AN4" i="8"/>
  <c r="AK22" i="8"/>
  <c r="AH19" i="8"/>
  <c r="AH8" i="8"/>
  <c r="AK5" i="8"/>
  <c r="AK4" i="8"/>
  <c r="AH20" i="8"/>
  <c r="AK17" i="8"/>
  <c r="AN11" i="8"/>
  <c r="AN10" i="8"/>
  <c r="AN9" i="8"/>
  <c r="AH5" i="8"/>
  <c r="AH4" i="8"/>
  <c r="AK19" i="8"/>
  <c r="AN16" i="8"/>
  <c r="AN13" i="8"/>
  <c r="AK8" i="8"/>
  <c r="AN7" i="8"/>
  <c r="AH17" i="8"/>
  <c r="AK15" i="8"/>
  <c r="AN14" i="8"/>
  <c r="AH12" i="8"/>
  <c r="AH6" i="8"/>
  <c r="AN15" i="8"/>
  <c r="AK14" i="8"/>
  <c r="AK13" i="8"/>
  <c r="F6" i="4"/>
  <c r="F7" i="4"/>
  <c r="BU25" i="3"/>
  <c r="BU20" i="3"/>
  <c r="BU16" i="3"/>
  <c r="BU15" i="3"/>
  <c r="BU11" i="3"/>
  <c r="BU8" i="3"/>
  <c r="BU24" i="3"/>
  <c r="BU21" i="3"/>
  <c r="BU12" i="3"/>
  <c r="BU4" i="3"/>
  <c r="BU18" i="3"/>
  <c r="BU10" i="3"/>
  <c r="BU22" i="3"/>
  <c r="BU17" i="3"/>
  <c r="BU26" i="3"/>
  <c r="BU9" i="3"/>
  <c r="BU7" i="3"/>
  <c r="BU6" i="3"/>
  <c r="BU19" i="3"/>
  <c r="BU5" i="3"/>
  <c r="BU23" i="3"/>
  <c r="BU14" i="3"/>
  <c r="BU13" i="3"/>
  <c r="F8" i="3"/>
  <c r="CD10" i="4"/>
  <c r="CD9" i="4"/>
  <c r="CD7" i="4"/>
  <c r="CD14" i="4"/>
  <c r="CD13" i="4"/>
  <c r="CD15" i="4"/>
  <c r="CD4" i="4"/>
  <c r="CD12" i="4"/>
  <c r="CD8" i="4"/>
  <c r="CD6" i="4"/>
  <c r="CD11" i="4"/>
  <c r="CD5" i="4"/>
  <c r="F15" i="9"/>
  <c r="F25" i="13"/>
  <c r="CL5" i="8"/>
  <c r="CL4" i="8"/>
  <c r="CL15" i="8"/>
  <c r="CL14" i="8"/>
  <c r="CL13" i="8"/>
  <c r="CL11" i="8"/>
  <c r="CL10" i="8"/>
  <c r="CL9" i="8"/>
  <c r="CL7" i="8"/>
  <c r="CL6" i="8"/>
  <c r="CL12" i="8"/>
  <c r="CL8" i="8"/>
  <c r="F6" i="5"/>
  <c r="F7" i="5"/>
  <c r="R8" i="8"/>
  <c r="R17" i="8"/>
  <c r="R6" i="8"/>
  <c r="R7" i="8"/>
  <c r="R16" i="8"/>
  <c r="R12" i="8"/>
  <c r="R13" i="8"/>
  <c r="R15" i="8"/>
  <c r="R4" i="8"/>
  <c r="R10" i="8"/>
  <c r="R11" i="8"/>
  <c r="R5" i="8"/>
  <c r="R14" i="8"/>
  <c r="BK11" i="9"/>
  <c r="BK9" i="9"/>
  <c r="BK4" i="9"/>
  <c r="F5" i="9"/>
  <c r="Y13" i="9"/>
  <c r="U6" i="9"/>
  <c r="U17" i="9"/>
  <c r="Y14" i="9"/>
  <c r="U13" i="9"/>
  <c r="Y10" i="9"/>
  <c r="Y9" i="9"/>
  <c r="Y8" i="9"/>
  <c r="Y7" i="9"/>
  <c r="Y4" i="9"/>
  <c r="U19" i="9"/>
  <c r="U15" i="9"/>
  <c r="U12" i="9"/>
  <c r="U11" i="9"/>
  <c r="U14" i="9"/>
  <c r="Y12" i="9"/>
  <c r="Y11" i="9"/>
  <c r="U7" i="9"/>
  <c r="Y6" i="9"/>
  <c r="U18" i="9"/>
  <c r="U16" i="9"/>
  <c r="U9" i="9"/>
  <c r="U5" i="9"/>
  <c r="U10" i="9"/>
  <c r="U8" i="9"/>
  <c r="Y5" i="9"/>
  <c r="U4" i="9"/>
  <c r="CD15" i="5"/>
  <c r="CD11" i="5"/>
  <c r="CD8" i="5"/>
  <c r="CD4" i="5"/>
  <c r="CD12" i="5"/>
  <c r="CD14" i="5"/>
  <c r="CD13" i="5"/>
  <c r="CD9" i="5"/>
  <c r="CD7" i="5"/>
  <c r="CD5" i="5"/>
  <c r="CD10" i="5"/>
  <c r="CD6" i="5"/>
  <c r="F7" i="7"/>
  <c r="F6" i="7"/>
  <c r="BM13" i="8" l="1"/>
  <c r="BM10" i="8"/>
  <c r="BM6" i="8"/>
  <c r="BM5" i="8"/>
  <c r="BM9" i="8"/>
  <c r="BM7" i="8"/>
  <c r="BM11" i="8"/>
  <c r="BM14" i="8"/>
  <c r="BM8" i="8"/>
  <c r="BM4" i="8"/>
  <c r="BM15" i="8"/>
  <c r="BK10" i="9"/>
  <c r="BK12" i="9"/>
  <c r="BK8" i="9"/>
  <c r="BK7" i="9"/>
  <c r="CN9" i="3"/>
  <c r="CH12" i="3"/>
  <c r="CN7" i="3"/>
  <c r="CK7" i="3"/>
  <c r="CN14" i="3"/>
  <c r="CH13" i="3"/>
  <c r="CH7" i="3"/>
  <c r="CK13" i="3"/>
  <c r="CH4" i="3"/>
  <c r="CK6" i="3"/>
  <c r="CK10" i="3"/>
  <c r="CH8" i="3"/>
  <c r="CK4" i="3"/>
  <c r="CH14" i="3"/>
  <c r="CN8" i="3"/>
  <c r="CK14" i="3"/>
  <c r="CN10" i="3"/>
  <c r="CR4" i="3"/>
  <c r="P25" i="13" s="1"/>
  <c r="CN5" i="3"/>
  <c r="CK9" i="3"/>
  <c r="CN6" i="3"/>
  <c r="CN4" i="3"/>
  <c r="H25" i="13"/>
  <c r="BK5" i="9"/>
  <c r="J21" i="13" s="1"/>
  <c r="F10" i="9"/>
  <c r="CD12" i="9" s="1"/>
  <c r="F15" i="8"/>
  <c r="BG11" i="9"/>
  <c r="BG6" i="9"/>
  <c r="BG10" i="9"/>
  <c r="BG4" i="9"/>
  <c r="BG8" i="9"/>
  <c r="BG5" i="9"/>
  <c r="BG12" i="9"/>
  <c r="BG9" i="9"/>
  <c r="BG7" i="9"/>
  <c r="F6" i="8"/>
  <c r="F7" i="8"/>
  <c r="BZ15" i="8"/>
  <c r="BZ14" i="8"/>
  <c r="BZ13" i="8"/>
  <c r="BZ11" i="8"/>
  <c r="BZ10" i="8"/>
  <c r="BZ9" i="8"/>
  <c r="BZ7" i="8"/>
  <c r="BZ6" i="8"/>
  <c r="BZ12" i="8"/>
  <c r="BZ5" i="8"/>
  <c r="BZ4" i="8"/>
  <c r="BZ8" i="8"/>
  <c r="F6" i="9"/>
  <c r="E9" i="9"/>
  <c r="F7" i="9"/>
  <c r="F8" i="9" s="1"/>
  <c r="BF23" i="7"/>
  <c r="BF16" i="7"/>
  <c r="BF26" i="7"/>
  <c r="BF22" i="7"/>
  <c r="BF14" i="7"/>
  <c r="BF12" i="7"/>
  <c r="BF9" i="7"/>
  <c r="BF8" i="7"/>
  <c r="BF25" i="7"/>
  <c r="BF20" i="7"/>
  <c r="BF18" i="7"/>
  <c r="BF13" i="7"/>
  <c r="BF11" i="7"/>
  <c r="BF24" i="7"/>
  <c r="BF15" i="7"/>
  <c r="BF7" i="7"/>
  <c r="BF21" i="7"/>
  <c r="BF17" i="7"/>
  <c r="BF6" i="7"/>
  <c r="BF19" i="7"/>
  <c r="BF5" i="7"/>
  <c r="BF10" i="7"/>
  <c r="BF4" i="7"/>
  <c r="F8" i="7"/>
  <c r="BC10" i="9"/>
  <c r="BC9" i="9"/>
  <c r="BC8" i="9"/>
  <c r="BC7" i="9"/>
  <c r="BC5" i="9"/>
  <c r="BC4" i="9"/>
  <c r="BC15" i="9"/>
  <c r="BC13" i="9"/>
  <c r="BC12" i="9"/>
  <c r="BC11" i="9"/>
  <c r="BC6" i="9"/>
  <c r="BC14" i="9"/>
  <c r="BU26" i="5"/>
  <c r="BU22" i="5"/>
  <c r="BU19" i="5"/>
  <c r="BU14" i="5"/>
  <c r="BU13" i="5"/>
  <c r="BU5" i="5"/>
  <c r="BU25" i="5"/>
  <c r="BU20" i="5"/>
  <c r="BU16" i="5"/>
  <c r="BU15" i="5"/>
  <c r="BU11" i="5"/>
  <c r="BU8" i="5"/>
  <c r="BU18" i="5"/>
  <c r="BU9" i="5"/>
  <c r="BU21" i="5"/>
  <c r="BU12" i="5"/>
  <c r="BU24" i="5"/>
  <c r="BU4" i="5"/>
  <c r="BU23" i="5"/>
  <c r="BU17" i="5"/>
  <c r="BU7" i="5"/>
  <c r="BU6" i="5"/>
  <c r="BU10" i="5"/>
  <c r="F8" i="5"/>
  <c r="BU24" i="4"/>
  <c r="BU21" i="4"/>
  <c r="BU12" i="4"/>
  <c r="BU23" i="4"/>
  <c r="BU11" i="4"/>
  <c r="BU9" i="4"/>
  <c r="BU8" i="4"/>
  <c r="BU6" i="4"/>
  <c r="BU22" i="4"/>
  <c r="BU20" i="4"/>
  <c r="BU18" i="4"/>
  <c r="BU17" i="4"/>
  <c r="BU16" i="4"/>
  <c r="BU14" i="4"/>
  <c r="BU13" i="4"/>
  <c r="BU5" i="4"/>
  <c r="BU26" i="4"/>
  <c r="BU15" i="4"/>
  <c r="BU19" i="4"/>
  <c r="BU7" i="4"/>
  <c r="BU4" i="4"/>
  <c r="BU10" i="4"/>
  <c r="BU25" i="4"/>
  <c r="F8" i="4"/>
  <c r="DF19" i="8"/>
  <c r="DF18" i="8"/>
  <c r="DF17" i="8"/>
  <c r="DF15" i="8"/>
  <c r="DF14" i="8"/>
  <c r="DF13" i="8"/>
  <c r="DF9" i="8"/>
  <c r="DF11" i="8"/>
  <c r="DF10" i="8"/>
  <c r="DF8" i="8"/>
  <c r="DF16" i="8"/>
  <c r="DF12" i="8"/>
  <c r="DF6" i="8"/>
  <c r="DF7" i="8"/>
  <c r="DF5" i="8"/>
  <c r="L21" i="13" l="1"/>
  <c r="F21" i="13"/>
  <c r="H21" i="13"/>
  <c r="N25" i="13"/>
  <c r="CD14" i="9"/>
  <c r="CD11" i="9"/>
  <c r="CD10" i="9"/>
  <c r="CD15" i="9"/>
  <c r="CD6" i="9"/>
  <c r="CD5" i="9"/>
  <c r="CD8" i="9"/>
  <c r="CD9" i="9"/>
  <c r="CD4" i="9"/>
  <c r="CD7" i="9"/>
  <c r="CD13" i="9"/>
  <c r="CD11" i="8"/>
  <c r="CD10" i="8"/>
  <c r="CD9" i="8"/>
  <c r="CD12" i="8"/>
  <c r="CD8" i="8"/>
  <c r="CD7" i="8"/>
  <c r="CD6" i="8"/>
  <c r="CD14" i="8"/>
  <c r="CD13" i="8"/>
  <c r="CD5" i="8"/>
  <c r="CD4" i="8"/>
  <c r="CD15" i="8"/>
  <c r="BQ23" i="8"/>
  <c r="BQ26" i="8"/>
  <c r="BQ24" i="8"/>
  <c r="BQ6" i="8"/>
  <c r="BQ22" i="8"/>
  <c r="BQ21" i="8"/>
  <c r="BQ18" i="8"/>
  <c r="BQ15" i="8"/>
  <c r="BQ14" i="8"/>
  <c r="BQ13" i="8"/>
  <c r="BQ5" i="8"/>
  <c r="BQ4" i="8"/>
  <c r="BQ17" i="8"/>
  <c r="BQ8" i="8"/>
  <c r="BQ16" i="8"/>
  <c r="BQ10" i="8"/>
  <c r="BQ19" i="8"/>
  <c r="BQ25" i="8"/>
  <c r="BQ9" i="8"/>
  <c r="BQ11" i="8"/>
  <c r="BQ7" i="8"/>
  <c r="BQ20" i="8"/>
  <c r="BQ12" i="8"/>
  <c r="F8" i="8"/>
  <c r="BS20" i="9"/>
  <c r="BV18" i="9"/>
  <c r="BS17" i="9"/>
  <c r="BV16" i="9"/>
  <c r="BS15" i="9"/>
  <c r="BV14" i="9"/>
  <c r="BS13" i="9"/>
  <c r="BS10" i="9"/>
  <c r="BS9" i="9"/>
  <c r="BS8" i="9"/>
  <c r="BS7" i="9"/>
  <c r="BS5" i="9"/>
  <c r="BS4" i="9"/>
  <c r="BV19" i="9"/>
  <c r="BS18" i="9"/>
  <c r="BS16" i="9"/>
  <c r="BS14" i="9"/>
  <c r="BV11" i="9"/>
  <c r="BV6" i="9"/>
  <c r="BV20" i="9"/>
  <c r="BV17" i="9"/>
  <c r="BV15" i="9"/>
  <c r="BV13" i="9"/>
  <c r="BS12" i="9"/>
  <c r="BV10" i="9"/>
  <c r="BS19" i="9"/>
  <c r="BV8" i="9"/>
  <c r="BV5" i="9"/>
  <c r="BV12" i="9"/>
  <c r="BS11" i="9"/>
  <c r="BV4" i="9"/>
  <c r="BV7" i="9"/>
  <c r="BS6" i="9"/>
  <c r="BV9" i="9"/>
  <c r="R21" i="13" l="1"/>
  <c r="N21" i="13"/>
</calcChain>
</file>

<file path=xl/sharedStrings.xml><?xml version="1.0" encoding="utf-8"?>
<sst xmlns="http://schemas.openxmlformats.org/spreadsheetml/2006/main" count="2243" uniqueCount="347">
  <si>
    <t>Блок</t>
  </si>
  <si>
    <t>БВ</t>
  </si>
  <si>
    <t>БОВ</t>
  </si>
  <si>
    <t>БГ</t>
  </si>
  <si>
    <t>БОВГ</t>
  </si>
  <si>
    <t>Нагрузка</t>
  </si>
  <si>
    <t>xx</t>
  </si>
  <si>
    <t>РП</t>
  </si>
  <si>
    <t>Рх</t>
  </si>
  <si>
    <t>хП</t>
  </si>
  <si>
    <t>С</t>
  </si>
  <si>
    <t>Т</t>
  </si>
  <si>
    <t>Т-2(50%)</t>
  </si>
  <si>
    <t>Т-2(75%)</t>
  </si>
  <si>
    <t>Т-2(100%)</t>
  </si>
  <si>
    <t>П</t>
  </si>
  <si>
    <t>0,10</t>
  </si>
  <si>
    <t>0,20</t>
  </si>
  <si>
    <t>0,30</t>
  </si>
  <si>
    <t>0,04</t>
  </si>
  <si>
    <t>0,05</t>
  </si>
  <si>
    <t>0,06</t>
  </si>
  <si>
    <t>0,07</t>
  </si>
  <si>
    <t>0,08</t>
  </si>
  <si>
    <t>0,09</t>
  </si>
  <si>
    <t>1,0</t>
  </si>
  <si>
    <t>2,0</t>
  </si>
  <si>
    <t>3,0</t>
  </si>
  <si>
    <t>4,0</t>
  </si>
  <si>
    <t>БОВ-1</t>
  </si>
  <si>
    <t>Диаметр трубопровода</t>
  </si>
  <si>
    <t>Клапан</t>
  </si>
  <si>
    <t>Насос</t>
  </si>
  <si>
    <t>TOP-SD</t>
  </si>
  <si>
    <t>Yonos MAXO-D</t>
  </si>
  <si>
    <t>Stratos-D</t>
  </si>
  <si>
    <t>Теплообменник</t>
  </si>
  <si>
    <t>Х1</t>
  </si>
  <si>
    <t>Х2</t>
  </si>
  <si>
    <t>Х3</t>
  </si>
  <si>
    <t>Х4</t>
  </si>
  <si>
    <t>Х5</t>
  </si>
  <si>
    <t>Х6</t>
  </si>
  <si>
    <t>Х7</t>
  </si>
  <si>
    <t>Х8</t>
  </si>
  <si>
    <t>Х9</t>
  </si>
  <si>
    <t>Х10</t>
  </si>
  <si>
    <t>Х11</t>
  </si>
  <si>
    <t>D1</t>
  </si>
  <si>
    <t>l</t>
  </si>
  <si>
    <t>h</t>
  </si>
  <si>
    <t>D2</t>
  </si>
  <si>
    <t>Dп</t>
  </si>
  <si>
    <t>IMI Hydronic</t>
  </si>
  <si>
    <t>Siemens</t>
  </si>
  <si>
    <t>Danfoss</t>
  </si>
  <si>
    <t>Gнас</t>
  </si>
  <si>
    <t>150-75</t>
  </si>
  <si>
    <t>130-75</t>
  </si>
  <si>
    <t>115-75</t>
  </si>
  <si>
    <t>105-75</t>
  </si>
  <si>
    <t>№</t>
  </si>
  <si>
    <t>Схема</t>
  </si>
  <si>
    <t>Ду</t>
  </si>
  <si>
    <t xml:space="preserve"> Kv</t>
  </si>
  <si>
    <t>Производитель</t>
  </si>
  <si>
    <t>Тип насоса</t>
  </si>
  <si>
    <t>Тип ТО</t>
  </si>
  <si>
    <t>Контролл.</t>
  </si>
  <si>
    <t>ША</t>
  </si>
  <si>
    <t>Q</t>
  </si>
  <si>
    <t>Гкал/ч</t>
  </si>
  <si>
    <t>G1</t>
  </si>
  <si>
    <t>ΔPкл</t>
  </si>
  <si>
    <t>TOP-SD 32/10 3~</t>
  </si>
  <si>
    <t>Yonos MAXO-D 32/0,5-11</t>
  </si>
  <si>
    <t>Stratos-D 32/1-12</t>
  </si>
  <si>
    <t>НН08</t>
  </si>
  <si>
    <t>1</t>
  </si>
  <si>
    <t>Зависимая</t>
  </si>
  <si>
    <t>01</t>
  </si>
  <si>
    <t>0</t>
  </si>
  <si>
    <t>отсутствует</t>
  </si>
  <si>
    <t>Segnetics</t>
  </si>
  <si>
    <t>отдельный</t>
  </si>
  <si>
    <t>Т1</t>
  </si>
  <si>
    <r>
      <rPr>
        <sz val="11"/>
        <color rgb="FF000000"/>
        <rFont val="Calibri"/>
        <family val="2"/>
        <charset val="204"/>
      </rPr>
      <t>°</t>
    </r>
    <r>
      <rPr>
        <sz val="11"/>
        <color rgb="FF000000"/>
        <rFont val="Calibri"/>
        <family val="2"/>
        <charset val="1"/>
      </rPr>
      <t>С</t>
    </r>
  </si>
  <si>
    <t>Kvрасч</t>
  </si>
  <si>
    <t>TOP-SD 40/10 3~</t>
  </si>
  <si>
    <t>Yonos MAXO-D 40/0,5-12</t>
  </si>
  <si>
    <t>Stratos-D 40/1-12</t>
  </si>
  <si>
    <t>НН14</t>
  </si>
  <si>
    <t>НН19</t>
  </si>
  <si>
    <t>НН20</t>
  </si>
  <si>
    <t>2</t>
  </si>
  <si>
    <t>Независимая</t>
  </si>
  <si>
    <t>02</t>
  </si>
  <si>
    <t>Учтен в БОВ-1</t>
  </si>
  <si>
    <t>Т2</t>
  </si>
  <si>
    <t>dкл</t>
  </si>
  <si>
    <t>TOP-SD 50/10 3~</t>
  </si>
  <si>
    <t>Yonos MAXO-D 50/0,5-12</t>
  </si>
  <si>
    <t>Stratos-D 50/1-12</t>
  </si>
  <si>
    <t>03</t>
  </si>
  <si>
    <t>3</t>
  </si>
  <si>
    <t>Т11</t>
  </si>
  <si>
    <t>Kv</t>
  </si>
  <si>
    <t>TOP-SD 40/15 3~</t>
  </si>
  <si>
    <t>Yonos MAXO-D 40/0,5-16</t>
  </si>
  <si>
    <t>Stratos-D 40/1-16</t>
  </si>
  <si>
    <t>04</t>
  </si>
  <si>
    <t>Т21</t>
  </si>
  <si>
    <t>TOP-SD 50/15 3~</t>
  </si>
  <si>
    <t>Yonos MAXO-D 50/0,5-16</t>
  </si>
  <si>
    <t>Stratos-D 50/1-16</t>
  </si>
  <si>
    <t>05</t>
  </si>
  <si>
    <t>4</t>
  </si>
  <si>
    <t>Р1</t>
  </si>
  <si>
    <t>м.в.ст.</t>
  </si>
  <si>
    <t>TOP-SD 65/15 3~</t>
  </si>
  <si>
    <t>Yonos MAXO-D 65/0,5-16</t>
  </si>
  <si>
    <t>Stratos-D 65/1-12</t>
  </si>
  <si>
    <t>НН47</t>
  </si>
  <si>
    <t>06</t>
  </si>
  <si>
    <t>5</t>
  </si>
  <si>
    <t>Р2</t>
  </si>
  <si>
    <t>TOP-SD 80/15 3~</t>
  </si>
  <si>
    <t>Yonos MAXO-D 80/0,5-12</t>
  </si>
  <si>
    <t>Stratos-D 80/1-12</t>
  </si>
  <si>
    <t>НН62</t>
  </si>
  <si>
    <t>07</t>
  </si>
  <si>
    <t>6</t>
  </si>
  <si>
    <t>Δpсов</t>
  </si>
  <si>
    <t>G2</t>
  </si>
  <si>
    <t>TOP-SD 80/20 3~</t>
  </si>
  <si>
    <t>DPL 80/115-2,2/2</t>
  </si>
  <si>
    <t>08</t>
  </si>
  <si>
    <t>ΔPтс</t>
  </si>
  <si>
    <t>09</t>
  </si>
  <si>
    <t>DPL 100/175-3/4</t>
  </si>
  <si>
    <t>10</t>
  </si>
  <si>
    <t>11</t>
  </si>
  <si>
    <t>12</t>
  </si>
  <si>
    <t>Контр.</t>
  </si>
  <si>
    <t>Gп</t>
  </si>
  <si>
    <t>13</t>
  </si>
  <si>
    <t>14</t>
  </si>
  <si>
    <t>Система</t>
  </si>
  <si>
    <t>15</t>
  </si>
  <si>
    <t>16</t>
  </si>
  <si>
    <t>g</t>
  </si>
  <si>
    <t>17</t>
  </si>
  <si>
    <t>kэ</t>
  </si>
  <si>
    <t>18</t>
  </si>
  <si>
    <t>19</t>
  </si>
  <si>
    <t>20</t>
  </si>
  <si>
    <t>21</t>
  </si>
  <si>
    <t>22</t>
  </si>
  <si>
    <t>23</t>
  </si>
  <si>
    <t>БОВ-2</t>
  </si>
  <si>
    <t>БОВ-3</t>
  </si>
  <si>
    <t>Т1/Т2</t>
  </si>
  <si>
    <t>Т11/Т21</t>
  </si>
  <si>
    <t>Рама ТО</t>
  </si>
  <si>
    <t>-</t>
  </si>
  <si>
    <t>.</t>
  </si>
  <si>
    <t>Yonos-MAXO-D</t>
  </si>
  <si>
    <t>на блоке</t>
  </si>
  <si>
    <t>Насос Wilo</t>
  </si>
  <si>
    <t>Счетчик ХВС</t>
  </si>
  <si>
    <t>Х12</t>
  </si>
  <si>
    <t>Х13</t>
  </si>
  <si>
    <t>Х14</t>
  </si>
  <si>
    <t>D3</t>
  </si>
  <si>
    <t>D4</t>
  </si>
  <si>
    <t>"Пульсар" 15</t>
  </si>
  <si>
    <t>НН08-16/1</t>
  </si>
  <si>
    <t>Т2'</t>
  </si>
  <si>
    <t>Т3</t>
  </si>
  <si>
    <t>Т4</t>
  </si>
  <si>
    <t>Счетчик</t>
  </si>
  <si>
    <t>Stratos-Z 25/1-8</t>
  </si>
  <si>
    <t xml:space="preserve"> Yonos MAXO-Z 25/0,5-7 </t>
  </si>
  <si>
    <t>"Пульсар" 20</t>
  </si>
  <si>
    <t>НН19-16/1</t>
  </si>
  <si>
    <t>Параллельная</t>
  </si>
  <si>
    <t>Stratos-Z 32/1-12</t>
  </si>
  <si>
    <t xml:space="preserve"> Yonos MAXO-Z 25/0,5-10</t>
  </si>
  <si>
    <t>"Пульсар" М 25</t>
  </si>
  <si>
    <t>НН19-16/2</t>
  </si>
  <si>
    <t>Смешанная</t>
  </si>
  <si>
    <t>Yonos MAXO-Z</t>
  </si>
  <si>
    <t xml:space="preserve"> Yonos MAXO-Z 30/0,5-12</t>
  </si>
  <si>
    <t>"Пульсар" М 32</t>
  </si>
  <si>
    <t>НН19-16/3</t>
  </si>
  <si>
    <t>Stratos-Z</t>
  </si>
  <si>
    <t>НН08-16/2</t>
  </si>
  <si>
    <t>Stratos-Z 40/1-12</t>
  </si>
  <si>
    <t xml:space="preserve"> Yonos MAXO-Z 40/0,5-12</t>
  </si>
  <si>
    <t>"Пульсар" М 40</t>
  </si>
  <si>
    <t>НН19-16/4</t>
  </si>
  <si>
    <t>НН14-16/1</t>
  </si>
  <si>
    <t>В1</t>
  </si>
  <si>
    <t>"Пульсар" Т 50</t>
  </si>
  <si>
    <t>НН14-16/2</t>
  </si>
  <si>
    <t>G3</t>
  </si>
  <si>
    <t>НН19-16/5</t>
  </si>
  <si>
    <t>НН21-16/2</t>
  </si>
  <si>
    <t>G4</t>
  </si>
  <si>
    <t>НН21-16/3</t>
  </si>
  <si>
    <t>НН47-16/2</t>
  </si>
  <si>
    <t>НН41-16/1</t>
  </si>
  <si>
    <t>НН41-16/2</t>
  </si>
  <si>
    <t>НН41-16/3</t>
  </si>
  <si>
    <t>БГ-С</t>
  </si>
  <si>
    <t>D2'</t>
  </si>
  <si>
    <t>QГВС</t>
  </si>
  <si>
    <t>G Т2'</t>
  </si>
  <si>
    <t>Тип</t>
  </si>
  <si>
    <t>G2'</t>
  </si>
  <si>
    <t>Клапан балансир</t>
  </si>
  <si>
    <t>Расходомеры</t>
  </si>
  <si>
    <t>D94</t>
  </si>
  <si>
    <t>Вогез</t>
  </si>
  <si>
    <t>РС20-6</t>
  </si>
  <si>
    <t>Т94</t>
  </si>
  <si>
    <t>Расход. Т1</t>
  </si>
  <si>
    <t>Расход. Т94</t>
  </si>
  <si>
    <t>Балансир</t>
  </si>
  <si>
    <t>15-1,6</t>
  </si>
  <si>
    <t>15-4,0</t>
  </si>
  <si>
    <t>ΔPклБ</t>
  </si>
  <si>
    <t>РС20-12</t>
  </si>
  <si>
    <t>2-хтрубная</t>
  </si>
  <si>
    <t>Отсутствует</t>
  </si>
  <si>
    <t>15-2,5</t>
  </si>
  <si>
    <t>20-6,3</t>
  </si>
  <si>
    <t>РС32-30</t>
  </si>
  <si>
    <t>3-хтрубная</t>
  </si>
  <si>
    <t>20-4,0</t>
  </si>
  <si>
    <t>25-8,0</t>
  </si>
  <si>
    <t>РС50-36</t>
  </si>
  <si>
    <t>КБЧ</t>
  </si>
  <si>
    <t>20-6,3,0</t>
  </si>
  <si>
    <t>32-16,0</t>
  </si>
  <si>
    <t>РС50-72</t>
  </si>
  <si>
    <t>25-10,0</t>
  </si>
  <si>
    <t>40-20,0</t>
  </si>
  <si>
    <t>РС65-60</t>
  </si>
  <si>
    <t>50-32,0</t>
  </si>
  <si>
    <t>РС80-90</t>
  </si>
  <si>
    <t>dклБ</t>
  </si>
  <si>
    <t>40-25,0</t>
  </si>
  <si>
    <t>65-50,0</t>
  </si>
  <si>
    <t>РС100-280</t>
  </si>
  <si>
    <t>7</t>
  </si>
  <si>
    <t>80-80,0</t>
  </si>
  <si>
    <t>РС150-630</t>
  </si>
  <si>
    <t>8</t>
  </si>
  <si>
    <t>65-40,0</t>
  </si>
  <si>
    <t>100-125,0</t>
  </si>
  <si>
    <t>9</t>
  </si>
  <si>
    <t>80-63,0</t>
  </si>
  <si>
    <t>125-160,0</t>
  </si>
  <si>
    <t>100-100,0</t>
  </si>
  <si>
    <t>Нету</t>
  </si>
  <si>
    <t>150-200,0</t>
  </si>
  <si>
    <t>150-250,0</t>
  </si>
  <si>
    <t>150-280,0</t>
  </si>
  <si>
    <t>Организация</t>
  </si>
  <si>
    <t>ИНН</t>
  </si>
  <si>
    <t>Контактное лицо</t>
  </si>
  <si>
    <t>Должность</t>
  </si>
  <si>
    <t>Контактный телефон</t>
  </si>
  <si>
    <t>Дата заполнения</t>
  </si>
  <si>
    <t>Объект</t>
  </si>
  <si>
    <t>Размеры помещения</t>
  </si>
  <si>
    <t>Длина</t>
  </si>
  <si>
    <t>Ширина</t>
  </si>
  <si>
    <t>Высота</t>
  </si>
  <si>
    <t>Наличие блока</t>
  </si>
  <si>
    <t>Температура</t>
  </si>
  <si>
    <t>Давление</t>
  </si>
  <si>
    <t>Автоматически</t>
  </si>
  <si>
    <t>Р1, МПа</t>
  </si>
  <si>
    <t>Р2, МПа</t>
  </si>
  <si>
    <t>Подпитка</t>
  </si>
  <si>
    <t>Наличие выступов, колонн</t>
  </si>
  <si>
    <t>Узел учета</t>
  </si>
  <si>
    <t>МПа</t>
  </si>
  <si>
    <t>Высота здания</t>
  </si>
  <si>
    <t>Отопление</t>
  </si>
  <si>
    <t>Вентиляция</t>
  </si>
  <si>
    <t>Контроллер</t>
  </si>
  <si>
    <t>Отдельный</t>
  </si>
  <si>
    <t>Теплосеть</t>
  </si>
  <si>
    <t>Потери давления</t>
  </si>
  <si>
    <t>Т12</t>
  </si>
  <si>
    <t>Т22</t>
  </si>
  <si>
    <t>Т13</t>
  </si>
  <si>
    <t>Т23</t>
  </si>
  <si>
    <t>Технология</t>
  </si>
  <si>
    <t>ГВС</t>
  </si>
  <si>
    <t>Давление ХВС</t>
  </si>
  <si>
    <t>Блок ввода
БВ</t>
  </si>
  <si>
    <t>Регулятор давления</t>
  </si>
  <si>
    <t>Ограничение расхода</t>
  </si>
  <si>
    <t>Есть</t>
  </si>
  <si>
    <t>kod1</t>
  </si>
  <si>
    <t>kod2</t>
  </si>
  <si>
    <t>kod3</t>
  </si>
  <si>
    <t>kod4</t>
  </si>
  <si>
    <t>Нет</t>
  </si>
  <si>
    <t>ADL</t>
  </si>
  <si>
    <t>Блок отоп./ 
вент. БОВ-1</t>
  </si>
  <si>
    <t>Клапан регулир-ий</t>
  </si>
  <si>
    <t>Шкаф авт-ки</t>
  </si>
  <si>
    <t>Блок отоп./ 
вент. БОВ-2</t>
  </si>
  <si>
    <t>Блок отоп./ 
вент. БОВ-3</t>
  </si>
  <si>
    <t>Блок ГВС
БГВ</t>
  </si>
  <si>
    <t>kod5</t>
  </si>
  <si>
    <t>kod6</t>
  </si>
  <si>
    <t>kod7</t>
  </si>
  <si>
    <t>Принудит. Смеш.</t>
  </si>
  <si>
    <t>БГВ</t>
  </si>
  <si>
    <t>Принуд. Паралл.</t>
  </si>
  <si>
    <t>Прямого действия</t>
  </si>
  <si>
    <t>Блок подпитки
БП-1</t>
  </si>
  <si>
    <t>Насосная станция</t>
  </si>
  <si>
    <t>Повысит. Насос</t>
  </si>
  <si>
    <t>Клапан солиноид.</t>
  </si>
  <si>
    <t>Расш. Бак</t>
  </si>
  <si>
    <t>MHIL</t>
  </si>
  <si>
    <t>Tork</t>
  </si>
  <si>
    <t>Wester</t>
  </si>
  <si>
    <t>Принудит. Да</t>
  </si>
  <si>
    <t>MHI</t>
  </si>
  <si>
    <t>Flamco</t>
  </si>
  <si>
    <t>БП-1</t>
  </si>
  <si>
    <t>Принуд. Нет</t>
  </si>
  <si>
    <t>Helix</t>
  </si>
  <si>
    <t>Reflex</t>
  </si>
  <si>
    <t>Блок подпитки
БП-2</t>
  </si>
  <si>
    <t>БП-2</t>
  </si>
  <si>
    <t>Блок подпитки
БП-3</t>
  </si>
  <si>
    <t>БП-3</t>
  </si>
  <si>
    <t>Дополнительная информация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</si>
</sst>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-* #,##0.00_р_._-;\-* #,##0.00_р_._-;_-* \-??_р_._-;_-@_-"/>
  </numFmts>
  <fonts count="6" x14ac:knownFonts="1">
    <font>
      <sz val="11"/>
      <color rgb="FF000000"/>
      <name val="Calibri"/>
      <family val="2"/>
      <charset val="1"/>
    </font>
    <font>
      <sz val="11"/>
      <color rgb="FF000000"/>
      <name val="Symbol"/>
      <family val="1"/>
      <charset val="2"/>
    </font>
    <font>
      <sz val="11"/>
      <color rgb="FF000000"/>
      <name val="Calibri"/>
      <family val="2"/>
      <charset val="204"/>
    </font>
    <font>
      <sz val="9"/>
      <color rgb="FF000000"/>
      <name val="Calibri"/>
      <family val="2"/>
      <charset val="1"/>
    </font>
    <font>
      <sz val="9"/>
      <color rgb="FF000000"/>
      <name val="Calibri"/>
      <family val="2"/>
      <charset val="204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B7DEE8"/>
        <bgColor rgb="FF99CCFF"/>
      </patternFill>
    </fill>
    <fill>
      <patternFill patternType="solid">
        <fgColor rgb="FFC3D69B"/>
        <bgColor rgb="FFB7DEE8"/>
      </patternFill>
    </fill>
    <fill>
      <patternFill patternType="solid">
        <fgColor rgb="FFF2F2F2"/>
        <bgColor rgb="FFFFFFCC"/>
      </patternFill>
    </fill>
  </fills>
  <borders count="40">
    <border>
      <left/>
      <right/>
      <top/>
      <bottom/>
      <diagonal/>
    </border>
    <border diagonalDown="1">
      <left style="medium">
        <color auto="1"/>
      </left>
      <right/>
      <top style="medium">
        <color auto="1"/>
      </top>
      <bottom/>
      <diagonal style="thin">
        <color auto="1"/>
      </diagonal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 diagonalDown="1">
      <left/>
      <right style="medium">
        <color auto="1"/>
      </right>
      <top/>
      <bottom style="medium">
        <color auto="1"/>
      </bottom>
      <diagonal style="thin">
        <color auto="1"/>
      </diagonal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165" fontId="5" fillId="0" borderId="0" applyBorder="0" applyProtection="0"/>
  </cellStyleXfs>
  <cellXfs count="207">
    <xf numFmtId="0" fontId="0" fillId="0" borderId="0" xfId="0"/>
    <xf numFmtId="0" fontId="0" fillId="0" borderId="0" xfId="0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7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164" fontId="0" fillId="0" borderId="13" xfId="0" applyNumberFormat="1" applyFont="1" applyBorder="1" applyAlignment="1">
      <alignment horizontal="center" vertical="center"/>
    </xf>
    <xf numFmtId="2" fontId="0" fillId="0" borderId="13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5" fontId="0" fillId="0" borderId="0" xfId="1" applyFont="1" applyBorder="1" applyAlignment="1" applyProtection="1"/>
    <xf numFmtId="165" fontId="0" fillId="2" borderId="0" xfId="1" applyFont="1" applyFill="1" applyBorder="1" applyAlignment="1" applyProtection="1"/>
    <xf numFmtId="0" fontId="0" fillId="0" borderId="0" xfId="0" applyBorder="1" applyAlignment="1">
      <alignment horizontal="center"/>
    </xf>
    <xf numFmtId="0" fontId="0" fillId="0" borderId="18" xfId="0" applyFont="1" applyBorder="1" applyAlignment="1"/>
    <xf numFmtId="0" fontId="0" fillId="0" borderId="19" xfId="0" applyFont="1" applyBorder="1" applyAlignment="1"/>
    <xf numFmtId="0" fontId="0" fillId="0" borderId="18" xfId="0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3" xfId="0" applyBorder="1"/>
    <xf numFmtId="0" fontId="0" fillId="0" borderId="0" xfId="0" applyAlignment="1"/>
    <xf numFmtId="0" fontId="0" fillId="0" borderId="4" xfId="0" applyBorder="1"/>
    <xf numFmtId="0" fontId="0" fillId="0" borderId="18" xfId="0" applyFont="1" applyBorder="1"/>
    <xf numFmtId="0" fontId="1" fillId="0" borderId="18" xfId="0" applyFont="1" applyBorder="1"/>
    <xf numFmtId="0" fontId="0" fillId="0" borderId="19" xfId="0" applyFont="1" applyBorder="1"/>
    <xf numFmtId="0" fontId="0" fillId="0" borderId="4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15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49" fontId="0" fillId="0" borderId="0" xfId="0" applyNumberFormat="1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6" xfId="0" applyFont="1" applyBorder="1" applyAlignment="1">
      <alignment horizontal="center"/>
    </xf>
    <xf numFmtId="49" fontId="0" fillId="0" borderId="0" xfId="0" applyNumberFormat="1" applyFont="1" applyBorder="1" applyAlignment="1">
      <alignment horizontal="center"/>
    </xf>
    <xf numFmtId="0" fontId="0" fillId="0" borderId="0" xfId="0" applyBorder="1"/>
    <xf numFmtId="0" fontId="0" fillId="0" borderId="0" xfId="0" applyFont="1" applyAlignment="1">
      <alignment horizontal="right"/>
    </xf>
    <xf numFmtId="0" fontId="0" fillId="3" borderId="0" xfId="0" applyFill="1"/>
    <xf numFmtId="2" fontId="0" fillId="0" borderId="0" xfId="0" applyNumberFormat="1" applyAlignment="1">
      <alignment horizontal="left"/>
    </xf>
    <xf numFmtId="0" fontId="0" fillId="0" borderId="16" xfId="0" applyBorder="1"/>
    <xf numFmtId="0" fontId="0" fillId="0" borderId="15" xfId="0" applyFont="1" applyBorder="1" applyAlignment="1">
      <alignment horizontal="left"/>
    </xf>
    <xf numFmtId="0" fontId="0" fillId="0" borderId="20" xfId="0" applyBorder="1"/>
    <xf numFmtId="0" fontId="0" fillId="0" borderId="21" xfId="0" applyBorder="1"/>
    <xf numFmtId="0" fontId="0" fillId="0" borderId="2" xfId="0" applyBorder="1"/>
    <xf numFmtId="0" fontId="0" fillId="0" borderId="0" xfId="0" applyBorder="1"/>
    <xf numFmtId="0" fontId="0" fillId="0" borderId="20" xfId="0" applyBorder="1" applyAlignment="1">
      <alignment horizontal="center"/>
    </xf>
    <xf numFmtId="0" fontId="0" fillId="0" borderId="7" xfId="0" applyBorder="1"/>
    <xf numFmtId="0" fontId="0" fillId="0" borderId="7" xfId="0" applyFont="1" applyBorder="1" applyAlignment="1">
      <alignment vertical="top" wrapText="1"/>
    </xf>
    <xf numFmtId="0" fontId="0" fillId="0" borderId="7" xfId="0" applyFont="1" applyBorder="1" applyAlignment="1">
      <alignment wrapText="1"/>
    </xf>
    <xf numFmtId="0" fontId="0" fillId="0" borderId="21" xfId="0" applyBorder="1"/>
    <xf numFmtId="0" fontId="0" fillId="0" borderId="15" xfId="0" applyBorder="1" applyAlignment="1">
      <alignment horizontal="center"/>
    </xf>
    <xf numFmtId="0" fontId="0" fillId="0" borderId="0" xfId="0" applyFont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0" fillId="0" borderId="0" xfId="0" applyAlignment="1">
      <alignment horizontal="left"/>
    </xf>
    <xf numFmtId="2" fontId="0" fillId="0" borderId="0" xfId="0" applyNumberFormat="1" applyBorder="1"/>
    <xf numFmtId="0" fontId="0" fillId="0" borderId="13" xfId="0" applyFont="1" applyBorder="1" applyAlignment="1">
      <alignment wrapText="1"/>
    </xf>
    <xf numFmtId="0" fontId="0" fillId="0" borderId="0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0" fillId="0" borderId="16" xfId="0" applyBorder="1"/>
    <xf numFmtId="0" fontId="0" fillId="0" borderId="15" xfId="0" applyBorder="1" applyAlignment="1">
      <alignment horizontal="center"/>
    </xf>
    <xf numFmtId="0" fontId="0" fillId="0" borderId="13" xfId="0" applyFont="1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22" xfId="0" applyFont="1" applyBorder="1" applyAlignment="1">
      <alignment wrapText="1"/>
    </xf>
    <xf numFmtId="0" fontId="0" fillId="0" borderId="17" xfId="0" applyBorder="1"/>
    <xf numFmtId="0" fontId="0" fillId="0" borderId="17" xfId="0" applyFont="1" applyBorder="1" applyAlignment="1">
      <alignment wrapText="1"/>
    </xf>
    <xf numFmtId="0" fontId="0" fillId="0" borderId="5" xfId="0" applyBorder="1"/>
    <xf numFmtId="0" fontId="0" fillId="0" borderId="22" xfId="0" applyBorder="1"/>
    <xf numFmtId="0" fontId="0" fillId="0" borderId="23" xfId="0" applyBorder="1" applyAlignment="1">
      <alignment horizontal="center" vertical="center"/>
    </xf>
    <xf numFmtId="0" fontId="0" fillId="0" borderId="23" xfId="0" applyBorder="1"/>
    <xf numFmtId="0" fontId="0" fillId="0" borderId="0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2" xfId="0" applyBorder="1"/>
    <xf numFmtId="0" fontId="0" fillId="0" borderId="23" xfId="0" applyBorder="1"/>
    <xf numFmtId="49" fontId="0" fillId="0" borderId="5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49" fontId="0" fillId="0" borderId="22" xfId="0" applyNumberFormat="1" applyBorder="1" applyAlignment="1">
      <alignment horizontal="center"/>
    </xf>
    <xf numFmtId="0" fontId="0" fillId="0" borderId="17" xfId="0" applyBorder="1"/>
    <xf numFmtId="0" fontId="0" fillId="0" borderId="5" xfId="0" applyBorder="1" applyAlignment="1">
      <alignment horizontal="center"/>
    </xf>
    <xf numFmtId="0" fontId="0" fillId="0" borderId="23" xfId="0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Fon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21" xfId="0" applyNumberFormat="1" applyFont="1" applyBorder="1" applyAlignment="1">
      <alignment horizontal="center" vertical="center"/>
    </xf>
    <xf numFmtId="2" fontId="0" fillId="0" borderId="0" xfId="0" applyNumberFormat="1"/>
    <xf numFmtId="0" fontId="0" fillId="0" borderId="16" xfId="0" applyFont="1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0" fillId="0" borderId="18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15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3" fillId="0" borderId="18" xfId="0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0" fillId="0" borderId="5" xfId="0" applyFont="1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4" borderId="37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/>
    </xf>
    <xf numFmtId="0" fontId="3" fillId="0" borderId="32" xfId="0" applyFont="1" applyBorder="1" applyAlignment="1">
      <alignment horizontal="center" vertical="center" wrapText="1"/>
    </xf>
    <xf numFmtId="0" fontId="3" fillId="4" borderId="31" xfId="0" applyFont="1" applyFill="1" applyBorder="1" applyAlignment="1">
      <alignment horizontal="center" vertical="center" wrapText="1"/>
    </xf>
    <xf numFmtId="0" fontId="3" fillId="4" borderId="32" xfId="0" applyFont="1" applyFill="1" applyBorder="1" applyAlignment="1">
      <alignment horizontal="center" vertical="center" wrapText="1"/>
    </xf>
    <xf numFmtId="0" fontId="3" fillId="4" borderId="32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0" fillId="0" borderId="0" xfId="0" applyNumberFormat="1"/>
    <xf numFmtId="0" fontId="0" fillId="0" borderId="7" xfId="0" applyNumberFormat="1" applyFont="1" applyBorder="1" applyAlignment="1">
      <alignment horizontal="center"/>
    </xf>
    <xf numFmtId="0" fontId="0" fillId="0" borderId="4" xfId="0" applyNumberFormat="1" applyBorder="1"/>
    <xf numFmtId="0" fontId="0" fillId="0" borderId="18" xfId="0" applyNumberFormat="1" applyFont="1" applyBorder="1"/>
    <xf numFmtId="0" fontId="1" fillId="0" borderId="18" xfId="0" applyNumberFormat="1" applyFont="1" applyBorder="1"/>
    <xf numFmtId="0" fontId="0" fillId="0" borderId="19" xfId="0" applyNumberFormat="1" applyFont="1" applyBorder="1"/>
    <xf numFmtId="0" fontId="0" fillId="0" borderId="0" xfId="0" applyNumberFormat="1" applyFont="1" applyAlignment="1">
      <alignment horizontal="right"/>
    </xf>
    <xf numFmtId="0" fontId="0" fillId="3" borderId="0" xfId="0" applyNumberFormat="1" applyFill="1"/>
    <xf numFmtId="0" fontId="0" fillId="0" borderId="15" xfId="0" applyNumberFormat="1" applyBorder="1"/>
    <xf numFmtId="0" fontId="0" fillId="0" borderId="0" xfId="0" applyNumberFormat="1" applyBorder="1"/>
    <xf numFmtId="0" fontId="0" fillId="0" borderId="16" xfId="0" applyNumberFormat="1" applyBorder="1"/>
    <xf numFmtId="0" fontId="2" fillId="0" borderId="0" xfId="0" applyNumberFormat="1" applyFont="1"/>
    <xf numFmtId="0" fontId="0" fillId="0" borderId="0" xfId="0" applyNumberFormat="1" applyFont="1" applyBorder="1" applyAlignment="1">
      <alignment horizontal="left"/>
    </xf>
    <xf numFmtId="0" fontId="0" fillId="0" borderId="0" xfId="0" applyNumberFormat="1" applyBorder="1" applyAlignment="1">
      <alignment horizontal="center"/>
    </xf>
    <xf numFmtId="0" fontId="2" fillId="0" borderId="0" xfId="0" applyNumberFormat="1" applyFont="1" applyAlignment="1">
      <alignment horizontal="right"/>
    </xf>
    <xf numFmtId="0" fontId="0" fillId="0" borderId="0" xfId="0" applyNumberFormat="1" applyBorder="1" applyAlignment="1">
      <alignment horizontal="right"/>
    </xf>
    <xf numFmtId="0" fontId="0" fillId="0" borderId="5" xfId="0" applyNumberFormat="1" applyBorder="1"/>
    <xf numFmtId="0" fontId="0" fillId="0" borderId="22" xfId="0" applyNumberFormat="1" applyBorder="1" applyAlignment="1">
      <alignment horizontal="right"/>
    </xf>
    <xf numFmtId="0" fontId="0" fillId="0" borderId="22" xfId="0" applyNumberFormat="1" applyBorder="1"/>
    <xf numFmtId="0" fontId="0" fillId="0" borderId="23" xfId="0" applyNumberFormat="1" applyBorder="1"/>
  </cellXfs>
  <cellStyles count="2">
    <cellStyle name="Обычный" xfId="0" builtinId="0"/>
    <cellStyle name="Финансовый" xfId="1" builtinId="3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69"/>
  <sheetViews>
    <sheetView zoomScaleNormal="100" workbookViewId="0">
      <selection activeCell="A26" sqref="A26:B26"/>
    </sheetView>
  </sheetViews>
  <sheetFormatPr defaultRowHeight="15" x14ac:dyDescent="0.25"/>
  <cols>
    <col min="1" max="2" width="9.140625" style="15" customWidth="1"/>
    <col min="3" max="6" width="12.85546875" style="15" customWidth="1"/>
    <col min="7" max="8" width="12.7109375" style="15" customWidth="1"/>
    <col min="9" max="11" width="19" style="15" customWidth="1"/>
    <col min="12" max="12" width="12.42578125" style="15" customWidth="1"/>
    <col min="13" max="14" width="16.7109375" style="15" customWidth="1"/>
    <col min="15" max="15" width="13" style="15" customWidth="1"/>
    <col min="16" max="16" width="18.85546875" style="15" customWidth="1"/>
    <col min="17" max="17" width="18.7109375" style="15" customWidth="1"/>
    <col min="18" max="1025" width="9.140625" style="15" customWidth="1"/>
  </cols>
  <sheetData>
    <row r="1" spans="1:17" x14ac:dyDescent="0.25">
      <c r="A1" s="16"/>
      <c r="B1" s="17" t="s">
        <v>0</v>
      </c>
      <c r="C1" s="14" t="s">
        <v>1</v>
      </c>
      <c r="D1" s="14"/>
      <c r="E1" s="14"/>
      <c r="F1" s="14"/>
      <c r="G1" s="14" t="s">
        <v>2</v>
      </c>
      <c r="H1" s="14"/>
      <c r="I1" s="14"/>
      <c r="J1" s="14"/>
      <c r="K1" s="14"/>
      <c r="L1" s="13" t="s">
        <v>3</v>
      </c>
      <c r="M1" s="13"/>
      <c r="N1" s="13"/>
      <c r="O1" s="14" t="s">
        <v>4</v>
      </c>
      <c r="P1" s="14"/>
      <c r="Q1" s="14"/>
    </row>
    <row r="2" spans="1:17" x14ac:dyDescent="0.25">
      <c r="A2" s="20" t="s">
        <v>5</v>
      </c>
      <c r="B2" s="21"/>
      <c r="C2" s="18" t="s">
        <v>6</v>
      </c>
      <c r="D2" s="18" t="s">
        <v>7</v>
      </c>
      <c r="E2" s="18" t="s">
        <v>8</v>
      </c>
      <c r="F2" s="22" t="s">
        <v>9</v>
      </c>
      <c r="G2" s="18" t="s">
        <v>10</v>
      </c>
      <c r="H2" s="18" t="s">
        <v>11</v>
      </c>
      <c r="I2" s="18" t="s">
        <v>12</v>
      </c>
      <c r="J2" s="18" t="s">
        <v>13</v>
      </c>
      <c r="K2" s="18" t="s">
        <v>14</v>
      </c>
      <c r="L2" s="18"/>
      <c r="M2" s="18" t="s">
        <v>10</v>
      </c>
      <c r="N2" s="19" t="s">
        <v>15</v>
      </c>
      <c r="O2" s="18"/>
      <c r="P2" s="18" t="s">
        <v>10</v>
      </c>
      <c r="Q2" s="18" t="s">
        <v>15</v>
      </c>
    </row>
    <row r="3" spans="1:17" x14ac:dyDescent="0.25">
      <c r="A3" s="12">
        <v>0.05</v>
      </c>
      <c r="B3" s="12"/>
      <c r="C3" s="24" t="str">
        <f t="shared" ref="C3:F22" si="0">$C$1&amp;"-"&amp;$A3&amp;"-"&amp;C$2</f>
        <v>БВ-0,05-xx</v>
      </c>
      <c r="D3" s="25" t="str">
        <f t="shared" si="0"/>
        <v>БВ-0,05-РП</v>
      </c>
      <c r="E3" s="25" t="str">
        <f t="shared" si="0"/>
        <v>БВ-0,05-Рх</v>
      </c>
      <c r="F3" s="26" t="str">
        <f t="shared" si="0"/>
        <v>БВ-0,05-хП</v>
      </c>
      <c r="G3" s="23" t="str">
        <f t="shared" ref="G3:K12" si="1">$G$1&amp;"-"&amp;$A3&amp;"-"&amp;G$2</f>
        <v>БОВ-0,05-С</v>
      </c>
      <c r="H3" s="23" t="str">
        <f t="shared" si="1"/>
        <v>БОВ-0,05-Т</v>
      </c>
      <c r="I3" s="23" t="str">
        <f t="shared" si="1"/>
        <v>БОВ-0,05-Т-2(50%)</v>
      </c>
      <c r="J3" s="23" t="str">
        <f t="shared" si="1"/>
        <v>БОВ-0,05-Т-2(75%)</v>
      </c>
      <c r="K3" s="23" t="str">
        <f t="shared" si="1"/>
        <v>БОВ-0,05-Т-2(100%)</v>
      </c>
      <c r="L3" s="26" t="str">
        <f t="shared" ref="L3:L34" si="2">$L$1&amp;"-"&amp;$A3</f>
        <v>БГ-0,05</v>
      </c>
      <c r="M3" s="27" t="str">
        <f t="shared" ref="M3:N22" si="3">$L$1&amp;"-"&amp;M$2&amp;"-"&amp;$A3&amp;"/"&amp;$A3</f>
        <v>БГ-С-0,05/0,05</v>
      </c>
      <c r="N3" s="27" t="str">
        <f t="shared" si="3"/>
        <v>БГ-П-0,05/0,05</v>
      </c>
      <c r="O3" s="28" t="str">
        <f t="shared" ref="O3:O34" si="4">$O$1&amp;"-"&amp;$A3</f>
        <v>БОВГ-0,05</v>
      </c>
      <c r="P3" s="28" t="str">
        <f t="shared" ref="P3:Q22" si="5">$O$1&amp;"-"&amp;P$2&amp;"-"&amp;$A3&amp;"/"&amp;$A3</f>
        <v>БОВГ-С-0,05/0,05</v>
      </c>
      <c r="Q3" s="28" t="str">
        <f t="shared" si="5"/>
        <v>БОВГ-П-0,05/0,05</v>
      </c>
    </row>
    <row r="4" spans="1:17" x14ac:dyDescent="0.25">
      <c r="A4" s="11">
        <v>0.06</v>
      </c>
      <c r="B4" s="11"/>
      <c r="C4" s="24" t="str">
        <f t="shared" si="0"/>
        <v>БВ-0,06-xx</v>
      </c>
      <c r="D4" s="24" t="str">
        <f t="shared" si="0"/>
        <v>БВ-0,06-РП</v>
      </c>
      <c r="E4" s="24" t="str">
        <f t="shared" si="0"/>
        <v>БВ-0,06-Рх</v>
      </c>
      <c r="F4" s="27" t="str">
        <f t="shared" si="0"/>
        <v>БВ-0,06-хП</v>
      </c>
      <c r="G4" s="29" t="str">
        <f t="shared" si="1"/>
        <v>БОВ-0,06-С</v>
      </c>
      <c r="H4" s="27" t="str">
        <f t="shared" si="1"/>
        <v>БОВ-0,06-Т</v>
      </c>
      <c r="I4" s="27" t="str">
        <f t="shared" si="1"/>
        <v>БОВ-0,06-Т-2(50%)</v>
      </c>
      <c r="J4" s="27" t="str">
        <f t="shared" si="1"/>
        <v>БОВ-0,06-Т-2(75%)</v>
      </c>
      <c r="K4" s="27" t="str">
        <f t="shared" si="1"/>
        <v>БОВ-0,06-Т-2(100%)</v>
      </c>
      <c r="L4" s="27" t="str">
        <f t="shared" si="2"/>
        <v>БГ-0,06</v>
      </c>
      <c r="M4" s="27" t="str">
        <f t="shared" si="3"/>
        <v>БГ-С-0,06/0,06</v>
      </c>
      <c r="N4" s="27" t="str">
        <f t="shared" si="3"/>
        <v>БГ-П-0,06/0,06</v>
      </c>
      <c r="O4" s="27" t="str">
        <f t="shared" si="4"/>
        <v>БОВГ-0,06</v>
      </c>
      <c r="P4" s="27" t="str">
        <f t="shared" si="5"/>
        <v>БОВГ-С-0,06/0,06</v>
      </c>
      <c r="Q4" s="27" t="str">
        <f t="shared" si="5"/>
        <v>БОВГ-П-0,06/0,06</v>
      </c>
    </row>
    <row r="5" spans="1:17" x14ac:dyDescent="0.25">
      <c r="A5" s="11">
        <v>7.0000000000000007E-2</v>
      </c>
      <c r="B5" s="11"/>
      <c r="C5" s="24" t="str">
        <f t="shared" si="0"/>
        <v>БВ-0,07-xx</v>
      </c>
      <c r="D5" s="24" t="str">
        <f t="shared" si="0"/>
        <v>БВ-0,07-РП</v>
      </c>
      <c r="E5" s="24" t="str">
        <f t="shared" si="0"/>
        <v>БВ-0,07-Рх</v>
      </c>
      <c r="F5" s="28" t="str">
        <f t="shared" si="0"/>
        <v>БВ-0,07-хП</v>
      </c>
      <c r="G5" s="29" t="str">
        <f t="shared" si="1"/>
        <v>БОВ-0,07-С</v>
      </c>
      <c r="H5" s="27" t="str">
        <f t="shared" si="1"/>
        <v>БОВ-0,07-Т</v>
      </c>
      <c r="I5" s="27" t="str">
        <f t="shared" si="1"/>
        <v>БОВ-0,07-Т-2(50%)</v>
      </c>
      <c r="J5" s="27" t="str">
        <f t="shared" si="1"/>
        <v>БОВ-0,07-Т-2(75%)</v>
      </c>
      <c r="K5" s="27" t="str">
        <f t="shared" si="1"/>
        <v>БОВ-0,07-Т-2(100%)</v>
      </c>
      <c r="L5" s="27" t="str">
        <f t="shared" si="2"/>
        <v>БГ-0,07</v>
      </c>
      <c r="M5" s="27" t="str">
        <f t="shared" si="3"/>
        <v>БГ-С-0,07/0,07</v>
      </c>
      <c r="N5" s="27" t="str">
        <f t="shared" si="3"/>
        <v>БГ-П-0,07/0,07</v>
      </c>
      <c r="O5" s="27" t="str">
        <f t="shared" si="4"/>
        <v>БОВГ-0,07</v>
      </c>
      <c r="P5" s="27" t="str">
        <f t="shared" si="5"/>
        <v>БОВГ-С-0,07/0,07</v>
      </c>
      <c r="Q5" s="27" t="str">
        <f t="shared" si="5"/>
        <v>БОВГ-П-0,07/0,07</v>
      </c>
    </row>
    <row r="6" spans="1:17" x14ac:dyDescent="0.25">
      <c r="A6" s="11">
        <v>0.08</v>
      </c>
      <c r="B6" s="11"/>
      <c r="C6" s="24" t="str">
        <f t="shared" si="0"/>
        <v>БВ-0,08-xx</v>
      </c>
      <c r="D6" s="24" t="str">
        <f t="shared" si="0"/>
        <v>БВ-0,08-РП</v>
      </c>
      <c r="E6" s="24" t="str">
        <f t="shared" si="0"/>
        <v>БВ-0,08-Рх</v>
      </c>
      <c r="F6" s="28" t="str">
        <f t="shared" si="0"/>
        <v>БВ-0,08-хП</v>
      </c>
      <c r="G6" s="29" t="str">
        <f t="shared" si="1"/>
        <v>БОВ-0,08-С</v>
      </c>
      <c r="H6" s="27" t="str">
        <f t="shared" si="1"/>
        <v>БОВ-0,08-Т</v>
      </c>
      <c r="I6" s="27" t="str">
        <f t="shared" si="1"/>
        <v>БОВ-0,08-Т-2(50%)</v>
      </c>
      <c r="J6" s="27" t="str">
        <f t="shared" si="1"/>
        <v>БОВ-0,08-Т-2(75%)</v>
      </c>
      <c r="K6" s="27" t="str">
        <f t="shared" si="1"/>
        <v>БОВ-0,08-Т-2(100%)</v>
      </c>
      <c r="L6" s="27" t="str">
        <f t="shared" si="2"/>
        <v>БГ-0,08</v>
      </c>
      <c r="M6" s="27" t="str">
        <f t="shared" si="3"/>
        <v>БГ-С-0,08/0,08</v>
      </c>
      <c r="N6" s="27" t="str">
        <f t="shared" si="3"/>
        <v>БГ-П-0,08/0,08</v>
      </c>
      <c r="O6" s="27" t="str">
        <f t="shared" si="4"/>
        <v>БОВГ-0,08</v>
      </c>
      <c r="P6" s="27" t="str">
        <f t="shared" si="5"/>
        <v>БОВГ-С-0,08/0,08</v>
      </c>
      <c r="Q6" s="27" t="str">
        <f t="shared" si="5"/>
        <v>БОВГ-П-0,08/0,08</v>
      </c>
    </row>
    <row r="7" spans="1:17" x14ac:dyDescent="0.25">
      <c r="A7" s="11">
        <v>0.09</v>
      </c>
      <c r="B7" s="11"/>
      <c r="C7" s="24" t="str">
        <f t="shared" si="0"/>
        <v>БВ-0,09-xx</v>
      </c>
      <c r="D7" s="24" t="str">
        <f t="shared" si="0"/>
        <v>БВ-0,09-РП</v>
      </c>
      <c r="E7" s="24" t="str">
        <f t="shared" si="0"/>
        <v>БВ-0,09-Рх</v>
      </c>
      <c r="F7" s="28" t="str">
        <f t="shared" si="0"/>
        <v>БВ-0,09-хП</v>
      </c>
      <c r="G7" s="29" t="str">
        <f t="shared" si="1"/>
        <v>БОВ-0,09-С</v>
      </c>
      <c r="H7" s="27" t="str">
        <f t="shared" si="1"/>
        <v>БОВ-0,09-Т</v>
      </c>
      <c r="I7" s="27" t="str">
        <f t="shared" si="1"/>
        <v>БОВ-0,09-Т-2(50%)</v>
      </c>
      <c r="J7" s="27" t="str">
        <f t="shared" si="1"/>
        <v>БОВ-0,09-Т-2(75%)</v>
      </c>
      <c r="K7" s="27" t="str">
        <f t="shared" si="1"/>
        <v>БОВ-0,09-Т-2(100%)</v>
      </c>
      <c r="L7" s="27" t="str">
        <f t="shared" si="2"/>
        <v>БГ-0,09</v>
      </c>
      <c r="M7" s="27" t="str">
        <f t="shared" si="3"/>
        <v>БГ-С-0,09/0,09</v>
      </c>
      <c r="N7" s="27" t="str">
        <f t="shared" si="3"/>
        <v>БГ-П-0,09/0,09</v>
      </c>
      <c r="O7" s="27" t="str">
        <f t="shared" si="4"/>
        <v>БОВГ-0,09</v>
      </c>
      <c r="P7" s="27" t="str">
        <f t="shared" si="5"/>
        <v>БОВГ-С-0,09/0,09</v>
      </c>
      <c r="Q7" s="27" t="str">
        <f t="shared" si="5"/>
        <v>БОВГ-П-0,09/0,09</v>
      </c>
    </row>
    <row r="8" spans="1:17" x14ac:dyDescent="0.25">
      <c r="A8" s="10" t="s">
        <v>16</v>
      </c>
      <c r="B8" s="10"/>
      <c r="C8" s="24" t="str">
        <f t="shared" si="0"/>
        <v>БВ-0,10-xx</v>
      </c>
      <c r="D8" s="24" t="str">
        <f t="shared" si="0"/>
        <v>БВ-0,10-РП</v>
      </c>
      <c r="E8" s="24" t="str">
        <f t="shared" si="0"/>
        <v>БВ-0,10-Рх</v>
      </c>
      <c r="F8" s="28" t="str">
        <f t="shared" si="0"/>
        <v>БВ-0,10-хП</v>
      </c>
      <c r="G8" s="29" t="str">
        <f t="shared" si="1"/>
        <v>БОВ-0,10-С</v>
      </c>
      <c r="H8" s="27" t="str">
        <f t="shared" si="1"/>
        <v>БОВ-0,10-Т</v>
      </c>
      <c r="I8" s="27" t="str">
        <f t="shared" si="1"/>
        <v>БОВ-0,10-Т-2(50%)</v>
      </c>
      <c r="J8" s="27" t="str">
        <f t="shared" si="1"/>
        <v>БОВ-0,10-Т-2(75%)</v>
      </c>
      <c r="K8" s="27" t="str">
        <f t="shared" si="1"/>
        <v>БОВ-0,10-Т-2(100%)</v>
      </c>
      <c r="L8" s="27" t="str">
        <f t="shared" si="2"/>
        <v>БГ-0,10</v>
      </c>
      <c r="M8" s="27" t="str">
        <f t="shared" si="3"/>
        <v>БГ-С-0,10/0,10</v>
      </c>
      <c r="N8" s="27" t="str">
        <f t="shared" si="3"/>
        <v>БГ-П-0,10/0,10</v>
      </c>
      <c r="O8" s="27" t="str">
        <f t="shared" si="4"/>
        <v>БОВГ-0,10</v>
      </c>
      <c r="P8" s="27" t="str">
        <f t="shared" si="5"/>
        <v>БОВГ-С-0,10/0,10</v>
      </c>
      <c r="Q8" s="27" t="str">
        <f t="shared" si="5"/>
        <v>БОВГ-П-0,10/0,10</v>
      </c>
    </row>
    <row r="9" spans="1:17" x14ac:dyDescent="0.25">
      <c r="A9" s="10">
        <v>0.15</v>
      </c>
      <c r="B9" s="10"/>
      <c r="C9" s="24" t="str">
        <f t="shared" si="0"/>
        <v>БВ-0,15-xx</v>
      </c>
      <c r="D9" s="24" t="str">
        <f t="shared" si="0"/>
        <v>БВ-0,15-РП</v>
      </c>
      <c r="E9" s="24" t="str">
        <f t="shared" si="0"/>
        <v>БВ-0,15-Рх</v>
      </c>
      <c r="F9" s="28" t="str">
        <f t="shared" si="0"/>
        <v>БВ-0,15-хП</v>
      </c>
      <c r="G9" s="29" t="str">
        <f t="shared" si="1"/>
        <v>БОВ-0,15-С</v>
      </c>
      <c r="H9" s="27" t="str">
        <f t="shared" si="1"/>
        <v>БОВ-0,15-Т</v>
      </c>
      <c r="I9" s="27" t="str">
        <f t="shared" si="1"/>
        <v>БОВ-0,15-Т-2(50%)</v>
      </c>
      <c r="J9" s="27" t="str">
        <f t="shared" si="1"/>
        <v>БОВ-0,15-Т-2(75%)</v>
      </c>
      <c r="K9" s="27" t="str">
        <f t="shared" si="1"/>
        <v>БОВ-0,15-Т-2(100%)</v>
      </c>
      <c r="L9" s="27" t="str">
        <f t="shared" si="2"/>
        <v>БГ-0,15</v>
      </c>
      <c r="M9" s="27" t="str">
        <f t="shared" si="3"/>
        <v>БГ-С-0,15/0,15</v>
      </c>
      <c r="N9" s="27" t="str">
        <f t="shared" si="3"/>
        <v>БГ-П-0,15/0,15</v>
      </c>
      <c r="O9" s="27" t="str">
        <f t="shared" si="4"/>
        <v>БОВГ-0,15</v>
      </c>
      <c r="P9" s="27" t="str">
        <f t="shared" si="5"/>
        <v>БОВГ-С-0,15/0,15</v>
      </c>
      <c r="Q9" s="27" t="str">
        <f t="shared" si="5"/>
        <v>БОВГ-П-0,15/0,15</v>
      </c>
    </row>
    <row r="10" spans="1:17" x14ac:dyDescent="0.25">
      <c r="A10" s="10" t="s">
        <v>17</v>
      </c>
      <c r="B10" s="10"/>
      <c r="C10" s="24" t="str">
        <f t="shared" si="0"/>
        <v>БВ-0,20-xx</v>
      </c>
      <c r="D10" s="24" t="str">
        <f t="shared" si="0"/>
        <v>БВ-0,20-РП</v>
      </c>
      <c r="E10" s="24" t="str">
        <f t="shared" si="0"/>
        <v>БВ-0,20-Рх</v>
      </c>
      <c r="F10" s="28" t="str">
        <f t="shared" si="0"/>
        <v>БВ-0,20-хП</v>
      </c>
      <c r="G10" s="29" t="str">
        <f t="shared" si="1"/>
        <v>БОВ-0,20-С</v>
      </c>
      <c r="H10" s="27" t="str">
        <f t="shared" si="1"/>
        <v>БОВ-0,20-Т</v>
      </c>
      <c r="I10" s="27" t="str">
        <f t="shared" si="1"/>
        <v>БОВ-0,20-Т-2(50%)</v>
      </c>
      <c r="J10" s="27" t="str">
        <f t="shared" si="1"/>
        <v>БОВ-0,20-Т-2(75%)</v>
      </c>
      <c r="K10" s="27" t="str">
        <f t="shared" si="1"/>
        <v>БОВ-0,20-Т-2(100%)</v>
      </c>
      <c r="L10" s="27" t="str">
        <f t="shared" si="2"/>
        <v>БГ-0,20</v>
      </c>
      <c r="M10" s="27" t="str">
        <f t="shared" si="3"/>
        <v>БГ-С-0,20/0,20</v>
      </c>
      <c r="N10" s="27" t="str">
        <f t="shared" si="3"/>
        <v>БГ-П-0,20/0,20</v>
      </c>
      <c r="O10" s="27" t="str">
        <f t="shared" si="4"/>
        <v>БОВГ-0,20</v>
      </c>
      <c r="P10" s="27" t="str">
        <f t="shared" si="5"/>
        <v>БОВГ-С-0,20/0,20</v>
      </c>
      <c r="Q10" s="27" t="str">
        <f t="shared" si="5"/>
        <v>БОВГ-П-0,20/0,20</v>
      </c>
    </row>
    <row r="11" spans="1:17" x14ac:dyDescent="0.25">
      <c r="A11" s="10">
        <v>0.25</v>
      </c>
      <c r="B11" s="10"/>
      <c r="C11" s="24" t="str">
        <f t="shared" si="0"/>
        <v>БВ-0,25-xx</v>
      </c>
      <c r="D11" s="24" t="str">
        <f t="shared" si="0"/>
        <v>БВ-0,25-РП</v>
      </c>
      <c r="E11" s="24" t="str">
        <f t="shared" si="0"/>
        <v>БВ-0,25-Рх</v>
      </c>
      <c r="F11" s="28" t="str">
        <f t="shared" si="0"/>
        <v>БВ-0,25-хП</v>
      </c>
      <c r="G11" s="29" t="str">
        <f t="shared" si="1"/>
        <v>БОВ-0,25-С</v>
      </c>
      <c r="H11" s="27" t="str">
        <f t="shared" si="1"/>
        <v>БОВ-0,25-Т</v>
      </c>
      <c r="I11" s="27" t="str">
        <f t="shared" si="1"/>
        <v>БОВ-0,25-Т-2(50%)</v>
      </c>
      <c r="J11" s="27" t="str">
        <f t="shared" si="1"/>
        <v>БОВ-0,25-Т-2(75%)</v>
      </c>
      <c r="K11" s="27" t="str">
        <f t="shared" si="1"/>
        <v>БОВ-0,25-Т-2(100%)</v>
      </c>
      <c r="L11" s="27" t="str">
        <f t="shared" si="2"/>
        <v>БГ-0,25</v>
      </c>
      <c r="M11" s="27" t="str">
        <f t="shared" si="3"/>
        <v>БГ-С-0,25/0,25</v>
      </c>
      <c r="N11" s="27" t="str">
        <f t="shared" si="3"/>
        <v>БГ-П-0,25/0,25</v>
      </c>
      <c r="O11" s="27" t="str">
        <f t="shared" si="4"/>
        <v>БОВГ-0,25</v>
      </c>
      <c r="P11" s="27" t="str">
        <f t="shared" si="5"/>
        <v>БОВГ-С-0,25/0,25</v>
      </c>
      <c r="Q11" s="27" t="str">
        <f t="shared" si="5"/>
        <v>БОВГ-П-0,25/0,25</v>
      </c>
    </row>
    <row r="12" spans="1:17" x14ac:dyDescent="0.25">
      <c r="A12" s="10" t="s">
        <v>18</v>
      </c>
      <c r="B12" s="10"/>
      <c r="C12" s="24" t="str">
        <f t="shared" si="0"/>
        <v>БВ-0,30-xx</v>
      </c>
      <c r="D12" s="24" t="str">
        <f t="shared" si="0"/>
        <v>БВ-0,30-РП</v>
      </c>
      <c r="E12" s="24" t="str">
        <f t="shared" si="0"/>
        <v>БВ-0,30-Рх</v>
      </c>
      <c r="F12" s="28" t="str">
        <f t="shared" si="0"/>
        <v>БВ-0,30-хП</v>
      </c>
      <c r="G12" s="29" t="str">
        <f t="shared" si="1"/>
        <v>БОВ-0,30-С</v>
      </c>
      <c r="H12" s="27" t="str">
        <f t="shared" si="1"/>
        <v>БОВ-0,30-Т</v>
      </c>
      <c r="I12" s="27" t="str">
        <f t="shared" si="1"/>
        <v>БОВ-0,30-Т-2(50%)</v>
      </c>
      <c r="J12" s="27" t="str">
        <f t="shared" si="1"/>
        <v>БОВ-0,30-Т-2(75%)</v>
      </c>
      <c r="K12" s="27" t="str">
        <f t="shared" si="1"/>
        <v>БОВ-0,30-Т-2(100%)</v>
      </c>
      <c r="L12" s="27" t="str">
        <f t="shared" si="2"/>
        <v>БГ-0,30</v>
      </c>
      <c r="M12" s="27" t="str">
        <f t="shared" si="3"/>
        <v>БГ-С-0,30/0,30</v>
      </c>
      <c r="N12" s="27" t="str">
        <f t="shared" si="3"/>
        <v>БГ-П-0,30/0,30</v>
      </c>
      <c r="O12" s="27" t="str">
        <f t="shared" si="4"/>
        <v>БОВГ-0,30</v>
      </c>
      <c r="P12" s="27" t="str">
        <f t="shared" si="5"/>
        <v>БОВГ-С-0,30/0,30</v>
      </c>
      <c r="Q12" s="27" t="str">
        <f t="shared" si="5"/>
        <v>БОВГ-П-0,30/0,30</v>
      </c>
    </row>
    <row r="13" spans="1:17" x14ac:dyDescent="0.25">
      <c r="A13" s="10">
        <v>0.35</v>
      </c>
      <c r="B13" s="10"/>
      <c r="C13" s="24" t="str">
        <f t="shared" si="0"/>
        <v>БВ-0,35-xx</v>
      </c>
      <c r="D13" s="24" t="str">
        <f t="shared" si="0"/>
        <v>БВ-0,35-РП</v>
      </c>
      <c r="E13" s="24" t="str">
        <f t="shared" si="0"/>
        <v>БВ-0,35-Рх</v>
      </c>
      <c r="F13" s="28" t="str">
        <f t="shared" si="0"/>
        <v>БВ-0,35-хП</v>
      </c>
      <c r="G13" s="29" t="str">
        <f t="shared" ref="G13:K22" si="6">$G$1&amp;"-"&amp;$A13&amp;"-"&amp;G$2</f>
        <v>БОВ-0,35-С</v>
      </c>
      <c r="H13" s="27" t="str">
        <f t="shared" si="6"/>
        <v>БОВ-0,35-Т</v>
      </c>
      <c r="I13" s="27" t="str">
        <f t="shared" si="6"/>
        <v>БОВ-0,35-Т-2(50%)</v>
      </c>
      <c r="J13" s="27" t="str">
        <f t="shared" si="6"/>
        <v>БОВ-0,35-Т-2(75%)</v>
      </c>
      <c r="K13" s="27" t="str">
        <f t="shared" si="6"/>
        <v>БОВ-0,35-Т-2(100%)</v>
      </c>
      <c r="L13" s="27" t="str">
        <f t="shared" si="2"/>
        <v>БГ-0,35</v>
      </c>
      <c r="M13" s="27" t="str">
        <f t="shared" si="3"/>
        <v>БГ-С-0,35/0,35</v>
      </c>
      <c r="N13" s="27" t="str">
        <f t="shared" si="3"/>
        <v>БГ-П-0,35/0,35</v>
      </c>
      <c r="O13" s="27" t="str">
        <f t="shared" si="4"/>
        <v>БОВГ-0,35</v>
      </c>
      <c r="P13" s="27" t="str">
        <f t="shared" si="5"/>
        <v>БОВГ-С-0,35/0,35</v>
      </c>
      <c r="Q13" s="27" t="str">
        <f t="shared" si="5"/>
        <v>БОВГ-П-0,35/0,35</v>
      </c>
    </row>
    <row r="14" spans="1:17" x14ac:dyDescent="0.25">
      <c r="A14" s="10" t="s">
        <v>19</v>
      </c>
      <c r="B14" s="10"/>
      <c r="C14" s="24" t="str">
        <f t="shared" si="0"/>
        <v>БВ-0,04-xx</v>
      </c>
      <c r="D14" s="24" t="str">
        <f t="shared" si="0"/>
        <v>БВ-0,04-РП</v>
      </c>
      <c r="E14" s="24" t="str">
        <f t="shared" si="0"/>
        <v>БВ-0,04-Рх</v>
      </c>
      <c r="F14" s="28" t="str">
        <f t="shared" si="0"/>
        <v>БВ-0,04-хП</v>
      </c>
      <c r="G14" s="29" t="str">
        <f t="shared" si="6"/>
        <v>БОВ-0,04-С</v>
      </c>
      <c r="H14" s="27" t="str">
        <f t="shared" si="6"/>
        <v>БОВ-0,04-Т</v>
      </c>
      <c r="I14" s="27" t="str">
        <f t="shared" si="6"/>
        <v>БОВ-0,04-Т-2(50%)</v>
      </c>
      <c r="J14" s="27" t="str">
        <f t="shared" si="6"/>
        <v>БОВ-0,04-Т-2(75%)</v>
      </c>
      <c r="K14" s="27" t="str">
        <f t="shared" si="6"/>
        <v>БОВ-0,04-Т-2(100%)</v>
      </c>
      <c r="L14" s="27" t="str">
        <f t="shared" si="2"/>
        <v>БГ-0,04</v>
      </c>
      <c r="M14" s="27" t="str">
        <f t="shared" si="3"/>
        <v>БГ-С-0,04/0,04</v>
      </c>
      <c r="N14" s="27" t="str">
        <f t="shared" si="3"/>
        <v>БГ-П-0,04/0,04</v>
      </c>
      <c r="O14" s="27" t="str">
        <f t="shared" si="4"/>
        <v>БОВГ-0,04</v>
      </c>
      <c r="P14" s="27" t="str">
        <f t="shared" si="5"/>
        <v>БОВГ-С-0,04/0,04</v>
      </c>
      <c r="Q14" s="27" t="str">
        <f t="shared" si="5"/>
        <v>БОВГ-П-0,04/0,04</v>
      </c>
    </row>
    <row r="15" spans="1:17" x14ac:dyDescent="0.25">
      <c r="A15" s="10">
        <v>0.45</v>
      </c>
      <c r="B15" s="10"/>
      <c r="C15" s="24" t="str">
        <f t="shared" si="0"/>
        <v>БВ-0,45-xx</v>
      </c>
      <c r="D15" s="24" t="str">
        <f t="shared" si="0"/>
        <v>БВ-0,45-РП</v>
      </c>
      <c r="E15" s="24" t="str">
        <f t="shared" si="0"/>
        <v>БВ-0,45-Рх</v>
      </c>
      <c r="F15" s="28" t="str">
        <f t="shared" si="0"/>
        <v>БВ-0,45-хП</v>
      </c>
      <c r="G15" s="29" t="str">
        <f t="shared" si="6"/>
        <v>БОВ-0,45-С</v>
      </c>
      <c r="H15" s="27" t="str">
        <f t="shared" si="6"/>
        <v>БОВ-0,45-Т</v>
      </c>
      <c r="I15" s="27" t="str">
        <f t="shared" si="6"/>
        <v>БОВ-0,45-Т-2(50%)</v>
      </c>
      <c r="J15" s="27" t="str">
        <f t="shared" si="6"/>
        <v>БОВ-0,45-Т-2(75%)</v>
      </c>
      <c r="K15" s="27" t="str">
        <f t="shared" si="6"/>
        <v>БОВ-0,45-Т-2(100%)</v>
      </c>
      <c r="L15" s="27" t="str">
        <f t="shared" si="2"/>
        <v>БГ-0,45</v>
      </c>
      <c r="M15" s="27" t="str">
        <f t="shared" si="3"/>
        <v>БГ-С-0,45/0,45</v>
      </c>
      <c r="N15" s="27" t="str">
        <f t="shared" si="3"/>
        <v>БГ-П-0,45/0,45</v>
      </c>
      <c r="O15" s="27" t="str">
        <f t="shared" si="4"/>
        <v>БОВГ-0,45</v>
      </c>
      <c r="P15" s="27" t="str">
        <f t="shared" si="5"/>
        <v>БОВГ-С-0,45/0,45</v>
      </c>
      <c r="Q15" s="27" t="str">
        <f t="shared" si="5"/>
        <v>БОВГ-П-0,45/0,45</v>
      </c>
    </row>
    <row r="16" spans="1:17" x14ac:dyDescent="0.25">
      <c r="A16" s="10" t="s">
        <v>20</v>
      </c>
      <c r="B16" s="10"/>
      <c r="C16" s="24" t="str">
        <f t="shared" si="0"/>
        <v>БВ-0,05-xx</v>
      </c>
      <c r="D16" s="24" t="str">
        <f t="shared" si="0"/>
        <v>БВ-0,05-РП</v>
      </c>
      <c r="E16" s="24" t="str">
        <f t="shared" si="0"/>
        <v>БВ-0,05-Рх</v>
      </c>
      <c r="F16" s="28" t="str">
        <f t="shared" si="0"/>
        <v>БВ-0,05-хП</v>
      </c>
      <c r="G16" s="29" t="str">
        <f t="shared" si="6"/>
        <v>БОВ-0,05-С</v>
      </c>
      <c r="H16" s="27" t="str">
        <f t="shared" si="6"/>
        <v>БОВ-0,05-Т</v>
      </c>
      <c r="I16" s="27" t="str">
        <f t="shared" si="6"/>
        <v>БОВ-0,05-Т-2(50%)</v>
      </c>
      <c r="J16" s="27" t="str">
        <f t="shared" si="6"/>
        <v>БОВ-0,05-Т-2(75%)</v>
      </c>
      <c r="K16" s="27" t="str">
        <f t="shared" si="6"/>
        <v>БОВ-0,05-Т-2(100%)</v>
      </c>
      <c r="L16" s="27" t="str">
        <f t="shared" si="2"/>
        <v>БГ-0,05</v>
      </c>
      <c r="M16" s="27" t="str">
        <f t="shared" si="3"/>
        <v>БГ-С-0,05/0,05</v>
      </c>
      <c r="N16" s="27" t="str">
        <f t="shared" si="3"/>
        <v>БГ-П-0,05/0,05</v>
      </c>
      <c r="O16" s="27" t="str">
        <f t="shared" si="4"/>
        <v>БОВГ-0,05</v>
      </c>
      <c r="P16" s="27" t="str">
        <f t="shared" si="5"/>
        <v>БОВГ-С-0,05/0,05</v>
      </c>
      <c r="Q16" s="27" t="str">
        <f t="shared" si="5"/>
        <v>БОВГ-П-0,05/0,05</v>
      </c>
    </row>
    <row r="17" spans="1:17" x14ac:dyDescent="0.25">
      <c r="A17" s="10">
        <v>0.55000000000000004</v>
      </c>
      <c r="B17" s="10"/>
      <c r="C17" s="24" t="str">
        <f t="shared" si="0"/>
        <v>БВ-0,55-xx</v>
      </c>
      <c r="D17" s="24" t="str">
        <f t="shared" si="0"/>
        <v>БВ-0,55-РП</v>
      </c>
      <c r="E17" s="24" t="str">
        <f t="shared" si="0"/>
        <v>БВ-0,55-Рх</v>
      </c>
      <c r="F17" s="28" t="str">
        <f t="shared" si="0"/>
        <v>БВ-0,55-хП</v>
      </c>
      <c r="G17" s="29" t="str">
        <f t="shared" si="6"/>
        <v>БОВ-0,55-С</v>
      </c>
      <c r="H17" s="27" t="str">
        <f t="shared" si="6"/>
        <v>БОВ-0,55-Т</v>
      </c>
      <c r="I17" s="27" t="str">
        <f t="shared" si="6"/>
        <v>БОВ-0,55-Т-2(50%)</v>
      </c>
      <c r="J17" s="27" t="str">
        <f t="shared" si="6"/>
        <v>БОВ-0,55-Т-2(75%)</v>
      </c>
      <c r="K17" s="27" t="str">
        <f t="shared" si="6"/>
        <v>БОВ-0,55-Т-2(100%)</v>
      </c>
      <c r="L17" s="27" t="str">
        <f t="shared" si="2"/>
        <v>БГ-0,55</v>
      </c>
      <c r="M17" s="27" t="str">
        <f t="shared" si="3"/>
        <v>БГ-С-0,55/0,55</v>
      </c>
      <c r="N17" s="27" t="str">
        <f t="shared" si="3"/>
        <v>БГ-П-0,55/0,55</v>
      </c>
      <c r="O17" s="27" t="str">
        <f t="shared" si="4"/>
        <v>БОВГ-0,55</v>
      </c>
      <c r="P17" s="27" t="str">
        <f t="shared" si="5"/>
        <v>БОВГ-С-0,55/0,55</v>
      </c>
      <c r="Q17" s="27" t="str">
        <f t="shared" si="5"/>
        <v>БОВГ-П-0,55/0,55</v>
      </c>
    </row>
    <row r="18" spans="1:17" x14ac:dyDescent="0.25">
      <c r="A18" s="10" t="s">
        <v>21</v>
      </c>
      <c r="B18" s="10"/>
      <c r="C18" s="24" t="str">
        <f t="shared" si="0"/>
        <v>БВ-0,06-xx</v>
      </c>
      <c r="D18" s="24" t="str">
        <f t="shared" si="0"/>
        <v>БВ-0,06-РП</v>
      </c>
      <c r="E18" s="24" t="str">
        <f t="shared" si="0"/>
        <v>БВ-0,06-Рх</v>
      </c>
      <c r="F18" s="28" t="str">
        <f t="shared" si="0"/>
        <v>БВ-0,06-хП</v>
      </c>
      <c r="G18" s="29" t="str">
        <f t="shared" si="6"/>
        <v>БОВ-0,06-С</v>
      </c>
      <c r="H18" s="27" t="str">
        <f t="shared" si="6"/>
        <v>БОВ-0,06-Т</v>
      </c>
      <c r="I18" s="27" t="str">
        <f t="shared" si="6"/>
        <v>БОВ-0,06-Т-2(50%)</v>
      </c>
      <c r="J18" s="27" t="str">
        <f t="shared" si="6"/>
        <v>БОВ-0,06-Т-2(75%)</v>
      </c>
      <c r="K18" s="27" t="str">
        <f t="shared" si="6"/>
        <v>БОВ-0,06-Т-2(100%)</v>
      </c>
      <c r="L18" s="27" t="str">
        <f t="shared" si="2"/>
        <v>БГ-0,06</v>
      </c>
      <c r="M18" s="27" t="str">
        <f t="shared" si="3"/>
        <v>БГ-С-0,06/0,06</v>
      </c>
      <c r="N18" s="27" t="str">
        <f t="shared" si="3"/>
        <v>БГ-П-0,06/0,06</v>
      </c>
      <c r="O18" s="27" t="str">
        <f t="shared" si="4"/>
        <v>БОВГ-0,06</v>
      </c>
      <c r="P18" s="27" t="str">
        <f t="shared" si="5"/>
        <v>БОВГ-С-0,06/0,06</v>
      </c>
      <c r="Q18" s="27" t="str">
        <f t="shared" si="5"/>
        <v>БОВГ-П-0,06/0,06</v>
      </c>
    </row>
    <row r="19" spans="1:17" x14ac:dyDescent="0.25">
      <c r="A19" s="10">
        <v>0.65</v>
      </c>
      <c r="B19" s="10"/>
      <c r="C19" s="24" t="str">
        <f t="shared" si="0"/>
        <v>БВ-0,65-xx</v>
      </c>
      <c r="D19" s="24" t="str">
        <f t="shared" si="0"/>
        <v>БВ-0,65-РП</v>
      </c>
      <c r="E19" s="24" t="str">
        <f t="shared" si="0"/>
        <v>БВ-0,65-Рх</v>
      </c>
      <c r="F19" s="28" t="str">
        <f t="shared" si="0"/>
        <v>БВ-0,65-хП</v>
      </c>
      <c r="G19" s="29" t="str">
        <f t="shared" si="6"/>
        <v>БОВ-0,65-С</v>
      </c>
      <c r="H19" s="27" t="str">
        <f t="shared" si="6"/>
        <v>БОВ-0,65-Т</v>
      </c>
      <c r="I19" s="27" t="str">
        <f t="shared" si="6"/>
        <v>БОВ-0,65-Т-2(50%)</v>
      </c>
      <c r="J19" s="27" t="str">
        <f t="shared" si="6"/>
        <v>БОВ-0,65-Т-2(75%)</v>
      </c>
      <c r="K19" s="27" t="str">
        <f t="shared" si="6"/>
        <v>БОВ-0,65-Т-2(100%)</v>
      </c>
      <c r="L19" s="27" t="str">
        <f t="shared" si="2"/>
        <v>БГ-0,65</v>
      </c>
      <c r="M19" s="27" t="str">
        <f t="shared" si="3"/>
        <v>БГ-С-0,65/0,65</v>
      </c>
      <c r="N19" s="27" t="str">
        <f t="shared" si="3"/>
        <v>БГ-П-0,65/0,65</v>
      </c>
      <c r="O19" s="27" t="str">
        <f t="shared" si="4"/>
        <v>БОВГ-0,65</v>
      </c>
      <c r="P19" s="27" t="str">
        <f t="shared" si="5"/>
        <v>БОВГ-С-0,65/0,65</v>
      </c>
      <c r="Q19" s="27" t="str">
        <f t="shared" si="5"/>
        <v>БОВГ-П-0,65/0,65</v>
      </c>
    </row>
    <row r="20" spans="1:17" x14ac:dyDescent="0.25">
      <c r="A20" s="10" t="s">
        <v>22</v>
      </c>
      <c r="B20" s="10"/>
      <c r="C20" s="24" t="str">
        <f t="shared" si="0"/>
        <v>БВ-0,07-xx</v>
      </c>
      <c r="D20" s="24" t="str">
        <f t="shared" si="0"/>
        <v>БВ-0,07-РП</v>
      </c>
      <c r="E20" s="24" t="str">
        <f t="shared" si="0"/>
        <v>БВ-0,07-Рх</v>
      </c>
      <c r="F20" s="28" t="str">
        <f t="shared" si="0"/>
        <v>БВ-0,07-хП</v>
      </c>
      <c r="G20" s="29" t="str">
        <f t="shared" si="6"/>
        <v>БОВ-0,07-С</v>
      </c>
      <c r="H20" s="27" t="str">
        <f t="shared" si="6"/>
        <v>БОВ-0,07-Т</v>
      </c>
      <c r="I20" s="27" t="str">
        <f t="shared" si="6"/>
        <v>БОВ-0,07-Т-2(50%)</v>
      </c>
      <c r="J20" s="27" t="str">
        <f t="shared" si="6"/>
        <v>БОВ-0,07-Т-2(75%)</v>
      </c>
      <c r="K20" s="27" t="str">
        <f t="shared" si="6"/>
        <v>БОВ-0,07-Т-2(100%)</v>
      </c>
      <c r="L20" s="27" t="str">
        <f t="shared" si="2"/>
        <v>БГ-0,07</v>
      </c>
      <c r="M20" s="27" t="str">
        <f t="shared" si="3"/>
        <v>БГ-С-0,07/0,07</v>
      </c>
      <c r="N20" s="27" t="str">
        <f t="shared" si="3"/>
        <v>БГ-П-0,07/0,07</v>
      </c>
      <c r="O20" s="27" t="str">
        <f t="shared" si="4"/>
        <v>БОВГ-0,07</v>
      </c>
      <c r="P20" s="27" t="str">
        <f t="shared" si="5"/>
        <v>БОВГ-С-0,07/0,07</v>
      </c>
      <c r="Q20" s="27" t="str">
        <f t="shared" si="5"/>
        <v>БОВГ-П-0,07/0,07</v>
      </c>
    </row>
    <row r="21" spans="1:17" x14ac:dyDescent="0.25">
      <c r="A21" s="10">
        <v>0.75</v>
      </c>
      <c r="B21" s="10"/>
      <c r="C21" s="24" t="str">
        <f t="shared" si="0"/>
        <v>БВ-0,75-xx</v>
      </c>
      <c r="D21" s="24" t="str">
        <f t="shared" si="0"/>
        <v>БВ-0,75-РП</v>
      </c>
      <c r="E21" s="24" t="str">
        <f t="shared" si="0"/>
        <v>БВ-0,75-Рх</v>
      </c>
      <c r="F21" s="28" t="str">
        <f t="shared" si="0"/>
        <v>БВ-0,75-хП</v>
      </c>
      <c r="G21" s="29" t="str">
        <f t="shared" si="6"/>
        <v>БОВ-0,75-С</v>
      </c>
      <c r="H21" s="27" t="str">
        <f t="shared" si="6"/>
        <v>БОВ-0,75-Т</v>
      </c>
      <c r="I21" s="27" t="str">
        <f t="shared" si="6"/>
        <v>БОВ-0,75-Т-2(50%)</v>
      </c>
      <c r="J21" s="27" t="str">
        <f t="shared" si="6"/>
        <v>БОВ-0,75-Т-2(75%)</v>
      </c>
      <c r="K21" s="27" t="str">
        <f t="shared" si="6"/>
        <v>БОВ-0,75-Т-2(100%)</v>
      </c>
      <c r="L21" s="27" t="str">
        <f t="shared" si="2"/>
        <v>БГ-0,75</v>
      </c>
      <c r="M21" s="27" t="str">
        <f t="shared" si="3"/>
        <v>БГ-С-0,75/0,75</v>
      </c>
      <c r="N21" s="27" t="str">
        <f t="shared" si="3"/>
        <v>БГ-П-0,75/0,75</v>
      </c>
      <c r="O21" s="27" t="str">
        <f t="shared" si="4"/>
        <v>БОВГ-0,75</v>
      </c>
      <c r="P21" s="27" t="str">
        <f t="shared" si="5"/>
        <v>БОВГ-С-0,75/0,75</v>
      </c>
      <c r="Q21" s="27" t="str">
        <f t="shared" si="5"/>
        <v>БОВГ-П-0,75/0,75</v>
      </c>
    </row>
    <row r="22" spans="1:17" x14ac:dyDescent="0.25">
      <c r="A22" s="10" t="s">
        <v>23</v>
      </c>
      <c r="B22" s="10"/>
      <c r="C22" s="24" t="str">
        <f t="shared" si="0"/>
        <v>БВ-0,08-xx</v>
      </c>
      <c r="D22" s="24" t="str">
        <f t="shared" si="0"/>
        <v>БВ-0,08-РП</v>
      </c>
      <c r="E22" s="24" t="str">
        <f t="shared" si="0"/>
        <v>БВ-0,08-Рх</v>
      </c>
      <c r="F22" s="28" t="str">
        <f t="shared" si="0"/>
        <v>БВ-0,08-хП</v>
      </c>
      <c r="G22" s="29" t="str">
        <f t="shared" si="6"/>
        <v>БОВ-0,08-С</v>
      </c>
      <c r="H22" s="27" t="str">
        <f t="shared" si="6"/>
        <v>БОВ-0,08-Т</v>
      </c>
      <c r="I22" s="27" t="str">
        <f t="shared" si="6"/>
        <v>БОВ-0,08-Т-2(50%)</v>
      </c>
      <c r="J22" s="27" t="str">
        <f t="shared" si="6"/>
        <v>БОВ-0,08-Т-2(75%)</v>
      </c>
      <c r="K22" s="27" t="str">
        <f t="shared" si="6"/>
        <v>БОВ-0,08-Т-2(100%)</v>
      </c>
      <c r="L22" s="27" t="str">
        <f t="shared" si="2"/>
        <v>БГ-0,08</v>
      </c>
      <c r="M22" s="27" t="str">
        <f t="shared" si="3"/>
        <v>БГ-С-0,08/0,08</v>
      </c>
      <c r="N22" s="27" t="str">
        <f t="shared" si="3"/>
        <v>БГ-П-0,08/0,08</v>
      </c>
      <c r="O22" s="27" t="str">
        <f t="shared" si="4"/>
        <v>БОВГ-0,08</v>
      </c>
      <c r="P22" s="27" t="str">
        <f t="shared" si="5"/>
        <v>БОВГ-С-0,08/0,08</v>
      </c>
      <c r="Q22" s="27" t="str">
        <f t="shared" si="5"/>
        <v>БОВГ-П-0,08/0,08</v>
      </c>
    </row>
    <row r="23" spans="1:17" x14ac:dyDescent="0.25">
      <c r="A23" s="10">
        <v>0.85</v>
      </c>
      <c r="B23" s="10"/>
      <c r="C23" s="24" t="str">
        <f t="shared" ref="C23:F42" si="7">$C$1&amp;"-"&amp;$A23&amp;"-"&amp;C$2</f>
        <v>БВ-0,85-xx</v>
      </c>
      <c r="D23" s="24" t="str">
        <f t="shared" si="7"/>
        <v>БВ-0,85-РП</v>
      </c>
      <c r="E23" s="24" t="str">
        <f t="shared" si="7"/>
        <v>БВ-0,85-Рх</v>
      </c>
      <c r="F23" s="28" t="str">
        <f t="shared" si="7"/>
        <v>БВ-0,85-хП</v>
      </c>
      <c r="G23" s="29" t="str">
        <f t="shared" ref="G23:K32" si="8">$G$1&amp;"-"&amp;$A23&amp;"-"&amp;G$2</f>
        <v>БОВ-0,85-С</v>
      </c>
      <c r="H23" s="27" t="str">
        <f t="shared" si="8"/>
        <v>БОВ-0,85-Т</v>
      </c>
      <c r="I23" s="27" t="str">
        <f t="shared" si="8"/>
        <v>БОВ-0,85-Т-2(50%)</v>
      </c>
      <c r="J23" s="27" t="str">
        <f t="shared" si="8"/>
        <v>БОВ-0,85-Т-2(75%)</v>
      </c>
      <c r="K23" s="27" t="str">
        <f t="shared" si="8"/>
        <v>БОВ-0,85-Т-2(100%)</v>
      </c>
      <c r="L23" s="27" t="str">
        <f t="shared" si="2"/>
        <v>БГ-0,85</v>
      </c>
      <c r="M23" s="27" t="str">
        <f t="shared" ref="M23:N42" si="9">$L$1&amp;"-"&amp;M$2&amp;"-"&amp;$A23&amp;"/"&amp;$A23</f>
        <v>БГ-С-0,85/0,85</v>
      </c>
      <c r="N23" s="27" t="str">
        <f t="shared" si="9"/>
        <v>БГ-П-0,85/0,85</v>
      </c>
      <c r="O23" s="27" t="str">
        <f t="shared" si="4"/>
        <v>БОВГ-0,85</v>
      </c>
      <c r="P23" s="27" t="str">
        <f t="shared" ref="P23:Q42" si="10">$O$1&amp;"-"&amp;P$2&amp;"-"&amp;$A23&amp;"/"&amp;$A23</f>
        <v>БОВГ-С-0,85/0,85</v>
      </c>
      <c r="Q23" s="27" t="str">
        <f t="shared" si="10"/>
        <v>БОВГ-П-0,85/0,85</v>
      </c>
    </row>
    <row r="24" spans="1:17" x14ac:dyDescent="0.25">
      <c r="A24" s="10" t="s">
        <v>24</v>
      </c>
      <c r="B24" s="10"/>
      <c r="C24" s="24" t="str">
        <f t="shared" si="7"/>
        <v>БВ-0,09-xx</v>
      </c>
      <c r="D24" s="24" t="str">
        <f t="shared" si="7"/>
        <v>БВ-0,09-РП</v>
      </c>
      <c r="E24" s="24" t="str">
        <f t="shared" si="7"/>
        <v>БВ-0,09-Рх</v>
      </c>
      <c r="F24" s="28" t="str">
        <f t="shared" si="7"/>
        <v>БВ-0,09-хП</v>
      </c>
      <c r="G24" s="29" t="str">
        <f t="shared" si="8"/>
        <v>БОВ-0,09-С</v>
      </c>
      <c r="H24" s="27" t="str">
        <f t="shared" si="8"/>
        <v>БОВ-0,09-Т</v>
      </c>
      <c r="I24" s="27" t="str">
        <f t="shared" si="8"/>
        <v>БОВ-0,09-Т-2(50%)</v>
      </c>
      <c r="J24" s="27" t="str">
        <f t="shared" si="8"/>
        <v>БОВ-0,09-Т-2(75%)</v>
      </c>
      <c r="K24" s="27" t="str">
        <f t="shared" si="8"/>
        <v>БОВ-0,09-Т-2(100%)</v>
      </c>
      <c r="L24" s="27" t="str">
        <f t="shared" si="2"/>
        <v>БГ-0,09</v>
      </c>
      <c r="M24" s="27" t="str">
        <f t="shared" si="9"/>
        <v>БГ-С-0,09/0,09</v>
      </c>
      <c r="N24" s="27" t="str">
        <f t="shared" si="9"/>
        <v>БГ-П-0,09/0,09</v>
      </c>
      <c r="O24" s="27" t="str">
        <f t="shared" si="4"/>
        <v>БОВГ-0,09</v>
      </c>
      <c r="P24" s="27" t="str">
        <f t="shared" si="10"/>
        <v>БОВГ-С-0,09/0,09</v>
      </c>
      <c r="Q24" s="27" t="str">
        <f t="shared" si="10"/>
        <v>БОВГ-П-0,09/0,09</v>
      </c>
    </row>
    <row r="25" spans="1:17" x14ac:dyDescent="0.25">
      <c r="A25" s="10">
        <v>0.95</v>
      </c>
      <c r="B25" s="10"/>
      <c r="C25" s="24" t="str">
        <f t="shared" si="7"/>
        <v>БВ-0,95-xx</v>
      </c>
      <c r="D25" s="24" t="str">
        <f t="shared" si="7"/>
        <v>БВ-0,95-РП</v>
      </c>
      <c r="E25" s="24" t="str">
        <f t="shared" si="7"/>
        <v>БВ-0,95-Рх</v>
      </c>
      <c r="F25" s="28" t="str">
        <f t="shared" si="7"/>
        <v>БВ-0,95-хП</v>
      </c>
      <c r="G25" s="29" t="str">
        <f t="shared" si="8"/>
        <v>БОВ-0,95-С</v>
      </c>
      <c r="H25" s="27" t="str">
        <f t="shared" si="8"/>
        <v>БОВ-0,95-Т</v>
      </c>
      <c r="I25" s="27" t="str">
        <f t="shared" si="8"/>
        <v>БОВ-0,95-Т-2(50%)</v>
      </c>
      <c r="J25" s="27" t="str">
        <f t="shared" si="8"/>
        <v>БОВ-0,95-Т-2(75%)</v>
      </c>
      <c r="K25" s="27" t="str">
        <f t="shared" si="8"/>
        <v>БОВ-0,95-Т-2(100%)</v>
      </c>
      <c r="L25" s="27" t="str">
        <f t="shared" si="2"/>
        <v>БГ-0,95</v>
      </c>
      <c r="M25" s="27" t="str">
        <f t="shared" si="9"/>
        <v>БГ-С-0,95/0,95</v>
      </c>
      <c r="N25" s="27" t="str">
        <f t="shared" si="9"/>
        <v>БГ-П-0,95/0,95</v>
      </c>
      <c r="O25" s="27" t="str">
        <f t="shared" si="4"/>
        <v>БОВГ-0,95</v>
      </c>
      <c r="P25" s="27" t="str">
        <f t="shared" si="10"/>
        <v>БОВГ-С-0,95/0,95</v>
      </c>
      <c r="Q25" s="27" t="str">
        <f t="shared" si="10"/>
        <v>БОВГ-П-0,95/0,95</v>
      </c>
    </row>
    <row r="26" spans="1:17" x14ac:dyDescent="0.25">
      <c r="A26" s="9" t="s">
        <v>25</v>
      </c>
      <c r="B26" s="9"/>
      <c r="C26" s="24" t="str">
        <f t="shared" si="7"/>
        <v>БВ-1,0-xx</v>
      </c>
      <c r="D26" s="24" t="str">
        <f t="shared" si="7"/>
        <v>БВ-1,0-РП</v>
      </c>
      <c r="E26" s="24" t="str">
        <f t="shared" si="7"/>
        <v>БВ-1,0-Рх</v>
      </c>
      <c r="F26" s="28" t="str">
        <f t="shared" si="7"/>
        <v>БВ-1,0-хП</v>
      </c>
      <c r="G26" s="29" t="str">
        <f t="shared" si="8"/>
        <v>БОВ-1,0-С</v>
      </c>
      <c r="H26" s="27" t="str">
        <f t="shared" si="8"/>
        <v>БОВ-1,0-Т</v>
      </c>
      <c r="I26" s="27" t="str">
        <f t="shared" si="8"/>
        <v>БОВ-1,0-Т-2(50%)</v>
      </c>
      <c r="J26" s="27" t="str">
        <f t="shared" si="8"/>
        <v>БОВ-1,0-Т-2(75%)</v>
      </c>
      <c r="K26" s="27" t="str">
        <f t="shared" si="8"/>
        <v>БОВ-1,0-Т-2(100%)</v>
      </c>
      <c r="L26" s="27" t="str">
        <f t="shared" si="2"/>
        <v>БГ-1,0</v>
      </c>
      <c r="M26" s="27" t="str">
        <f t="shared" si="9"/>
        <v>БГ-С-1,0/1,0</v>
      </c>
      <c r="N26" s="27" t="str">
        <f t="shared" si="9"/>
        <v>БГ-П-1,0/1,0</v>
      </c>
      <c r="O26" s="27" t="str">
        <f t="shared" si="4"/>
        <v>БОВГ-1,0</v>
      </c>
      <c r="P26" s="27" t="str">
        <f t="shared" si="10"/>
        <v>БОВГ-С-1,0/1,0</v>
      </c>
      <c r="Q26" s="27" t="str">
        <f t="shared" si="10"/>
        <v>БОВГ-П-1,0/1,0</v>
      </c>
    </row>
    <row r="27" spans="1:17" x14ac:dyDescent="0.25">
      <c r="A27" s="9">
        <v>1.1000000000000001</v>
      </c>
      <c r="B27" s="9"/>
      <c r="C27" s="24" t="str">
        <f t="shared" si="7"/>
        <v>БВ-1,1-xx</v>
      </c>
      <c r="D27" s="24" t="str">
        <f t="shared" si="7"/>
        <v>БВ-1,1-РП</v>
      </c>
      <c r="E27" s="24" t="str">
        <f t="shared" si="7"/>
        <v>БВ-1,1-Рх</v>
      </c>
      <c r="F27" s="28" t="str">
        <f t="shared" si="7"/>
        <v>БВ-1,1-хП</v>
      </c>
      <c r="G27" s="29" t="str">
        <f t="shared" si="8"/>
        <v>БОВ-1,1-С</v>
      </c>
      <c r="H27" s="27" t="str">
        <f t="shared" si="8"/>
        <v>БОВ-1,1-Т</v>
      </c>
      <c r="I27" s="27" t="str">
        <f t="shared" si="8"/>
        <v>БОВ-1,1-Т-2(50%)</v>
      </c>
      <c r="J27" s="27" t="str">
        <f t="shared" si="8"/>
        <v>БОВ-1,1-Т-2(75%)</v>
      </c>
      <c r="K27" s="27" t="str">
        <f t="shared" si="8"/>
        <v>БОВ-1,1-Т-2(100%)</v>
      </c>
      <c r="L27" s="27" t="str">
        <f t="shared" si="2"/>
        <v>БГ-1,1</v>
      </c>
      <c r="M27" s="27" t="str">
        <f t="shared" si="9"/>
        <v>БГ-С-1,1/1,1</v>
      </c>
      <c r="N27" s="27" t="str">
        <f t="shared" si="9"/>
        <v>БГ-П-1,1/1,1</v>
      </c>
      <c r="O27" s="27" t="str">
        <f t="shared" si="4"/>
        <v>БОВГ-1,1</v>
      </c>
      <c r="P27" s="27" t="str">
        <f t="shared" si="10"/>
        <v>БОВГ-С-1,1/1,1</v>
      </c>
      <c r="Q27" s="27" t="str">
        <f t="shared" si="10"/>
        <v>БОВГ-П-1,1/1,1</v>
      </c>
    </row>
    <row r="28" spans="1:17" x14ac:dyDescent="0.25">
      <c r="A28" s="9">
        <v>1.2</v>
      </c>
      <c r="B28" s="9"/>
      <c r="C28" s="24" t="str">
        <f t="shared" si="7"/>
        <v>БВ-1,2-xx</v>
      </c>
      <c r="D28" s="24" t="str">
        <f t="shared" si="7"/>
        <v>БВ-1,2-РП</v>
      </c>
      <c r="E28" s="24" t="str">
        <f t="shared" si="7"/>
        <v>БВ-1,2-Рх</v>
      </c>
      <c r="F28" s="28" t="str">
        <f t="shared" si="7"/>
        <v>БВ-1,2-хП</v>
      </c>
      <c r="G28" s="29" t="str">
        <f t="shared" si="8"/>
        <v>БОВ-1,2-С</v>
      </c>
      <c r="H28" s="27" t="str">
        <f t="shared" si="8"/>
        <v>БОВ-1,2-Т</v>
      </c>
      <c r="I28" s="27" t="str">
        <f t="shared" si="8"/>
        <v>БОВ-1,2-Т-2(50%)</v>
      </c>
      <c r="J28" s="27" t="str">
        <f t="shared" si="8"/>
        <v>БОВ-1,2-Т-2(75%)</v>
      </c>
      <c r="K28" s="27" t="str">
        <f t="shared" si="8"/>
        <v>БОВ-1,2-Т-2(100%)</v>
      </c>
      <c r="L28" s="27" t="str">
        <f t="shared" si="2"/>
        <v>БГ-1,2</v>
      </c>
      <c r="M28" s="27" t="str">
        <f t="shared" si="9"/>
        <v>БГ-С-1,2/1,2</v>
      </c>
      <c r="N28" s="27" t="str">
        <f t="shared" si="9"/>
        <v>БГ-П-1,2/1,2</v>
      </c>
      <c r="O28" s="27" t="str">
        <f t="shared" si="4"/>
        <v>БОВГ-1,2</v>
      </c>
      <c r="P28" s="27" t="str">
        <f t="shared" si="10"/>
        <v>БОВГ-С-1,2/1,2</v>
      </c>
      <c r="Q28" s="27" t="str">
        <f t="shared" si="10"/>
        <v>БОВГ-П-1,2/1,2</v>
      </c>
    </row>
    <row r="29" spans="1:17" x14ac:dyDescent="0.25">
      <c r="A29" s="9">
        <v>1.3</v>
      </c>
      <c r="B29" s="9"/>
      <c r="C29" s="24" t="str">
        <f t="shared" si="7"/>
        <v>БВ-1,3-xx</v>
      </c>
      <c r="D29" s="24" t="str">
        <f t="shared" si="7"/>
        <v>БВ-1,3-РП</v>
      </c>
      <c r="E29" s="24" t="str">
        <f t="shared" si="7"/>
        <v>БВ-1,3-Рх</v>
      </c>
      <c r="F29" s="28" t="str">
        <f t="shared" si="7"/>
        <v>БВ-1,3-хП</v>
      </c>
      <c r="G29" s="29" t="str">
        <f t="shared" si="8"/>
        <v>БОВ-1,3-С</v>
      </c>
      <c r="H29" s="27" t="str">
        <f t="shared" si="8"/>
        <v>БОВ-1,3-Т</v>
      </c>
      <c r="I29" s="27" t="str">
        <f t="shared" si="8"/>
        <v>БОВ-1,3-Т-2(50%)</v>
      </c>
      <c r="J29" s="27" t="str">
        <f t="shared" si="8"/>
        <v>БОВ-1,3-Т-2(75%)</v>
      </c>
      <c r="K29" s="27" t="str">
        <f t="shared" si="8"/>
        <v>БОВ-1,3-Т-2(100%)</v>
      </c>
      <c r="L29" s="27" t="str">
        <f t="shared" si="2"/>
        <v>БГ-1,3</v>
      </c>
      <c r="M29" s="27" t="str">
        <f t="shared" si="9"/>
        <v>БГ-С-1,3/1,3</v>
      </c>
      <c r="N29" s="27" t="str">
        <f t="shared" si="9"/>
        <v>БГ-П-1,3/1,3</v>
      </c>
      <c r="O29" s="27" t="str">
        <f t="shared" si="4"/>
        <v>БОВГ-1,3</v>
      </c>
      <c r="P29" s="27" t="str">
        <f t="shared" si="10"/>
        <v>БОВГ-С-1,3/1,3</v>
      </c>
      <c r="Q29" s="27" t="str">
        <f t="shared" si="10"/>
        <v>БОВГ-П-1,3/1,3</v>
      </c>
    </row>
    <row r="30" spans="1:17" x14ac:dyDescent="0.25">
      <c r="A30" s="9">
        <v>1.4</v>
      </c>
      <c r="B30" s="9"/>
      <c r="C30" s="24" t="str">
        <f t="shared" si="7"/>
        <v>БВ-1,4-xx</v>
      </c>
      <c r="D30" s="24" t="str">
        <f t="shared" si="7"/>
        <v>БВ-1,4-РП</v>
      </c>
      <c r="E30" s="24" t="str">
        <f t="shared" si="7"/>
        <v>БВ-1,4-Рх</v>
      </c>
      <c r="F30" s="28" t="str">
        <f t="shared" si="7"/>
        <v>БВ-1,4-хП</v>
      </c>
      <c r="G30" s="29" t="str">
        <f t="shared" si="8"/>
        <v>БОВ-1,4-С</v>
      </c>
      <c r="H30" s="27" t="str">
        <f t="shared" si="8"/>
        <v>БОВ-1,4-Т</v>
      </c>
      <c r="I30" s="27" t="str">
        <f t="shared" si="8"/>
        <v>БОВ-1,4-Т-2(50%)</v>
      </c>
      <c r="J30" s="27" t="str">
        <f t="shared" si="8"/>
        <v>БОВ-1,4-Т-2(75%)</v>
      </c>
      <c r="K30" s="27" t="str">
        <f t="shared" si="8"/>
        <v>БОВ-1,4-Т-2(100%)</v>
      </c>
      <c r="L30" s="27" t="str">
        <f t="shared" si="2"/>
        <v>БГ-1,4</v>
      </c>
      <c r="M30" s="27" t="str">
        <f t="shared" si="9"/>
        <v>БГ-С-1,4/1,4</v>
      </c>
      <c r="N30" s="27" t="str">
        <f t="shared" si="9"/>
        <v>БГ-П-1,4/1,4</v>
      </c>
      <c r="O30" s="27" t="str">
        <f t="shared" si="4"/>
        <v>БОВГ-1,4</v>
      </c>
      <c r="P30" s="27" t="str">
        <f t="shared" si="10"/>
        <v>БОВГ-С-1,4/1,4</v>
      </c>
      <c r="Q30" s="27" t="str">
        <f t="shared" si="10"/>
        <v>БОВГ-П-1,4/1,4</v>
      </c>
    </row>
    <row r="31" spans="1:17" x14ac:dyDescent="0.25">
      <c r="A31" s="9">
        <v>1.5</v>
      </c>
      <c r="B31" s="9"/>
      <c r="C31" s="24" t="str">
        <f t="shared" si="7"/>
        <v>БВ-1,5-xx</v>
      </c>
      <c r="D31" s="24" t="str">
        <f t="shared" si="7"/>
        <v>БВ-1,5-РП</v>
      </c>
      <c r="E31" s="24" t="str">
        <f t="shared" si="7"/>
        <v>БВ-1,5-Рх</v>
      </c>
      <c r="F31" s="28" t="str">
        <f t="shared" si="7"/>
        <v>БВ-1,5-хП</v>
      </c>
      <c r="G31" s="29" t="str">
        <f t="shared" si="8"/>
        <v>БОВ-1,5-С</v>
      </c>
      <c r="H31" s="27" t="str">
        <f t="shared" si="8"/>
        <v>БОВ-1,5-Т</v>
      </c>
      <c r="I31" s="27" t="str">
        <f t="shared" si="8"/>
        <v>БОВ-1,5-Т-2(50%)</v>
      </c>
      <c r="J31" s="27" t="str">
        <f t="shared" si="8"/>
        <v>БОВ-1,5-Т-2(75%)</v>
      </c>
      <c r="K31" s="27" t="str">
        <f t="shared" si="8"/>
        <v>БОВ-1,5-Т-2(100%)</v>
      </c>
      <c r="L31" s="27" t="str">
        <f t="shared" si="2"/>
        <v>БГ-1,5</v>
      </c>
      <c r="M31" s="27" t="str">
        <f t="shared" si="9"/>
        <v>БГ-С-1,5/1,5</v>
      </c>
      <c r="N31" s="27" t="str">
        <f t="shared" si="9"/>
        <v>БГ-П-1,5/1,5</v>
      </c>
      <c r="O31" s="27" t="str">
        <f t="shared" si="4"/>
        <v>БОВГ-1,5</v>
      </c>
      <c r="P31" s="27" t="str">
        <f t="shared" si="10"/>
        <v>БОВГ-С-1,5/1,5</v>
      </c>
      <c r="Q31" s="27" t="str">
        <f t="shared" si="10"/>
        <v>БОВГ-П-1,5/1,5</v>
      </c>
    </row>
    <row r="32" spans="1:17" x14ac:dyDescent="0.25">
      <c r="A32" s="9">
        <v>1.6</v>
      </c>
      <c r="B32" s="9"/>
      <c r="C32" s="24" t="str">
        <f t="shared" si="7"/>
        <v>БВ-1,6-xx</v>
      </c>
      <c r="D32" s="24" t="str">
        <f t="shared" si="7"/>
        <v>БВ-1,6-РП</v>
      </c>
      <c r="E32" s="24" t="str">
        <f t="shared" si="7"/>
        <v>БВ-1,6-Рх</v>
      </c>
      <c r="F32" s="28" t="str">
        <f t="shared" si="7"/>
        <v>БВ-1,6-хП</v>
      </c>
      <c r="G32" s="29" t="str">
        <f t="shared" si="8"/>
        <v>БОВ-1,6-С</v>
      </c>
      <c r="H32" s="27" t="str">
        <f t="shared" si="8"/>
        <v>БОВ-1,6-Т</v>
      </c>
      <c r="I32" s="27" t="str">
        <f t="shared" si="8"/>
        <v>БОВ-1,6-Т-2(50%)</v>
      </c>
      <c r="J32" s="27" t="str">
        <f t="shared" si="8"/>
        <v>БОВ-1,6-Т-2(75%)</v>
      </c>
      <c r="K32" s="27" t="str">
        <f t="shared" si="8"/>
        <v>БОВ-1,6-Т-2(100%)</v>
      </c>
      <c r="L32" s="27" t="str">
        <f t="shared" si="2"/>
        <v>БГ-1,6</v>
      </c>
      <c r="M32" s="27" t="str">
        <f t="shared" si="9"/>
        <v>БГ-С-1,6/1,6</v>
      </c>
      <c r="N32" s="27" t="str">
        <f t="shared" si="9"/>
        <v>БГ-П-1,6/1,6</v>
      </c>
      <c r="O32" s="27" t="str">
        <f t="shared" si="4"/>
        <v>БОВГ-1,6</v>
      </c>
      <c r="P32" s="27" t="str">
        <f t="shared" si="10"/>
        <v>БОВГ-С-1,6/1,6</v>
      </c>
      <c r="Q32" s="27" t="str">
        <f t="shared" si="10"/>
        <v>БОВГ-П-1,6/1,6</v>
      </c>
    </row>
    <row r="33" spans="1:17" x14ac:dyDescent="0.25">
      <c r="A33" s="9">
        <v>1.7</v>
      </c>
      <c r="B33" s="9"/>
      <c r="C33" s="24" t="str">
        <f t="shared" si="7"/>
        <v>БВ-1,7-xx</v>
      </c>
      <c r="D33" s="24" t="str">
        <f t="shared" si="7"/>
        <v>БВ-1,7-РП</v>
      </c>
      <c r="E33" s="24" t="str">
        <f t="shared" si="7"/>
        <v>БВ-1,7-Рх</v>
      </c>
      <c r="F33" s="28" t="str">
        <f t="shared" si="7"/>
        <v>БВ-1,7-хП</v>
      </c>
      <c r="G33" s="29" t="str">
        <f t="shared" ref="G33:K42" si="11">$G$1&amp;"-"&amp;$A33&amp;"-"&amp;G$2</f>
        <v>БОВ-1,7-С</v>
      </c>
      <c r="H33" s="27" t="str">
        <f t="shared" si="11"/>
        <v>БОВ-1,7-Т</v>
      </c>
      <c r="I33" s="27" t="str">
        <f t="shared" si="11"/>
        <v>БОВ-1,7-Т-2(50%)</v>
      </c>
      <c r="J33" s="27" t="str">
        <f t="shared" si="11"/>
        <v>БОВ-1,7-Т-2(75%)</v>
      </c>
      <c r="K33" s="27" t="str">
        <f t="shared" si="11"/>
        <v>БОВ-1,7-Т-2(100%)</v>
      </c>
      <c r="L33" s="27" t="str">
        <f t="shared" si="2"/>
        <v>БГ-1,7</v>
      </c>
      <c r="M33" s="27" t="str">
        <f t="shared" si="9"/>
        <v>БГ-С-1,7/1,7</v>
      </c>
      <c r="N33" s="27" t="str">
        <f t="shared" si="9"/>
        <v>БГ-П-1,7/1,7</v>
      </c>
      <c r="O33" s="27" t="str">
        <f t="shared" si="4"/>
        <v>БОВГ-1,7</v>
      </c>
      <c r="P33" s="27" t="str">
        <f t="shared" si="10"/>
        <v>БОВГ-С-1,7/1,7</v>
      </c>
      <c r="Q33" s="27" t="str">
        <f t="shared" si="10"/>
        <v>БОВГ-П-1,7/1,7</v>
      </c>
    </row>
    <row r="34" spans="1:17" x14ac:dyDescent="0.25">
      <c r="A34" s="9">
        <v>1.8</v>
      </c>
      <c r="B34" s="9"/>
      <c r="C34" s="24" t="str">
        <f t="shared" si="7"/>
        <v>БВ-1,8-xx</v>
      </c>
      <c r="D34" s="24" t="str">
        <f t="shared" si="7"/>
        <v>БВ-1,8-РП</v>
      </c>
      <c r="E34" s="24" t="str">
        <f t="shared" si="7"/>
        <v>БВ-1,8-Рх</v>
      </c>
      <c r="F34" s="28" t="str">
        <f t="shared" si="7"/>
        <v>БВ-1,8-хП</v>
      </c>
      <c r="G34" s="29" t="str">
        <f t="shared" si="11"/>
        <v>БОВ-1,8-С</v>
      </c>
      <c r="H34" s="27" t="str">
        <f t="shared" si="11"/>
        <v>БОВ-1,8-Т</v>
      </c>
      <c r="I34" s="27" t="str">
        <f t="shared" si="11"/>
        <v>БОВ-1,8-Т-2(50%)</v>
      </c>
      <c r="J34" s="27" t="str">
        <f t="shared" si="11"/>
        <v>БОВ-1,8-Т-2(75%)</v>
      </c>
      <c r="K34" s="27" t="str">
        <f t="shared" si="11"/>
        <v>БОВ-1,8-Т-2(100%)</v>
      </c>
      <c r="L34" s="27" t="str">
        <f t="shared" si="2"/>
        <v>БГ-1,8</v>
      </c>
      <c r="M34" s="27" t="str">
        <f t="shared" si="9"/>
        <v>БГ-С-1,8/1,8</v>
      </c>
      <c r="N34" s="27" t="str">
        <f t="shared" si="9"/>
        <v>БГ-П-1,8/1,8</v>
      </c>
      <c r="O34" s="27" t="str">
        <f t="shared" si="4"/>
        <v>БОВГ-1,8</v>
      </c>
      <c r="P34" s="27" t="str">
        <f t="shared" si="10"/>
        <v>БОВГ-С-1,8/1,8</v>
      </c>
      <c r="Q34" s="27" t="str">
        <f t="shared" si="10"/>
        <v>БОВГ-П-1,8/1,8</v>
      </c>
    </row>
    <row r="35" spans="1:17" x14ac:dyDescent="0.25">
      <c r="A35" s="9">
        <v>1.9</v>
      </c>
      <c r="B35" s="9"/>
      <c r="C35" s="24" t="str">
        <f t="shared" si="7"/>
        <v>БВ-1,9-xx</v>
      </c>
      <c r="D35" s="24" t="str">
        <f t="shared" si="7"/>
        <v>БВ-1,9-РП</v>
      </c>
      <c r="E35" s="24" t="str">
        <f t="shared" si="7"/>
        <v>БВ-1,9-Рх</v>
      </c>
      <c r="F35" s="28" t="str">
        <f t="shared" si="7"/>
        <v>БВ-1,9-хП</v>
      </c>
      <c r="G35" s="29" t="str">
        <f t="shared" si="11"/>
        <v>БОВ-1,9-С</v>
      </c>
      <c r="H35" s="27" t="str">
        <f t="shared" si="11"/>
        <v>БОВ-1,9-Т</v>
      </c>
      <c r="I35" s="27" t="str">
        <f t="shared" si="11"/>
        <v>БОВ-1,9-Т-2(50%)</v>
      </c>
      <c r="J35" s="27" t="str">
        <f t="shared" si="11"/>
        <v>БОВ-1,9-Т-2(75%)</v>
      </c>
      <c r="K35" s="27" t="str">
        <f t="shared" si="11"/>
        <v>БОВ-1,9-Т-2(100%)</v>
      </c>
      <c r="L35" s="27" t="str">
        <f t="shared" ref="L35:L56" si="12">$L$1&amp;"-"&amp;$A35</f>
        <v>БГ-1,9</v>
      </c>
      <c r="M35" s="27" t="str">
        <f t="shared" si="9"/>
        <v>БГ-С-1,9/1,9</v>
      </c>
      <c r="N35" s="27" t="str">
        <f t="shared" si="9"/>
        <v>БГ-П-1,9/1,9</v>
      </c>
      <c r="O35" s="27" t="str">
        <f t="shared" ref="O35:O56" si="13">$O$1&amp;"-"&amp;$A35</f>
        <v>БОВГ-1,9</v>
      </c>
      <c r="P35" s="27" t="str">
        <f t="shared" si="10"/>
        <v>БОВГ-С-1,9/1,9</v>
      </c>
      <c r="Q35" s="27" t="str">
        <f t="shared" si="10"/>
        <v>БОВГ-П-1,9/1,9</v>
      </c>
    </row>
    <row r="36" spans="1:17" x14ac:dyDescent="0.25">
      <c r="A36" s="9" t="s">
        <v>26</v>
      </c>
      <c r="B36" s="9"/>
      <c r="C36" s="24" t="str">
        <f t="shared" si="7"/>
        <v>БВ-2,0-xx</v>
      </c>
      <c r="D36" s="24" t="str">
        <f t="shared" si="7"/>
        <v>БВ-2,0-РП</v>
      </c>
      <c r="E36" s="24" t="str">
        <f t="shared" si="7"/>
        <v>БВ-2,0-Рх</v>
      </c>
      <c r="F36" s="28" t="str">
        <f t="shared" si="7"/>
        <v>БВ-2,0-хП</v>
      </c>
      <c r="G36" s="29" t="str">
        <f t="shared" si="11"/>
        <v>БОВ-2,0-С</v>
      </c>
      <c r="H36" s="27" t="str">
        <f t="shared" si="11"/>
        <v>БОВ-2,0-Т</v>
      </c>
      <c r="I36" s="27" t="str">
        <f t="shared" si="11"/>
        <v>БОВ-2,0-Т-2(50%)</v>
      </c>
      <c r="J36" s="27" t="str">
        <f t="shared" si="11"/>
        <v>БОВ-2,0-Т-2(75%)</v>
      </c>
      <c r="K36" s="27" t="str">
        <f t="shared" si="11"/>
        <v>БОВ-2,0-Т-2(100%)</v>
      </c>
      <c r="L36" s="27" t="str">
        <f t="shared" si="12"/>
        <v>БГ-2,0</v>
      </c>
      <c r="M36" s="27" t="str">
        <f t="shared" si="9"/>
        <v>БГ-С-2,0/2,0</v>
      </c>
      <c r="N36" s="27" t="str">
        <f t="shared" si="9"/>
        <v>БГ-П-2,0/2,0</v>
      </c>
      <c r="O36" s="27" t="str">
        <f t="shared" si="13"/>
        <v>БОВГ-2,0</v>
      </c>
      <c r="P36" s="27" t="str">
        <f t="shared" si="10"/>
        <v>БОВГ-С-2,0/2,0</v>
      </c>
      <c r="Q36" s="27" t="str">
        <f t="shared" si="10"/>
        <v>БОВГ-П-2,0/2,0</v>
      </c>
    </row>
    <row r="37" spans="1:17" x14ac:dyDescent="0.25">
      <c r="A37" s="9">
        <v>2.1</v>
      </c>
      <c r="B37" s="9"/>
      <c r="C37" s="24" t="str">
        <f t="shared" si="7"/>
        <v>БВ-2,1-xx</v>
      </c>
      <c r="D37" s="24" t="str">
        <f t="shared" si="7"/>
        <v>БВ-2,1-РП</v>
      </c>
      <c r="E37" s="24" t="str">
        <f t="shared" si="7"/>
        <v>БВ-2,1-Рх</v>
      </c>
      <c r="F37" s="28" t="str">
        <f t="shared" si="7"/>
        <v>БВ-2,1-хП</v>
      </c>
      <c r="G37" s="29" t="str">
        <f t="shared" si="11"/>
        <v>БОВ-2,1-С</v>
      </c>
      <c r="H37" s="27" t="str">
        <f t="shared" si="11"/>
        <v>БОВ-2,1-Т</v>
      </c>
      <c r="I37" s="27" t="str">
        <f t="shared" si="11"/>
        <v>БОВ-2,1-Т-2(50%)</v>
      </c>
      <c r="J37" s="27" t="str">
        <f t="shared" si="11"/>
        <v>БОВ-2,1-Т-2(75%)</v>
      </c>
      <c r="K37" s="27" t="str">
        <f t="shared" si="11"/>
        <v>БОВ-2,1-Т-2(100%)</v>
      </c>
      <c r="L37" s="27" t="str">
        <f t="shared" si="12"/>
        <v>БГ-2,1</v>
      </c>
      <c r="M37" s="27" t="str">
        <f t="shared" si="9"/>
        <v>БГ-С-2,1/2,1</v>
      </c>
      <c r="N37" s="27" t="str">
        <f t="shared" si="9"/>
        <v>БГ-П-2,1/2,1</v>
      </c>
      <c r="O37" s="27" t="str">
        <f t="shared" si="13"/>
        <v>БОВГ-2,1</v>
      </c>
      <c r="P37" s="27" t="str">
        <f t="shared" si="10"/>
        <v>БОВГ-С-2,1/2,1</v>
      </c>
      <c r="Q37" s="27" t="str">
        <f t="shared" si="10"/>
        <v>БОВГ-П-2,1/2,1</v>
      </c>
    </row>
    <row r="38" spans="1:17" x14ac:dyDescent="0.25">
      <c r="A38" s="9">
        <v>2.2000000000000002</v>
      </c>
      <c r="B38" s="9"/>
      <c r="C38" s="24" t="str">
        <f t="shared" si="7"/>
        <v>БВ-2,2-xx</v>
      </c>
      <c r="D38" s="24" t="str">
        <f t="shared" si="7"/>
        <v>БВ-2,2-РП</v>
      </c>
      <c r="E38" s="24" t="str">
        <f t="shared" si="7"/>
        <v>БВ-2,2-Рх</v>
      </c>
      <c r="F38" s="28" t="str">
        <f t="shared" si="7"/>
        <v>БВ-2,2-хП</v>
      </c>
      <c r="G38" s="29" t="str">
        <f t="shared" si="11"/>
        <v>БОВ-2,2-С</v>
      </c>
      <c r="H38" s="27" t="str">
        <f t="shared" si="11"/>
        <v>БОВ-2,2-Т</v>
      </c>
      <c r="I38" s="27" t="str">
        <f t="shared" si="11"/>
        <v>БОВ-2,2-Т-2(50%)</v>
      </c>
      <c r="J38" s="27" t="str">
        <f t="shared" si="11"/>
        <v>БОВ-2,2-Т-2(75%)</v>
      </c>
      <c r="K38" s="27" t="str">
        <f t="shared" si="11"/>
        <v>БОВ-2,2-Т-2(100%)</v>
      </c>
      <c r="L38" s="27" t="str">
        <f t="shared" si="12"/>
        <v>БГ-2,2</v>
      </c>
      <c r="M38" s="27" t="str">
        <f t="shared" si="9"/>
        <v>БГ-С-2,2/2,2</v>
      </c>
      <c r="N38" s="27" t="str">
        <f t="shared" si="9"/>
        <v>БГ-П-2,2/2,2</v>
      </c>
      <c r="O38" s="27" t="str">
        <f t="shared" si="13"/>
        <v>БОВГ-2,2</v>
      </c>
      <c r="P38" s="27" t="str">
        <f t="shared" si="10"/>
        <v>БОВГ-С-2,2/2,2</v>
      </c>
      <c r="Q38" s="27" t="str">
        <f t="shared" si="10"/>
        <v>БОВГ-П-2,2/2,2</v>
      </c>
    </row>
    <row r="39" spans="1:17" x14ac:dyDescent="0.25">
      <c r="A39" s="9">
        <v>2.2999999999999998</v>
      </c>
      <c r="B39" s="9"/>
      <c r="C39" s="24" t="str">
        <f t="shared" si="7"/>
        <v>БВ-2,3-xx</v>
      </c>
      <c r="D39" s="24" t="str">
        <f t="shared" si="7"/>
        <v>БВ-2,3-РП</v>
      </c>
      <c r="E39" s="24" t="str">
        <f t="shared" si="7"/>
        <v>БВ-2,3-Рх</v>
      </c>
      <c r="F39" s="28" t="str">
        <f t="shared" si="7"/>
        <v>БВ-2,3-хП</v>
      </c>
      <c r="G39" s="29" t="str">
        <f t="shared" si="11"/>
        <v>БОВ-2,3-С</v>
      </c>
      <c r="H39" s="27" t="str">
        <f t="shared" si="11"/>
        <v>БОВ-2,3-Т</v>
      </c>
      <c r="I39" s="27" t="str">
        <f t="shared" si="11"/>
        <v>БОВ-2,3-Т-2(50%)</v>
      </c>
      <c r="J39" s="27" t="str">
        <f t="shared" si="11"/>
        <v>БОВ-2,3-Т-2(75%)</v>
      </c>
      <c r="K39" s="27" t="str">
        <f t="shared" si="11"/>
        <v>БОВ-2,3-Т-2(100%)</v>
      </c>
      <c r="L39" s="27" t="str">
        <f t="shared" si="12"/>
        <v>БГ-2,3</v>
      </c>
      <c r="M39" s="27" t="str">
        <f t="shared" si="9"/>
        <v>БГ-С-2,3/2,3</v>
      </c>
      <c r="N39" s="27" t="str">
        <f t="shared" si="9"/>
        <v>БГ-П-2,3/2,3</v>
      </c>
      <c r="O39" s="27" t="str">
        <f t="shared" si="13"/>
        <v>БОВГ-2,3</v>
      </c>
      <c r="P39" s="27" t="str">
        <f t="shared" si="10"/>
        <v>БОВГ-С-2,3/2,3</v>
      </c>
      <c r="Q39" s="27" t="str">
        <f t="shared" si="10"/>
        <v>БОВГ-П-2,3/2,3</v>
      </c>
    </row>
    <row r="40" spans="1:17" x14ac:dyDescent="0.25">
      <c r="A40" s="9">
        <v>2.4</v>
      </c>
      <c r="B40" s="9"/>
      <c r="C40" s="24" t="str">
        <f t="shared" si="7"/>
        <v>БВ-2,4-xx</v>
      </c>
      <c r="D40" s="24" t="str">
        <f t="shared" si="7"/>
        <v>БВ-2,4-РП</v>
      </c>
      <c r="E40" s="24" t="str">
        <f t="shared" si="7"/>
        <v>БВ-2,4-Рх</v>
      </c>
      <c r="F40" s="28" t="str">
        <f t="shared" si="7"/>
        <v>БВ-2,4-хП</v>
      </c>
      <c r="G40" s="29" t="str">
        <f t="shared" si="11"/>
        <v>БОВ-2,4-С</v>
      </c>
      <c r="H40" s="27" t="str">
        <f t="shared" si="11"/>
        <v>БОВ-2,4-Т</v>
      </c>
      <c r="I40" s="27" t="str">
        <f t="shared" si="11"/>
        <v>БОВ-2,4-Т-2(50%)</v>
      </c>
      <c r="J40" s="27" t="str">
        <f t="shared" si="11"/>
        <v>БОВ-2,4-Т-2(75%)</v>
      </c>
      <c r="K40" s="27" t="str">
        <f t="shared" si="11"/>
        <v>БОВ-2,4-Т-2(100%)</v>
      </c>
      <c r="L40" s="27" t="str">
        <f t="shared" si="12"/>
        <v>БГ-2,4</v>
      </c>
      <c r="M40" s="27" t="str">
        <f t="shared" si="9"/>
        <v>БГ-С-2,4/2,4</v>
      </c>
      <c r="N40" s="27" t="str">
        <f t="shared" si="9"/>
        <v>БГ-П-2,4/2,4</v>
      </c>
      <c r="O40" s="27" t="str">
        <f t="shared" si="13"/>
        <v>БОВГ-2,4</v>
      </c>
      <c r="P40" s="27" t="str">
        <f t="shared" si="10"/>
        <v>БОВГ-С-2,4/2,4</v>
      </c>
      <c r="Q40" s="27" t="str">
        <f t="shared" si="10"/>
        <v>БОВГ-П-2,4/2,4</v>
      </c>
    </row>
    <row r="41" spans="1:17" x14ac:dyDescent="0.25">
      <c r="A41" s="9">
        <v>2.5</v>
      </c>
      <c r="B41" s="9"/>
      <c r="C41" s="24" t="str">
        <f t="shared" si="7"/>
        <v>БВ-2,5-xx</v>
      </c>
      <c r="D41" s="24" t="str">
        <f t="shared" si="7"/>
        <v>БВ-2,5-РП</v>
      </c>
      <c r="E41" s="24" t="str">
        <f t="shared" si="7"/>
        <v>БВ-2,5-Рх</v>
      </c>
      <c r="F41" s="28" t="str">
        <f t="shared" si="7"/>
        <v>БВ-2,5-хП</v>
      </c>
      <c r="G41" s="29" t="str">
        <f t="shared" si="11"/>
        <v>БОВ-2,5-С</v>
      </c>
      <c r="H41" s="27" t="str">
        <f t="shared" si="11"/>
        <v>БОВ-2,5-Т</v>
      </c>
      <c r="I41" s="27" t="str">
        <f t="shared" si="11"/>
        <v>БОВ-2,5-Т-2(50%)</v>
      </c>
      <c r="J41" s="27" t="str">
        <f t="shared" si="11"/>
        <v>БОВ-2,5-Т-2(75%)</v>
      </c>
      <c r="K41" s="27" t="str">
        <f t="shared" si="11"/>
        <v>БОВ-2,5-Т-2(100%)</v>
      </c>
      <c r="L41" s="27" t="str">
        <f t="shared" si="12"/>
        <v>БГ-2,5</v>
      </c>
      <c r="M41" s="27" t="str">
        <f t="shared" si="9"/>
        <v>БГ-С-2,5/2,5</v>
      </c>
      <c r="N41" s="27" t="str">
        <f t="shared" si="9"/>
        <v>БГ-П-2,5/2,5</v>
      </c>
      <c r="O41" s="27" t="str">
        <f t="shared" si="13"/>
        <v>БОВГ-2,5</v>
      </c>
      <c r="P41" s="27" t="str">
        <f t="shared" si="10"/>
        <v>БОВГ-С-2,5/2,5</v>
      </c>
      <c r="Q41" s="27" t="str">
        <f t="shared" si="10"/>
        <v>БОВГ-П-2,5/2,5</v>
      </c>
    </row>
    <row r="42" spans="1:17" x14ac:dyDescent="0.25">
      <c r="A42" s="9">
        <v>2.6</v>
      </c>
      <c r="B42" s="9"/>
      <c r="C42" s="24" t="str">
        <f t="shared" si="7"/>
        <v>БВ-2,6-xx</v>
      </c>
      <c r="D42" s="24" t="str">
        <f t="shared" si="7"/>
        <v>БВ-2,6-РП</v>
      </c>
      <c r="E42" s="24" t="str">
        <f t="shared" si="7"/>
        <v>БВ-2,6-Рх</v>
      </c>
      <c r="F42" s="28" t="str">
        <f t="shared" si="7"/>
        <v>БВ-2,6-хП</v>
      </c>
      <c r="G42" s="29" t="str">
        <f t="shared" si="11"/>
        <v>БОВ-2,6-С</v>
      </c>
      <c r="H42" s="27" t="str">
        <f t="shared" si="11"/>
        <v>БОВ-2,6-Т</v>
      </c>
      <c r="I42" s="27" t="str">
        <f t="shared" si="11"/>
        <v>БОВ-2,6-Т-2(50%)</v>
      </c>
      <c r="J42" s="27" t="str">
        <f t="shared" si="11"/>
        <v>БОВ-2,6-Т-2(75%)</v>
      </c>
      <c r="K42" s="27" t="str">
        <f t="shared" si="11"/>
        <v>БОВ-2,6-Т-2(100%)</v>
      </c>
      <c r="L42" s="27" t="str">
        <f t="shared" si="12"/>
        <v>БГ-2,6</v>
      </c>
      <c r="M42" s="27" t="str">
        <f t="shared" si="9"/>
        <v>БГ-С-2,6/2,6</v>
      </c>
      <c r="N42" s="27" t="str">
        <f t="shared" si="9"/>
        <v>БГ-П-2,6/2,6</v>
      </c>
      <c r="O42" s="27" t="str">
        <f t="shared" si="13"/>
        <v>БОВГ-2,6</v>
      </c>
      <c r="P42" s="27" t="str">
        <f t="shared" si="10"/>
        <v>БОВГ-С-2,6/2,6</v>
      </c>
      <c r="Q42" s="27" t="str">
        <f t="shared" si="10"/>
        <v>БОВГ-П-2,6/2,6</v>
      </c>
    </row>
    <row r="43" spans="1:17" x14ac:dyDescent="0.25">
      <c r="A43" s="9">
        <v>2.7</v>
      </c>
      <c r="B43" s="9"/>
      <c r="C43" s="24" t="str">
        <f t="shared" ref="C43:F56" si="14">$C$1&amp;"-"&amp;$A43&amp;"-"&amp;C$2</f>
        <v>БВ-2,7-xx</v>
      </c>
      <c r="D43" s="24" t="str">
        <f t="shared" si="14"/>
        <v>БВ-2,7-РП</v>
      </c>
      <c r="E43" s="24" t="str">
        <f t="shared" si="14"/>
        <v>БВ-2,7-Рх</v>
      </c>
      <c r="F43" s="28" t="str">
        <f t="shared" si="14"/>
        <v>БВ-2,7-хП</v>
      </c>
      <c r="G43" s="29" t="str">
        <f t="shared" ref="G43:K56" si="15">$G$1&amp;"-"&amp;$A43&amp;"-"&amp;G$2</f>
        <v>БОВ-2,7-С</v>
      </c>
      <c r="H43" s="27" t="str">
        <f t="shared" si="15"/>
        <v>БОВ-2,7-Т</v>
      </c>
      <c r="I43" s="27" t="str">
        <f t="shared" si="15"/>
        <v>БОВ-2,7-Т-2(50%)</v>
      </c>
      <c r="J43" s="27" t="str">
        <f t="shared" si="15"/>
        <v>БОВ-2,7-Т-2(75%)</v>
      </c>
      <c r="K43" s="27" t="str">
        <f t="shared" si="15"/>
        <v>БОВ-2,7-Т-2(100%)</v>
      </c>
      <c r="L43" s="27" t="str">
        <f t="shared" si="12"/>
        <v>БГ-2,7</v>
      </c>
      <c r="M43" s="27" t="str">
        <f t="shared" ref="M43:N56" si="16">$L$1&amp;"-"&amp;M$2&amp;"-"&amp;$A43&amp;"/"&amp;$A43</f>
        <v>БГ-С-2,7/2,7</v>
      </c>
      <c r="N43" s="27" t="str">
        <f t="shared" si="16"/>
        <v>БГ-П-2,7/2,7</v>
      </c>
      <c r="O43" s="27" t="str">
        <f t="shared" si="13"/>
        <v>БОВГ-2,7</v>
      </c>
      <c r="P43" s="27" t="str">
        <f t="shared" ref="P43:Q56" si="17">$O$1&amp;"-"&amp;P$2&amp;"-"&amp;$A43&amp;"/"&amp;$A43</f>
        <v>БОВГ-С-2,7/2,7</v>
      </c>
      <c r="Q43" s="27" t="str">
        <f t="shared" si="17"/>
        <v>БОВГ-П-2,7/2,7</v>
      </c>
    </row>
    <row r="44" spans="1:17" x14ac:dyDescent="0.25">
      <c r="A44" s="9">
        <v>2.8</v>
      </c>
      <c r="B44" s="9"/>
      <c r="C44" s="24" t="str">
        <f t="shared" si="14"/>
        <v>БВ-2,8-xx</v>
      </c>
      <c r="D44" s="24" t="str">
        <f t="shared" si="14"/>
        <v>БВ-2,8-РП</v>
      </c>
      <c r="E44" s="24" t="str">
        <f t="shared" si="14"/>
        <v>БВ-2,8-Рх</v>
      </c>
      <c r="F44" s="28" t="str">
        <f t="shared" si="14"/>
        <v>БВ-2,8-хП</v>
      </c>
      <c r="G44" s="29" t="str">
        <f t="shared" si="15"/>
        <v>БОВ-2,8-С</v>
      </c>
      <c r="H44" s="27" t="str">
        <f t="shared" si="15"/>
        <v>БОВ-2,8-Т</v>
      </c>
      <c r="I44" s="27" t="str">
        <f t="shared" si="15"/>
        <v>БОВ-2,8-Т-2(50%)</v>
      </c>
      <c r="J44" s="27" t="str">
        <f t="shared" si="15"/>
        <v>БОВ-2,8-Т-2(75%)</v>
      </c>
      <c r="K44" s="27" t="str">
        <f t="shared" si="15"/>
        <v>БОВ-2,8-Т-2(100%)</v>
      </c>
      <c r="L44" s="27" t="str">
        <f t="shared" si="12"/>
        <v>БГ-2,8</v>
      </c>
      <c r="M44" s="27" t="str">
        <f t="shared" si="16"/>
        <v>БГ-С-2,8/2,8</v>
      </c>
      <c r="N44" s="27" t="str">
        <f t="shared" si="16"/>
        <v>БГ-П-2,8/2,8</v>
      </c>
      <c r="O44" s="27" t="str">
        <f t="shared" si="13"/>
        <v>БОВГ-2,8</v>
      </c>
      <c r="P44" s="27" t="str">
        <f t="shared" si="17"/>
        <v>БОВГ-С-2,8/2,8</v>
      </c>
      <c r="Q44" s="27" t="str">
        <f t="shared" si="17"/>
        <v>БОВГ-П-2,8/2,8</v>
      </c>
    </row>
    <row r="45" spans="1:17" x14ac:dyDescent="0.25">
      <c r="A45" s="9">
        <v>2.9</v>
      </c>
      <c r="B45" s="9"/>
      <c r="C45" s="24" t="str">
        <f t="shared" si="14"/>
        <v>БВ-2,9-xx</v>
      </c>
      <c r="D45" s="24" t="str">
        <f t="shared" si="14"/>
        <v>БВ-2,9-РП</v>
      </c>
      <c r="E45" s="24" t="str">
        <f t="shared" si="14"/>
        <v>БВ-2,9-Рх</v>
      </c>
      <c r="F45" s="28" t="str">
        <f t="shared" si="14"/>
        <v>БВ-2,9-хП</v>
      </c>
      <c r="G45" s="29" t="str">
        <f t="shared" si="15"/>
        <v>БОВ-2,9-С</v>
      </c>
      <c r="H45" s="27" t="str">
        <f t="shared" si="15"/>
        <v>БОВ-2,9-Т</v>
      </c>
      <c r="I45" s="27" t="str">
        <f t="shared" si="15"/>
        <v>БОВ-2,9-Т-2(50%)</v>
      </c>
      <c r="J45" s="27" t="str">
        <f t="shared" si="15"/>
        <v>БОВ-2,9-Т-2(75%)</v>
      </c>
      <c r="K45" s="27" t="str">
        <f t="shared" si="15"/>
        <v>БОВ-2,9-Т-2(100%)</v>
      </c>
      <c r="L45" s="27" t="str">
        <f t="shared" si="12"/>
        <v>БГ-2,9</v>
      </c>
      <c r="M45" s="27" t="str">
        <f t="shared" si="16"/>
        <v>БГ-С-2,9/2,9</v>
      </c>
      <c r="N45" s="27" t="str">
        <f t="shared" si="16"/>
        <v>БГ-П-2,9/2,9</v>
      </c>
      <c r="O45" s="27" t="str">
        <f t="shared" si="13"/>
        <v>БОВГ-2,9</v>
      </c>
      <c r="P45" s="27" t="str">
        <f t="shared" si="17"/>
        <v>БОВГ-С-2,9/2,9</v>
      </c>
      <c r="Q45" s="27" t="str">
        <f t="shared" si="17"/>
        <v>БОВГ-П-2,9/2,9</v>
      </c>
    </row>
    <row r="46" spans="1:17" x14ac:dyDescent="0.25">
      <c r="A46" s="9" t="s">
        <v>27</v>
      </c>
      <c r="B46" s="9"/>
      <c r="C46" s="24" t="str">
        <f t="shared" si="14"/>
        <v>БВ-3,0-xx</v>
      </c>
      <c r="D46" s="24" t="str">
        <f t="shared" si="14"/>
        <v>БВ-3,0-РП</v>
      </c>
      <c r="E46" s="24" t="str">
        <f t="shared" si="14"/>
        <v>БВ-3,0-Рх</v>
      </c>
      <c r="F46" s="28" t="str">
        <f t="shared" si="14"/>
        <v>БВ-3,0-хП</v>
      </c>
      <c r="G46" s="29" t="str">
        <f t="shared" si="15"/>
        <v>БОВ-3,0-С</v>
      </c>
      <c r="H46" s="27" t="str">
        <f t="shared" si="15"/>
        <v>БОВ-3,0-Т</v>
      </c>
      <c r="I46" s="27" t="str">
        <f t="shared" si="15"/>
        <v>БОВ-3,0-Т-2(50%)</v>
      </c>
      <c r="J46" s="27" t="str">
        <f t="shared" si="15"/>
        <v>БОВ-3,0-Т-2(75%)</v>
      </c>
      <c r="K46" s="27" t="str">
        <f t="shared" si="15"/>
        <v>БОВ-3,0-Т-2(100%)</v>
      </c>
      <c r="L46" s="27" t="str">
        <f t="shared" si="12"/>
        <v>БГ-3,0</v>
      </c>
      <c r="M46" s="27" t="str">
        <f t="shared" si="16"/>
        <v>БГ-С-3,0/3,0</v>
      </c>
      <c r="N46" s="27" t="str">
        <f t="shared" si="16"/>
        <v>БГ-П-3,0/3,0</v>
      </c>
      <c r="O46" s="27" t="str">
        <f t="shared" si="13"/>
        <v>БОВГ-3,0</v>
      </c>
      <c r="P46" s="27" t="str">
        <f t="shared" si="17"/>
        <v>БОВГ-С-3,0/3,0</v>
      </c>
      <c r="Q46" s="27" t="str">
        <f t="shared" si="17"/>
        <v>БОВГ-П-3,0/3,0</v>
      </c>
    </row>
    <row r="47" spans="1:17" x14ac:dyDescent="0.25">
      <c r="A47" s="9">
        <v>3.1</v>
      </c>
      <c r="B47" s="9"/>
      <c r="C47" s="24" t="str">
        <f t="shared" si="14"/>
        <v>БВ-3,1-xx</v>
      </c>
      <c r="D47" s="24" t="str">
        <f t="shared" si="14"/>
        <v>БВ-3,1-РП</v>
      </c>
      <c r="E47" s="24" t="str">
        <f t="shared" si="14"/>
        <v>БВ-3,1-Рх</v>
      </c>
      <c r="F47" s="28" t="str">
        <f t="shared" si="14"/>
        <v>БВ-3,1-хП</v>
      </c>
      <c r="G47" s="29" t="str">
        <f t="shared" si="15"/>
        <v>БОВ-3,1-С</v>
      </c>
      <c r="H47" s="27" t="str">
        <f t="shared" si="15"/>
        <v>БОВ-3,1-Т</v>
      </c>
      <c r="I47" s="27" t="str">
        <f t="shared" si="15"/>
        <v>БОВ-3,1-Т-2(50%)</v>
      </c>
      <c r="J47" s="27" t="str">
        <f t="shared" si="15"/>
        <v>БОВ-3,1-Т-2(75%)</v>
      </c>
      <c r="K47" s="27" t="str">
        <f t="shared" si="15"/>
        <v>БОВ-3,1-Т-2(100%)</v>
      </c>
      <c r="L47" s="27" t="str">
        <f t="shared" si="12"/>
        <v>БГ-3,1</v>
      </c>
      <c r="M47" s="27" t="str">
        <f t="shared" si="16"/>
        <v>БГ-С-3,1/3,1</v>
      </c>
      <c r="N47" s="27" t="str">
        <f t="shared" si="16"/>
        <v>БГ-П-3,1/3,1</v>
      </c>
      <c r="O47" s="27" t="str">
        <f t="shared" si="13"/>
        <v>БОВГ-3,1</v>
      </c>
      <c r="P47" s="27" t="str">
        <f t="shared" si="17"/>
        <v>БОВГ-С-3,1/3,1</v>
      </c>
      <c r="Q47" s="27" t="str">
        <f t="shared" si="17"/>
        <v>БОВГ-П-3,1/3,1</v>
      </c>
    </row>
    <row r="48" spans="1:17" x14ac:dyDescent="0.25">
      <c r="A48" s="9">
        <v>3.2</v>
      </c>
      <c r="B48" s="9"/>
      <c r="C48" s="24" t="str">
        <f t="shared" si="14"/>
        <v>БВ-3,2-xx</v>
      </c>
      <c r="D48" s="24" t="str">
        <f t="shared" si="14"/>
        <v>БВ-3,2-РП</v>
      </c>
      <c r="E48" s="24" t="str">
        <f t="shared" si="14"/>
        <v>БВ-3,2-Рх</v>
      </c>
      <c r="F48" s="28" t="str">
        <f t="shared" si="14"/>
        <v>БВ-3,2-хП</v>
      </c>
      <c r="G48" s="29" t="str">
        <f t="shared" si="15"/>
        <v>БОВ-3,2-С</v>
      </c>
      <c r="H48" s="27" t="str">
        <f t="shared" si="15"/>
        <v>БОВ-3,2-Т</v>
      </c>
      <c r="I48" s="27" t="str">
        <f t="shared" si="15"/>
        <v>БОВ-3,2-Т-2(50%)</v>
      </c>
      <c r="J48" s="27" t="str">
        <f t="shared" si="15"/>
        <v>БОВ-3,2-Т-2(75%)</v>
      </c>
      <c r="K48" s="27" t="str">
        <f t="shared" si="15"/>
        <v>БОВ-3,2-Т-2(100%)</v>
      </c>
      <c r="L48" s="27" t="str">
        <f t="shared" si="12"/>
        <v>БГ-3,2</v>
      </c>
      <c r="M48" s="27" t="str">
        <f t="shared" si="16"/>
        <v>БГ-С-3,2/3,2</v>
      </c>
      <c r="N48" s="27" t="str">
        <f t="shared" si="16"/>
        <v>БГ-П-3,2/3,2</v>
      </c>
      <c r="O48" s="27" t="str">
        <f t="shared" si="13"/>
        <v>БОВГ-3,2</v>
      </c>
      <c r="P48" s="27" t="str">
        <f t="shared" si="17"/>
        <v>БОВГ-С-3,2/3,2</v>
      </c>
      <c r="Q48" s="27" t="str">
        <f t="shared" si="17"/>
        <v>БОВГ-П-3,2/3,2</v>
      </c>
    </row>
    <row r="49" spans="1:17" x14ac:dyDescent="0.25">
      <c r="A49" s="9">
        <v>3.3</v>
      </c>
      <c r="B49" s="9"/>
      <c r="C49" s="24" t="str">
        <f t="shared" si="14"/>
        <v>БВ-3,3-xx</v>
      </c>
      <c r="D49" s="24" t="str">
        <f t="shared" si="14"/>
        <v>БВ-3,3-РП</v>
      </c>
      <c r="E49" s="24" t="str">
        <f t="shared" si="14"/>
        <v>БВ-3,3-Рх</v>
      </c>
      <c r="F49" s="28" t="str">
        <f t="shared" si="14"/>
        <v>БВ-3,3-хП</v>
      </c>
      <c r="G49" s="29" t="str">
        <f t="shared" si="15"/>
        <v>БОВ-3,3-С</v>
      </c>
      <c r="H49" s="27" t="str">
        <f t="shared" si="15"/>
        <v>БОВ-3,3-Т</v>
      </c>
      <c r="I49" s="27" t="str">
        <f t="shared" si="15"/>
        <v>БОВ-3,3-Т-2(50%)</v>
      </c>
      <c r="J49" s="27" t="str">
        <f t="shared" si="15"/>
        <v>БОВ-3,3-Т-2(75%)</v>
      </c>
      <c r="K49" s="27" t="str">
        <f t="shared" si="15"/>
        <v>БОВ-3,3-Т-2(100%)</v>
      </c>
      <c r="L49" s="27" t="str">
        <f t="shared" si="12"/>
        <v>БГ-3,3</v>
      </c>
      <c r="M49" s="27" t="str">
        <f t="shared" si="16"/>
        <v>БГ-С-3,3/3,3</v>
      </c>
      <c r="N49" s="27" t="str">
        <f t="shared" si="16"/>
        <v>БГ-П-3,3/3,3</v>
      </c>
      <c r="O49" s="27" t="str">
        <f t="shared" si="13"/>
        <v>БОВГ-3,3</v>
      </c>
      <c r="P49" s="27" t="str">
        <f t="shared" si="17"/>
        <v>БОВГ-С-3,3/3,3</v>
      </c>
      <c r="Q49" s="27" t="str">
        <f t="shared" si="17"/>
        <v>БОВГ-П-3,3/3,3</v>
      </c>
    </row>
    <row r="50" spans="1:17" x14ac:dyDescent="0.25">
      <c r="A50" s="9">
        <v>3.4</v>
      </c>
      <c r="B50" s="9"/>
      <c r="C50" s="24" t="str">
        <f t="shared" si="14"/>
        <v>БВ-3,4-xx</v>
      </c>
      <c r="D50" s="24" t="str">
        <f t="shared" si="14"/>
        <v>БВ-3,4-РП</v>
      </c>
      <c r="E50" s="24" t="str">
        <f t="shared" si="14"/>
        <v>БВ-3,4-Рх</v>
      </c>
      <c r="F50" s="28" t="str">
        <f t="shared" si="14"/>
        <v>БВ-3,4-хП</v>
      </c>
      <c r="G50" s="29" t="str">
        <f t="shared" si="15"/>
        <v>БОВ-3,4-С</v>
      </c>
      <c r="H50" s="27" t="str">
        <f t="shared" si="15"/>
        <v>БОВ-3,4-Т</v>
      </c>
      <c r="I50" s="27" t="str">
        <f t="shared" si="15"/>
        <v>БОВ-3,4-Т-2(50%)</v>
      </c>
      <c r="J50" s="27" t="str">
        <f t="shared" si="15"/>
        <v>БОВ-3,4-Т-2(75%)</v>
      </c>
      <c r="K50" s="27" t="str">
        <f t="shared" si="15"/>
        <v>БОВ-3,4-Т-2(100%)</v>
      </c>
      <c r="L50" s="27" t="str">
        <f t="shared" si="12"/>
        <v>БГ-3,4</v>
      </c>
      <c r="M50" s="27" t="str">
        <f t="shared" si="16"/>
        <v>БГ-С-3,4/3,4</v>
      </c>
      <c r="N50" s="27" t="str">
        <f t="shared" si="16"/>
        <v>БГ-П-3,4/3,4</v>
      </c>
      <c r="O50" s="27" t="str">
        <f t="shared" si="13"/>
        <v>БОВГ-3,4</v>
      </c>
      <c r="P50" s="27" t="str">
        <f t="shared" si="17"/>
        <v>БОВГ-С-3,4/3,4</v>
      </c>
      <c r="Q50" s="27" t="str">
        <f t="shared" si="17"/>
        <v>БОВГ-П-3,4/3,4</v>
      </c>
    </row>
    <row r="51" spans="1:17" x14ac:dyDescent="0.25">
      <c r="A51" s="9">
        <v>3.5</v>
      </c>
      <c r="B51" s="9"/>
      <c r="C51" s="24" t="str">
        <f t="shared" si="14"/>
        <v>БВ-3,5-xx</v>
      </c>
      <c r="D51" s="24" t="str">
        <f t="shared" si="14"/>
        <v>БВ-3,5-РП</v>
      </c>
      <c r="E51" s="24" t="str">
        <f t="shared" si="14"/>
        <v>БВ-3,5-Рх</v>
      </c>
      <c r="F51" s="28" t="str">
        <f t="shared" si="14"/>
        <v>БВ-3,5-хП</v>
      </c>
      <c r="G51" s="29" t="str">
        <f t="shared" si="15"/>
        <v>БОВ-3,5-С</v>
      </c>
      <c r="H51" s="27" t="str">
        <f t="shared" si="15"/>
        <v>БОВ-3,5-Т</v>
      </c>
      <c r="I51" s="27" t="str">
        <f t="shared" si="15"/>
        <v>БОВ-3,5-Т-2(50%)</v>
      </c>
      <c r="J51" s="27" t="str">
        <f t="shared" si="15"/>
        <v>БОВ-3,5-Т-2(75%)</v>
      </c>
      <c r="K51" s="27" t="str">
        <f t="shared" si="15"/>
        <v>БОВ-3,5-Т-2(100%)</v>
      </c>
      <c r="L51" s="27" t="str">
        <f t="shared" si="12"/>
        <v>БГ-3,5</v>
      </c>
      <c r="M51" s="27" t="str">
        <f t="shared" si="16"/>
        <v>БГ-С-3,5/3,5</v>
      </c>
      <c r="N51" s="27" t="str">
        <f t="shared" si="16"/>
        <v>БГ-П-3,5/3,5</v>
      </c>
      <c r="O51" s="27" t="str">
        <f t="shared" si="13"/>
        <v>БОВГ-3,5</v>
      </c>
      <c r="P51" s="27" t="str">
        <f t="shared" si="17"/>
        <v>БОВГ-С-3,5/3,5</v>
      </c>
      <c r="Q51" s="27" t="str">
        <f t="shared" si="17"/>
        <v>БОВГ-П-3,5/3,5</v>
      </c>
    </row>
    <row r="52" spans="1:17" x14ac:dyDescent="0.25">
      <c r="A52" s="9">
        <v>3.6</v>
      </c>
      <c r="B52" s="9"/>
      <c r="C52" s="24" t="str">
        <f t="shared" si="14"/>
        <v>БВ-3,6-xx</v>
      </c>
      <c r="D52" s="24" t="str">
        <f t="shared" si="14"/>
        <v>БВ-3,6-РП</v>
      </c>
      <c r="E52" s="24" t="str">
        <f t="shared" si="14"/>
        <v>БВ-3,6-Рх</v>
      </c>
      <c r="F52" s="28" t="str">
        <f t="shared" si="14"/>
        <v>БВ-3,6-хП</v>
      </c>
      <c r="G52" s="29" t="str">
        <f t="shared" si="15"/>
        <v>БОВ-3,6-С</v>
      </c>
      <c r="H52" s="27" t="str">
        <f t="shared" si="15"/>
        <v>БОВ-3,6-Т</v>
      </c>
      <c r="I52" s="27" t="str">
        <f t="shared" si="15"/>
        <v>БОВ-3,6-Т-2(50%)</v>
      </c>
      <c r="J52" s="27" t="str">
        <f t="shared" si="15"/>
        <v>БОВ-3,6-Т-2(75%)</v>
      </c>
      <c r="K52" s="27" t="str">
        <f t="shared" si="15"/>
        <v>БОВ-3,6-Т-2(100%)</v>
      </c>
      <c r="L52" s="27" t="str">
        <f t="shared" si="12"/>
        <v>БГ-3,6</v>
      </c>
      <c r="M52" s="27" t="str">
        <f t="shared" si="16"/>
        <v>БГ-С-3,6/3,6</v>
      </c>
      <c r="N52" s="27" t="str">
        <f t="shared" si="16"/>
        <v>БГ-П-3,6/3,6</v>
      </c>
      <c r="O52" s="27" t="str">
        <f t="shared" si="13"/>
        <v>БОВГ-3,6</v>
      </c>
      <c r="P52" s="27" t="str">
        <f t="shared" si="17"/>
        <v>БОВГ-С-3,6/3,6</v>
      </c>
      <c r="Q52" s="27" t="str">
        <f t="shared" si="17"/>
        <v>БОВГ-П-3,6/3,6</v>
      </c>
    </row>
    <row r="53" spans="1:17" x14ac:dyDescent="0.25">
      <c r="A53" s="9">
        <v>3.7</v>
      </c>
      <c r="B53" s="9"/>
      <c r="C53" s="24" t="str">
        <f t="shared" si="14"/>
        <v>БВ-3,7-xx</v>
      </c>
      <c r="D53" s="24" t="str">
        <f t="shared" si="14"/>
        <v>БВ-3,7-РП</v>
      </c>
      <c r="E53" s="24" t="str">
        <f t="shared" si="14"/>
        <v>БВ-3,7-Рх</v>
      </c>
      <c r="F53" s="28" t="str">
        <f t="shared" si="14"/>
        <v>БВ-3,7-хП</v>
      </c>
      <c r="G53" s="29" t="str">
        <f t="shared" si="15"/>
        <v>БОВ-3,7-С</v>
      </c>
      <c r="H53" s="27" t="str">
        <f t="shared" si="15"/>
        <v>БОВ-3,7-Т</v>
      </c>
      <c r="I53" s="27" t="str">
        <f t="shared" si="15"/>
        <v>БОВ-3,7-Т-2(50%)</v>
      </c>
      <c r="J53" s="27" t="str">
        <f t="shared" si="15"/>
        <v>БОВ-3,7-Т-2(75%)</v>
      </c>
      <c r="K53" s="27" t="str">
        <f t="shared" si="15"/>
        <v>БОВ-3,7-Т-2(100%)</v>
      </c>
      <c r="L53" s="27" t="str">
        <f t="shared" si="12"/>
        <v>БГ-3,7</v>
      </c>
      <c r="M53" s="27" t="str">
        <f t="shared" si="16"/>
        <v>БГ-С-3,7/3,7</v>
      </c>
      <c r="N53" s="27" t="str">
        <f t="shared" si="16"/>
        <v>БГ-П-3,7/3,7</v>
      </c>
      <c r="O53" s="27" t="str">
        <f t="shared" si="13"/>
        <v>БОВГ-3,7</v>
      </c>
      <c r="P53" s="27" t="str">
        <f t="shared" si="17"/>
        <v>БОВГ-С-3,7/3,7</v>
      </c>
      <c r="Q53" s="27" t="str">
        <f t="shared" si="17"/>
        <v>БОВГ-П-3,7/3,7</v>
      </c>
    </row>
    <row r="54" spans="1:17" x14ac:dyDescent="0.25">
      <c r="A54" s="9">
        <v>3.8</v>
      </c>
      <c r="B54" s="9"/>
      <c r="C54" s="24" t="str">
        <f t="shared" si="14"/>
        <v>БВ-3,8-xx</v>
      </c>
      <c r="D54" s="24" t="str">
        <f t="shared" si="14"/>
        <v>БВ-3,8-РП</v>
      </c>
      <c r="E54" s="24" t="str">
        <f t="shared" si="14"/>
        <v>БВ-3,8-Рх</v>
      </c>
      <c r="F54" s="28" t="str">
        <f t="shared" si="14"/>
        <v>БВ-3,8-хП</v>
      </c>
      <c r="G54" s="29" t="str">
        <f t="shared" si="15"/>
        <v>БОВ-3,8-С</v>
      </c>
      <c r="H54" s="27" t="str">
        <f t="shared" si="15"/>
        <v>БОВ-3,8-Т</v>
      </c>
      <c r="I54" s="27" t="str">
        <f t="shared" si="15"/>
        <v>БОВ-3,8-Т-2(50%)</v>
      </c>
      <c r="J54" s="27" t="str">
        <f t="shared" si="15"/>
        <v>БОВ-3,8-Т-2(75%)</v>
      </c>
      <c r="K54" s="27" t="str">
        <f t="shared" si="15"/>
        <v>БОВ-3,8-Т-2(100%)</v>
      </c>
      <c r="L54" s="27" t="str">
        <f t="shared" si="12"/>
        <v>БГ-3,8</v>
      </c>
      <c r="M54" s="27" t="str">
        <f t="shared" si="16"/>
        <v>БГ-С-3,8/3,8</v>
      </c>
      <c r="N54" s="27" t="str">
        <f t="shared" si="16"/>
        <v>БГ-П-3,8/3,8</v>
      </c>
      <c r="O54" s="27" t="str">
        <f t="shared" si="13"/>
        <v>БОВГ-3,8</v>
      </c>
      <c r="P54" s="27" t="str">
        <f t="shared" si="17"/>
        <v>БОВГ-С-3,8/3,8</v>
      </c>
      <c r="Q54" s="27" t="str">
        <f t="shared" si="17"/>
        <v>БОВГ-П-3,8/3,8</v>
      </c>
    </row>
    <row r="55" spans="1:17" x14ac:dyDescent="0.25">
      <c r="A55" s="9">
        <v>3.9</v>
      </c>
      <c r="B55" s="9"/>
      <c r="C55" s="24" t="str">
        <f t="shared" si="14"/>
        <v>БВ-3,9-xx</v>
      </c>
      <c r="D55" s="24" t="str">
        <f t="shared" si="14"/>
        <v>БВ-3,9-РП</v>
      </c>
      <c r="E55" s="24" t="str">
        <f t="shared" si="14"/>
        <v>БВ-3,9-Рх</v>
      </c>
      <c r="F55" s="28" t="str">
        <f t="shared" si="14"/>
        <v>БВ-3,9-хП</v>
      </c>
      <c r="G55" s="29" t="str">
        <f t="shared" si="15"/>
        <v>БОВ-3,9-С</v>
      </c>
      <c r="H55" s="27" t="str">
        <f t="shared" si="15"/>
        <v>БОВ-3,9-Т</v>
      </c>
      <c r="I55" s="27" t="str">
        <f t="shared" si="15"/>
        <v>БОВ-3,9-Т-2(50%)</v>
      </c>
      <c r="J55" s="27" t="str">
        <f t="shared" si="15"/>
        <v>БОВ-3,9-Т-2(75%)</v>
      </c>
      <c r="K55" s="27" t="str">
        <f t="shared" si="15"/>
        <v>БОВ-3,9-Т-2(100%)</v>
      </c>
      <c r="L55" s="27" t="str">
        <f t="shared" si="12"/>
        <v>БГ-3,9</v>
      </c>
      <c r="M55" s="27" t="str">
        <f t="shared" si="16"/>
        <v>БГ-С-3,9/3,9</v>
      </c>
      <c r="N55" s="27" t="str">
        <f t="shared" si="16"/>
        <v>БГ-П-3,9/3,9</v>
      </c>
      <c r="O55" s="27" t="str">
        <f t="shared" si="13"/>
        <v>БОВГ-3,9</v>
      </c>
      <c r="P55" s="27" t="str">
        <f t="shared" si="17"/>
        <v>БОВГ-С-3,9/3,9</v>
      </c>
      <c r="Q55" s="27" t="str">
        <f t="shared" si="17"/>
        <v>БОВГ-П-3,9/3,9</v>
      </c>
    </row>
    <row r="56" spans="1:17" x14ac:dyDescent="0.25">
      <c r="A56" s="9" t="s">
        <v>28</v>
      </c>
      <c r="B56" s="9"/>
      <c r="C56" s="24" t="str">
        <f t="shared" si="14"/>
        <v>БВ-4,0-xx</v>
      </c>
      <c r="D56" s="24" t="str">
        <f t="shared" si="14"/>
        <v>БВ-4,0-РП</v>
      </c>
      <c r="E56" s="24" t="str">
        <f t="shared" si="14"/>
        <v>БВ-4,0-Рх</v>
      </c>
      <c r="F56" s="28" t="str">
        <f t="shared" si="14"/>
        <v>БВ-4,0-хП</v>
      </c>
      <c r="G56" s="29" t="str">
        <f t="shared" si="15"/>
        <v>БОВ-4,0-С</v>
      </c>
      <c r="H56" s="27" t="str">
        <f t="shared" si="15"/>
        <v>БОВ-4,0-Т</v>
      </c>
      <c r="I56" s="27" t="str">
        <f t="shared" si="15"/>
        <v>БОВ-4,0-Т-2(50%)</v>
      </c>
      <c r="J56" s="27" t="str">
        <f t="shared" si="15"/>
        <v>БОВ-4,0-Т-2(75%)</v>
      </c>
      <c r="K56" s="27" t="str">
        <f t="shared" si="15"/>
        <v>БОВ-4,0-Т-2(100%)</v>
      </c>
      <c r="L56" s="27" t="str">
        <f t="shared" si="12"/>
        <v>БГ-4,0</v>
      </c>
      <c r="M56" s="27" t="str">
        <f t="shared" si="16"/>
        <v>БГ-С-4,0/4,0</v>
      </c>
      <c r="N56" s="27" t="str">
        <f t="shared" si="16"/>
        <v>БГ-П-4,0/4,0</v>
      </c>
      <c r="O56" s="27" t="str">
        <f t="shared" si="13"/>
        <v>БОВГ-4,0</v>
      </c>
      <c r="P56" s="27" t="str">
        <f t="shared" si="17"/>
        <v>БОВГ-С-4,0/4,0</v>
      </c>
      <c r="Q56" s="27" t="str">
        <f t="shared" si="17"/>
        <v>БОВГ-П-4,0/4,0</v>
      </c>
    </row>
    <row r="57" spans="1:17" x14ac:dyDescent="0.25">
      <c r="A57" s="30"/>
      <c r="B57" s="31"/>
      <c r="C57" s="32"/>
      <c r="D57" s="32"/>
    </row>
    <row r="58" spans="1:17" x14ac:dyDescent="0.25">
      <c r="A58" s="30"/>
      <c r="B58" s="31"/>
      <c r="C58" s="32"/>
      <c r="D58" s="32"/>
    </row>
    <row r="59" spans="1:17" x14ac:dyDescent="0.25">
      <c r="A59" s="30"/>
      <c r="B59" s="31"/>
      <c r="C59" s="32"/>
      <c r="D59" s="32"/>
    </row>
    <row r="60" spans="1:17" x14ac:dyDescent="0.25">
      <c r="A60" s="11"/>
      <c r="B60" s="11"/>
      <c r="C60" s="32"/>
      <c r="D60" s="32"/>
    </row>
    <row r="61" spans="1:17" x14ac:dyDescent="0.25">
      <c r="A61" s="11"/>
      <c r="B61" s="11"/>
      <c r="C61" s="32"/>
      <c r="D61" s="32"/>
    </row>
    <row r="62" spans="1:17" x14ac:dyDescent="0.25">
      <c r="A62" s="11"/>
      <c r="B62" s="11"/>
      <c r="C62" s="32"/>
      <c r="D62" s="32"/>
    </row>
    <row r="63" spans="1:17" x14ac:dyDescent="0.25">
      <c r="A63" s="11"/>
      <c r="B63" s="11"/>
      <c r="C63" s="32"/>
      <c r="D63" s="32"/>
    </row>
    <row r="64" spans="1:17" x14ac:dyDescent="0.25">
      <c r="A64" s="11"/>
      <c r="B64" s="11"/>
      <c r="C64" s="32"/>
      <c r="D64" s="32"/>
    </row>
    <row r="65" spans="1:4" x14ac:dyDescent="0.25">
      <c r="A65" s="11"/>
      <c r="B65" s="11"/>
      <c r="C65" s="32"/>
      <c r="D65" s="32"/>
    </row>
    <row r="66" spans="1:4" x14ac:dyDescent="0.25">
      <c r="A66" s="11"/>
      <c r="B66" s="11"/>
      <c r="C66" s="32"/>
      <c r="D66" s="32"/>
    </row>
    <row r="67" spans="1:4" x14ac:dyDescent="0.25">
      <c r="A67" s="11"/>
      <c r="B67" s="11"/>
      <c r="C67" s="32"/>
      <c r="D67" s="32"/>
    </row>
    <row r="68" spans="1:4" x14ac:dyDescent="0.25">
      <c r="A68" s="11"/>
      <c r="B68" s="11"/>
      <c r="C68" s="32"/>
      <c r="D68" s="32"/>
    </row>
    <row r="69" spans="1:4" x14ac:dyDescent="0.25">
      <c r="A69" s="8"/>
      <c r="B69" s="8"/>
      <c r="C69" s="32"/>
      <c r="D69" s="32"/>
    </row>
  </sheetData>
  <mergeCells count="68">
    <mergeCell ref="A67:B67"/>
    <mergeCell ref="A68:B68"/>
    <mergeCell ref="A69:B69"/>
    <mergeCell ref="A62:B62"/>
    <mergeCell ref="A63:B63"/>
    <mergeCell ref="A64:B64"/>
    <mergeCell ref="A65:B65"/>
    <mergeCell ref="A66:B66"/>
    <mergeCell ref="A54:B54"/>
    <mergeCell ref="A55:B55"/>
    <mergeCell ref="A56:B56"/>
    <mergeCell ref="A60:B60"/>
    <mergeCell ref="A61:B61"/>
    <mergeCell ref="A49:B49"/>
    <mergeCell ref="A50:B50"/>
    <mergeCell ref="A51:B51"/>
    <mergeCell ref="A52:B52"/>
    <mergeCell ref="A53:B53"/>
    <mergeCell ref="A44:B44"/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34:B34"/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4:B4"/>
    <mergeCell ref="A5:B5"/>
    <mergeCell ref="A6:B6"/>
    <mergeCell ref="A7:B7"/>
    <mergeCell ref="A8:B8"/>
    <mergeCell ref="C1:F1"/>
    <mergeCell ref="G1:K1"/>
    <mergeCell ref="L1:N1"/>
    <mergeCell ref="O1:Q1"/>
    <mergeCell ref="A3:B3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35"/>
  <sheetViews>
    <sheetView zoomScaleNormal="100" workbookViewId="0">
      <selection activeCell="U8" sqref="U8"/>
    </sheetView>
  </sheetViews>
  <sheetFormatPr defaultRowHeight="15" x14ac:dyDescent="0.25"/>
  <cols>
    <col min="1" max="1025" width="9.140625" style="33" customWidth="1"/>
  </cols>
  <sheetData>
    <row r="1" spans="2:36" x14ac:dyDescent="0.25">
      <c r="C1" s="33">
        <v>0.05</v>
      </c>
      <c r="D1" s="33">
        <v>0.06</v>
      </c>
      <c r="E1" s="33">
        <v>7.0000000000000007E-2</v>
      </c>
      <c r="F1" s="33">
        <v>0.08</v>
      </c>
      <c r="G1" s="33">
        <v>0.09</v>
      </c>
      <c r="H1" s="33">
        <v>0.1</v>
      </c>
      <c r="I1" s="33">
        <v>0.15</v>
      </c>
      <c r="J1" s="33">
        <v>0.2</v>
      </c>
      <c r="K1" s="33">
        <v>0.25</v>
      </c>
      <c r="L1" s="33">
        <v>0.3</v>
      </c>
      <c r="M1" s="33">
        <v>0.35</v>
      </c>
      <c r="N1" s="33">
        <v>0.4</v>
      </c>
      <c r="O1" s="33">
        <v>0.45</v>
      </c>
      <c r="P1" s="33">
        <v>0.5</v>
      </c>
      <c r="Q1" s="33">
        <v>0.55000000000000004</v>
      </c>
      <c r="R1" s="33">
        <v>0.6</v>
      </c>
      <c r="S1" s="33">
        <v>0.65</v>
      </c>
      <c r="T1" s="33">
        <v>0.7</v>
      </c>
      <c r="U1" s="33">
        <v>0.75</v>
      </c>
      <c r="V1" s="33">
        <v>0.8</v>
      </c>
      <c r="W1" s="33">
        <v>0.85</v>
      </c>
      <c r="X1" s="33">
        <v>0.9</v>
      </c>
      <c r="Y1" s="33">
        <v>0.95</v>
      </c>
      <c r="Z1" s="33">
        <v>1</v>
      </c>
      <c r="AA1" s="33">
        <v>1.1000000000000001</v>
      </c>
      <c r="AB1" s="33">
        <v>1.2</v>
      </c>
      <c r="AC1" s="33">
        <v>1.3</v>
      </c>
      <c r="AD1" s="33">
        <v>1.4</v>
      </c>
      <c r="AE1" s="33">
        <v>1.5</v>
      </c>
      <c r="AF1" s="33">
        <v>1.6</v>
      </c>
      <c r="AG1" s="33">
        <v>1.7</v>
      </c>
      <c r="AH1" s="33">
        <v>1.8</v>
      </c>
      <c r="AI1" s="33">
        <v>1.9</v>
      </c>
      <c r="AJ1" s="33">
        <v>2</v>
      </c>
    </row>
    <row r="2" spans="2:36" x14ac:dyDescent="0.25">
      <c r="B2" s="33">
        <v>0.05</v>
      </c>
      <c r="C2" s="34">
        <f t="shared" ref="C2:K2" si="0">$B2/C$1</f>
        <v>1</v>
      </c>
      <c r="D2" s="34">
        <f t="shared" si="0"/>
        <v>0.83333333333333337</v>
      </c>
      <c r="E2" s="34">
        <f t="shared" si="0"/>
        <v>0.7142857142857143</v>
      </c>
      <c r="F2" s="34">
        <f t="shared" si="0"/>
        <v>0.625</v>
      </c>
      <c r="G2" s="34">
        <f t="shared" si="0"/>
        <v>0.55555555555555558</v>
      </c>
      <c r="H2" s="34">
        <f t="shared" si="0"/>
        <v>0.5</v>
      </c>
      <c r="I2" s="34">
        <f t="shared" si="0"/>
        <v>0.33333333333333337</v>
      </c>
      <c r="J2" s="34">
        <f t="shared" si="0"/>
        <v>0.25</v>
      </c>
      <c r="K2" s="34">
        <f t="shared" si="0"/>
        <v>0.2</v>
      </c>
    </row>
    <row r="3" spans="2:36" x14ac:dyDescent="0.25">
      <c r="B3" s="33">
        <v>0.06</v>
      </c>
      <c r="D3" s="34">
        <f t="shared" ref="D3:L3" si="1">$B3/D$1</f>
        <v>1</v>
      </c>
      <c r="E3" s="34">
        <f t="shared" si="1"/>
        <v>0.85714285714285698</v>
      </c>
      <c r="F3" s="34">
        <f t="shared" si="1"/>
        <v>0.75</v>
      </c>
      <c r="G3" s="34">
        <f t="shared" si="1"/>
        <v>0.66666666666666663</v>
      </c>
      <c r="H3" s="34">
        <f t="shared" si="1"/>
        <v>0.6</v>
      </c>
      <c r="I3" s="34">
        <f t="shared" si="1"/>
        <v>0.4</v>
      </c>
      <c r="J3" s="34">
        <f t="shared" si="1"/>
        <v>0.3</v>
      </c>
      <c r="K3" s="34">
        <f t="shared" si="1"/>
        <v>0.24</v>
      </c>
      <c r="L3" s="34">
        <f t="shared" si="1"/>
        <v>0.2</v>
      </c>
    </row>
    <row r="4" spans="2:36" x14ac:dyDescent="0.25">
      <c r="B4" s="33">
        <v>7.0000000000000007E-2</v>
      </c>
      <c r="E4" s="34">
        <f t="shared" ref="E4:M4" si="2">$B4/E$1</f>
        <v>1</v>
      </c>
      <c r="F4" s="34">
        <f t="shared" si="2"/>
        <v>0.87500000000000011</v>
      </c>
      <c r="G4" s="34">
        <f t="shared" si="2"/>
        <v>0.7777777777777779</v>
      </c>
      <c r="H4" s="34">
        <f t="shared" si="2"/>
        <v>0.70000000000000007</v>
      </c>
      <c r="I4" s="34">
        <f t="shared" si="2"/>
        <v>0.46666666666666673</v>
      </c>
      <c r="J4" s="34">
        <f t="shared" si="2"/>
        <v>0.35000000000000003</v>
      </c>
      <c r="K4" s="34">
        <f t="shared" si="2"/>
        <v>0.28000000000000003</v>
      </c>
      <c r="L4" s="34">
        <f t="shared" si="2"/>
        <v>0.23333333333333336</v>
      </c>
      <c r="M4" s="34">
        <f t="shared" si="2"/>
        <v>0.20000000000000004</v>
      </c>
    </row>
    <row r="5" spans="2:36" x14ac:dyDescent="0.25">
      <c r="B5" s="33">
        <v>0.08</v>
      </c>
      <c r="F5" s="34">
        <f t="shared" ref="F5:N5" si="3">$B5/F$1</f>
        <v>1</v>
      </c>
      <c r="G5" s="34">
        <f t="shared" si="3"/>
        <v>0.88888888888888895</v>
      </c>
      <c r="H5" s="34">
        <f t="shared" si="3"/>
        <v>0.79999999999999993</v>
      </c>
      <c r="I5" s="34">
        <f t="shared" si="3"/>
        <v>0.53333333333333333</v>
      </c>
      <c r="J5" s="34">
        <f t="shared" si="3"/>
        <v>0.39999999999999997</v>
      </c>
      <c r="K5" s="34">
        <f t="shared" si="3"/>
        <v>0.32</v>
      </c>
      <c r="L5" s="34">
        <f t="shared" si="3"/>
        <v>0.26666666666666666</v>
      </c>
      <c r="M5" s="34">
        <f t="shared" si="3"/>
        <v>0.22857142857142859</v>
      </c>
      <c r="N5" s="34">
        <f t="shared" si="3"/>
        <v>0.19999999999999998</v>
      </c>
    </row>
    <row r="6" spans="2:36" x14ac:dyDescent="0.25">
      <c r="B6" s="33">
        <v>0.09</v>
      </c>
      <c r="G6" s="34">
        <f t="shared" ref="G6:O6" si="4">$B6/G$1</f>
        <v>1</v>
      </c>
      <c r="H6" s="34">
        <f t="shared" si="4"/>
        <v>0.89999999999999991</v>
      </c>
      <c r="I6" s="34">
        <f t="shared" si="4"/>
        <v>0.6</v>
      </c>
      <c r="J6" s="34">
        <f t="shared" si="4"/>
        <v>0.44999999999999996</v>
      </c>
      <c r="K6" s="34">
        <f t="shared" si="4"/>
        <v>0.36</v>
      </c>
      <c r="L6" s="34">
        <f t="shared" si="4"/>
        <v>0.3</v>
      </c>
      <c r="M6" s="34">
        <f t="shared" si="4"/>
        <v>0.25714285714285717</v>
      </c>
      <c r="N6" s="34">
        <f t="shared" si="4"/>
        <v>0.22499999999999998</v>
      </c>
      <c r="O6" s="34">
        <f t="shared" si="4"/>
        <v>0.19999999999999998</v>
      </c>
    </row>
    <row r="7" spans="2:36" x14ac:dyDescent="0.25">
      <c r="B7" s="33">
        <v>0.1</v>
      </c>
      <c r="H7" s="34">
        <f t="shared" ref="H7:P7" si="5">$B7/H$1</f>
        <v>1</v>
      </c>
      <c r="I7" s="34">
        <f t="shared" si="5"/>
        <v>0.66666666666666674</v>
      </c>
      <c r="J7" s="34">
        <f t="shared" si="5"/>
        <v>0.5</v>
      </c>
      <c r="K7" s="34">
        <f t="shared" si="5"/>
        <v>0.4</v>
      </c>
      <c r="L7" s="34">
        <f t="shared" si="5"/>
        <v>0.33333333333333337</v>
      </c>
      <c r="M7" s="34">
        <f t="shared" si="5"/>
        <v>0.28571428571428575</v>
      </c>
      <c r="N7" s="34">
        <f t="shared" si="5"/>
        <v>0.25</v>
      </c>
      <c r="O7" s="34">
        <f t="shared" si="5"/>
        <v>0.22222222222222224</v>
      </c>
      <c r="P7" s="34">
        <f t="shared" si="5"/>
        <v>0.2</v>
      </c>
    </row>
    <row r="8" spans="2:36" x14ac:dyDescent="0.25">
      <c r="B8" s="33">
        <v>0.15</v>
      </c>
      <c r="I8" s="34">
        <f t="shared" ref="I8:U8" si="6">$B8/I$1</f>
        <v>1</v>
      </c>
      <c r="J8" s="34">
        <f t="shared" si="6"/>
        <v>0.74999999999999989</v>
      </c>
      <c r="K8" s="34">
        <f t="shared" si="6"/>
        <v>0.6</v>
      </c>
      <c r="L8" s="34">
        <f t="shared" si="6"/>
        <v>0.5</v>
      </c>
      <c r="M8" s="34">
        <f t="shared" si="6"/>
        <v>0.4285714285714286</v>
      </c>
      <c r="N8" s="34">
        <f t="shared" si="6"/>
        <v>0.37499999999999994</v>
      </c>
      <c r="O8" s="34">
        <f t="shared" si="6"/>
        <v>0.33333333333333331</v>
      </c>
      <c r="P8" s="34">
        <f t="shared" si="6"/>
        <v>0.3</v>
      </c>
      <c r="Q8" s="34">
        <f t="shared" si="6"/>
        <v>0.27272727272727271</v>
      </c>
      <c r="R8" s="34">
        <f t="shared" si="6"/>
        <v>0.25</v>
      </c>
      <c r="S8" s="34">
        <f t="shared" si="6"/>
        <v>0.23076923076923075</v>
      </c>
      <c r="T8" s="34">
        <f t="shared" si="6"/>
        <v>0.2142857142857143</v>
      </c>
      <c r="U8" s="34">
        <f t="shared" si="6"/>
        <v>0.19999999999999998</v>
      </c>
    </row>
    <row r="9" spans="2:36" x14ac:dyDescent="0.25">
      <c r="B9" s="33">
        <v>0.2</v>
      </c>
      <c r="J9" s="34">
        <f t="shared" ref="J9:Z9" si="7">$B9/J$1</f>
        <v>1</v>
      </c>
      <c r="K9" s="34">
        <f t="shared" si="7"/>
        <v>0.8</v>
      </c>
      <c r="L9" s="34">
        <f t="shared" si="7"/>
        <v>0.66666666666666674</v>
      </c>
      <c r="M9" s="34">
        <f t="shared" si="7"/>
        <v>0.57142857142857151</v>
      </c>
      <c r="N9" s="34">
        <f t="shared" si="7"/>
        <v>0.5</v>
      </c>
      <c r="O9" s="34">
        <f t="shared" si="7"/>
        <v>0.44444444444444448</v>
      </c>
      <c r="P9" s="34">
        <f t="shared" si="7"/>
        <v>0.4</v>
      </c>
      <c r="Q9" s="34">
        <f t="shared" si="7"/>
        <v>0.36363636363636365</v>
      </c>
      <c r="R9" s="34">
        <f t="shared" si="7"/>
        <v>0.33333333333333337</v>
      </c>
      <c r="S9" s="34">
        <f t="shared" si="7"/>
        <v>0.30769230769230771</v>
      </c>
      <c r="T9" s="34">
        <f t="shared" si="7"/>
        <v>0.28571428571428575</v>
      </c>
      <c r="U9" s="34">
        <f t="shared" si="7"/>
        <v>0.26666666666666666</v>
      </c>
      <c r="V9" s="34">
        <f t="shared" si="7"/>
        <v>0.25</v>
      </c>
      <c r="W9" s="34">
        <f t="shared" si="7"/>
        <v>0.23529411764705885</v>
      </c>
      <c r="X9" s="34">
        <f t="shared" si="7"/>
        <v>0.22222222222222224</v>
      </c>
      <c r="Y9" s="34">
        <f t="shared" si="7"/>
        <v>0.2105263157894737</v>
      </c>
      <c r="Z9" s="34">
        <f t="shared" si="7"/>
        <v>0.2</v>
      </c>
    </row>
    <row r="10" spans="2:36" x14ac:dyDescent="0.25">
      <c r="B10" s="33">
        <v>0.25</v>
      </c>
      <c r="K10" s="34">
        <f t="shared" ref="K10:AB10" si="8">$B10/K$1</f>
        <v>1</v>
      </c>
      <c r="L10" s="34">
        <f t="shared" si="8"/>
        <v>0.83333333333333337</v>
      </c>
      <c r="M10" s="34">
        <f t="shared" si="8"/>
        <v>0.7142857142857143</v>
      </c>
      <c r="N10" s="34">
        <f t="shared" si="8"/>
        <v>0.625</v>
      </c>
      <c r="O10" s="34">
        <f t="shared" si="8"/>
        <v>0.55555555555555558</v>
      </c>
      <c r="P10" s="34">
        <f t="shared" si="8"/>
        <v>0.5</v>
      </c>
      <c r="Q10" s="34">
        <f t="shared" si="8"/>
        <v>0.45454545454545453</v>
      </c>
      <c r="R10" s="34">
        <f t="shared" si="8"/>
        <v>0.41666666666666669</v>
      </c>
      <c r="S10" s="34">
        <f t="shared" si="8"/>
        <v>0.38461538461538458</v>
      </c>
      <c r="T10" s="34">
        <f t="shared" si="8"/>
        <v>0.35714285714285715</v>
      </c>
      <c r="U10" s="34">
        <f t="shared" si="8"/>
        <v>0.33333333333333331</v>
      </c>
      <c r="V10" s="34">
        <f t="shared" si="8"/>
        <v>0.3125</v>
      </c>
      <c r="W10" s="34">
        <f t="shared" si="8"/>
        <v>0.29411764705882354</v>
      </c>
      <c r="X10" s="34">
        <f t="shared" si="8"/>
        <v>0.27777777777777779</v>
      </c>
      <c r="Y10" s="34">
        <f t="shared" si="8"/>
        <v>0.26315789473684209</v>
      </c>
      <c r="Z10" s="34">
        <f t="shared" si="8"/>
        <v>0.25</v>
      </c>
      <c r="AA10" s="34">
        <f t="shared" si="8"/>
        <v>0.22727272727272727</v>
      </c>
      <c r="AB10" s="34">
        <f t="shared" si="8"/>
        <v>0.20833333333333334</v>
      </c>
    </row>
    <row r="11" spans="2:36" x14ac:dyDescent="0.25">
      <c r="B11" s="33">
        <v>0.3</v>
      </c>
      <c r="L11" s="34">
        <f t="shared" ref="L11:AE11" si="9">$B11/L$1</f>
        <v>1</v>
      </c>
      <c r="M11" s="34">
        <f t="shared" si="9"/>
        <v>0.85714285714285721</v>
      </c>
      <c r="N11" s="34">
        <f t="shared" si="9"/>
        <v>0.74999999999999989</v>
      </c>
      <c r="O11" s="34">
        <f t="shared" si="9"/>
        <v>0.66666666666666663</v>
      </c>
      <c r="P11" s="34">
        <f t="shared" si="9"/>
        <v>0.6</v>
      </c>
      <c r="Q11" s="34">
        <f t="shared" si="9"/>
        <v>0.54545454545454541</v>
      </c>
      <c r="R11" s="34">
        <f t="shared" si="9"/>
        <v>0.5</v>
      </c>
      <c r="S11" s="34">
        <f t="shared" si="9"/>
        <v>0.46153846153846151</v>
      </c>
      <c r="T11" s="34">
        <f t="shared" si="9"/>
        <v>0.4285714285714286</v>
      </c>
      <c r="U11" s="34">
        <f t="shared" si="9"/>
        <v>0.39999999999999997</v>
      </c>
      <c r="V11" s="34">
        <f t="shared" si="9"/>
        <v>0.37499999999999994</v>
      </c>
      <c r="W11" s="34">
        <f t="shared" si="9"/>
        <v>0.35294117647058826</v>
      </c>
      <c r="X11" s="34">
        <f t="shared" si="9"/>
        <v>0.33333333333333331</v>
      </c>
      <c r="Y11" s="34">
        <f t="shared" si="9"/>
        <v>0.31578947368421051</v>
      </c>
      <c r="Z11" s="34">
        <f t="shared" si="9"/>
        <v>0.3</v>
      </c>
      <c r="AA11" s="34">
        <f t="shared" si="9"/>
        <v>0.27272727272727271</v>
      </c>
      <c r="AB11" s="34">
        <f t="shared" si="9"/>
        <v>0.25</v>
      </c>
      <c r="AC11" s="34">
        <f t="shared" si="9"/>
        <v>0.23076923076923075</v>
      </c>
      <c r="AD11" s="34">
        <f t="shared" si="9"/>
        <v>0.2142857142857143</v>
      </c>
      <c r="AE11" s="34">
        <f t="shared" si="9"/>
        <v>0.19999999999999998</v>
      </c>
    </row>
    <row r="12" spans="2:36" x14ac:dyDescent="0.25">
      <c r="B12" s="33">
        <v>0.35</v>
      </c>
      <c r="M12" s="34">
        <f t="shared" ref="M12:AG12" si="10">$B12/M$1</f>
        <v>1</v>
      </c>
      <c r="N12" s="34">
        <f t="shared" si="10"/>
        <v>0.87499999999999989</v>
      </c>
      <c r="O12" s="34">
        <f t="shared" si="10"/>
        <v>0.77777777777777768</v>
      </c>
      <c r="P12" s="34">
        <f t="shared" si="10"/>
        <v>0.7</v>
      </c>
      <c r="Q12" s="34">
        <f t="shared" si="10"/>
        <v>0.63636363636363624</v>
      </c>
      <c r="R12" s="34">
        <f t="shared" si="10"/>
        <v>0.58333333333333337</v>
      </c>
      <c r="S12" s="34">
        <f t="shared" si="10"/>
        <v>0.53846153846153844</v>
      </c>
      <c r="T12" s="34">
        <f t="shared" si="10"/>
        <v>0.5</v>
      </c>
      <c r="U12" s="34">
        <f t="shared" si="10"/>
        <v>0.46666666666666662</v>
      </c>
      <c r="V12" s="34">
        <f t="shared" si="10"/>
        <v>0.43749999999999994</v>
      </c>
      <c r="W12" s="34">
        <f t="shared" si="10"/>
        <v>0.41176470588235292</v>
      </c>
      <c r="X12" s="34">
        <f t="shared" si="10"/>
        <v>0.38888888888888884</v>
      </c>
      <c r="Y12" s="34">
        <f t="shared" si="10"/>
        <v>0.36842105263157893</v>
      </c>
      <c r="Z12" s="34">
        <f t="shared" si="10"/>
        <v>0.35</v>
      </c>
      <c r="AA12" s="34">
        <f t="shared" si="10"/>
        <v>0.31818181818181812</v>
      </c>
      <c r="AB12" s="34">
        <f t="shared" si="10"/>
        <v>0.29166666666666669</v>
      </c>
      <c r="AC12" s="34">
        <f t="shared" si="10"/>
        <v>0.26923076923076922</v>
      </c>
      <c r="AD12" s="34">
        <f t="shared" si="10"/>
        <v>0.25</v>
      </c>
      <c r="AE12" s="34">
        <f t="shared" si="10"/>
        <v>0.23333333333333331</v>
      </c>
      <c r="AF12" s="34">
        <f t="shared" si="10"/>
        <v>0.21874999999999997</v>
      </c>
      <c r="AG12" s="34">
        <f t="shared" si="10"/>
        <v>0.20588235294117646</v>
      </c>
    </row>
    <row r="13" spans="2:36" x14ac:dyDescent="0.25">
      <c r="B13" s="33">
        <v>0.4</v>
      </c>
      <c r="N13" s="34">
        <f t="shared" ref="N13:AJ13" si="11">$B13/N$1</f>
        <v>1</v>
      </c>
      <c r="O13" s="34">
        <f t="shared" si="11"/>
        <v>0.88888888888888895</v>
      </c>
      <c r="P13" s="34">
        <f t="shared" si="11"/>
        <v>0.8</v>
      </c>
      <c r="Q13" s="34">
        <f t="shared" si="11"/>
        <v>0.72727272727272729</v>
      </c>
      <c r="R13" s="34">
        <f t="shared" si="11"/>
        <v>0.66666666666666674</v>
      </c>
      <c r="S13" s="34">
        <f t="shared" si="11"/>
        <v>0.61538461538461542</v>
      </c>
      <c r="T13" s="34">
        <f t="shared" si="11"/>
        <v>0.57142857142857151</v>
      </c>
      <c r="U13" s="34">
        <f t="shared" si="11"/>
        <v>0.53333333333333333</v>
      </c>
      <c r="V13" s="34">
        <f t="shared" si="11"/>
        <v>0.5</v>
      </c>
      <c r="W13" s="34">
        <f t="shared" si="11"/>
        <v>0.4705882352941177</v>
      </c>
      <c r="X13" s="34">
        <f t="shared" si="11"/>
        <v>0.44444444444444448</v>
      </c>
      <c r="Y13" s="34">
        <f t="shared" si="11"/>
        <v>0.4210526315789474</v>
      </c>
      <c r="Z13" s="34">
        <f t="shared" si="11"/>
        <v>0.4</v>
      </c>
      <c r="AA13" s="34">
        <f t="shared" si="11"/>
        <v>0.36363636363636365</v>
      </c>
      <c r="AB13" s="34">
        <f t="shared" si="11"/>
        <v>0.33333333333333337</v>
      </c>
      <c r="AC13" s="34">
        <f t="shared" si="11"/>
        <v>0.30769230769230771</v>
      </c>
      <c r="AD13" s="34">
        <f t="shared" si="11"/>
        <v>0.28571428571428575</v>
      </c>
      <c r="AE13" s="34">
        <f t="shared" si="11"/>
        <v>0.26666666666666666</v>
      </c>
      <c r="AF13" s="34">
        <f t="shared" si="11"/>
        <v>0.25</v>
      </c>
      <c r="AG13" s="34">
        <f t="shared" si="11"/>
        <v>0.23529411764705885</v>
      </c>
      <c r="AH13" s="34">
        <f t="shared" si="11"/>
        <v>0.22222222222222224</v>
      </c>
      <c r="AI13" s="34">
        <f t="shared" si="11"/>
        <v>0.2105263157894737</v>
      </c>
      <c r="AJ13" s="34">
        <f t="shared" si="11"/>
        <v>0.2</v>
      </c>
    </row>
    <row r="14" spans="2:36" x14ac:dyDescent="0.25">
      <c r="B14" s="33">
        <v>0.45</v>
      </c>
      <c r="O14" s="34">
        <f t="shared" ref="O14:AJ14" si="12">$B14/O$1</f>
        <v>1</v>
      </c>
      <c r="P14" s="34">
        <f t="shared" si="12"/>
        <v>0.9</v>
      </c>
      <c r="Q14" s="34">
        <f t="shared" si="12"/>
        <v>0.81818181818181812</v>
      </c>
      <c r="R14" s="34">
        <f t="shared" si="12"/>
        <v>0.75</v>
      </c>
      <c r="S14" s="34">
        <f t="shared" si="12"/>
        <v>0.69230769230769229</v>
      </c>
      <c r="T14" s="34">
        <f t="shared" si="12"/>
        <v>0.6428571428571429</v>
      </c>
      <c r="U14" s="34">
        <f t="shared" si="12"/>
        <v>0.6</v>
      </c>
      <c r="V14" s="34">
        <f t="shared" si="12"/>
        <v>0.5625</v>
      </c>
      <c r="W14" s="34">
        <f t="shared" si="12"/>
        <v>0.52941176470588236</v>
      </c>
      <c r="X14" s="34">
        <f t="shared" si="12"/>
        <v>0.5</v>
      </c>
      <c r="Y14" s="34">
        <f t="shared" si="12"/>
        <v>0.47368421052631582</v>
      </c>
      <c r="Z14" s="34">
        <f t="shared" si="12"/>
        <v>0.45</v>
      </c>
      <c r="AA14" s="34">
        <f t="shared" si="12"/>
        <v>0.40909090909090906</v>
      </c>
      <c r="AB14" s="34">
        <f t="shared" si="12"/>
        <v>0.375</v>
      </c>
      <c r="AC14" s="34">
        <f t="shared" si="12"/>
        <v>0.34615384615384615</v>
      </c>
      <c r="AD14" s="34">
        <f t="shared" si="12"/>
        <v>0.32142857142857145</v>
      </c>
      <c r="AE14" s="34">
        <f t="shared" si="12"/>
        <v>0.3</v>
      </c>
      <c r="AF14" s="34">
        <f t="shared" si="12"/>
        <v>0.28125</v>
      </c>
      <c r="AG14" s="34">
        <f t="shared" si="12"/>
        <v>0.26470588235294118</v>
      </c>
      <c r="AH14" s="34">
        <f t="shared" si="12"/>
        <v>0.25</v>
      </c>
      <c r="AI14" s="34">
        <f t="shared" si="12"/>
        <v>0.23684210526315791</v>
      </c>
      <c r="AJ14" s="34">
        <f t="shared" si="12"/>
        <v>0.22500000000000001</v>
      </c>
    </row>
    <row r="15" spans="2:36" x14ac:dyDescent="0.25">
      <c r="B15" s="33">
        <v>0.5</v>
      </c>
      <c r="P15" s="34">
        <f t="shared" ref="P15:AJ15" si="13">$B15/P$1</f>
        <v>1</v>
      </c>
      <c r="Q15" s="34">
        <f t="shared" si="13"/>
        <v>0.90909090909090906</v>
      </c>
      <c r="R15" s="34">
        <f t="shared" si="13"/>
        <v>0.83333333333333337</v>
      </c>
      <c r="S15" s="34">
        <f t="shared" si="13"/>
        <v>0.76923076923076916</v>
      </c>
      <c r="T15" s="34">
        <f t="shared" si="13"/>
        <v>0.7142857142857143</v>
      </c>
      <c r="U15" s="34">
        <f t="shared" si="13"/>
        <v>0.66666666666666663</v>
      </c>
      <c r="V15" s="34">
        <f t="shared" si="13"/>
        <v>0.625</v>
      </c>
      <c r="W15" s="34">
        <f t="shared" si="13"/>
        <v>0.58823529411764708</v>
      </c>
      <c r="X15" s="34">
        <f t="shared" si="13"/>
        <v>0.55555555555555558</v>
      </c>
      <c r="Y15" s="34">
        <f t="shared" si="13"/>
        <v>0.52631578947368418</v>
      </c>
      <c r="Z15" s="34">
        <f t="shared" si="13"/>
        <v>0.5</v>
      </c>
      <c r="AA15" s="34">
        <f t="shared" si="13"/>
        <v>0.45454545454545453</v>
      </c>
      <c r="AB15" s="34">
        <f t="shared" si="13"/>
        <v>0.41666666666666669</v>
      </c>
      <c r="AC15" s="34">
        <f t="shared" si="13"/>
        <v>0.38461538461538458</v>
      </c>
      <c r="AD15" s="34">
        <f t="shared" si="13"/>
        <v>0.35714285714285715</v>
      </c>
      <c r="AE15" s="34">
        <f t="shared" si="13"/>
        <v>0.33333333333333331</v>
      </c>
      <c r="AF15" s="34">
        <f t="shared" si="13"/>
        <v>0.3125</v>
      </c>
      <c r="AG15" s="34">
        <f t="shared" si="13"/>
        <v>0.29411764705882354</v>
      </c>
      <c r="AH15" s="34">
        <f t="shared" si="13"/>
        <v>0.27777777777777779</v>
      </c>
      <c r="AI15" s="34">
        <f t="shared" si="13"/>
        <v>0.26315789473684209</v>
      </c>
      <c r="AJ15" s="34">
        <f t="shared" si="13"/>
        <v>0.25</v>
      </c>
    </row>
    <row r="16" spans="2:36" x14ac:dyDescent="0.25">
      <c r="B16" s="33">
        <v>0.55000000000000004</v>
      </c>
      <c r="Q16" s="34">
        <f t="shared" ref="Q16:AJ16" si="14">$B16/Q$1</f>
        <v>1</v>
      </c>
      <c r="R16" s="34">
        <f t="shared" si="14"/>
        <v>0.91666666666666674</v>
      </c>
      <c r="S16" s="34">
        <f t="shared" si="14"/>
        <v>0.84615384615384615</v>
      </c>
      <c r="T16" s="34">
        <f t="shared" si="14"/>
        <v>0.78571428571428581</v>
      </c>
      <c r="U16" s="34">
        <f t="shared" si="14"/>
        <v>0.73333333333333339</v>
      </c>
      <c r="V16" s="34">
        <f t="shared" si="14"/>
        <v>0.6875</v>
      </c>
      <c r="W16" s="34">
        <f t="shared" si="14"/>
        <v>0.6470588235294118</v>
      </c>
      <c r="X16" s="34">
        <f t="shared" si="14"/>
        <v>0.61111111111111116</v>
      </c>
      <c r="Y16" s="34">
        <f t="shared" si="14"/>
        <v>0.57894736842105265</v>
      </c>
      <c r="Z16" s="34">
        <f t="shared" si="14"/>
        <v>0.55000000000000004</v>
      </c>
      <c r="AA16" s="34">
        <f t="shared" si="14"/>
        <v>0.5</v>
      </c>
      <c r="AB16" s="34">
        <f t="shared" si="14"/>
        <v>0.45833333333333337</v>
      </c>
      <c r="AC16" s="34">
        <f t="shared" si="14"/>
        <v>0.42307692307692307</v>
      </c>
      <c r="AD16" s="34">
        <f t="shared" si="14"/>
        <v>0.3928571428571429</v>
      </c>
      <c r="AE16" s="34">
        <f t="shared" si="14"/>
        <v>0.3666666666666667</v>
      </c>
      <c r="AF16" s="34">
        <f t="shared" si="14"/>
        <v>0.34375</v>
      </c>
      <c r="AG16" s="34">
        <f t="shared" si="14"/>
        <v>0.3235294117647059</v>
      </c>
      <c r="AH16" s="34">
        <f t="shared" si="14"/>
        <v>0.30555555555555558</v>
      </c>
      <c r="AI16" s="34">
        <f t="shared" si="14"/>
        <v>0.28947368421052633</v>
      </c>
      <c r="AJ16" s="34">
        <f t="shared" si="14"/>
        <v>0.27500000000000002</v>
      </c>
    </row>
    <row r="17" spans="2:36" x14ac:dyDescent="0.25">
      <c r="B17" s="33">
        <v>0.6</v>
      </c>
      <c r="R17" s="34">
        <f t="shared" ref="R17:AJ17" si="15">$B17/R$1</f>
        <v>1</v>
      </c>
      <c r="S17" s="34">
        <f t="shared" si="15"/>
        <v>0.92307692307692302</v>
      </c>
      <c r="T17" s="34">
        <f t="shared" si="15"/>
        <v>0.85714285714285721</v>
      </c>
      <c r="U17" s="34">
        <f t="shared" si="15"/>
        <v>0.79999999999999993</v>
      </c>
      <c r="V17" s="34">
        <f t="shared" si="15"/>
        <v>0.74999999999999989</v>
      </c>
      <c r="W17" s="34">
        <f t="shared" si="15"/>
        <v>0.70588235294117652</v>
      </c>
      <c r="X17" s="34">
        <f t="shared" si="15"/>
        <v>0.66666666666666663</v>
      </c>
      <c r="Y17" s="34">
        <f t="shared" si="15"/>
        <v>0.63157894736842102</v>
      </c>
      <c r="Z17" s="34">
        <f t="shared" si="15"/>
        <v>0.6</v>
      </c>
      <c r="AA17" s="34">
        <f t="shared" si="15"/>
        <v>0.54545454545454541</v>
      </c>
      <c r="AB17" s="34">
        <f t="shared" si="15"/>
        <v>0.5</v>
      </c>
      <c r="AC17" s="34">
        <f t="shared" si="15"/>
        <v>0.46153846153846151</v>
      </c>
      <c r="AD17" s="34">
        <f t="shared" si="15"/>
        <v>0.4285714285714286</v>
      </c>
      <c r="AE17" s="34">
        <f t="shared" si="15"/>
        <v>0.39999999999999997</v>
      </c>
      <c r="AF17" s="34">
        <f t="shared" si="15"/>
        <v>0.37499999999999994</v>
      </c>
      <c r="AG17" s="34">
        <f t="shared" si="15"/>
        <v>0.35294117647058826</v>
      </c>
      <c r="AH17" s="34">
        <f t="shared" si="15"/>
        <v>0.33333333333333331</v>
      </c>
      <c r="AI17" s="34">
        <f t="shared" si="15"/>
        <v>0.31578947368421051</v>
      </c>
      <c r="AJ17" s="34">
        <f t="shared" si="15"/>
        <v>0.3</v>
      </c>
    </row>
    <row r="18" spans="2:36" x14ac:dyDescent="0.25">
      <c r="B18" s="33">
        <v>0.65</v>
      </c>
      <c r="S18" s="34">
        <f t="shared" ref="S18:AJ18" si="16">$B18/S$1</f>
        <v>1</v>
      </c>
      <c r="T18" s="34">
        <f t="shared" si="16"/>
        <v>0.92857142857142871</v>
      </c>
      <c r="U18" s="34">
        <f t="shared" si="16"/>
        <v>0.8666666666666667</v>
      </c>
      <c r="V18" s="34">
        <f t="shared" si="16"/>
        <v>0.8125</v>
      </c>
      <c r="W18" s="34">
        <f t="shared" si="16"/>
        <v>0.76470588235294124</v>
      </c>
      <c r="X18" s="34">
        <f t="shared" si="16"/>
        <v>0.72222222222222221</v>
      </c>
      <c r="Y18" s="34">
        <f t="shared" si="16"/>
        <v>0.68421052631578949</v>
      </c>
      <c r="Z18" s="34">
        <f t="shared" si="16"/>
        <v>0.65</v>
      </c>
      <c r="AA18" s="34">
        <f t="shared" si="16"/>
        <v>0.59090909090909083</v>
      </c>
      <c r="AB18" s="34">
        <f t="shared" si="16"/>
        <v>0.54166666666666674</v>
      </c>
      <c r="AC18" s="34">
        <f t="shared" si="16"/>
        <v>0.5</v>
      </c>
      <c r="AD18" s="34">
        <f t="shared" si="16"/>
        <v>0.46428571428571436</v>
      </c>
      <c r="AE18" s="34">
        <f t="shared" si="16"/>
        <v>0.43333333333333335</v>
      </c>
      <c r="AF18" s="34">
        <f t="shared" si="16"/>
        <v>0.40625</v>
      </c>
      <c r="AG18" s="34">
        <f t="shared" si="16"/>
        <v>0.38235294117647062</v>
      </c>
      <c r="AH18" s="34">
        <f t="shared" si="16"/>
        <v>0.3611111111111111</v>
      </c>
      <c r="AI18" s="34">
        <f t="shared" si="16"/>
        <v>0.34210526315789475</v>
      </c>
      <c r="AJ18" s="34">
        <f t="shared" si="16"/>
        <v>0.32500000000000001</v>
      </c>
    </row>
    <row r="19" spans="2:36" x14ac:dyDescent="0.25">
      <c r="B19" s="33">
        <v>0.7</v>
      </c>
      <c r="T19" s="34">
        <f t="shared" ref="T19:AJ19" si="17">$B19/T$1</f>
        <v>1</v>
      </c>
      <c r="U19" s="34">
        <f t="shared" si="17"/>
        <v>0.93333333333333324</v>
      </c>
      <c r="V19" s="34">
        <f t="shared" si="17"/>
        <v>0.87499999999999989</v>
      </c>
      <c r="W19" s="34">
        <f t="shared" si="17"/>
        <v>0.82352941176470584</v>
      </c>
      <c r="X19" s="34">
        <f t="shared" si="17"/>
        <v>0.77777777777777768</v>
      </c>
      <c r="Y19" s="34">
        <f t="shared" si="17"/>
        <v>0.73684210526315785</v>
      </c>
      <c r="Z19" s="34">
        <f t="shared" si="17"/>
        <v>0.7</v>
      </c>
      <c r="AA19" s="34">
        <f t="shared" si="17"/>
        <v>0.63636363636363624</v>
      </c>
      <c r="AB19" s="34">
        <f t="shared" si="17"/>
        <v>0.58333333333333337</v>
      </c>
      <c r="AC19" s="34">
        <f t="shared" si="17"/>
        <v>0.53846153846153844</v>
      </c>
      <c r="AD19" s="34">
        <f t="shared" si="17"/>
        <v>0.5</v>
      </c>
      <c r="AE19" s="34">
        <f t="shared" si="17"/>
        <v>0.46666666666666662</v>
      </c>
      <c r="AF19" s="34">
        <f t="shared" si="17"/>
        <v>0.43749999999999994</v>
      </c>
      <c r="AG19" s="34">
        <f t="shared" si="17"/>
        <v>0.41176470588235292</v>
      </c>
      <c r="AH19" s="34">
        <f t="shared" si="17"/>
        <v>0.38888888888888884</v>
      </c>
      <c r="AI19" s="34">
        <f t="shared" si="17"/>
        <v>0.36842105263157893</v>
      </c>
      <c r="AJ19" s="34">
        <f t="shared" si="17"/>
        <v>0.35</v>
      </c>
    </row>
    <row r="20" spans="2:36" x14ac:dyDescent="0.25">
      <c r="B20" s="33">
        <v>0.75</v>
      </c>
      <c r="U20" s="34">
        <f t="shared" ref="U20:AJ20" si="18">$B20/U$1</f>
        <v>1</v>
      </c>
      <c r="V20" s="34">
        <f t="shared" si="18"/>
        <v>0.9375</v>
      </c>
      <c r="W20" s="34">
        <f t="shared" si="18"/>
        <v>0.88235294117647056</v>
      </c>
      <c r="X20" s="34">
        <f t="shared" si="18"/>
        <v>0.83333333333333326</v>
      </c>
      <c r="Y20" s="34">
        <f t="shared" si="18"/>
        <v>0.78947368421052633</v>
      </c>
      <c r="Z20" s="34">
        <f t="shared" si="18"/>
        <v>0.75</v>
      </c>
      <c r="AA20" s="34">
        <f t="shared" si="18"/>
        <v>0.68181818181818177</v>
      </c>
      <c r="AB20" s="34">
        <f t="shared" si="18"/>
        <v>0.625</v>
      </c>
      <c r="AC20" s="34">
        <f t="shared" si="18"/>
        <v>0.57692307692307687</v>
      </c>
      <c r="AD20" s="34">
        <f t="shared" si="18"/>
        <v>0.5357142857142857</v>
      </c>
      <c r="AE20" s="34">
        <f t="shared" si="18"/>
        <v>0.5</v>
      </c>
      <c r="AF20" s="34">
        <f t="shared" si="18"/>
        <v>0.46875</v>
      </c>
      <c r="AG20" s="34">
        <f t="shared" si="18"/>
        <v>0.44117647058823528</v>
      </c>
      <c r="AH20" s="34">
        <f t="shared" si="18"/>
        <v>0.41666666666666663</v>
      </c>
      <c r="AI20" s="34">
        <f t="shared" si="18"/>
        <v>0.39473684210526316</v>
      </c>
      <c r="AJ20" s="34">
        <f t="shared" si="18"/>
        <v>0.375</v>
      </c>
    </row>
    <row r="21" spans="2:36" x14ac:dyDescent="0.25">
      <c r="B21" s="33">
        <v>0.8</v>
      </c>
      <c r="V21" s="34">
        <f t="shared" ref="V21:AJ21" si="19">$B21/V$1</f>
        <v>1</v>
      </c>
      <c r="W21" s="34">
        <f t="shared" si="19"/>
        <v>0.94117647058823539</v>
      </c>
      <c r="X21" s="34">
        <f t="shared" si="19"/>
        <v>0.88888888888888895</v>
      </c>
      <c r="Y21" s="34">
        <f t="shared" si="19"/>
        <v>0.8421052631578948</v>
      </c>
      <c r="Z21" s="34">
        <f t="shared" si="19"/>
        <v>0.8</v>
      </c>
      <c r="AA21" s="34">
        <f t="shared" si="19"/>
        <v>0.72727272727272729</v>
      </c>
      <c r="AB21" s="34">
        <f t="shared" si="19"/>
        <v>0.66666666666666674</v>
      </c>
      <c r="AC21" s="34">
        <f t="shared" si="19"/>
        <v>0.61538461538461542</v>
      </c>
      <c r="AD21" s="34">
        <f t="shared" si="19"/>
        <v>0.57142857142857151</v>
      </c>
      <c r="AE21" s="34">
        <f t="shared" si="19"/>
        <v>0.53333333333333333</v>
      </c>
      <c r="AF21" s="34">
        <f t="shared" si="19"/>
        <v>0.5</v>
      </c>
      <c r="AG21" s="34">
        <f t="shared" si="19"/>
        <v>0.4705882352941177</v>
      </c>
      <c r="AH21" s="34">
        <f t="shared" si="19"/>
        <v>0.44444444444444448</v>
      </c>
      <c r="AI21" s="34">
        <f t="shared" si="19"/>
        <v>0.4210526315789474</v>
      </c>
      <c r="AJ21" s="34">
        <f t="shared" si="19"/>
        <v>0.4</v>
      </c>
    </row>
    <row r="22" spans="2:36" x14ac:dyDescent="0.25">
      <c r="B22" s="33">
        <v>0.85</v>
      </c>
      <c r="W22" s="34">
        <f t="shared" ref="W22:AJ22" si="20">$B22/W$1</f>
        <v>1</v>
      </c>
      <c r="X22" s="34">
        <f t="shared" si="20"/>
        <v>0.94444444444444442</v>
      </c>
      <c r="Y22" s="34">
        <f t="shared" si="20"/>
        <v>0.89473684210526316</v>
      </c>
      <c r="Z22" s="34">
        <f t="shared" si="20"/>
        <v>0.85</v>
      </c>
      <c r="AA22" s="34">
        <f t="shared" si="20"/>
        <v>0.7727272727272726</v>
      </c>
      <c r="AB22" s="34">
        <f t="shared" si="20"/>
        <v>0.70833333333333337</v>
      </c>
      <c r="AC22" s="34">
        <f t="shared" si="20"/>
        <v>0.65384615384615385</v>
      </c>
      <c r="AD22" s="34">
        <f t="shared" si="20"/>
        <v>0.60714285714285721</v>
      </c>
      <c r="AE22" s="34">
        <f t="shared" si="20"/>
        <v>0.56666666666666665</v>
      </c>
      <c r="AF22" s="34">
        <f t="shared" si="20"/>
        <v>0.53125</v>
      </c>
      <c r="AG22" s="34">
        <f t="shared" si="20"/>
        <v>0.5</v>
      </c>
      <c r="AH22" s="34">
        <f t="shared" si="20"/>
        <v>0.47222222222222221</v>
      </c>
      <c r="AI22" s="34">
        <f t="shared" si="20"/>
        <v>0.44736842105263158</v>
      </c>
      <c r="AJ22" s="34">
        <f t="shared" si="20"/>
        <v>0.42499999999999999</v>
      </c>
    </row>
    <row r="23" spans="2:36" x14ac:dyDescent="0.25">
      <c r="B23" s="33">
        <v>0.9</v>
      </c>
      <c r="X23" s="34">
        <f t="shared" ref="X23:AJ23" si="21">$B23/X$1</f>
        <v>1</v>
      </c>
      <c r="Y23" s="34">
        <f t="shared" si="21"/>
        <v>0.94736842105263164</v>
      </c>
      <c r="Z23" s="34">
        <f t="shared" si="21"/>
        <v>0.9</v>
      </c>
      <c r="AA23" s="34">
        <f t="shared" si="21"/>
        <v>0.81818181818181812</v>
      </c>
      <c r="AB23" s="34">
        <f t="shared" si="21"/>
        <v>0.75</v>
      </c>
      <c r="AC23" s="34">
        <f t="shared" si="21"/>
        <v>0.69230769230769229</v>
      </c>
      <c r="AD23" s="34">
        <f t="shared" si="21"/>
        <v>0.6428571428571429</v>
      </c>
      <c r="AE23" s="34">
        <f t="shared" si="21"/>
        <v>0.6</v>
      </c>
      <c r="AF23" s="34">
        <f t="shared" si="21"/>
        <v>0.5625</v>
      </c>
      <c r="AG23" s="34">
        <f t="shared" si="21"/>
        <v>0.52941176470588236</v>
      </c>
      <c r="AH23" s="34">
        <f t="shared" si="21"/>
        <v>0.5</v>
      </c>
      <c r="AI23" s="34">
        <f t="shared" si="21"/>
        <v>0.47368421052631582</v>
      </c>
      <c r="AJ23" s="34">
        <f t="shared" si="21"/>
        <v>0.45</v>
      </c>
    </row>
    <row r="24" spans="2:36" x14ac:dyDescent="0.25">
      <c r="B24" s="33">
        <v>0.95</v>
      </c>
      <c r="Y24" s="34">
        <f t="shared" ref="Y24:AJ24" si="22">$B24/Y$1</f>
        <v>1</v>
      </c>
      <c r="Z24" s="34">
        <f t="shared" si="22"/>
        <v>0.95</v>
      </c>
      <c r="AA24" s="34">
        <f t="shared" si="22"/>
        <v>0.86363636363636354</v>
      </c>
      <c r="AB24" s="34">
        <f t="shared" si="22"/>
        <v>0.79166666666666663</v>
      </c>
      <c r="AC24" s="34">
        <f t="shared" si="22"/>
        <v>0.73076923076923073</v>
      </c>
      <c r="AD24" s="34">
        <f t="shared" si="22"/>
        <v>0.6785714285714286</v>
      </c>
      <c r="AE24" s="34">
        <f t="shared" si="22"/>
        <v>0.6333333333333333</v>
      </c>
      <c r="AF24" s="34">
        <f t="shared" si="22"/>
        <v>0.59374999999999989</v>
      </c>
      <c r="AG24" s="34">
        <f t="shared" si="22"/>
        <v>0.55882352941176472</v>
      </c>
      <c r="AH24" s="34">
        <f t="shared" si="22"/>
        <v>0.52777777777777779</v>
      </c>
      <c r="AI24" s="34">
        <f t="shared" si="22"/>
        <v>0.5</v>
      </c>
      <c r="AJ24" s="34">
        <f t="shared" si="22"/>
        <v>0.47499999999999998</v>
      </c>
    </row>
    <row r="25" spans="2:36" x14ac:dyDescent="0.25">
      <c r="B25" s="33">
        <v>1</v>
      </c>
      <c r="Z25" s="34">
        <f t="shared" ref="Z25:AJ25" si="23">$B25/Z$1</f>
        <v>1</v>
      </c>
      <c r="AA25" s="34">
        <f t="shared" si="23"/>
        <v>0.90909090909090906</v>
      </c>
      <c r="AB25" s="34">
        <f t="shared" si="23"/>
        <v>0.83333333333333337</v>
      </c>
      <c r="AC25" s="34">
        <f t="shared" si="23"/>
        <v>0.76923076923076916</v>
      </c>
      <c r="AD25" s="34">
        <f t="shared" si="23"/>
        <v>0.7142857142857143</v>
      </c>
      <c r="AE25" s="34">
        <f t="shared" si="23"/>
        <v>0.66666666666666663</v>
      </c>
      <c r="AF25" s="34">
        <f t="shared" si="23"/>
        <v>0.625</v>
      </c>
      <c r="AG25" s="34">
        <f t="shared" si="23"/>
        <v>0.58823529411764708</v>
      </c>
      <c r="AH25" s="34">
        <f t="shared" si="23"/>
        <v>0.55555555555555558</v>
      </c>
      <c r="AI25" s="34">
        <f t="shared" si="23"/>
        <v>0.52631578947368418</v>
      </c>
      <c r="AJ25" s="34">
        <f t="shared" si="23"/>
        <v>0.5</v>
      </c>
    </row>
    <row r="26" spans="2:36" x14ac:dyDescent="0.25">
      <c r="B26" s="33">
        <v>1.1000000000000001</v>
      </c>
      <c r="AA26" s="34">
        <f t="shared" ref="AA26:AJ26" si="24">$B26/AA$1</f>
        <v>1</v>
      </c>
      <c r="AB26" s="34">
        <f t="shared" si="24"/>
        <v>0.91666666666666674</v>
      </c>
      <c r="AC26" s="34">
        <f t="shared" si="24"/>
        <v>0.84615384615384615</v>
      </c>
      <c r="AD26" s="34">
        <f t="shared" si="24"/>
        <v>0.78571428571428581</v>
      </c>
      <c r="AE26" s="34">
        <f t="shared" si="24"/>
        <v>0.73333333333333339</v>
      </c>
      <c r="AF26" s="34">
        <f t="shared" si="24"/>
        <v>0.6875</v>
      </c>
      <c r="AG26" s="34">
        <f t="shared" si="24"/>
        <v>0.6470588235294118</v>
      </c>
      <c r="AH26" s="34">
        <f t="shared" si="24"/>
        <v>0.61111111111111116</v>
      </c>
      <c r="AI26" s="34">
        <f t="shared" si="24"/>
        <v>0.57894736842105265</v>
      </c>
      <c r="AJ26" s="34">
        <f t="shared" si="24"/>
        <v>0.55000000000000004</v>
      </c>
    </row>
    <row r="27" spans="2:36" x14ac:dyDescent="0.25">
      <c r="B27" s="33">
        <v>1.2</v>
      </c>
      <c r="AB27" s="34">
        <f t="shared" ref="AB27:AJ27" si="25">$B27/AB$1</f>
        <v>1</v>
      </c>
      <c r="AC27" s="34">
        <f t="shared" si="25"/>
        <v>0.92307692307692302</v>
      </c>
      <c r="AD27" s="34">
        <f t="shared" si="25"/>
        <v>0.85714285714285721</v>
      </c>
      <c r="AE27" s="34">
        <f t="shared" si="25"/>
        <v>0.79999999999999993</v>
      </c>
      <c r="AF27" s="34">
        <f t="shared" si="25"/>
        <v>0.74999999999999989</v>
      </c>
      <c r="AG27" s="34">
        <f t="shared" si="25"/>
        <v>0.70588235294117652</v>
      </c>
      <c r="AH27" s="34">
        <f t="shared" si="25"/>
        <v>0.66666666666666663</v>
      </c>
      <c r="AI27" s="34">
        <f t="shared" si="25"/>
        <v>0.63157894736842102</v>
      </c>
      <c r="AJ27" s="34">
        <f t="shared" si="25"/>
        <v>0.6</v>
      </c>
    </row>
    <row r="28" spans="2:36" x14ac:dyDescent="0.25">
      <c r="B28" s="33">
        <v>1.3</v>
      </c>
      <c r="AC28" s="34">
        <f t="shared" ref="AC28:AJ28" si="26">$B28/AC$1</f>
        <v>1</v>
      </c>
      <c r="AD28" s="34">
        <f t="shared" si="26"/>
        <v>0.92857142857142871</v>
      </c>
      <c r="AE28" s="34">
        <f t="shared" si="26"/>
        <v>0.8666666666666667</v>
      </c>
      <c r="AF28" s="34">
        <f t="shared" si="26"/>
        <v>0.8125</v>
      </c>
      <c r="AG28" s="34">
        <f t="shared" si="26"/>
        <v>0.76470588235294124</v>
      </c>
      <c r="AH28" s="34">
        <f t="shared" si="26"/>
        <v>0.72222222222222221</v>
      </c>
      <c r="AI28" s="34">
        <f t="shared" si="26"/>
        <v>0.68421052631578949</v>
      </c>
      <c r="AJ28" s="34">
        <f t="shared" si="26"/>
        <v>0.65</v>
      </c>
    </row>
    <row r="29" spans="2:36" x14ac:dyDescent="0.25">
      <c r="B29" s="33">
        <v>1.4</v>
      </c>
      <c r="AD29" s="34">
        <f t="shared" ref="AD29:AJ29" si="27">$B29/AD$1</f>
        <v>1</v>
      </c>
      <c r="AE29" s="34">
        <f t="shared" si="27"/>
        <v>0.93333333333333324</v>
      </c>
      <c r="AF29" s="34">
        <f t="shared" si="27"/>
        <v>0.87499999999999989</v>
      </c>
      <c r="AG29" s="34">
        <f t="shared" si="27"/>
        <v>0.82352941176470584</v>
      </c>
      <c r="AH29" s="34">
        <f t="shared" si="27"/>
        <v>0.77777777777777768</v>
      </c>
      <c r="AI29" s="34">
        <f t="shared" si="27"/>
        <v>0.73684210526315785</v>
      </c>
      <c r="AJ29" s="34">
        <f t="shared" si="27"/>
        <v>0.7</v>
      </c>
    </row>
    <row r="30" spans="2:36" x14ac:dyDescent="0.25">
      <c r="B30" s="33">
        <v>1.5</v>
      </c>
      <c r="AE30" s="34">
        <f t="shared" ref="AE30:AJ30" si="28">$B30/AE$1</f>
        <v>1</v>
      </c>
      <c r="AF30" s="34">
        <f t="shared" si="28"/>
        <v>0.9375</v>
      </c>
      <c r="AG30" s="34">
        <f t="shared" si="28"/>
        <v>0.88235294117647056</v>
      </c>
      <c r="AH30" s="34">
        <f t="shared" si="28"/>
        <v>0.83333333333333326</v>
      </c>
      <c r="AI30" s="34">
        <f t="shared" si="28"/>
        <v>0.78947368421052633</v>
      </c>
      <c r="AJ30" s="34">
        <f t="shared" si="28"/>
        <v>0.75</v>
      </c>
    </row>
    <row r="31" spans="2:36" x14ac:dyDescent="0.25">
      <c r="B31" s="33">
        <v>1.6</v>
      </c>
      <c r="AF31" s="34">
        <f>$B31/AF$1</f>
        <v>1</v>
      </c>
      <c r="AG31" s="34">
        <f>$B31/AG$1</f>
        <v>0.94117647058823539</v>
      </c>
      <c r="AH31" s="34">
        <f>$B31/AH$1</f>
        <v>0.88888888888888895</v>
      </c>
      <c r="AI31" s="34">
        <f>$B31/AI$1</f>
        <v>0.8421052631578948</v>
      </c>
      <c r="AJ31" s="34">
        <f>$B31/AJ$1</f>
        <v>0.8</v>
      </c>
    </row>
    <row r="32" spans="2:36" x14ac:dyDescent="0.25">
      <c r="B32" s="33">
        <v>1.7</v>
      </c>
      <c r="AG32" s="34">
        <f>$B32/AG$1</f>
        <v>1</v>
      </c>
      <c r="AH32" s="34">
        <f>$B32/AH$1</f>
        <v>0.94444444444444442</v>
      </c>
      <c r="AI32" s="34">
        <f>$B32/AI$1</f>
        <v>0.89473684210526316</v>
      </c>
      <c r="AJ32" s="34">
        <f>$B32/AJ$1</f>
        <v>0.85</v>
      </c>
    </row>
    <row r="33" spans="2:36" x14ac:dyDescent="0.25">
      <c r="B33" s="33">
        <v>1.8</v>
      </c>
      <c r="AH33" s="34">
        <f>$B33/AH$1</f>
        <v>1</v>
      </c>
      <c r="AI33" s="34">
        <f>$B33/AI$1</f>
        <v>0.94736842105263164</v>
      </c>
      <c r="AJ33" s="34">
        <f>$B33/AJ$1</f>
        <v>0.9</v>
      </c>
    </row>
    <row r="34" spans="2:36" x14ac:dyDescent="0.25">
      <c r="B34" s="33">
        <v>1.9</v>
      </c>
      <c r="AI34" s="34">
        <f>$B34/AI$1</f>
        <v>1</v>
      </c>
      <c r="AJ34" s="34">
        <f>$B34/AJ$1</f>
        <v>0.95</v>
      </c>
    </row>
    <row r="35" spans="2:36" x14ac:dyDescent="0.25">
      <c r="B35" s="33">
        <v>2</v>
      </c>
      <c r="AJ35" s="34">
        <f>$B35/AJ$1</f>
        <v>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L26"/>
  <sheetViews>
    <sheetView zoomScale="85" zoomScaleNormal="85" workbookViewId="0">
      <selection activeCell="U9" sqref="U9"/>
    </sheetView>
  </sheetViews>
  <sheetFormatPr defaultRowHeight="15" x14ac:dyDescent="0.25"/>
  <cols>
    <col min="1" max="1" width="7.7109375" customWidth="1"/>
    <col min="2" max="2" width="8" customWidth="1"/>
    <col min="3" max="4" width="8.7109375" customWidth="1"/>
    <col min="5" max="6" width="12.5703125" customWidth="1"/>
    <col min="7" max="8" width="8.7109375" customWidth="1"/>
    <col min="9" max="9" width="9.140625" customWidth="1"/>
    <col min="10" max="10" width="6.7109375" bestFit="1" customWidth="1"/>
    <col min="11" max="12" width="8" customWidth="1"/>
    <col min="13" max="13" width="4.7109375" customWidth="1"/>
    <col min="14" max="14" width="6" customWidth="1"/>
    <col min="15" max="17" width="9.140625" customWidth="1"/>
    <col min="18" max="18" width="6" customWidth="1"/>
    <col min="19" max="35" width="9.140625" customWidth="1"/>
    <col min="36" max="37" width="9.85546875" customWidth="1"/>
    <col min="38" max="38" width="15.7109375" customWidth="1"/>
    <col min="39" max="39" width="9.140625" customWidth="1"/>
    <col min="40" max="40" width="25.140625" customWidth="1"/>
    <col min="41" max="41" width="11" customWidth="1"/>
    <col min="42" max="42" width="18.28515625" customWidth="1"/>
    <col min="43" max="48" width="9.140625" customWidth="1"/>
    <col min="49" max="49" width="9.140625" style="15" customWidth="1"/>
    <col min="50" max="64" width="9.140625" customWidth="1"/>
    <col min="65" max="65" width="8.7109375" customWidth="1"/>
    <col min="66" max="66" width="4.85546875" customWidth="1"/>
    <col min="67" max="67" width="12.85546875" customWidth="1"/>
    <col min="68" max="68" width="3.28515625" customWidth="1"/>
    <col min="69" max="69" width="11.28515625" customWidth="1"/>
    <col min="70" max="71" width="6.28515625" customWidth="1"/>
    <col min="72" max="72" width="3.5703125" customWidth="1"/>
    <col min="73" max="73" width="8.28515625" customWidth="1"/>
    <col min="74" max="76" width="6.140625" customWidth="1"/>
    <col min="77" max="77" width="3.28515625" customWidth="1"/>
    <col min="78" max="78" width="9.5703125" customWidth="1"/>
    <col min="79" max="79" width="6.140625" customWidth="1"/>
    <col min="80" max="80" width="15.28515625" customWidth="1"/>
    <col min="81" max="81" width="3.28515625" customWidth="1"/>
    <col min="82" max="82" width="8.7109375" customWidth="1"/>
    <col min="83" max="84" width="6.28515625" customWidth="1"/>
    <col min="85" max="85" width="3.28515625" customWidth="1"/>
    <col min="86" max="86" width="9.5703125" customWidth="1"/>
    <col min="87" max="87" width="6.140625" customWidth="1"/>
    <col min="88" max="88" width="16.85546875" customWidth="1"/>
    <col min="89" max="89" width="8.5703125" customWidth="1"/>
    <col min="90" max="90" width="7" customWidth="1"/>
    <col min="91" max="91" width="25.140625" customWidth="1"/>
    <col min="92" max="92" width="8.5703125" customWidth="1"/>
    <col min="93" max="93" width="6.7109375" customWidth="1"/>
    <col min="94" max="94" width="18.28515625" customWidth="1"/>
    <col min="95" max="95" width="3.5703125" customWidth="1"/>
    <col min="96" max="96" width="8.5703125" customWidth="1"/>
    <col min="97" max="97" width="5.85546875" customWidth="1"/>
    <col min="98" max="98" width="16.140625" customWidth="1"/>
    <col min="99" max="99" width="3.7109375" customWidth="1"/>
    <col min="100" max="100" width="3.28515625" customWidth="1"/>
    <col min="101" max="101" width="8.5703125" customWidth="1"/>
    <col min="102" max="102" width="6.28515625" customWidth="1"/>
    <col min="103" max="103" width="11.42578125"/>
    <col min="104" max="104" width="3.5703125" customWidth="1"/>
    <col min="105" max="105" width="8.7109375" customWidth="1"/>
    <col min="106" max="106" width="6.28515625" customWidth="1"/>
    <col min="107" max="107" width="11.42578125"/>
    <col min="108" max="108" width="3.5703125" customWidth="1"/>
    <col min="109" max="109" width="8.7109375" customWidth="1"/>
    <col min="110" max="110" width="6.28515625" customWidth="1"/>
    <col min="111" max="111" width="11.42578125"/>
    <col min="112" max="112" width="3.5703125" customWidth="1"/>
    <col min="113" max="113" width="8.5703125" customWidth="1"/>
    <col min="114" max="114" width="6.28515625" customWidth="1"/>
    <col min="115" max="115" width="13.7109375" customWidth="1"/>
    <col min="116" max="116" width="3.5703125" customWidth="1"/>
    <col min="117" max="1025" width="8.7109375" customWidth="1"/>
  </cols>
  <sheetData>
    <row r="2" spans="1:116" x14ac:dyDescent="0.25">
      <c r="B2" t="s">
        <v>29</v>
      </c>
      <c r="I2" s="7" t="s">
        <v>30</v>
      </c>
      <c r="J2" s="7"/>
      <c r="K2" s="7"/>
      <c r="L2" s="7"/>
      <c r="M2" s="7"/>
      <c r="N2" s="7"/>
      <c r="O2" s="7"/>
      <c r="P2" s="7"/>
      <c r="Q2" s="7"/>
      <c r="R2" s="35"/>
      <c r="S2" s="35"/>
      <c r="T2" s="35"/>
      <c r="U2" s="35"/>
      <c r="W2" s="7" t="s">
        <v>31</v>
      </c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J2" s="7" t="s">
        <v>32</v>
      </c>
      <c r="AK2" s="7"/>
      <c r="AL2" s="7"/>
      <c r="AM2" s="7"/>
      <c r="AN2" s="36" t="s">
        <v>33</v>
      </c>
      <c r="AO2" s="36" t="s">
        <v>34</v>
      </c>
      <c r="AP2" s="37" t="s">
        <v>35</v>
      </c>
      <c r="AS2" s="6" t="s">
        <v>36</v>
      </c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N2" s="13" t="s">
        <v>37</v>
      </c>
      <c r="BO2" s="13"/>
      <c r="BP2" s="18"/>
      <c r="BQ2" s="38"/>
      <c r="BR2" s="5" t="s">
        <v>38</v>
      </c>
      <c r="BS2" s="5"/>
      <c r="BT2" s="39"/>
      <c r="BU2" s="40"/>
      <c r="BV2" s="4" t="s">
        <v>39</v>
      </c>
      <c r="BW2" s="4"/>
      <c r="BX2" s="4"/>
      <c r="BY2" s="18"/>
      <c r="BZ2" s="38"/>
      <c r="CA2" s="5" t="s">
        <v>40</v>
      </c>
      <c r="CB2" s="5"/>
      <c r="CC2" s="18"/>
      <c r="CD2" s="38"/>
      <c r="CE2" s="5" t="s">
        <v>41</v>
      </c>
      <c r="CF2" s="5"/>
      <c r="CG2" s="18"/>
      <c r="CH2" s="38"/>
      <c r="CI2" s="3" t="s">
        <v>42</v>
      </c>
      <c r="CJ2" s="3"/>
      <c r="CK2" s="3"/>
      <c r="CL2" s="3"/>
      <c r="CM2" s="3"/>
      <c r="CN2" s="3"/>
      <c r="CO2" s="3"/>
      <c r="CP2" s="3"/>
      <c r="CQ2" s="39"/>
      <c r="CR2" s="14" t="s">
        <v>43</v>
      </c>
      <c r="CS2" s="14"/>
      <c r="CT2" s="14"/>
      <c r="CU2" s="41"/>
      <c r="CV2" s="18"/>
      <c r="CW2" s="14" t="s">
        <v>44</v>
      </c>
      <c r="CX2" s="14"/>
      <c r="CY2" s="14"/>
      <c r="CZ2" s="39"/>
      <c r="DA2" s="14" t="s">
        <v>45</v>
      </c>
      <c r="DB2" s="14"/>
      <c r="DC2" s="14"/>
      <c r="DD2" s="39"/>
      <c r="DE2" s="14" t="s">
        <v>46</v>
      </c>
      <c r="DF2" s="14"/>
      <c r="DG2" s="14"/>
      <c r="DH2" s="39"/>
      <c r="DI2" s="14" t="s">
        <v>47</v>
      </c>
      <c r="DJ2" s="14"/>
      <c r="DK2" s="14"/>
      <c r="DL2" s="42"/>
    </row>
    <row r="3" spans="1:116" x14ac:dyDescent="0.25">
      <c r="I3" s="43"/>
      <c r="J3" s="44" t="s">
        <v>48</v>
      </c>
      <c r="K3" s="45" t="s">
        <v>49</v>
      </c>
      <c r="L3" s="44" t="s">
        <v>50</v>
      </c>
      <c r="M3" s="44"/>
      <c r="N3" s="44"/>
      <c r="O3" s="44" t="s">
        <v>51</v>
      </c>
      <c r="P3" s="45" t="s">
        <v>49</v>
      </c>
      <c r="Q3" s="46" t="s">
        <v>50</v>
      </c>
      <c r="R3" s="44"/>
      <c r="S3" s="44" t="s">
        <v>52</v>
      </c>
      <c r="T3" s="45" t="s">
        <v>49</v>
      </c>
      <c r="U3" s="46" t="s">
        <v>50</v>
      </c>
      <c r="W3" s="43" t="s">
        <v>53</v>
      </c>
      <c r="X3" s="44" t="s">
        <v>54</v>
      </c>
      <c r="Y3" s="46" t="s">
        <v>55</v>
      </c>
      <c r="Z3" s="7" t="s">
        <v>53</v>
      </c>
      <c r="AA3" s="7"/>
      <c r="AB3" s="7"/>
      <c r="AC3" s="7" t="s">
        <v>54</v>
      </c>
      <c r="AD3" s="7"/>
      <c r="AE3" s="7"/>
      <c r="AF3" s="7" t="s">
        <v>55</v>
      </c>
      <c r="AG3" s="7"/>
      <c r="AH3" s="7"/>
      <c r="AJ3" s="47" t="s">
        <v>56</v>
      </c>
      <c r="AK3" s="48"/>
      <c r="AL3" s="49"/>
      <c r="AM3" s="49"/>
      <c r="AN3" s="50"/>
      <c r="AO3" s="50"/>
      <c r="AP3" s="50"/>
      <c r="AS3" s="7" t="s">
        <v>57</v>
      </c>
      <c r="AT3" s="7"/>
      <c r="AU3" s="7"/>
      <c r="AV3" s="7"/>
      <c r="AW3" s="7"/>
      <c r="AX3" s="2" t="s">
        <v>58</v>
      </c>
      <c r="AY3" s="2"/>
      <c r="AZ3" s="2"/>
      <c r="BA3" s="2"/>
      <c r="BB3" s="2"/>
      <c r="BC3" s="7" t="s">
        <v>59</v>
      </c>
      <c r="BD3" s="7"/>
      <c r="BE3" s="7"/>
      <c r="BF3" s="7"/>
      <c r="BG3" s="7"/>
      <c r="BH3" s="7" t="s">
        <v>60</v>
      </c>
      <c r="BI3" s="7"/>
      <c r="BJ3" s="7"/>
      <c r="BK3" s="7"/>
      <c r="BL3" s="7"/>
      <c r="BN3" s="51" t="s">
        <v>61</v>
      </c>
      <c r="BO3" s="35" t="s">
        <v>62</v>
      </c>
      <c r="BP3" s="52"/>
      <c r="BQ3" s="35"/>
      <c r="BR3" s="53" t="s">
        <v>61</v>
      </c>
      <c r="BS3" s="32" t="s">
        <v>63</v>
      </c>
      <c r="BT3" s="54"/>
      <c r="BU3" s="55"/>
      <c r="BV3" s="53" t="s">
        <v>61</v>
      </c>
      <c r="BW3" s="32" t="s">
        <v>63</v>
      </c>
      <c r="BX3" s="56" t="s">
        <v>64</v>
      </c>
      <c r="BY3" s="52"/>
      <c r="BZ3" s="35"/>
      <c r="CA3" s="57" t="s">
        <v>61</v>
      </c>
      <c r="CB3" s="35" t="s">
        <v>65</v>
      </c>
      <c r="CC3" s="52"/>
      <c r="CD3" s="35"/>
      <c r="CE3" s="53" t="s">
        <v>61</v>
      </c>
      <c r="CF3" s="32" t="s">
        <v>63</v>
      </c>
      <c r="CG3" s="52"/>
      <c r="CH3" s="35"/>
      <c r="CI3" s="53" t="s">
        <v>61</v>
      </c>
      <c r="CJ3" s="35" t="s">
        <v>66</v>
      </c>
      <c r="CK3" s="35"/>
      <c r="CL3" s="35"/>
      <c r="CM3" s="35" t="s">
        <v>66</v>
      </c>
      <c r="CN3" s="35"/>
      <c r="CO3" s="35"/>
      <c r="CP3" s="35" t="s">
        <v>66</v>
      </c>
      <c r="CQ3" s="54"/>
      <c r="CR3" s="58"/>
      <c r="CS3" s="57" t="s">
        <v>61</v>
      </c>
      <c r="CT3" s="35" t="s">
        <v>66</v>
      </c>
      <c r="CU3" s="54"/>
      <c r="CV3" s="52"/>
      <c r="CW3" s="35"/>
      <c r="CX3" s="53" t="s">
        <v>61</v>
      </c>
      <c r="CY3" s="32" t="s">
        <v>67</v>
      </c>
      <c r="CZ3" s="54"/>
      <c r="DA3" s="35"/>
      <c r="DB3" s="53" t="s">
        <v>61</v>
      </c>
      <c r="DC3" s="32" t="s">
        <v>68</v>
      </c>
      <c r="DD3" s="54"/>
      <c r="DE3" s="35"/>
      <c r="DF3" s="53" t="s">
        <v>61</v>
      </c>
      <c r="DG3" s="32" t="s">
        <v>68</v>
      </c>
      <c r="DH3" s="54"/>
      <c r="DI3" s="35"/>
      <c r="DJ3" s="53" t="s">
        <v>61</v>
      </c>
      <c r="DK3" s="31" t="s">
        <v>69</v>
      </c>
    </row>
    <row r="4" spans="1:116" x14ac:dyDescent="0.25">
      <c r="A4" s="59" t="s">
        <v>70</v>
      </c>
      <c r="B4" s="60">
        <f>'ol4'!C14</f>
        <v>0.2</v>
      </c>
      <c r="C4" t="s">
        <v>71</v>
      </c>
      <c r="E4" t="s">
        <v>72</v>
      </c>
      <c r="F4" s="61">
        <f>B4*1000/(B5-B6)</f>
        <v>3.3333333333333335</v>
      </c>
      <c r="I4" s="55">
        <f t="shared" ref="I4:I17" si="0">IF($B$12&lt;12,(IF((L4&gt;4)*AND(L4&lt;16),2,0)),IF((L4&gt;4)*AND(L4&lt;20),2,0))</f>
        <v>0</v>
      </c>
      <c r="J4" s="78"/>
      <c r="K4" s="58"/>
      <c r="L4" s="58"/>
      <c r="M4" s="58"/>
      <c r="N4" s="58">
        <f t="shared" ref="N4:N17" si="1">IF((Q4&gt;4)*AND(Q4&lt;20),1,0)</f>
        <v>0</v>
      </c>
      <c r="O4" s="58"/>
      <c r="P4" s="58"/>
      <c r="Q4" s="62"/>
      <c r="R4" s="58">
        <f t="shared" ref="R4:R17" si="2">IF((U4&gt;4)*AND(U4&lt;20),1,0)</f>
        <v>0</v>
      </c>
      <c r="S4" s="58">
        <v>15</v>
      </c>
      <c r="T4" s="58">
        <f t="shared" ref="T4:T17" si="3">1/POWER(1.14+2*LOG10((S4/1000)/($K$21/1000)),2)</f>
        <v>5.9655827422120798E-2</v>
      </c>
      <c r="U4" s="62">
        <f t="shared" ref="U4:U17" si="4">0.00638*T4*POWER($F$16,2)/(POWER(S4/1000,5)*$K$20)</f>
        <v>79.54257867195831</v>
      </c>
      <c r="W4" s="63" t="s">
        <v>73</v>
      </c>
      <c r="X4" s="58">
        <f>IF(B12=0,0,IF(B12&gt;12,3,1.8))</f>
        <v>3</v>
      </c>
      <c r="Y4" s="58"/>
      <c r="Z4" s="64">
        <f t="shared" ref="Z4:Z21" si="5">IF(AB4&gt;$X$5,1,0)</f>
        <v>0</v>
      </c>
      <c r="AA4" s="65">
        <v>15</v>
      </c>
      <c r="AB4" s="66">
        <v>1.6</v>
      </c>
      <c r="AC4" s="64">
        <f t="shared" ref="AC4:AC22" si="6">IF(AE4&gt;$X$5,1,0)</f>
        <v>0</v>
      </c>
      <c r="AD4" s="65">
        <v>15</v>
      </c>
      <c r="AE4" s="66">
        <v>1.6</v>
      </c>
      <c r="AF4" s="58">
        <f t="shared" ref="AF4:AF16" si="7">IF(AH4&gt;$X$5,1,0)</f>
        <v>0</v>
      </c>
      <c r="AG4" s="67">
        <v>15</v>
      </c>
      <c r="AH4" s="62">
        <v>1.6</v>
      </c>
      <c r="AJ4" s="68">
        <v>4</v>
      </c>
      <c r="AK4" s="64">
        <f t="shared" ref="AK4:AK13" si="8">IF($F$13&lt;AJ4,1,0)</f>
        <v>0</v>
      </c>
      <c r="AL4" s="66" t="s">
        <v>74</v>
      </c>
      <c r="AM4" s="69">
        <f t="shared" ref="AM4:AM13" si="9">IF($F$13&lt;AJ4,1,0)</f>
        <v>0</v>
      </c>
      <c r="AN4" s="70" t="s">
        <v>75</v>
      </c>
      <c r="AO4" s="64">
        <f t="shared" ref="AO4:AO13" si="10">IF($F$13&lt;AJ4,1,0)</f>
        <v>0</v>
      </c>
      <c r="AP4" s="71" t="s">
        <v>76</v>
      </c>
      <c r="AS4" s="64">
        <v>0.1</v>
      </c>
      <c r="AT4" s="72">
        <f t="shared" ref="AT4:AT11" si="11">IF($B$4&lt;AS4,1,0)</f>
        <v>0</v>
      </c>
      <c r="AU4" s="72" t="s">
        <v>77</v>
      </c>
      <c r="AV4" s="72">
        <f t="shared" ref="AV4:AV11" si="12">IF($B$4&lt;AS4,1,0)</f>
        <v>0</v>
      </c>
      <c r="AW4" s="17">
        <v>1</v>
      </c>
      <c r="AX4" s="64">
        <v>0.1</v>
      </c>
      <c r="AY4" s="72">
        <f t="shared" ref="AY4:AY11" si="13">IF($B$4&lt;AX4,1,0)</f>
        <v>0</v>
      </c>
      <c r="AZ4" s="72" t="s">
        <v>77</v>
      </c>
      <c r="BA4" s="72">
        <f t="shared" ref="BA4:BA11" si="14">IF($B$4&lt;AX4,1,0)</f>
        <v>0</v>
      </c>
      <c r="BB4" s="17">
        <v>1</v>
      </c>
      <c r="BC4" s="55">
        <v>0.14000000000000001</v>
      </c>
      <c r="BD4" s="58">
        <f t="shared" ref="BD4:BD10" si="15">IF($B$4&lt;BC4,1,0)</f>
        <v>0</v>
      </c>
      <c r="BE4" s="72" t="s">
        <v>77</v>
      </c>
      <c r="BF4" s="58">
        <f t="shared" ref="BF4:BF10" si="16">IF($B$4&lt;BC4,1,0)</f>
        <v>0</v>
      </c>
      <c r="BG4" s="56">
        <v>1</v>
      </c>
      <c r="BH4" s="58">
        <v>0.05</v>
      </c>
      <c r="BI4" s="58">
        <f t="shared" ref="BI4:BI13" si="17">IF($B$4&lt;BH4,1,0)</f>
        <v>0</v>
      </c>
      <c r="BJ4" s="58" t="s">
        <v>77</v>
      </c>
      <c r="BK4" s="58">
        <f t="shared" ref="BK4:BK13" si="18">IF($B$4&lt;BH4,1,0)</f>
        <v>0</v>
      </c>
      <c r="BL4" s="62">
        <v>1</v>
      </c>
      <c r="BN4" s="51" t="s">
        <v>78</v>
      </c>
      <c r="BO4" s="35" t="s">
        <v>79</v>
      </c>
      <c r="BP4" s="52"/>
      <c r="BQ4" s="35" t="e">
        <f t="shared" ref="BQ4:BQ15" si="19">IF($F$5=BS4,1,0)</f>
        <v>#N/A</v>
      </c>
      <c r="BR4" s="57" t="s">
        <v>80</v>
      </c>
      <c r="BS4" s="35">
        <v>15</v>
      </c>
      <c r="BT4" s="54"/>
      <c r="BU4" s="73">
        <f t="shared" ref="BU4:BU26" si="20">IF($F$7=BX4,1,0)</f>
        <v>0</v>
      </c>
      <c r="BV4" s="57" t="s">
        <v>80</v>
      </c>
      <c r="BW4" s="35">
        <v>15</v>
      </c>
      <c r="BX4" s="56">
        <v>0.63</v>
      </c>
      <c r="BY4" s="52"/>
      <c r="BZ4" s="35">
        <f>IF($B$14=CB4,1,0)</f>
        <v>0</v>
      </c>
      <c r="CA4" s="57" t="s">
        <v>78</v>
      </c>
      <c r="CB4" s="35" t="s">
        <v>53</v>
      </c>
      <c r="CC4" s="52"/>
      <c r="CD4" s="35" t="e">
        <f t="shared" ref="CD4:CD15" si="21">IF($F$12=CF4,1,0)</f>
        <v>#N/A</v>
      </c>
      <c r="CE4" s="57" t="s">
        <v>80</v>
      </c>
      <c r="CF4" s="35">
        <v>15</v>
      </c>
      <c r="CG4" s="52"/>
      <c r="CH4" s="35">
        <f t="shared" ref="CH4:CH14" si="22">IF($E$14=CJ4,1,0)</f>
        <v>0</v>
      </c>
      <c r="CI4" s="32">
        <v>1</v>
      </c>
      <c r="CJ4" s="32" t="s">
        <v>74</v>
      </c>
      <c r="CK4" s="32">
        <f t="shared" ref="CK4:CK10" si="23">IF($E$14=CM4,1,0)</f>
        <v>0</v>
      </c>
      <c r="CL4" s="32">
        <v>1</v>
      </c>
      <c r="CM4" s="74" t="s">
        <v>75</v>
      </c>
      <c r="CN4" s="74">
        <f t="shared" ref="CN4:CN10" si="24">IF($E$14=CP4,1,0)</f>
        <v>0</v>
      </c>
      <c r="CO4" s="32">
        <v>1</v>
      </c>
      <c r="CP4" s="74" t="s">
        <v>76</v>
      </c>
      <c r="CQ4" s="54"/>
      <c r="CR4">
        <f>IF(OR(E14="DPL 80/115-2,2/2",E14="DPL 100/175-3/4"),1,0)</f>
        <v>0</v>
      </c>
      <c r="CS4" s="15">
        <v>5</v>
      </c>
      <c r="CU4" s="54"/>
      <c r="CV4" s="52"/>
      <c r="CW4" s="35">
        <f t="shared" ref="CW4:CW10" si="25">IF($E$9=CY4,1,0)</f>
        <v>1</v>
      </c>
      <c r="CX4" s="57" t="s">
        <v>81</v>
      </c>
      <c r="CY4" s="58" t="s">
        <v>82</v>
      </c>
      <c r="CZ4" s="54"/>
      <c r="DA4" s="35">
        <f t="shared" ref="DA4:DA9" si="26">IF($F$9=DC4,1,0)</f>
        <v>1</v>
      </c>
      <c r="DB4" s="57" t="s">
        <v>81</v>
      </c>
      <c r="DC4" s="58" t="s">
        <v>82</v>
      </c>
      <c r="DD4" s="54"/>
      <c r="DE4" s="35">
        <f>IF($B$16=DG4,1,0)</f>
        <v>1</v>
      </c>
      <c r="DF4" s="57" t="s">
        <v>78</v>
      </c>
      <c r="DG4" s="35" t="s">
        <v>83</v>
      </c>
      <c r="DH4" s="54"/>
      <c r="DI4" s="35">
        <f>IF($B$17=DK4,1,0)</f>
        <v>1</v>
      </c>
      <c r="DJ4" s="57" t="s">
        <v>78</v>
      </c>
      <c r="DK4" s="62" t="s">
        <v>84</v>
      </c>
    </row>
    <row r="5" spans="1:116" x14ac:dyDescent="0.25">
      <c r="A5" s="59" t="s">
        <v>85</v>
      </c>
      <c r="B5" s="75">
        <f>'ol4'!N13</f>
        <v>130</v>
      </c>
      <c r="C5" s="76" t="s">
        <v>86</v>
      </c>
      <c r="E5" t="s">
        <v>48</v>
      </c>
      <c r="F5" s="77" t="e">
        <f>VLOOKUP(2,I4:L17,2,0)</f>
        <v>#N/A</v>
      </c>
      <c r="I5" s="55">
        <f t="shared" si="0"/>
        <v>0</v>
      </c>
      <c r="J5" s="78"/>
      <c r="K5" s="58"/>
      <c r="L5" s="58"/>
      <c r="M5" s="58"/>
      <c r="N5" s="58">
        <f t="shared" si="1"/>
        <v>0</v>
      </c>
      <c r="O5" s="58"/>
      <c r="P5" s="58"/>
      <c r="Q5" s="62"/>
      <c r="R5" s="58">
        <f t="shared" si="2"/>
        <v>1</v>
      </c>
      <c r="S5" s="58">
        <v>20</v>
      </c>
      <c r="T5" s="58">
        <f t="shared" si="3"/>
        <v>5.2990299783484442E-2</v>
      </c>
      <c r="U5" s="62">
        <f t="shared" si="4"/>
        <v>16.766773049253221</v>
      </c>
      <c r="W5" s="63" t="s">
        <v>87</v>
      </c>
      <c r="X5" s="78">
        <f>F4/SQRT(0.1*X4)</f>
        <v>6.0858061945018456</v>
      </c>
      <c r="Y5" s="78"/>
      <c r="Z5" s="55">
        <f t="shared" si="5"/>
        <v>0</v>
      </c>
      <c r="AA5" s="67">
        <v>15</v>
      </c>
      <c r="AB5" s="62">
        <v>2.5</v>
      </c>
      <c r="AC5" s="55">
        <f t="shared" si="6"/>
        <v>0</v>
      </c>
      <c r="AD5" s="67">
        <v>15</v>
      </c>
      <c r="AE5" s="62">
        <v>2.5</v>
      </c>
      <c r="AF5" s="58">
        <f t="shared" si="7"/>
        <v>0</v>
      </c>
      <c r="AG5" s="67">
        <v>15</v>
      </c>
      <c r="AH5" s="62">
        <v>2.5</v>
      </c>
      <c r="AJ5" s="73">
        <v>6</v>
      </c>
      <c r="AK5" s="55">
        <f t="shared" si="8"/>
        <v>0</v>
      </c>
      <c r="AL5" s="62" t="s">
        <v>88</v>
      </c>
      <c r="AM5" s="54">
        <f t="shared" si="9"/>
        <v>0</v>
      </c>
      <c r="AN5" s="54" t="s">
        <v>89</v>
      </c>
      <c r="AO5" s="55">
        <f t="shared" si="10"/>
        <v>0</v>
      </c>
      <c r="AP5" s="79" t="s">
        <v>90</v>
      </c>
      <c r="AS5" s="55">
        <v>0.25</v>
      </c>
      <c r="AT5" s="58">
        <f t="shared" si="11"/>
        <v>1</v>
      </c>
      <c r="AU5" s="58" t="s">
        <v>91</v>
      </c>
      <c r="AV5" s="58">
        <f t="shared" si="12"/>
        <v>1</v>
      </c>
      <c r="AW5" s="31">
        <v>1</v>
      </c>
      <c r="AX5" s="55">
        <v>0.25</v>
      </c>
      <c r="AY5" s="58">
        <f t="shared" si="13"/>
        <v>1</v>
      </c>
      <c r="AZ5" s="58" t="s">
        <v>91</v>
      </c>
      <c r="BA5" s="58">
        <f t="shared" si="14"/>
        <v>1</v>
      </c>
      <c r="BB5" s="31">
        <v>1</v>
      </c>
      <c r="BC5" s="55">
        <v>0.45</v>
      </c>
      <c r="BD5" s="58">
        <f t="shared" si="15"/>
        <v>1</v>
      </c>
      <c r="BE5" s="58" t="s">
        <v>92</v>
      </c>
      <c r="BF5" s="58">
        <f t="shared" si="16"/>
        <v>1</v>
      </c>
      <c r="BG5" s="56">
        <v>1</v>
      </c>
      <c r="BH5" s="58">
        <v>0.09</v>
      </c>
      <c r="BI5" s="58">
        <f t="shared" si="17"/>
        <v>0</v>
      </c>
      <c r="BJ5" s="58" t="s">
        <v>93</v>
      </c>
      <c r="BK5" s="58">
        <f t="shared" si="18"/>
        <v>0</v>
      </c>
      <c r="BL5" s="62">
        <v>1</v>
      </c>
      <c r="BN5" s="51" t="s">
        <v>94</v>
      </c>
      <c r="BO5" s="35" t="s">
        <v>95</v>
      </c>
      <c r="BP5" s="52"/>
      <c r="BQ5" s="35" t="e">
        <f t="shared" si="19"/>
        <v>#N/A</v>
      </c>
      <c r="BR5" s="57" t="s">
        <v>96</v>
      </c>
      <c r="BS5" s="35">
        <v>20</v>
      </c>
      <c r="BT5" s="54"/>
      <c r="BU5" s="73">
        <f t="shared" si="20"/>
        <v>0</v>
      </c>
      <c r="BV5" s="57" t="s">
        <v>96</v>
      </c>
      <c r="BW5" s="35">
        <v>15</v>
      </c>
      <c r="BX5" s="56">
        <v>1.25</v>
      </c>
      <c r="BY5" s="52"/>
      <c r="BZ5" s="35">
        <f>IF($B$14=CB5,1,0)</f>
        <v>0</v>
      </c>
      <c r="CA5" s="57" t="s">
        <v>94</v>
      </c>
      <c r="CB5" s="35" t="s">
        <v>55</v>
      </c>
      <c r="CC5" s="52"/>
      <c r="CD5" s="35" t="e">
        <f t="shared" si="21"/>
        <v>#N/A</v>
      </c>
      <c r="CE5" s="57" t="s">
        <v>96</v>
      </c>
      <c r="CF5" s="35">
        <v>20</v>
      </c>
      <c r="CG5" s="52"/>
      <c r="CH5" s="35">
        <f t="shared" si="22"/>
        <v>0</v>
      </c>
      <c r="CI5" s="32">
        <v>2</v>
      </c>
      <c r="CJ5" s="32" t="s">
        <v>88</v>
      </c>
      <c r="CK5" s="32">
        <f t="shared" si="23"/>
        <v>0</v>
      </c>
      <c r="CL5" s="32">
        <v>2</v>
      </c>
      <c r="CM5" s="32" t="s">
        <v>89</v>
      </c>
      <c r="CN5" s="74">
        <f t="shared" si="24"/>
        <v>0</v>
      </c>
      <c r="CO5" s="32">
        <v>2</v>
      </c>
      <c r="CP5" s="74" t="s">
        <v>90</v>
      </c>
      <c r="CQ5" s="54"/>
      <c r="CR5" s="58">
        <f>IF($B$15=CT5,1,0)</f>
        <v>0</v>
      </c>
      <c r="CS5" s="32">
        <v>1</v>
      </c>
      <c r="CT5" s="32" t="s">
        <v>33</v>
      </c>
      <c r="CU5" s="54"/>
      <c r="CV5" s="52"/>
      <c r="CW5" s="35">
        <f t="shared" si="25"/>
        <v>0</v>
      </c>
      <c r="CX5" s="57" t="s">
        <v>78</v>
      </c>
      <c r="CY5" s="35" t="s">
        <v>77</v>
      </c>
      <c r="CZ5" s="54"/>
      <c r="DA5" s="35">
        <f t="shared" si="26"/>
        <v>0</v>
      </c>
      <c r="DB5" s="57" t="s">
        <v>78</v>
      </c>
      <c r="DC5" s="35">
        <v>1</v>
      </c>
      <c r="DD5" s="54"/>
      <c r="DE5" s="35">
        <f>IF($B$16=DG5,1,0)</f>
        <v>0</v>
      </c>
      <c r="DF5" s="57" t="s">
        <v>94</v>
      </c>
      <c r="DG5" s="35" t="s">
        <v>55</v>
      </c>
      <c r="DH5" s="54"/>
      <c r="DI5" s="35">
        <f>IF($B$17=DK5,1,0)</f>
        <v>0</v>
      </c>
      <c r="DJ5" s="57" t="s">
        <v>81</v>
      </c>
      <c r="DK5" s="56" t="s">
        <v>97</v>
      </c>
    </row>
    <row r="6" spans="1:116" x14ac:dyDescent="0.25">
      <c r="A6" s="59" t="s">
        <v>98</v>
      </c>
      <c r="B6" s="75">
        <f>IF(OR('ol4'!C24="зависимая",'ol4'!C24=0),'ol4'!R13,IF(('ol4'!R13-B8)&lt;5,B8+5,'ol4'!R13))</f>
        <v>70</v>
      </c>
      <c r="C6" s="76" t="s">
        <v>86</v>
      </c>
      <c r="E6" t="s">
        <v>99</v>
      </c>
      <c r="F6" s="77">
        <f>VLOOKUP(1,IF(B14="IMI Hydronic",Z4:AB21,IF(B14="Siemens",AC4:AE22,AF4:AH16)),2,0)</f>
        <v>20</v>
      </c>
      <c r="I6" s="55">
        <f t="shared" si="0"/>
        <v>0</v>
      </c>
      <c r="J6" s="78"/>
      <c r="K6" s="58"/>
      <c r="L6" s="58"/>
      <c r="M6" s="58"/>
      <c r="N6" s="58">
        <f t="shared" si="1"/>
        <v>0</v>
      </c>
      <c r="O6" s="58"/>
      <c r="P6" s="58"/>
      <c r="Q6" s="62"/>
      <c r="R6" s="58">
        <f t="shared" si="2"/>
        <v>1</v>
      </c>
      <c r="S6" s="58">
        <v>25</v>
      </c>
      <c r="T6" s="58">
        <f t="shared" si="3"/>
        <v>4.8560427292756572E-2</v>
      </c>
      <c r="U6" s="62">
        <f t="shared" si="4"/>
        <v>5.0348384933861885</v>
      </c>
      <c r="W6" s="55"/>
      <c r="X6" s="58"/>
      <c r="Y6" s="58"/>
      <c r="Z6" s="55">
        <f t="shared" si="5"/>
        <v>0</v>
      </c>
      <c r="AA6" s="67">
        <v>15</v>
      </c>
      <c r="AB6" s="62">
        <v>4</v>
      </c>
      <c r="AC6" s="55">
        <f t="shared" si="6"/>
        <v>0</v>
      </c>
      <c r="AD6" s="67">
        <v>15</v>
      </c>
      <c r="AE6" s="62">
        <v>4</v>
      </c>
      <c r="AF6" s="58">
        <f t="shared" si="7"/>
        <v>0</v>
      </c>
      <c r="AG6" s="67">
        <v>15</v>
      </c>
      <c r="AH6" s="62">
        <v>4</v>
      </c>
      <c r="AJ6" s="73">
        <v>10</v>
      </c>
      <c r="AK6" s="55">
        <f t="shared" si="8"/>
        <v>1</v>
      </c>
      <c r="AL6" s="62" t="s">
        <v>100</v>
      </c>
      <c r="AM6" s="54">
        <f t="shared" si="9"/>
        <v>1</v>
      </c>
      <c r="AN6" s="54" t="s">
        <v>101</v>
      </c>
      <c r="AO6" s="55">
        <f t="shared" si="10"/>
        <v>1</v>
      </c>
      <c r="AP6" s="79" t="s">
        <v>102</v>
      </c>
      <c r="AR6" s="58"/>
      <c r="AS6" s="55">
        <v>0.67</v>
      </c>
      <c r="AT6" s="58">
        <f t="shared" si="11"/>
        <v>1</v>
      </c>
      <c r="AU6" s="58" t="s">
        <v>92</v>
      </c>
      <c r="AV6" s="58">
        <f t="shared" si="12"/>
        <v>1</v>
      </c>
      <c r="AW6" s="31">
        <v>1</v>
      </c>
      <c r="AX6" s="55">
        <v>0.57499999999999996</v>
      </c>
      <c r="AY6" s="58">
        <f t="shared" si="13"/>
        <v>1</v>
      </c>
      <c r="AZ6" s="58" t="s">
        <v>92</v>
      </c>
      <c r="BA6" s="58">
        <f t="shared" si="14"/>
        <v>1</v>
      </c>
      <c r="BB6" s="31">
        <v>1</v>
      </c>
      <c r="BC6" s="55">
        <v>0.71</v>
      </c>
      <c r="BD6" s="58">
        <f t="shared" si="15"/>
        <v>1</v>
      </c>
      <c r="BE6" s="58" t="s">
        <v>92</v>
      </c>
      <c r="BF6" s="58">
        <f t="shared" si="16"/>
        <v>1</v>
      </c>
      <c r="BG6" s="56">
        <v>2</v>
      </c>
      <c r="BH6">
        <v>0.3</v>
      </c>
      <c r="BI6" s="58">
        <f t="shared" si="17"/>
        <v>1</v>
      </c>
      <c r="BJ6" s="58" t="s">
        <v>92</v>
      </c>
      <c r="BK6" s="58">
        <f t="shared" si="18"/>
        <v>1</v>
      </c>
      <c r="BL6" s="62">
        <v>1</v>
      </c>
      <c r="BN6" s="51"/>
      <c r="BO6" s="35"/>
      <c r="BP6" s="52"/>
      <c r="BQ6" s="35" t="e">
        <f t="shared" si="19"/>
        <v>#N/A</v>
      </c>
      <c r="BR6" s="57" t="s">
        <v>103</v>
      </c>
      <c r="BS6" s="35">
        <v>25</v>
      </c>
      <c r="BT6" s="54"/>
      <c r="BU6" s="73">
        <f t="shared" si="20"/>
        <v>0</v>
      </c>
      <c r="BV6" s="57" t="s">
        <v>103</v>
      </c>
      <c r="BW6" s="35">
        <v>15</v>
      </c>
      <c r="BX6" s="56">
        <v>1.6</v>
      </c>
      <c r="BY6" s="52"/>
      <c r="BZ6" s="35">
        <f>IF($B$14=CB6,1,0)</f>
        <v>1</v>
      </c>
      <c r="CA6" s="57" t="s">
        <v>104</v>
      </c>
      <c r="CB6" s="35" t="s">
        <v>54</v>
      </c>
      <c r="CC6" s="52"/>
      <c r="CD6" s="35" t="e">
        <f t="shared" si="21"/>
        <v>#N/A</v>
      </c>
      <c r="CE6" s="57" t="s">
        <v>103</v>
      </c>
      <c r="CF6" s="35">
        <v>25</v>
      </c>
      <c r="CG6" s="52"/>
      <c r="CH6" s="35">
        <f t="shared" si="22"/>
        <v>0</v>
      </c>
      <c r="CI6" s="32">
        <v>3</v>
      </c>
      <c r="CJ6" s="32" t="s">
        <v>100</v>
      </c>
      <c r="CK6" s="32">
        <f t="shared" si="23"/>
        <v>1</v>
      </c>
      <c r="CL6" s="32">
        <v>3</v>
      </c>
      <c r="CM6" s="32" t="s">
        <v>101</v>
      </c>
      <c r="CN6" s="74">
        <f t="shared" si="24"/>
        <v>0</v>
      </c>
      <c r="CO6" s="32">
        <v>3</v>
      </c>
      <c r="CP6" s="74" t="s">
        <v>102</v>
      </c>
      <c r="CQ6" s="54"/>
      <c r="CR6" s="58">
        <f>IF($B$15=CT6,1,0)</f>
        <v>1</v>
      </c>
      <c r="CS6" s="32">
        <v>2</v>
      </c>
      <c r="CT6" s="32" t="s">
        <v>34</v>
      </c>
      <c r="CU6" s="54"/>
      <c r="CV6" s="52"/>
      <c r="CW6" s="35">
        <f t="shared" si="25"/>
        <v>0</v>
      </c>
      <c r="CX6" s="57" t="s">
        <v>94</v>
      </c>
      <c r="CY6" s="35" t="s">
        <v>91</v>
      </c>
      <c r="CZ6" s="54"/>
      <c r="DA6" s="35">
        <f t="shared" si="26"/>
        <v>0</v>
      </c>
      <c r="DB6" s="57" t="s">
        <v>94</v>
      </c>
      <c r="DC6" s="35">
        <v>2</v>
      </c>
      <c r="DD6" s="54"/>
      <c r="DE6" s="35">
        <f>IF($B$16=DG6,1,0)</f>
        <v>0</v>
      </c>
      <c r="DF6" s="57" t="s">
        <v>104</v>
      </c>
      <c r="DG6" s="80" t="s">
        <v>54</v>
      </c>
      <c r="DH6" s="54"/>
      <c r="DI6" s="35"/>
      <c r="DJ6" s="57"/>
      <c r="DK6" s="56"/>
    </row>
    <row r="7" spans="1:116" x14ac:dyDescent="0.25">
      <c r="A7" s="59" t="s">
        <v>105</v>
      </c>
      <c r="B7" s="75">
        <f>'ol4'!N14</f>
        <v>95</v>
      </c>
      <c r="C7" s="76" t="s">
        <v>86</v>
      </c>
      <c r="E7" t="s">
        <v>106</v>
      </c>
      <c r="F7" s="77">
        <f>VLOOKUP(1,IF(B14="IMI Hydronic",Z4:AB21,IF(B14="Siemens",AC4:AE22,AF4:AH16)),3,0)</f>
        <v>6.3</v>
      </c>
      <c r="I7" s="55">
        <f t="shared" si="0"/>
        <v>0</v>
      </c>
      <c r="J7" s="78"/>
      <c r="K7" s="58"/>
      <c r="L7" s="58"/>
      <c r="M7" s="58"/>
      <c r="N7" s="58">
        <f t="shared" si="1"/>
        <v>0</v>
      </c>
      <c r="O7" s="58"/>
      <c r="P7" s="58"/>
      <c r="Q7" s="62"/>
      <c r="R7" s="58">
        <f t="shared" si="2"/>
        <v>0</v>
      </c>
      <c r="S7" s="58">
        <v>32</v>
      </c>
      <c r="T7" s="58">
        <f t="shared" si="3"/>
        <v>4.4277322004702871E-2</v>
      </c>
      <c r="U7" s="62">
        <f t="shared" si="4"/>
        <v>1.3360863958455773</v>
      </c>
      <c r="W7" s="55"/>
      <c r="X7" s="58"/>
      <c r="Y7" s="58"/>
      <c r="Z7" s="55">
        <f t="shared" si="5"/>
        <v>1</v>
      </c>
      <c r="AA7" s="67">
        <v>20</v>
      </c>
      <c r="AB7" s="62">
        <v>6.3</v>
      </c>
      <c r="AC7" s="55">
        <f t="shared" si="6"/>
        <v>1</v>
      </c>
      <c r="AD7" s="67">
        <v>20</v>
      </c>
      <c r="AE7" s="62">
        <v>6.3</v>
      </c>
      <c r="AF7" s="58">
        <f t="shared" si="7"/>
        <v>1</v>
      </c>
      <c r="AG7" s="67">
        <v>20</v>
      </c>
      <c r="AH7" s="62">
        <v>6.3</v>
      </c>
      <c r="AJ7" s="73">
        <v>14</v>
      </c>
      <c r="AK7" s="55">
        <f t="shared" si="8"/>
        <v>1</v>
      </c>
      <c r="AL7" s="62" t="s">
        <v>107</v>
      </c>
      <c r="AM7" s="54">
        <f t="shared" si="9"/>
        <v>1</v>
      </c>
      <c r="AN7" s="54" t="s">
        <v>108</v>
      </c>
      <c r="AO7" s="55">
        <f t="shared" si="10"/>
        <v>1</v>
      </c>
      <c r="AP7" s="54" t="s">
        <v>109</v>
      </c>
      <c r="AR7" s="58"/>
      <c r="AS7" s="55">
        <v>1</v>
      </c>
      <c r="AT7" s="58">
        <f t="shared" si="11"/>
        <v>1</v>
      </c>
      <c r="AU7" s="58" t="s">
        <v>92</v>
      </c>
      <c r="AV7" s="58">
        <f t="shared" si="12"/>
        <v>1</v>
      </c>
      <c r="AW7" s="31">
        <v>2</v>
      </c>
      <c r="AX7" s="81">
        <v>0.9</v>
      </c>
      <c r="AY7" s="58">
        <f t="shared" si="13"/>
        <v>1</v>
      </c>
      <c r="AZ7" s="58" t="s">
        <v>92</v>
      </c>
      <c r="BA7" s="58">
        <f t="shared" si="14"/>
        <v>1</v>
      </c>
      <c r="BB7" s="31">
        <v>2</v>
      </c>
      <c r="BC7" s="55">
        <v>0.95</v>
      </c>
      <c r="BD7" s="58">
        <f t="shared" si="15"/>
        <v>1</v>
      </c>
      <c r="BE7" s="58" t="s">
        <v>92</v>
      </c>
      <c r="BF7" s="58">
        <f t="shared" si="16"/>
        <v>1</v>
      </c>
      <c r="BG7" s="82">
        <v>3</v>
      </c>
      <c r="BH7">
        <v>0.48</v>
      </c>
      <c r="BI7" s="58">
        <f t="shared" si="17"/>
        <v>1</v>
      </c>
      <c r="BJ7" s="58" t="s">
        <v>92</v>
      </c>
      <c r="BK7" s="58">
        <f t="shared" si="18"/>
        <v>1</v>
      </c>
      <c r="BL7" s="62">
        <v>2</v>
      </c>
      <c r="BN7" s="51"/>
      <c r="BO7" s="35"/>
      <c r="BP7" s="52"/>
      <c r="BQ7" s="35" t="e">
        <f t="shared" si="19"/>
        <v>#N/A</v>
      </c>
      <c r="BR7" s="57" t="s">
        <v>110</v>
      </c>
      <c r="BS7" s="35">
        <v>32</v>
      </c>
      <c r="BT7" s="54"/>
      <c r="BU7" s="73">
        <f t="shared" si="20"/>
        <v>0</v>
      </c>
      <c r="BV7" s="57" t="s">
        <v>110</v>
      </c>
      <c r="BW7" s="35">
        <v>15</v>
      </c>
      <c r="BX7" s="56">
        <v>2.5</v>
      </c>
      <c r="BY7" s="52"/>
      <c r="BZ7" s="35"/>
      <c r="CA7" s="57"/>
      <c r="CB7" s="35"/>
      <c r="CC7" s="52"/>
      <c r="CD7" s="35" t="e">
        <f t="shared" si="21"/>
        <v>#N/A</v>
      </c>
      <c r="CE7" s="57" t="s">
        <v>110</v>
      </c>
      <c r="CF7" s="35">
        <v>32</v>
      </c>
      <c r="CG7" s="52"/>
      <c r="CH7" s="35">
        <f t="shared" si="22"/>
        <v>0</v>
      </c>
      <c r="CI7" s="80">
        <v>4</v>
      </c>
      <c r="CJ7" s="32" t="s">
        <v>107</v>
      </c>
      <c r="CK7" s="32">
        <f t="shared" si="23"/>
        <v>0</v>
      </c>
      <c r="CL7" s="80">
        <v>4</v>
      </c>
      <c r="CM7" s="32" t="s">
        <v>108</v>
      </c>
      <c r="CN7" s="74">
        <f t="shared" si="24"/>
        <v>0</v>
      </c>
      <c r="CO7" s="80">
        <v>4</v>
      </c>
      <c r="CP7" s="32" t="s">
        <v>109</v>
      </c>
      <c r="CQ7" s="54"/>
      <c r="CR7" s="58">
        <f>IF($B$15=CT7,1,0)</f>
        <v>0</v>
      </c>
      <c r="CS7" s="32">
        <v>3</v>
      </c>
      <c r="CT7" s="80" t="s">
        <v>35</v>
      </c>
      <c r="CU7" s="54"/>
      <c r="CV7" s="52"/>
      <c r="CW7" s="35">
        <f t="shared" si="25"/>
        <v>0</v>
      </c>
      <c r="CX7" s="57" t="s">
        <v>104</v>
      </c>
      <c r="CY7" s="80" t="s">
        <v>93</v>
      </c>
      <c r="CZ7" s="54"/>
      <c r="DA7" s="35">
        <f t="shared" si="26"/>
        <v>0</v>
      </c>
      <c r="DB7" s="57" t="s">
        <v>104</v>
      </c>
      <c r="DC7" s="35">
        <v>3</v>
      </c>
      <c r="DD7" s="54"/>
      <c r="DE7" s="35"/>
      <c r="DF7" s="58"/>
      <c r="DG7" s="58"/>
      <c r="DH7" s="54"/>
      <c r="DI7" s="35"/>
      <c r="DJ7" s="57"/>
      <c r="DK7" s="83"/>
    </row>
    <row r="8" spans="1:116" x14ac:dyDescent="0.25">
      <c r="A8" s="59" t="s">
        <v>111</v>
      </c>
      <c r="B8" s="75">
        <f>'ol4'!R14</f>
        <v>70</v>
      </c>
      <c r="C8" s="76" t="s">
        <v>86</v>
      </c>
      <c r="E8" s="84" t="s">
        <v>73</v>
      </c>
      <c r="F8" s="61">
        <f>(F4^2/F7^2)*10</f>
        <v>2.799473698944599</v>
      </c>
      <c r="I8" s="55">
        <f t="shared" si="0"/>
        <v>0</v>
      </c>
      <c r="J8" s="78"/>
      <c r="K8" s="58"/>
      <c r="L8" s="58"/>
      <c r="M8" s="58"/>
      <c r="N8" s="58">
        <f t="shared" si="1"/>
        <v>0</v>
      </c>
      <c r="O8" s="58"/>
      <c r="P8" s="58"/>
      <c r="Q8" s="62"/>
      <c r="R8" s="58">
        <f t="shared" si="2"/>
        <v>0</v>
      </c>
      <c r="S8" s="58">
        <v>40</v>
      </c>
      <c r="T8" s="58">
        <f t="shared" si="3"/>
        <v>4.0875226338606248E-2</v>
      </c>
      <c r="U8" s="62">
        <f t="shared" si="4"/>
        <v>0.40416928083804654</v>
      </c>
      <c r="W8" s="63"/>
      <c r="X8" s="58"/>
      <c r="Y8" s="78"/>
      <c r="Z8" s="55">
        <f t="shared" si="5"/>
        <v>1</v>
      </c>
      <c r="AA8" s="67">
        <v>25</v>
      </c>
      <c r="AB8" s="62">
        <v>10</v>
      </c>
      <c r="AC8" s="55">
        <f t="shared" si="6"/>
        <v>1</v>
      </c>
      <c r="AD8" s="67">
        <v>25</v>
      </c>
      <c r="AE8" s="62">
        <v>10</v>
      </c>
      <c r="AF8" s="58">
        <f t="shared" si="7"/>
        <v>1</v>
      </c>
      <c r="AG8" s="67">
        <v>25</v>
      </c>
      <c r="AH8" s="62">
        <v>10</v>
      </c>
      <c r="AJ8" s="73">
        <v>25</v>
      </c>
      <c r="AK8" s="55">
        <f t="shared" si="8"/>
        <v>1</v>
      </c>
      <c r="AL8" s="62" t="s">
        <v>112</v>
      </c>
      <c r="AM8" s="54">
        <f t="shared" si="9"/>
        <v>1</v>
      </c>
      <c r="AN8" s="54" t="s">
        <v>113</v>
      </c>
      <c r="AO8" s="55">
        <f t="shared" si="10"/>
        <v>1</v>
      </c>
      <c r="AP8" s="79" t="s">
        <v>114</v>
      </c>
      <c r="AR8" s="58"/>
      <c r="AS8" s="55">
        <v>1.25</v>
      </c>
      <c r="AT8" s="58">
        <f t="shared" si="11"/>
        <v>1</v>
      </c>
      <c r="AU8" s="58" t="s">
        <v>92</v>
      </c>
      <c r="AV8" s="58">
        <f t="shared" si="12"/>
        <v>1</v>
      </c>
      <c r="AW8" s="31">
        <v>3</v>
      </c>
      <c r="AX8" s="81">
        <v>1.1599999999999999</v>
      </c>
      <c r="AY8" s="58">
        <f t="shared" si="13"/>
        <v>1</v>
      </c>
      <c r="AZ8" s="58" t="s">
        <v>92</v>
      </c>
      <c r="BA8" s="58">
        <f t="shared" si="14"/>
        <v>1</v>
      </c>
      <c r="BB8" s="31">
        <v>3</v>
      </c>
      <c r="BC8" s="55">
        <v>1.25</v>
      </c>
      <c r="BD8" s="58">
        <f t="shared" si="15"/>
        <v>1</v>
      </c>
      <c r="BE8" s="58" t="s">
        <v>92</v>
      </c>
      <c r="BF8" s="58">
        <f t="shared" si="16"/>
        <v>1</v>
      </c>
      <c r="BG8" s="82">
        <v>4</v>
      </c>
      <c r="BH8">
        <v>0.66</v>
      </c>
      <c r="BI8" s="58">
        <f t="shared" si="17"/>
        <v>1</v>
      </c>
      <c r="BJ8" s="58" t="s">
        <v>92</v>
      </c>
      <c r="BK8" s="58">
        <f t="shared" si="18"/>
        <v>1</v>
      </c>
      <c r="BL8" s="62">
        <v>3</v>
      </c>
      <c r="BN8" s="51"/>
      <c r="BO8" s="35"/>
      <c r="BP8" s="52"/>
      <c r="BQ8" s="35" t="e">
        <f t="shared" si="19"/>
        <v>#N/A</v>
      </c>
      <c r="BR8" s="57" t="s">
        <v>115</v>
      </c>
      <c r="BS8" s="35">
        <v>40</v>
      </c>
      <c r="BT8" s="54"/>
      <c r="BU8" s="73">
        <f t="shared" si="20"/>
        <v>0</v>
      </c>
      <c r="BV8" s="57" t="s">
        <v>115</v>
      </c>
      <c r="BW8" s="35">
        <v>15</v>
      </c>
      <c r="BX8" s="56">
        <v>4</v>
      </c>
      <c r="BY8" s="52"/>
      <c r="BZ8" s="35"/>
      <c r="CA8" s="57"/>
      <c r="CB8" s="35"/>
      <c r="CC8" s="52"/>
      <c r="CD8" s="35" t="e">
        <f t="shared" si="21"/>
        <v>#N/A</v>
      </c>
      <c r="CE8" s="57" t="s">
        <v>115</v>
      </c>
      <c r="CF8" s="35">
        <v>40</v>
      </c>
      <c r="CG8" s="52"/>
      <c r="CH8" s="35">
        <f t="shared" si="22"/>
        <v>0</v>
      </c>
      <c r="CI8" s="80">
        <v>5</v>
      </c>
      <c r="CJ8" s="32" t="s">
        <v>112</v>
      </c>
      <c r="CK8" s="32">
        <f t="shared" si="23"/>
        <v>0</v>
      </c>
      <c r="CL8" s="80">
        <v>5</v>
      </c>
      <c r="CM8" s="32" t="s">
        <v>113</v>
      </c>
      <c r="CN8" s="74">
        <f t="shared" si="24"/>
        <v>0</v>
      </c>
      <c r="CO8" s="80">
        <v>5</v>
      </c>
      <c r="CP8" s="74" t="s">
        <v>114</v>
      </c>
      <c r="CQ8" s="54"/>
      <c r="CU8" s="54"/>
      <c r="CV8" s="52"/>
      <c r="CW8" s="35">
        <f t="shared" si="25"/>
        <v>0</v>
      </c>
      <c r="CX8" s="57" t="s">
        <v>116</v>
      </c>
      <c r="CY8" s="35" t="s">
        <v>92</v>
      </c>
      <c r="CZ8" s="54"/>
      <c r="DA8" s="35">
        <f t="shared" si="26"/>
        <v>0</v>
      </c>
      <c r="DB8" s="57" t="s">
        <v>116</v>
      </c>
      <c r="DC8" s="35">
        <v>4</v>
      </c>
      <c r="DD8" s="54"/>
      <c r="DE8" s="35"/>
      <c r="DF8" s="57"/>
      <c r="DG8" s="35"/>
      <c r="DH8" s="54"/>
      <c r="DI8" s="35"/>
      <c r="DJ8" s="57"/>
      <c r="DK8" s="56"/>
    </row>
    <row r="9" spans="1:116" x14ac:dyDescent="0.25">
      <c r="A9" s="59" t="s">
        <v>117</v>
      </c>
      <c r="B9" s="75">
        <f>'ol4'!W13*100</f>
        <v>60</v>
      </c>
      <c r="C9" s="76" t="s">
        <v>118</v>
      </c>
      <c r="E9" s="85" t="str">
        <f>IF('ol4'!C24="ЗАВИСИМАЯ","ОТСУТСТВУЕТ",VLOOKUP(1,IF(B5=150,AT4:AU11,IF(B5=130,AY4:AZ11,IF(B5=115,BD4:BE10,IF(B5=105,BI4:BJ13,0)))),2,0))</f>
        <v>ОТСУТСТВУЕТ</v>
      </c>
      <c r="F9" s="77" t="str">
        <f>IF('ol4'!C24="ЗАВИСИМАЯ","ОТСУТСТВУЕТ",VLOOKUP(1,IF(B5=150,AV4:AW11,IF(B5=130,BA4:BB11,IF(B5=115,BF4:BG10,IF(B5=105,BK4:BL13,0)))),2,0))</f>
        <v>ОТСУТСТВУЕТ</v>
      </c>
      <c r="I9" s="55">
        <f t="shared" si="0"/>
        <v>0</v>
      </c>
      <c r="J9" s="78"/>
      <c r="K9" s="58"/>
      <c r="L9" s="58"/>
      <c r="M9" s="58"/>
      <c r="N9" s="58">
        <f t="shared" si="1"/>
        <v>0</v>
      </c>
      <c r="O9" s="58"/>
      <c r="P9" s="58"/>
      <c r="Q9" s="62"/>
      <c r="R9" s="58">
        <f t="shared" si="2"/>
        <v>0</v>
      </c>
      <c r="S9" s="58">
        <v>50</v>
      </c>
      <c r="T9" s="58">
        <f t="shared" si="3"/>
        <v>3.7850686611455138E-2</v>
      </c>
      <c r="U9" s="62">
        <f>0.00638*T9*POWER($F$16,2)/(POWER(S9/1000,5)*$K$20)</f>
        <v>0.12263849945369888</v>
      </c>
      <c r="W9" s="63"/>
      <c r="X9" s="78"/>
      <c r="Y9" s="58"/>
      <c r="Z9" s="55">
        <f t="shared" si="5"/>
        <v>1</v>
      </c>
      <c r="AA9" s="67">
        <v>32</v>
      </c>
      <c r="AB9" s="62">
        <v>16</v>
      </c>
      <c r="AC9" s="55">
        <f t="shared" si="6"/>
        <v>1</v>
      </c>
      <c r="AD9" s="67">
        <v>32</v>
      </c>
      <c r="AE9" s="62">
        <v>16</v>
      </c>
      <c r="AF9" s="58">
        <f t="shared" si="7"/>
        <v>1</v>
      </c>
      <c r="AG9" s="67">
        <v>32</v>
      </c>
      <c r="AH9" s="62">
        <v>16</v>
      </c>
      <c r="AJ9" s="73">
        <v>30</v>
      </c>
      <c r="AK9" s="55">
        <f t="shared" si="8"/>
        <v>1</v>
      </c>
      <c r="AL9" s="62" t="s">
        <v>119</v>
      </c>
      <c r="AM9" s="54">
        <f t="shared" si="9"/>
        <v>1</v>
      </c>
      <c r="AN9" s="54" t="s">
        <v>120</v>
      </c>
      <c r="AO9" s="55">
        <f t="shared" si="10"/>
        <v>1</v>
      </c>
      <c r="AP9" s="79" t="s">
        <v>121</v>
      </c>
      <c r="AR9" s="58"/>
      <c r="AS9" s="55">
        <v>1.3</v>
      </c>
      <c r="AT9" s="58">
        <f t="shared" si="11"/>
        <v>1</v>
      </c>
      <c r="AU9" s="58" t="s">
        <v>92</v>
      </c>
      <c r="AV9" s="58">
        <f t="shared" si="12"/>
        <v>1</v>
      </c>
      <c r="AW9" s="31">
        <v>4</v>
      </c>
      <c r="AX9" s="55">
        <v>1.3</v>
      </c>
      <c r="AY9" s="58">
        <f t="shared" si="13"/>
        <v>1</v>
      </c>
      <c r="AZ9" s="58" t="s">
        <v>92</v>
      </c>
      <c r="BA9" s="58">
        <f t="shared" si="14"/>
        <v>1</v>
      </c>
      <c r="BB9" s="31">
        <v>4</v>
      </c>
      <c r="BC9" s="55">
        <v>1.8</v>
      </c>
      <c r="BD9" s="58">
        <f t="shared" si="15"/>
        <v>1</v>
      </c>
      <c r="BE9" s="58" t="s">
        <v>122</v>
      </c>
      <c r="BF9" s="58">
        <f t="shared" si="16"/>
        <v>1</v>
      </c>
      <c r="BG9" s="82">
        <v>2</v>
      </c>
      <c r="BH9" s="58">
        <v>0.91</v>
      </c>
      <c r="BI9" s="58">
        <f t="shared" si="17"/>
        <v>1</v>
      </c>
      <c r="BJ9" s="58" t="s">
        <v>92</v>
      </c>
      <c r="BK9" s="58">
        <f t="shared" si="18"/>
        <v>1</v>
      </c>
      <c r="BL9" s="62">
        <v>4</v>
      </c>
      <c r="BN9" s="51"/>
      <c r="BO9" s="35"/>
      <c r="BP9" s="52"/>
      <c r="BQ9" s="35" t="e">
        <f t="shared" si="19"/>
        <v>#N/A</v>
      </c>
      <c r="BR9" s="57" t="s">
        <v>123</v>
      </c>
      <c r="BS9" s="35">
        <v>50</v>
      </c>
      <c r="BT9" s="54"/>
      <c r="BU9" s="73">
        <f t="shared" si="20"/>
        <v>0</v>
      </c>
      <c r="BV9" s="57" t="s">
        <v>123</v>
      </c>
      <c r="BW9" s="35">
        <v>20</v>
      </c>
      <c r="BX9" s="56">
        <v>5</v>
      </c>
      <c r="BY9" s="52"/>
      <c r="BZ9" s="35"/>
      <c r="CA9" s="57"/>
      <c r="CB9" s="35"/>
      <c r="CC9" s="52"/>
      <c r="CD9" s="35" t="e">
        <f t="shared" si="21"/>
        <v>#N/A</v>
      </c>
      <c r="CE9" s="57" t="s">
        <v>123</v>
      </c>
      <c r="CF9" s="35">
        <v>50</v>
      </c>
      <c r="CG9" s="52"/>
      <c r="CH9" s="35">
        <f t="shared" si="22"/>
        <v>0</v>
      </c>
      <c r="CI9" s="80">
        <v>6</v>
      </c>
      <c r="CJ9" s="32" t="s">
        <v>119</v>
      </c>
      <c r="CK9" s="32">
        <f t="shared" si="23"/>
        <v>0</v>
      </c>
      <c r="CL9" s="80">
        <v>6</v>
      </c>
      <c r="CM9" s="32" t="s">
        <v>120</v>
      </c>
      <c r="CN9" s="74">
        <f t="shared" si="24"/>
        <v>0</v>
      </c>
      <c r="CO9" s="80">
        <v>6</v>
      </c>
      <c r="CP9" s="74" t="s">
        <v>121</v>
      </c>
      <c r="CQ9" s="54"/>
      <c r="CR9" s="58"/>
      <c r="CS9" s="58"/>
      <c r="CT9" s="58"/>
      <c r="CU9" s="54"/>
      <c r="CV9" s="52"/>
      <c r="CW9" s="35">
        <f t="shared" si="25"/>
        <v>0</v>
      </c>
      <c r="CX9" s="57" t="s">
        <v>124</v>
      </c>
      <c r="CY9" s="35" t="s">
        <v>122</v>
      </c>
      <c r="CZ9" s="54"/>
      <c r="DA9" s="35">
        <f t="shared" si="26"/>
        <v>0</v>
      </c>
      <c r="DB9" s="57" t="s">
        <v>124</v>
      </c>
      <c r="DC9" s="35">
        <v>5</v>
      </c>
      <c r="DD9" s="54"/>
      <c r="DE9" s="35"/>
      <c r="DF9" s="57"/>
      <c r="DG9" s="35"/>
      <c r="DH9" s="54"/>
      <c r="DI9" s="35"/>
      <c r="DJ9" s="57"/>
      <c r="DK9" s="56"/>
    </row>
    <row r="10" spans="1:116" x14ac:dyDescent="0.25">
      <c r="A10" s="59" t="s">
        <v>125</v>
      </c>
      <c r="B10" s="75">
        <f>'ol4'!AC13*100</f>
        <v>40</v>
      </c>
      <c r="C10" s="76" t="s">
        <v>118</v>
      </c>
      <c r="I10" s="55">
        <f t="shared" si="0"/>
        <v>0</v>
      </c>
      <c r="J10" s="78"/>
      <c r="K10" s="58"/>
      <c r="L10" s="58"/>
      <c r="M10" s="58"/>
      <c r="N10" s="58">
        <f t="shared" si="1"/>
        <v>0</v>
      </c>
      <c r="O10" s="58"/>
      <c r="P10" s="58"/>
      <c r="Q10" s="62"/>
      <c r="R10" s="58">
        <f t="shared" si="2"/>
        <v>0</v>
      </c>
      <c r="S10" s="58">
        <v>65</v>
      </c>
      <c r="T10" s="58">
        <f t="shared" si="3"/>
        <v>3.4705101432211748E-2</v>
      </c>
      <c r="U10" s="62">
        <f t="shared" si="4"/>
        <v>3.0285142575474336E-2</v>
      </c>
      <c r="W10" s="55"/>
      <c r="X10" s="58"/>
      <c r="Y10" s="58"/>
      <c r="Z10" s="55">
        <f t="shared" si="5"/>
        <v>1</v>
      </c>
      <c r="AA10" s="67">
        <v>40</v>
      </c>
      <c r="AB10" s="62">
        <v>20</v>
      </c>
      <c r="AC10" s="55">
        <f t="shared" si="6"/>
        <v>1</v>
      </c>
      <c r="AD10" s="67">
        <v>40</v>
      </c>
      <c r="AE10" s="62">
        <v>25</v>
      </c>
      <c r="AF10" s="58">
        <f t="shared" si="7"/>
        <v>1</v>
      </c>
      <c r="AG10" s="67">
        <v>40</v>
      </c>
      <c r="AH10" s="62">
        <v>25</v>
      </c>
      <c r="AJ10" s="73">
        <v>40</v>
      </c>
      <c r="AK10" s="55">
        <f t="shared" si="8"/>
        <v>1</v>
      </c>
      <c r="AL10" s="62" t="s">
        <v>126</v>
      </c>
      <c r="AM10" s="54">
        <f t="shared" si="9"/>
        <v>1</v>
      </c>
      <c r="AN10" s="54" t="s">
        <v>127</v>
      </c>
      <c r="AO10" s="55">
        <f t="shared" si="10"/>
        <v>1</v>
      </c>
      <c r="AP10" s="79" t="s">
        <v>128</v>
      </c>
      <c r="AR10" s="58"/>
      <c r="AS10" s="55">
        <v>1.65</v>
      </c>
      <c r="AT10" s="58">
        <f t="shared" si="11"/>
        <v>1</v>
      </c>
      <c r="AU10" s="58" t="s">
        <v>122</v>
      </c>
      <c r="AV10" s="58">
        <f t="shared" si="12"/>
        <v>1</v>
      </c>
      <c r="AW10" s="31">
        <v>1</v>
      </c>
      <c r="AX10" s="81">
        <v>1.4</v>
      </c>
      <c r="AY10" s="58">
        <f t="shared" si="13"/>
        <v>1</v>
      </c>
      <c r="AZ10" s="58" t="s">
        <v>122</v>
      </c>
      <c r="BA10" s="58">
        <f t="shared" si="14"/>
        <v>1</v>
      </c>
      <c r="BB10" s="31">
        <v>1</v>
      </c>
      <c r="BC10" s="55">
        <v>2.0009999999999999</v>
      </c>
      <c r="BD10" s="58">
        <f t="shared" si="15"/>
        <v>1</v>
      </c>
      <c r="BE10" s="58" t="s">
        <v>129</v>
      </c>
      <c r="BF10" s="58">
        <f t="shared" si="16"/>
        <v>1</v>
      </c>
      <c r="BG10" s="82">
        <v>1</v>
      </c>
      <c r="BH10" s="58">
        <v>1.1000000000000001</v>
      </c>
      <c r="BI10" s="58">
        <f t="shared" si="17"/>
        <v>1</v>
      </c>
      <c r="BJ10" s="58" t="s">
        <v>92</v>
      </c>
      <c r="BK10" s="58">
        <f t="shared" si="18"/>
        <v>1</v>
      </c>
      <c r="BL10" s="62">
        <v>5</v>
      </c>
      <c r="BN10" s="51"/>
      <c r="BO10" s="35"/>
      <c r="BP10" s="52"/>
      <c r="BQ10" s="35" t="e">
        <f t="shared" si="19"/>
        <v>#N/A</v>
      </c>
      <c r="BR10" s="57" t="s">
        <v>130</v>
      </c>
      <c r="BS10" s="35">
        <v>65</v>
      </c>
      <c r="BT10" s="54"/>
      <c r="BU10" s="73">
        <f t="shared" si="20"/>
        <v>1</v>
      </c>
      <c r="BV10" s="57" t="s">
        <v>130</v>
      </c>
      <c r="BW10" s="35">
        <v>20</v>
      </c>
      <c r="BX10" s="56">
        <v>6.3</v>
      </c>
      <c r="BY10" s="52"/>
      <c r="BZ10" s="35"/>
      <c r="CA10" s="57"/>
      <c r="CB10" s="35"/>
      <c r="CC10" s="52"/>
      <c r="CD10" s="35" t="e">
        <f t="shared" si="21"/>
        <v>#N/A</v>
      </c>
      <c r="CE10" s="57" t="s">
        <v>130</v>
      </c>
      <c r="CF10" s="35">
        <v>65</v>
      </c>
      <c r="CG10" s="52"/>
      <c r="CH10" s="35">
        <f t="shared" si="22"/>
        <v>0</v>
      </c>
      <c r="CI10" s="80">
        <v>7</v>
      </c>
      <c r="CJ10" s="32" t="s">
        <v>126</v>
      </c>
      <c r="CK10" s="32">
        <f t="shared" si="23"/>
        <v>0</v>
      </c>
      <c r="CL10" s="80">
        <v>7</v>
      </c>
      <c r="CM10" s="32" t="s">
        <v>127</v>
      </c>
      <c r="CN10" s="74">
        <f t="shared" si="24"/>
        <v>0</v>
      </c>
      <c r="CO10" s="80">
        <v>7</v>
      </c>
      <c r="CP10" s="74" t="s">
        <v>128</v>
      </c>
      <c r="CQ10" s="54"/>
      <c r="CU10" s="54"/>
      <c r="CV10" s="52"/>
      <c r="CW10" s="35">
        <f t="shared" si="25"/>
        <v>0</v>
      </c>
      <c r="CX10" s="57" t="s">
        <v>131</v>
      </c>
      <c r="CY10" s="35" t="s">
        <v>129</v>
      </c>
      <c r="CZ10" s="54"/>
      <c r="DA10" s="35"/>
      <c r="DB10" s="57"/>
      <c r="DC10" s="35"/>
      <c r="DD10" s="54"/>
      <c r="DE10" s="35"/>
      <c r="DF10" s="57"/>
      <c r="DG10" s="35"/>
      <c r="DH10" s="54"/>
      <c r="DI10" s="35"/>
      <c r="DJ10" s="57"/>
      <c r="DK10" s="56"/>
    </row>
    <row r="11" spans="1:116" x14ac:dyDescent="0.25">
      <c r="A11" s="86" t="s">
        <v>132</v>
      </c>
      <c r="B11" s="75">
        <f>'ol4'!Z14</f>
        <v>0</v>
      </c>
      <c r="C11" s="76" t="s">
        <v>118</v>
      </c>
      <c r="E11" t="s">
        <v>133</v>
      </c>
      <c r="F11" s="61">
        <f>B4*1000/(B7-B8)</f>
        <v>8</v>
      </c>
      <c r="I11" s="55">
        <f t="shared" si="0"/>
        <v>0</v>
      </c>
      <c r="J11" s="78"/>
      <c r="K11" s="58"/>
      <c r="L11" s="58"/>
      <c r="M11" s="58"/>
      <c r="N11" s="58">
        <f t="shared" si="1"/>
        <v>0</v>
      </c>
      <c r="O11" s="58"/>
      <c r="P11" s="58"/>
      <c r="Q11" s="62"/>
      <c r="R11" s="58">
        <f t="shared" si="2"/>
        <v>0</v>
      </c>
      <c r="S11" s="58">
        <v>80</v>
      </c>
      <c r="T11" s="58">
        <f t="shared" si="3"/>
        <v>3.248549788373601E-2</v>
      </c>
      <c r="U11" s="62">
        <f t="shared" si="4"/>
        <v>1.0037895729746889E-2</v>
      </c>
      <c r="W11" s="55"/>
      <c r="X11" s="58"/>
      <c r="Y11" s="78"/>
      <c r="Z11" s="55">
        <f t="shared" si="5"/>
        <v>1</v>
      </c>
      <c r="AA11" s="67">
        <v>40</v>
      </c>
      <c r="AB11" s="62">
        <v>25</v>
      </c>
      <c r="AC11" s="55">
        <f t="shared" si="6"/>
        <v>1</v>
      </c>
      <c r="AD11" s="67">
        <v>50</v>
      </c>
      <c r="AE11" s="87">
        <v>31.5</v>
      </c>
      <c r="AF11" s="58">
        <f t="shared" si="7"/>
        <v>1</v>
      </c>
      <c r="AG11" s="67">
        <v>50</v>
      </c>
      <c r="AH11" s="62">
        <v>40</v>
      </c>
      <c r="AJ11" s="73">
        <v>50</v>
      </c>
      <c r="AK11" s="55">
        <f t="shared" si="8"/>
        <v>1</v>
      </c>
      <c r="AL11" s="62" t="s">
        <v>134</v>
      </c>
      <c r="AM11" s="54">
        <f t="shared" si="9"/>
        <v>1</v>
      </c>
      <c r="AN11" s="54" t="s">
        <v>135</v>
      </c>
      <c r="AO11" s="55">
        <f t="shared" si="10"/>
        <v>1</v>
      </c>
      <c r="AP11" s="54" t="s">
        <v>135</v>
      </c>
      <c r="AS11" s="55">
        <v>2.0009999999999999</v>
      </c>
      <c r="AT11" s="58">
        <f t="shared" si="11"/>
        <v>1</v>
      </c>
      <c r="AU11" s="58" t="s">
        <v>122</v>
      </c>
      <c r="AV11" s="58">
        <f t="shared" si="12"/>
        <v>1</v>
      </c>
      <c r="AW11" s="31">
        <v>2</v>
      </c>
      <c r="AX11" s="55">
        <v>2.0009999999999999</v>
      </c>
      <c r="AY11" s="58">
        <f t="shared" si="13"/>
        <v>1</v>
      </c>
      <c r="AZ11" s="58" t="s">
        <v>122</v>
      </c>
      <c r="BA11" s="58">
        <f t="shared" si="14"/>
        <v>1</v>
      </c>
      <c r="BB11" s="31">
        <v>2</v>
      </c>
      <c r="BC11" s="55"/>
      <c r="BD11" s="58"/>
      <c r="BE11" s="58"/>
      <c r="BF11" s="58"/>
      <c r="BG11" s="62"/>
      <c r="BH11" s="58">
        <v>1.3</v>
      </c>
      <c r="BI11" s="58">
        <f t="shared" si="17"/>
        <v>1</v>
      </c>
      <c r="BJ11" s="58" t="s">
        <v>122</v>
      </c>
      <c r="BK11" s="58">
        <f t="shared" si="18"/>
        <v>1</v>
      </c>
      <c r="BL11" s="62">
        <v>2</v>
      </c>
      <c r="BN11" s="51"/>
      <c r="BO11" s="35"/>
      <c r="BP11" s="52"/>
      <c r="BQ11" s="35" t="e">
        <f t="shared" si="19"/>
        <v>#N/A</v>
      </c>
      <c r="BR11" s="57" t="s">
        <v>136</v>
      </c>
      <c r="BS11" s="35">
        <v>80</v>
      </c>
      <c r="BT11" s="54"/>
      <c r="BU11" s="73">
        <f t="shared" si="20"/>
        <v>0</v>
      </c>
      <c r="BV11" s="57" t="s">
        <v>136</v>
      </c>
      <c r="BW11" s="35">
        <v>25</v>
      </c>
      <c r="BX11" s="56">
        <v>8</v>
      </c>
      <c r="BY11" s="52"/>
      <c r="BZ11" s="35"/>
      <c r="CA11" s="57"/>
      <c r="CB11" s="35"/>
      <c r="CC11" s="52"/>
      <c r="CD11" s="35" t="e">
        <f t="shared" si="21"/>
        <v>#N/A</v>
      </c>
      <c r="CE11" s="57" t="s">
        <v>136</v>
      </c>
      <c r="CF11" s="35">
        <v>80</v>
      </c>
      <c r="CG11" s="52"/>
      <c r="CH11" s="35">
        <f t="shared" si="22"/>
        <v>0</v>
      </c>
      <c r="CI11" s="80">
        <v>8</v>
      </c>
      <c r="CJ11" s="32" t="s">
        <v>134</v>
      </c>
      <c r="CK11" s="32"/>
      <c r="CL11" s="32"/>
      <c r="CM11" s="32"/>
      <c r="CN11" s="32"/>
      <c r="CO11" s="32"/>
      <c r="CP11" s="32"/>
      <c r="CQ11" s="54"/>
      <c r="CU11" s="54"/>
      <c r="CV11" s="52"/>
      <c r="CW11" s="35"/>
      <c r="CX11" s="57"/>
      <c r="CY11" s="35"/>
      <c r="CZ11" s="54"/>
      <c r="DA11" s="35"/>
      <c r="DB11" s="57"/>
      <c r="DC11" s="35"/>
      <c r="DD11" s="54"/>
      <c r="DE11" s="35"/>
      <c r="DF11" s="57"/>
      <c r="DG11" s="35"/>
      <c r="DH11" s="54"/>
      <c r="DI11" s="35"/>
      <c r="DJ11" s="57"/>
      <c r="DK11" s="56"/>
    </row>
    <row r="12" spans="1:116" x14ac:dyDescent="0.25">
      <c r="A12" s="86" t="s">
        <v>137</v>
      </c>
      <c r="B12">
        <f>B9-B10</f>
        <v>20</v>
      </c>
      <c r="C12" s="76" t="s">
        <v>118</v>
      </c>
      <c r="E12" t="s">
        <v>51</v>
      </c>
      <c r="F12" s="77" t="e">
        <f>VLOOKUP(1,N4:Q17,2,0)</f>
        <v>#N/A</v>
      </c>
      <c r="I12" s="55">
        <f t="shared" si="0"/>
        <v>0</v>
      </c>
      <c r="J12" s="78"/>
      <c r="K12" s="58"/>
      <c r="L12" s="58"/>
      <c r="M12" s="58"/>
      <c r="N12" s="58">
        <f t="shared" si="1"/>
        <v>0</v>
      </c>
      <c r="O12" s="58"/>
      <c r="P12" s="58"/>
      <c r="Q12" s="62"/>
      <c r="R12" s="58">
        <f t="shared" si="2"/>
        <v>0</v>
      </c>
      <c r="S12" s="58">
        <v>100</v>
      </c>
      <c r="T12" s="58">
        <f t="shared" si="3"/>
        <v>3.0329450982592862E-2</v>
      </c>
      <c r="U12" s="62">
        <f t="shared" si="4"/>
        <v>3.0709138746458811E-3</v>
      </c>
      <c r="W12" s="63"/>
      <c r="X12" s="58"/>
      <c r="Y12" s="58"/>
      <c r="Z12" s="55">
        <f t="shared" si="5"/>
        <v>1</v>
      </c>
      <c r="AA12" s="67">
        <v>50</v>
      </c>
      <c r="AB12" s="62">
        <v>31.5</v>
      </c>
      <c r="AC12" s="55">
        <f t="shared" si="6"/>
        <v>1</v>
      </c>
      <c r="AD12" s="67">
        <v>50</v>
      </c>
      <c r="AE12" s="87">
        <v>40</v>
      </c>
      <c r="AF12" s="58">
        <f t="shared" si="7"/>
        <v>1</v>
      </c>
      <c r="AG12" s="67">
        <v>65</v>
      </c>
      <c r="AH12" s="62">
        <v>63</v>
      </c>
      <c r="AJ12" s="88">
        <v>60</v>
      </c>
      <c r="AK12" s="81">
        <f t="shared" si="8"/>
        <v>1</v>
      </c>
      <c r="AL12" s="87" t="s">
        <v>135</v>
      </c>
      <c r="AM12" s="54">
        <f t="shared" si="9"/>
        <v>1</v>
      </c>
      <c r="AN12" s="89" t="s">
        <v>135</v>
      </c>
      <c r="AO12" s="55">
        <f t="shared" si="10"/>
        <v>1</v>
      </c>
      <c r="AP12" s="89" t="s">
        <v>135</v>
      </c>
      <c r="AS12" s="55"/>
      <c r="AT12" s="58"/>
      <c r="AU12" s="58"/>
      <c r="AV12" s="58"/>
      <c r="AW12" s="31"/>
      <c r="AX12" s="55"/>
      <c r="AY12" s="58"/>
      <c r="AZ12" s="58"/>
      <c r="BA12" s="58"/>
      <c r="BB12" s="62"/>
      <c r="BC12" s="55"/>
      <c r="BD12" s="58"/>
      <c r="BE12" s="58"/>
      <c r="BF12" s="58"/>
      <c r="BG12" s="62"/>
      <c r="BH12" s="67">
        <v>1.45</v>
      </c>
      <c r="BI12" s="58">
        <f t="shared" si="17"/>
        <v>1</v>
      </c>
      <c r="BJ12" s="58" t="s">
        <v>129</v>
      </c>
      <c r="BK12" s="58">
        <f t="shared" si="18"/>
        <v>1</v>
      </c>
      <c r="BL12" s="62">
        <v>1</v>
      </c>
      <c r="BN12" s="51"/>
      <c r="BO12" s="35"/>
      <c r="BP12" s="52"/>
      <c r="BQ12" s="35" t="e">
        <f t="shared" si="19"/>
        <v>#N/A</v>
      </c>
      <c r="BR12" s="57" t="s">
        <v>138</v>
      </c>
      <c r="BS12" s="35">
        <v>100</v>
      </c>
      <c r="BT12" s="54"/>
      <c r="BU12" s="73">
        <f t="shared" si="20"/>
        <v>0</v>
      </c>
      <c r="BV12" s="57" t="s">
        <v>138</v>
      </c>
      <c r="BW12" s="35">
        <v>25</v>
      </c>
      <c r="BX12" s="56">
        <v>10</v>
      </c>
      <c r="BY12" s="52"/>
      <c r="BZ12" s="35"/>
      <c r="CA12" s="57"/>
      <c r="CB12" s="35"/>
      <c r="CC12" s="52"/>
      <c r="CD12" s="35" t="e">
        <f t="shared" si="21"/>
        <v>#N/A</v>
      </c>
      <c r="CE12" s="57" t="s">
        <v>138</v>
      </c>
      <c r="CF12" s="35">
        <v>100</v>
      </c>
      <c r="CG12" s="52"/>
      <c r="CH12" s="35">
        <f t="shared" si="22"/>
        <v>0</v>
      </c>
      <c r="CI12" s="32"/>
      <c r="CJ12" s="58"/>
      <c r="CK12" s="58"/>
      <c r="CL12" s="58"/>
      <c r="CM12" s="58"/>
      <c r="CN12" s="58"/>
      <c r="CO12" s="58"/>
      <c r="CP12" s="58"/>
      <c r="CQ12" s="54"/>
      <c r="CU12" s="54"/>
      <c r="CV12" s="52"/>
      <c r="CW12" s="35"/>
      <c r="CX12" s="57"/>
      <c r="CY12" s="35"/>
      <c r="CZ12" s="54"/>
      <c r="DA12" s="35"/>
      <c r="DB12" s="57"/>
      <c r="DC12" s="35"/>
      <c r="DD12" s="54"/>
      <c r="DE12" s="35"/>
      <c r="DF12" s="57"/>
      <c r="DG12" s="35"/>
      <c r="DH12" s="54"/>
      <c r="DI12" s="35"/>
      <c r="DJ12" s="57"/>
      <c r="DK12" s="56"/>
    </row>
    <row r="13" spans="1:116" x14ac:dyDescent="0.25">
      <c r="A13" s="59"/>
      <c r="C13" s="76"/>
      <c r="E13" t="s">
        <v>56</v>
      </c>
      <c r="F13" s="61">
        <f>F11*1.1</f>
        <v>8.8000000000000007</v>
      </c>
      <c r="I13" s="55">
        <f t="shared" si="0"/>
        <v>0</v>
      </c>
      <c r="J13" s="78"/>
      <c r="K13" s="58"/>
      <c r="L13" s="58"/>
      <c r="M13" s="58"/>
      <c r="N13" s="58">
        <f t="shared" si="1"/>
        <v>0</v>
      </c>
      <c r="O13" s="58"/>
      <c r="P13" s="58"/>
      <c r="Q13" s="62"/>
      <c r="R13" s="58">
        <f t="shared" si="2"/>
        <v>0</v>
      </c>
      <c r="S13" s="58">
        <v>125</v>
      </c>
      <c r="T13" s="58">
        <f t="shared" si="3"/>
        <v>2.8381135828692533E-2</v>
      </c>
      <c r="U13" s="62">
        <f t="shared" si="4"/>
        <v>9.4163543855068353E-4</v>
      </c>
      <c r="W13" s="63"/>
      <c r="X13" s="78"/>
      <c r="Y13" s="58"/>
      <c r="Z13" s="55">
        <f t="shared" si="5"/>
        <v>1</v>
      </c>
      <c r="AA13" s="67">
        <v>50</v>
      </c>
      <c r="AB13" s="62">
        <v>40</v>
      </c>
      <c r="AC13" s="55">
        <f t="shared" si="6"/>
        <v>1</v>
      </c>
      <c r="AD13" s="67">
        <v>65</v>
      </c>
      <c r="AE13" s="87">
        <v>50</v>
      </c>
      <c r="AF13" s="58">
        <f t="shared" si="7"/>
        <v>1</v>
      </c>
      <c r="AG13" s="67">
        <v>80</v>
      </c>
      <c r="AH13" s="62">
        <v>100</v>
      </c>
      <c r="AJ13" s="90">
        <v>90</v>
      </c>
      <c r="AK13" s="91">
        <f t="shared" si="8"/>
        <v>1</v>
      </c>
      <c r="AL13" s="92" t="s">
        <v>139</v>
      </c>
      <c r="AM13" s="93">
        <f t="shared" si="9"/>
        <v>1</v>
      </c>
      <c r="AN13" s="92" t="s">
        <v>139</v>
      </c>
      <c r="AO13" s="91">
        <f t="shared" si="10"/>
        <v>1</v>
      </c>
      <c r="AP13" s="94" t="s">
        <v>139</v>
      </c>
      <c r="AS13" s="55"/>
      <c r="AT13" s="58"/>
      <c r="AU13" s="58"/>
      <c r="AV13" s="58"/>
      <c r="AW13" s="31"/>
      <c r="AX13" s="55"/>
      <c r="AY13" s="58"/>
      <c r="AZ13" s="58"/>
      <c r="BA13" s="58"/>
      <c r="BB13" s="62"/>
      <c r="BC13" s="55"/>
      <c r="BD13" s="58"/>
      <c r="BE13" s="58"/>
      <c r="BF13" s="58"/>
      <c r="BG13" s="62"/>
      <c r="BH13" s="55">
        <v>2.0009999999999999</v>
      </c>
      <c r="BI13" s="58">
        <f t="shared" si="17"/>
        <v>1</v>
      </c>
      <c r="BJ13" s="58" t="s">
        <v>129</v>
      </c>
      <c r="BK13" s="58">
        <f t="shared" si="18"/>
        <v>1</v>
      </c>
      <c r="BL13" s="62">
        <v>2</v>
      </c>
      <c r="BN13" s="51"/>
      <c r="BO13" s="35"/>
      <c r="BP13" s="52"/>
      <c r="BQ13" s="35" t="e">
        <f t="shared" si="19"/>
        <v>#N/A</v>
      </c>
      <c r="BR13" s="57" t="s">
        <v>140</v>
      </c>
      <c r="BS13" s="35">
        <v>125</v>
      </c>
      <c r="BT13" s="54"/>
      <c r="BU13" s="73">
        <f t="shared" si="20"/>
        <v>0</v>
      </c>
      <c r="BV13" s="57" t="s">
        <v>140</v>
      </c>
      <c r="BW13" s="35">
        <v>32</v>
      </c>
      <c r="BX13" s="56">
        <v>12.5</v>
      </c>
      <c r="BY13" s="52"/>
      <c r="BZ13" s="35"/>
      <c r="CA13" s="57"/>
      <c r="CB13" s="35"/>
      <c r="CC13" s="52"/>
      <c r="CD13" s="35" t="e">
        <f t="shared" si="21"/>
        <v>#N/A</v>
      </c>
      <c r="CE13" s="57" t="s">
        <v>140</v>
      </c>
      <c r="CF13" s="35">
        <v>125</v>
      </c>
      <c r="CG13" s="52"/>
      <c r="CH13" s="35">
        <f t="shared" si="22"/>
        <v>0</v>
      </c>
      <c r="CI13" s="32">
        <v>10</v>
      </c>
      <c r="CJ13" s="80" t="s">
        <v>135</v>
      </c>
      <c r="CK13" s="35">
        <f>IF($E$14=CM13,1,0)</f>
        <v>0</v>
      </c>
      <c r="CL13" s="32">
        <v>10</v>
      </c>
      <c r="CM13" s="80" t="s">
        <v>135</v>
      </c>
      <c r="CN13" s="35">
        <f>IF($E$14=CP13,1,0)</f>
        <v>0</v>
      </c>
      <c r="CO13" s="32">
        <v>10</v>
      </c>
      <c r="CP13" s="80" t="s">
        <v>135</v>
      </c>
      <c r="CQ13" s="54"/>
      <c r="CR13" s="58"/>
      <c r="CS13" s="80"/>
      <c r="CT13" s="58"/>
      <c r="CU13" s="54"/>
      <c r="CV13" s="52"/>
      <c r="CW13" s="35"/>
      <c r="CX13" s="57"/>
      <c r="CY13" s="35"/>
      <c r="CZ13" s="54"/>
      <c r="DA13" s="35"/>
      <c r="DB13" s="57"/>
      <c r="DC13" s="35"/>
      <c r="DD13" s="54"/>
      <c r="DE13" s="35"/>
      <c r="DF13" s="57"/>
      <c r="DG13" s="35"/>
      <c r="DH13" s="54"/>
      <c r="DI13" s="35"/>
      <c r="DJ13" s="57"/>
      <c r="DK13" s="56"/>
    </row>
    <row r="14" spans="1:116" x14ac:dyDescent="0.25">
      <c r="A14" s="59" t="s">
        <v>31</v>
      </c>
      <c r="B14" s="1" t="str">
        <f>'ol4'!O24</f>
        <v>Siemens</v>
      </c>
      <c r="C14" s="1"/>
      <c r="E14" s="1" t="str">
        <f>VLOOKUP(1,IF(B15="TOP-SD",AK4:AL13,IF(B15="Yonos MAXO-D",AM4:AN13,IF(B15="Stratos-D",AO4:AP13,0))),2,0)</f>
        <v>Yonos MAXO-D 50/0,5-12</v>
      </c>
      <c r="F14" s="1"/>
      <c r="I14" s="55">
        <f t="shared" si="0"/>
        <v>0</v>
      </c>
      <c r="J14" s="78"/>
      <c r="K14" s="58"/>
      <c r="L14" s="58"/>
      <c r="M14" s="58"/>
      <c r="N14" s="58">
        <f t="shared" si="1"/>
        <v>0</v>
      </c>
      <c r="O14" s="58"/>
      <c r="P14" s="58"/>
      <c r="Q14" s="62"/>
      <c r="R14" s="58">
        <f t="shared" si="2"/>
        <v>0</v>
      </c>
      <c r="S14" s="58">
        <v>150</v>
      </c>
      <c r="T14" s="58">
        <f t="shared" si="3"/>
        <v>2.6925299052784474E-2</v>
      </c>
      <c r="U14" s="62">
        <f t="shared" si="4"/>
        <v>3.59010646691316E-4</v>
      </c>
      <c r="W14" s="55"/>
      <c r="X14" s="58"/>
      <c r="Y14" s="58"/>
      <c r="Z14" s="55">
        <f t="shared" si="5"/>
        <v>1</v>
      </c>
      <c r="AA14" s="67">
        <v>65</v>
      </c>
      <c r="AB14" s="62">
        <v>50</v>
      </c>
      <c r="AC14" s="55">
        <f t="shared" si="6"/>
        <v>1</v>
      </c>
      <c r="AD14" s="67">
        <v>65</v>
      </c>
      <c r="AE14" s="87">
        <v>63</v>
      </c>
      <c r="AF14" s="58">
        <f t="shared" si="7"/>
        <v>1</v>
      </c>
      <c r="AG14" s="67">
        <v>100</v>
      </c>
      <c r="AH14" s="62">
        <v>160</v>
      </c>
      <c r="AS14" s="55"/>
      <c r="AT14" s="58"/>
      <c r="AU14" s="58"/>
      <c r="AV14" s="58"/>
      <c r="AW14" s="31"/>
      <c r="AX14" s="55"/>
      <c r="AY14" s="58"/>
      <c r="AZ14" s="58"/>
      <c r="BA14" s="58"/>
      <c r="BB14" s="62"/>
      <c r="BC14" s="55"/>
      <c r="BD14" s="58"/>
      <c r="BE14" s="58"/>
      <c r="BF14" s="58"/>
      <c r="BG14" s="62"/>
      <c r="BH14" s="58"/>
      <c r="BI14" s="58"/>
      <c r="BJ14" s="58"/>
      <c r="BK14" s="58"/>
      <c r="BL14" s="62"/>
      <c r="BN14" s="51"/>
      <c r="BO14" s="35"/>
      <c r="BP14" s="52"/>
      <c r="BQ14" s="35" t="e">
        <f t="shared" si="19"/>
        <v>#N/A</v>
      </c>
      <c r="BR14" s="57" t="s">
        <v>141</v>
      </c>
      <c r="BS14" s="35">
        <v>150</v>
      </c>
      <c r="BT14" s="54"/>
      <c r="BU14" s="73">
        <f t="shared" si="20"/>
        <v>0</v>
      </c>
      <c r="BV14" s="57" t="s">
        <v>141</v>
      </c>
      <c r="BW14" s="35">
        <v>32</v>
      </c>
      <c r="BX14" s="56">
        <v>16</v>
      </c>
      <c r="BY14" s="52"/>
      <c r="BZ14" s="35"/>
      <c r="CA14" s="57"/>
      <c r="CB14" s="35"/>
      <c r="CC14" s="52"/>
      <c r="CD14" s="35" t="e">
        <f t="shared" si="21"/>
        <v>#N/A</v>
      </c>
      <c r="CE14" s="57" t="s">
        <v>141</v>
      </c>
      <c r="CF14" s="35">
        <v>150</v>
      </c>
      <c r="CG14" s="52"/>
      <c r="CH14" s="35">
        <f t="shared" si="22"/>
        <v>0</v>
      </c>
      <c r="CI14" s="32">
        <v>11</v>
      </c>
      <c r="CJ14" s="80" t="s">
        <v>139</v>
      </c>
      <c r="CK14" s="35">
        <f>IF($E$14=CM14,1,0)</f>
        <v>0</v>
      </c>
      <c r="CL14" s="32">
        <v>11</v>
      </c>
      <c r="CM14" s="80" t="s">
        <v>139</v>
      </c>
      <c r="CN14" s="35">
        <f>IF($E$14=CP14,1,0)</f>
        <v>0</v>
      </c>
      <c r="CO14" s="32">
        <v>11</v>
      </c>
      <c r="CP14" s="80" t="s">
        <v>139</v>
      </c>
      <c r="CQ14" s="54"/>
      <c r="CR14" s="58"/>
      <c r="CS14" s="80"/>
      <c r="CT14" s="58"/>
      <c r="CU14" s="54"/>
      <c r="CV14" s="52"/>
      <c r="CW14" s="35"/>
      <c r="CX14" s="57"/>
      <c r="CY14" s="35"/>
      <c r="CZ14" s="54"/>
      <c r="DA14" s="35"/>
      <c r="DB14" s="57"/>
      <c r="DC14" s="35"/>
      <c r="DD14" s="54"/>
      <c r="DE14" s="35"/>
      <c r="DF14" s="57"/>
      <c r="DG14" s="35"/>
      <c r="DH14" s="54"/>
      <c r="DI14" s="35"/>
      <c r="DJ14" s="57"/>
      <c r="DK14" s="56"/>
    </row>
    <row r="15" spans="1:116" x14ac:dyDescent="0.25">
      <c r="A15" s="59" t="s">
        <v>32</v>
      </c>
      <c r="B15" s="1" t="str">
        <f>'ol4'!I24</f>
        <v>Yonos MAXO-D</v>
      </c>
      <c r="C15" s="1"/>
      <c r="I15" s="55">
        <f t="shared" si="0"/>
        <v>0</v>
      </c>
      <c r="J15" s="78"/>
      <c r="K15" s="58"/>
      <c r="L15" s="58"/>
      <c r="M15" s="58"/>
      <c r="N15" s="58">
        <f t="shared" si="1"/>
        <v>0</v>
      </c>
      <c r="O15" s="58"/>
      <c r="P15" s="58"/>
      <c r="Q15" s="62"/>
      <c r="R15" s="58">
        <f t="shared" si="2"/>
        <v>0</v>
      </c>
      <c r="S15" s="58">
        <v>200</v>
      </c>
      <c r="T15" s="58">
        <f t="shared" si="3"/>
        <v>2.4846042519733526E-2</v>
      </c>
      <c r="U15" s="62">
        <f t="shared" si="4"/>
        <v>7.8615889663320219E-5</v>
      </c>
      <c r="W15" s="55"/>
      <c r="X15" s="58"/>
      <c r="Y15" s="58"/>
      <c r="Z15" s="55">
        <f t="shared" si="5"/>
        <v>1</v>
      </c>
      <c r="AA15" s="67">
        <v>65</v>
      </c>
      <c r="AB15" s="62">
        <v>63</v>
      </c>
      <c r="AC15" s="55">
        <f t="shared" si="6"/>
        <v>1</v>
      </c>
      <c r="AD15" s="67">
        <v>80</v>
      </c>
      <c r="AE15" s="87">
        <v>80</v>
      </c>
      <c r="AF15" s="58">
        <f t="shared" si="7"/>
        <v>1</v>
      </c>
      <c r="AG15" s="67">
        <v>125</v>
      </c>
      <c r="AH15" s="62">
        <v>250</v>
      </c>
      <c r="AS15" s="55"/>
      <c r="AT15" s="58"/>
      <c r="AU15" s="58"/>
      <c r="AV15" s="58"/>
      <c r="AW15" s="31"/>
      <c r="AX15" s="55"/>
      <c r="AY15" s="58"/>
      <c r="AZ15" s="58"/>
      <c r="BA15" s="58"/>
      <c r="BB15" s="62"/>
      <c r="BC15" s="55"/>
      <c r="BD15" s="58"/>
      <c r="BE15" s="58"/>
      <c r="BF15" s="58"/>
      <c r="BG15" s="62"/>
      <c r="BH15" s="58"/>
      <c r="BI15" s="58"/>
      <c r="BJ15" s="58"/>
      <c r="BK15" s="58"/>
      <c r="BL15" s="62"/>
      <c r="BN15" s="51"/>
      <c r="BO15" s="35"/>
      <c r="BP15" s="52"/>
      <c r="BQ15" s="35" t="e">
        <f t="shared" si="19"/>
        <v>#N/A</v>
      </c>
      <c r="BR15" s="57" t="s">
        <v>142</v>
      </c>
      <c r="BS15" s="35">
        <v>200</v>
      </c>
      <c r="BT15" s="54"/>
      <c r="BU15" s="73">
        <f t="shared" si="20"/>
        <v>0</v>
      </c>
      <c r="BV15" s="57" t="s">
        <v>142</v>
      </c>
      <c r="BW15" s="35">
        <v>40</v>
      </c>
      <c r="BX15" s="56">
        <v>20</v>
      </c>
      <c r="BY15" s="52"/>
      <c r="BZ15" s="35"/>
      <c r="CA15" s="57"/>
      <c r="CB15" s="35"/>
      <c r="CC15" s="52"/>
      <c r="CD15" s="35" t="e">
        <f t="shared" si="21"/>
        <v>#N/A</v>
      </c>
      <c r="CE15" s="57" t="s">
        <v>142</v>
      </c>
      <c r="CF15" s="35">
        <v>200</v>
      </c>
      <c r="CG15" s="52"/>
      <c r="CH15" s="35"/>
      <c r="CI15" s="32"/>
      <c r="CJ15" s="58"/>
      <c r="CK15" s="58"/>
      <c r="CL15" s="58"/>
      <c r="CM15" s="58"/>
      <c r="CN15" s="58"/>
      <c r="CO15" s="58"/>
      <c r="CP15" s="58"/>
      <c r="CQ15" s="54"/>
      <c r="CR15" s="58"/>
      <c r="CS15" s="58"/>
      <c r="CT15" s="58"/>
      <c r="CU15" s="54"/>
      <c r="CV15" s="52"/>
      <c r="CW15" s="35"/>
      <c r="CX15" s="57"/>
      <c r="CY15" s="35"/>
      <c r="CZ15" s="54"/>
      <c r="DA15" s="35"/>
      <c r="DB15" s="57"/>
      <c r="DC15" s="35"/>
      <c r="DD15" s="54"/>
      <c r="DE15" s="35"/>
      <c r="DF15" s="57"/>
      <c r="DG15" s="35"/>
      <c r="DH15" s="54"/>
      <c r="DI15" s="35"/>
      <c r="DJ15" s="57"/>
      <c r="DK15" s="56"/>
    </row>
    <row r="16" spans="1:116" x14ac:dyDescent="0.25">
      <c r="A16" s="59" t="s">
        <v>143</v>
      </c>
      <c r="B16" s="1" t="str">
        <f>'ol4'!U24</f>
        <v>Segnetics</v>
      </c>
      <c r="C16" s="1"/>
      <c r="E16" t="s">
        <v>144</v>
      </c>
      <c r="F16">
        <f>IF(B18="Отопление",11.7,IF(B18="Вентиляция",8.6,30))*B4/6</f>
        <v>0.38999999999999996</v>
      </c>
      <c r="I16" s="55">
        <f t="shared" si="0"/>
        <v>0</v>
      </c>
      <c r="J16" s="78"/>
      <c r="K16" s="58"/>
      <c r="L16" s="58"/>
      <c r="M16" s="58"/>
      <c r="N16" s="58">
        <f t="shared" si="1"/>
        <v>0</v>
      </c>
      <c r="O16" s="58"/>
      <c r="P16" s="58"/>
      <c r="Q16" s="62"/>
      <c r="R16" s="58">
        <f t="shared" si="2"/>
        <v>0</v>
      </c>
      <c r="S16" s="58">
        <v>250</v>
      </c>
      <c r="T16" s="58">
        <f t="shared" si="3"/>
        <v>2.339473539768467E-2</v>
      </c>
      <c r="U16" s="62">
        <f t="shared" si="4"/>
        <v>2.425611158912043E-5</v>
      </c>
      <c r="W16" s="55"/>
      <c r="X16" s="58"/>
      <c r="Y16" s="58"/>
      <c r="Z16" s="55">
        <f t="shared" si="5"/>
        <v>1</v>
      </c>
      <c r="AA16" s="67">
        <v>80</v>
      </c>
      <c r="AB16" s="62">
        <v>80</v>
      </c>
      <c r="AC16" s="55">
        <f t="shared" si="6"/>
        <v>1</v>
      </c>
      <c r="AD16" s="67">
        <v>80</v>
      </c>
      <c r="AE16" s="87">
        <v>100</v>
      </c>
      <c r="AF16" s="58">
        <f t="shared" si="7"/>
        <v>1</v>
      </c>
      <c r="AG16" s="67">
        <v>150</v>
      </c>
      <c r="AH16" s="62">
        <v>400</v>
      </c>
      <c r="AS16" s="95"/>
      <c r="AT16" s="96"/>
      <c r="AU16" s="96"/>
      <c r="AV16" s="96"/>
      <c r="AW16" s="97"/>
      <c r="AX16" s="95"/>
      <c r="AY16" s="96"/>
      <c r="AZ16" s="96"/>
      <c r="BA16" s="96"/>
      <c r="BB16" s="98"/>
      <c r="BC16" s="95"/>
      <c r="BD16" s="96"/>
      <c r="BE16" s="96"/>
      <c r="BF16" s="96"/>
      <c r="BG16" s="98"/>
      <c r="BH16" s="96"/>
      <c r="BI16" s="96"/>
      <c r="BJ16" s="96"/>
      <c r="BK16" s="96"/>
      <c r="BL16" s="98"/>
      <c r="BN16" s="51"/>
      <c r="BO16" s="35"/>
      <c r="BP16" s="52"/>
      <c r="BQ16" s="35"/>
      <c r="BR16" s="57"/>
      <c r="BS16" s="35"/>
      <c r="BT16" s="54"/>
      <c r="BU16" s="73">
        <f t="shared" si="20"/>
        <v>0</v>
      </c>
      <c r="BV16" s="57" t="s">
        <v>145</v>
      </c>
      <c r="BW16" s="35">
        <v>40</v>
      </c>
      <c r="BX16" s="56">
        <v>25</v>
      </c>
      <c r="BY16" s="52"/>
      <c r="BZ16" s="35"/>
      <c r="CA16" s="57"/>
      <c r="CB16" s="35"/>
      <c r="CC16" s="54"/>
      <c r="CD16" s="58"/>
      <c r="CE16" s="58"/>
      <c r="CF16" s="58"/>
      <c r="CG16" s="54"/>
      <c r="CH16" s="35"/>
      <c r="CI16" s="58"/>
      <c r="CJ16" s="58"/>
      <c r="CK16" s="58"/>
      <c r="CL16" s="58"/>
      <c r="CM16" s="58"/>
      <c r="CN16" s="58"/>
      <c r="CO16" s="58"/>
      <c r="CP16" s="58"/>
      <c r="CQ16" s="54"/>
      <c r="CR16" s="58"/>
      <c r="CS16" s="58"/>
      <c r="CT16" s="58"/>
      <c r="CU16" s="54"/>
      <c r="CV16" s="54"/>
      <c r="CW16" s="58"/>
      <c r="CX16" s="58"/>
      <c r="CY16" s="58"/>
      <c r="CZ16" s="54"/>
      <c r="DA16" s="58"/>
      <c r="DB16" s="58"/>
      <c r="DC16" s="58"/>
      <c r="DD16" s="54"/>
      <c r="DE16" s="58"/>
      <c r="DF16" s="58"/>
      <c r="DG16" s="58"/>
      <c r="DH16" s="54"/>
      <c r="DI16" s="58"/>
      <c r="DJ16" s="58"/>
      <c r="DK16" s="62"/>
    </row>
    <row r="17" spans="1:115" x14ac:dyDescent="0.25">
      <c r="A17" s="59" t="s">
        <v>69</v>
      </c>
      <c r="B17" s="1" t="str">
        <f>'ol4'!AA24</f>
        <v>Отдельный</v>
      </c>
      <c r="C17" s="1"/>
      <c r="E17" t="s">
        <v>52</v>
      </c>
      <c r="F17">
        <f>VLOOKUP(1,R4:U17,2,0)</f>
        <v>20</v>
      </c>
      <c r="I17" s="55">
        <f t="shared" si="0"/>
        <v>0</v>
      </c>
      <c r="J17" s="78"/>
      <c r="K17" s="58"/>
      <c r="L17" s="58"/>
      <c r="M17" s="58"/>
      <c r="N17" s="58">
        <f t="shared" si="1"/>
        <v>0</v>
      </c>
      <c r="O17" s="58"/>
      <c r="P17" s="58"/>
      <c r="Q17" s="62"/>
      <c r="R17" s="58">
        <f t="shared" si="2"/>
        <v>0</v>
      </c>
      <c r="S17" s="58">
        <v>300</v>
      </c>
      <c r="T17" s="58">
        <f t="shared" si="3"/>
        <v>2.2301284149115197E-2</v>
      </c>
      <c r="U17" s="62">
        <f t="shared" si="4"/>
        <v>9.2923740938829295E-6</v>
      </c>
      <c r="W17" s="55"/>
      <c r="X17" s="58"/>
      <c r="Y17" s="58"/>
      <c r="Z17" s="55">
        <f t="shared" si="5"/>
        <v>1</v>
      </c>
      <c r="AA17" s="67">
        <v>80</v>
      </c>
      <c r="AB17" s="62">
        <v>100</v>
      </c>
      <c r="AC17" s="81">
        <f t="shared" si="6"/>
        <v>1</v>
      </c>
      <c r="AD17" s="67">
        <v>100</v>
      </c>
      <c r="AE17" s="87">
        <v>125</v>
      </c>
      <c r="AF17" s="58"/>
      <c r="AG17" s="58"/>
      <c r="AH17" s="62"/>
      <c r="AS17" s="58"/>
      <c r="AT17" s="58"/>
      <c r="AU17" s="58"/>
      <c r="BN17" s="51"/>
      <c r="BO17" s="35"/>
      <c r="BP17" s="52"/>
      <c r="BQ17" s="35"/>
      <c r="BR17" s="57"/>
      <c r="BS17" s="35"/>
      <c r="BT17" s="54"/>
      <c r="BU17" s="73">
        <f t="shared" si="20"/>
        <v>0</v>
      </c>
      <c r="BV17" s="57" t="s">
        <v>146</v>
      </c>
      <c r="BW17" s="35">
        <v>50</v>
      </c>
      <c r="BX17" s="56">
        <v>31.5</v>
      </c>
      <c r="BY17" s="52"/>
      <c r="BZ17" s="35"/>
      <c r="CA17" s="57"/>
      <c r="CB17" s="35"/>
      <c r="CC17" s="54"/>
      <c r="CD17" s="58"/>
      <c r="CE17" s="58"/>
      <c r="CF17" s="58"/>
      <c r="CG17" s="54"/>
      <c r="CH17" s="35"/>
      <c r="CI17" s="58"/>
      <c r="CJ17" s="58"/>
      <c r="CK17" s="58"/>
      <c r="CL17" s="58"/>
      <c r="CM17" s="58"/>
      <c r="CN17" s="58"/>
      <c r="CO17" s="58"/>
      <c r="CP17" s="58"/>
      <c r="CQ17" s="54"/>
      <c r="CR17" s="58"/>
      <c r="CS17" s="58"/>
      <c r="CT17" s="58"/>
      <c r="CU17" s="54"/>
      <c r="CV17" s="54"/>
      <c r="CW17" s="58"/>
      <c r="CX17" s="58"/>
      <c r="CY17" s="58"/>
      <c r="CZ17" s="54"/>
      <c r="DA17" s="58"/>
      <c r="DB17" s="58"/>
      <c r="DC17" s="58"/>
      <c r="DD17" s="54"/>
      <c r="DE17" s="58"/>
      <c r="DF17" s="58"/>
      <c r="DG17" s="58"/>
      <c r="DH17" s="54"/>
      <c r="DI17" s="58"/>
      <c r="DJ17" s="58"/>
      <c r="DK17" s="62"/>
    </row>
    <row r="18" spans="1:115" x14ac:dyDescent="0.25">
      <c r="A18" s="59" t="s">
        <v>147</v>
      </c>
      <c r="B18" s="1" t="str">
        <f>'ol4'!A14</f>
        <v>Отопление</v>
      </c>
      <c r="C18" s="1"/>
      <c r="I18" s="55"/>
      <c r="J18" s="58"/>
      <c r="K18" s="58"/>
      <c r="L18" s="58"/>
      <c r="M18" s="58"/>
      <c r="N18" s="58"/>
      <c r="O18" s="58"/>
      <c r="P18" s="58"/>
      <c r="Q18" s="62"/>
      <c r="R18" s="58"/>
      <c r="S18" s="58"/>
      <c r="T18" s="58"/>
      <c r="U18" s="62"/>
      <c r="W18" s="55"/>
      <c r="X18" s="58"/>
      <c r="Y18" s="58"/>
      <c r="Z18" s="81">
        <f t="shared" si="5"/>
        <v>1</v>
      </c>
      <c r="AA18" s="67">
        <v>100</v>
      </c>
      <c r="AB18" s="62">
        <v>125</v>
      </c>
      <c r="AC18" s="81">
        <f t="shared" si="6"/>
        <v>1</v>
      </c>
      <c r="AD18" s="67">
        <v>100</v>
      </c>
      <c r="AE18" s="87">
        <v>160</v>
      </c>
      <c r="AF18" s="58"/>
      <c r="AG18" s="58"/>
      <c r="AH18" s="62"/>
      <c r="BN18" s="51"/>
      <c r="BO18" s="35"/>
      <c r="BP18" s="52"/>
      <c r="BQ18" s="35"/>
      <c r="BR18" s="57"/>
      <c r="BS18" s="35"/>
      <c r="BT18" s="54"/>
      <c r="BU18" s="73">
        <f t="shared" si="20"/>
        <v>0</v>
      </c>
      <c r="BV18" s="57" t="s">
        <v>148</v>
      </c>
      <c r="BW18" s="35">
        <v>50</v>
      </c>
      <c r="BX18" s="56">
        <v>40</v>
      </c>
      <c r="BY18" s="52"/>
      <c r="BZ18" s="35"/>
      <c r="CA18" s="57"/>
      <c r="CB18" s="35"/>
      <c r="CC18" s="54"/>
      <c r="CD18" s="58"/>
      <c r="CE18" s="58"/>
      <c r="CF18" s="58"/>
      <c r="CG18" s="54"/>
      <c r="CH18" s="35"/>
      <c r="CI18" s="58"/>
      <c r="CJ18" s="58"/>
      <c r="CK18" s="58"/>
      <c r="CL18" s="58"/>
      <c r="CM18" s="58"/>
      <c r="CN18" s="58"/>
      <c r="CO18" s="58"/>
      <c r="CP18" s="58"/>
      <c r="CQ18" s="54"/>
      <c r="CR18" s="58"/>
      <c r="CS18" s="58"/>
      <c r="CT18" s="58"/>
      <c r="CU18" s="54"/>
      <c r="CV18" s="54"/>
      <c r="CW18" s="58"/>
      <c r="CX18" s="58"/>
      <c r="CY18" s="58"/>
      <c r="CZ18" s="54"/>
      <c r="DA18" s="58"/>
      <c r="DB18" s="58"/>
      <c r="DC18" s="58"/>
      <c r="DD18" s="54"/>
      <c r="DE18" s="58"/>
      <c r="DF18" s="58"/>
      <c r="DG18" s="58"/>
      <c r="DH18" s="54"/>
      <c r="DI18" s="58"/>
      <c r="DJ18" s="58"/>
      <c r="DK18" s="62"/>
    </row>
    <row r="19" spans="1:115" x14ac:dyDescent="0.25">
      <c r="A19" s="59"/>
      <c r="C19" s="76"/>
      <c r="I19" s="55"/>
      <c r="J19" s="99"/>
      <c r="K19" s="58"/>
      <c r="L19" s="58"/>
      <c r="M19" s="58"/>
      <c r="N19" s="58"/>
      <c r="O19" s="58"/>
      <c r="P19" s="58"/>
      <c r="Q19" s="62"/>
      <c r="R19" s="58"/>
      <c r="S19" s="58"/>
      <c r="T19" s="58"/>
      <c r="U19" s="62"/>
      <c r="W19" s="55"/>
      <c r="X19" s="58"/>
      <c r="Y19" s="58"/>
      <c r="Z19" s="81">
        <f t="shared" si="5"/>
        <v>1</v>
      </c>
      <c r="AA19" s="58">
        <v>100</v>
      </c>
      <c r="AB19" s="62">
        <v>160</v>
      </c>
      <c r="AC19" s="81">
        <f t="shared" si="6"/>
        <v>1</v>
      </c>
      <c r="AD19" s="67">
        <v>125</v>
      </c>
      <c r="AE19" s="87">
        <v>200</v>
      </c>
      <c r="AF19" s="58"/>
      <c r="AG19" s="58"/>
      <c r="AH19" s="62"/>
      <c r="BN19" s="51"/>
      <c r="BO19" s="35"/>
      <c r="BP19" s="52"/>
      <c r="BQ19" s="35"/>
      <c r="BR19" s="57"/>
      <c r="BS19" s="35"/>
      <c r="BT19" s="54"/>
      <c r="BU19" s="73">
        <f t="shared" si="20"/>
        <v>0</v>
      </c>
      <c r="BV19" s="57" t="s">
        <v>149</v>
      </c>
      <c r="BW19" s="35">
        <v>65</v>
      </c>
      <c r="BX19" s="56">
        <v>50</v>
      </c>
      <c r="BY19" s="52"/>
      <c r="BZ19" s="35"/>
      <c r="CA19" s="57"/>
      <c r="CB19" s="35"/>
      <c r="CC19" s="54"/>
      <c r="CD19" s="58"/>
      <c r="CE19" s="58"/>
      <c r="CF19" s="58"/>
      <c r="CG19" s="54"/>
      <c r="CH19" s="58"/>
      <c r="CI19" s="58"/>
      <c r="CJ19" s="58"/>
      <c r="CK19" s="58"/>
      <c r="CL19" s="58"/>
      <c r="CM19" s="58"/>
      <c r="CN19" s="58"/>
      <c r="CO19" s="58"/>
      <c r="CP19" s="58"/>
      <c r="CQ19" s="54"/>
      <c r="CR19" s="58"/>
      <c r="CS19" s="58"/>
      <c r="CT19" s="58"/>
      <c r="CU19" s="54"/>
      <c r="CV19" s="54"/>
      <c r="CW19" s="58"/>
      <c r="CX19" s="58"/>
      <c r="CY19" s="58"/>
      <c r="CZ19" s="54"/>
      <c r="DA19" s="58"/>
      <c r="DB19" s="58"/>
      <c r="DC19" s="58"/>
      <c r="DD19" s="54"/>
      <c r="DE19" s="58"/>
      <c r="DF19" s="58"/>
      <c r="DG19" s="58"/>
      <c r="DH19" s="54"/>
      <c r="DI19" s="58"/>
      <c r="DJ19" s="58"/>
      <c r="DK19" s="62"/>
    </row>
    <row r="20" spans="1:115" x14ac:dyDescent="0.25">
      <c r="A20" s="59"/>
      <c r="C20" s="76"/>
      <c r="I20" s="55"/>
      <c r="J20" s="99" t="s">
        <v>150</v>
      </c>
      <c r="K20" s="78">
        <v>958.4</v>
      </c>
      <c r="L20" s="58"/>
      <c r="M20" s="58"/>
      <c r="N20" s="58"/>
      <c r="O20" s="58"/>
      <c r="P20" s="58"/>
      <c r="Q20" s="62"/>
      <c r="R20" s="58"/>
      <c r="S20" s="58"/>
      <c r="T20" s="58"/>
      <c r="U20" s="62"/>
      <c r="W20" s="55"/>
      <c r="X20" s="58"/>
      <c r="Y20" s="58"/>
      <c r="Z20" s="81">
        <f t="shared" si="5"/>
        <v>1</v>
      </c>
      <c r="AA20" s="58">
        <v>125</v>
      </c>
      <c r="AB20" s="62">
        <v>250</v>
      </c>
      <c r="AC20" s="81">
        <f t="shared" si="6"/>
        <v>1</v>
      </c>
      <c r="AD20" s="67">
        <v>125</v>
      </c>
      <c r="AE20" s="87">
        <v>250</v>
      </c>
      <c r="AF20" s="58"/>
      <c r="AG20" s="58"/>
      <c r="AH20" s="62"/>
      <c r="BN20" s="51"/>
      <c r="BO20" s="35"/>
      <c r="BP20" s="52"/>
      <c r="BQ20" s="35"/>
      <c r="BR20" s="57"/>
      <c r="BS20" s="35"/>
      <c r="BT20" s="54"/>
      <c r="BU20" s="73">
        <f t="shared" si="20"/>
        <v>0</v>
      </c>
      <c r="BV20" s="57" t="s">
        <v>151</v>
      </c>
      <c r="BW20" s="35">
        <v>65</v>
      </c>
      <c r="BX20" s="56">
        <v>63</v>
      </c>
      <c r="BY20" s="52"/>
      <c r="BZ20" s="35"/>
      <c r="CA20" s="57"/>
      <c r="CB20" s="35"/>
      <c r="CC20" s="54"/>
      <c r="CD20" s="58"/>
      <c r="CE20" s="58"/>
      <c r="CF20" s="58"/>
      <c r="CG20" s="54"/>
      <c r="CH20" s="58"/>
      <c r="CI20" s="58"/>
      <c r="CJ20" s="58"/>
      <c r="CK20" s="58"/>
      <c r="CL20" s="58"/>
      <c r="CM20" s="58"/>
      <c r="CN20" s="58"/>
      <c r="CO20" s="58"/>
      <c r="CP20" s="58"/>
      <c r="CQ20" s="54"/>
      <c r="CR20" s="58"/>
      <c r="CS20" s="58"/>
      <c r="CT20" s="58"/>
      <c r="CU20" s="54"/>
      <c r="CV20" s="54"/>
      <c r="CW20" s="58"/>
      <c r="CX20" s="58"/>
      <c r="CY20" s="58"/>
      <c r="CZ20" s="54"/>
      <c r="DA20" s="58"/>
      <c r="DB20" s="58"/>
      <c r="DC20" s="58"/>
      <c r="DD20" s="54"/>
      <c r="DE20" s="58"/>
      <c r="DF20" s="58"/>
      <c r="DG20" s="58"/>
      <c r="DH20" s="54"/>
      <c r="DI20" s="58"/>
      <c r="DJ20" s="58"/>
      <c r="DK20" s="62"/>
    </row>
    <row r="21" spans="1:115" x14ac:dyDescent="0.25">
      <c r="I21" s="55"/>
      <c r="J21" s="99" t="s">
        <v>152</v>
      </c>
      <c r="K21" s="78">
        <v>0.5</v>
      </c>
      <c r="L21" s="58"/>
      <c r="M21" s="58"/>
      <c r="N21" s="58"/>
      <c r="O21" s="58"/>
      <c r="P21" s="58"/>
      <c r="Q21" s="62"/>
      <c r="R21" s="58"/>
      <c r="S21" s="58"/>
      <c r="T21" s="58"/>
      <c r="U21" s="62"/>
      <c r="W21" s="55"/>
      <c r="X21" s="58"/>
      <c r="Y21" s="58"/>
      <c r="Z21" s="81">
        <f t="shared" si="5"/>
        <v>1</v>
      </c>
      <c r="AA21" s="58">
        <v>150</v>
      </c>
      <c r="AB21" s="62">
        <v>315</v>
      </c>
      <c r="AC21" s="81">
        <f t="shared" si="6"/>
        <v>1</v>
      </c>
      <c r="AD21" s="67">
        <v>150</v>
      </c>
      <c r="AE21" s="87">
        <v>315</v>
      </c>
      <c r="AF21" s="58"/>
      <c r="AG21" s="58"/>
      <c r="AH21" s="62"/>
      <c r="BN21" s="51"/>
      <c r="BO21" s="35"/>
      <c r="BP21" s="52"/>
      <c r="BQ21" s="35"/>
      <c r="BR21" s="57"/>
      <c r="BS21" s="35"/>
      <c r="BT21" s="54"/>
      <c r="BU21" s="73">
        <f t="shared" si="20"/>
        <v>0</v>
      </c>
      <c r="BV21" s="57" t="s">
        <v>153</v>
      </c>
      <c r="BW21" s="35">
        <v>80</v>
      </c>
      <c r="BX21" s="56">
        <v>80</v>
      </c>
      <c r="BY21" s="52"/>
      <c r="BZ21" s="35"/>
      <c r="CA21" s="57"/>
      <c r="CB21" s="35"/>
      <c r="CC21" s="54"/>
      <c r="CD21" s="58"/>
      <c r="CE21" s="58"/>
      <c r="CF21" s="58"/>
      <c r="CG21" s="54"/>
      <c r="CH21" s="58"/>
      <c r="CI21" s="58"/>
      <c r="CJ21" s="58"/>
      <c r="CK21" s="58"/>
      <c r="CL21" s="58"/>
      <c r="CM21" s="58"/>
      <c r="CN21" s="58"/>
      <c r="CO21" s="58"/>
      <c r="CP21" s="58"/>
      <c r="CQ21" s="54"/>
      <c r="CR21" s="58"/>
      <c r="CS21" s="58"/>
      <c r="CT21" s="58"/>
      <c r="CU21" s="54"/>
      <c r="CV21" s="54"/>
      <c r="CW21" s="58"/>
      <c r="CX21" s="58"/>
      <c r="CY21" s="58"/>
      <c r="CZ21" s="54"/>
      <c r="DA21" s="58"/>
      <c r="DB21" s="58"/>
      <c r="DC21" s="58"/>
      <c r="DD21" s="54"/>
      <c r="DE21" s="58"/>
      <c r="DF21" s="58"/>
      <c r="DG21" s="58"/>
      <c r="DH21" s="54"/>
      <c r="DI21" s="58"/>
      <c r="DJ21" s="58"/>
      <c r="DK21" s="62"/>
    </row>
    <row r="22" spans="1:115" x14ac:dyDescent="0.25">
      <c r="I22" s="95"/>
      <c r="J22" s="100"/>
      <c r="K22" s="96"/>
      <c r="L22" s="96"/>
      <c r="M22" s="96"/>
      <c r="N22" s="96"/>
      <c r="O22" s="96"/>
      <c r="P22" s="96"/>
      <c r="Q22" s="98"/>
      <c r="R22" s="96"/>
      <c r="S22" s="96"/>
      <c r="T22" s="96"/>
      <c r="U22" s="98"/>
      <c r="W22" s="95"/>
      <c r="X22" s="96"/>
      <c r="Y22" s="96"/>
      <c r="Z22" s="95"/>
      <c r="AA22" s="96"/>
      <c r="AB22" s="98"/>
      <c r="AC22" s="91">
        <f t="shared" si="6"/>
        <v>1</v>
      </c>
      <c r="AD22" s="101">
        <v>150</v>
      </c>
      <c r="AE22" s="102">
        <v>400</v>
      </c>
      <c r="AF22" s="96"/>
      <c r="AG22" s="96"/>
      <c r="AH22" s="98"/>
      <c r="BN22" s="51"/>
      <c r="BO22" s="35"/>
      <c r="BP22" s="52"/>
      <c r="BQ22" s="35"/>
      <c r="BR22" s="57"/>
      <c r="BS22" s="35"/>
      <c r="BT22" s="54"/>
      <c r="BU22" s="73">
        <f t="shared" si="20"/>
        <v>0</v>
      </c>
      <c r="BV22" s="57" t="s">
        <v>154</v>
      </c>
      <c r="BW22" s="35">
        <v>80</v>
      </c>
      <c r="BX22" s="56">
        <v>100</v>
      </c>
      <c r="BY22" s="52"/>
      <c r="BZ22" s="35"/>
      <c r="CA22" s="57"/>
      <c r="CB22" s="35"/>
      <c r="CC22" s="54"/>
      <c r="CD22" s="58"/>
      <c r="CE22" s="58"/>
      <c r="CF22" s="58"/>
      <c r="CG22" s="54"/>
      <c r="CH22" s="58"/>
      <c r="CI22" s="58"/>
      <c r="CJ22" s="58"/>
      <c r="CK22" s="58"/>
      <c r="CL22" s="58"/>
      <c r="CM22" s="58"/>
      <c r="CN22" s="58"/>
      <c r="CO22" s="58"/>
      <c r="CP22" s="58"/>
      <c r="CQ22" s="54"/>
      <c r="CR22" s="58"/>
      <c r="CS22" s="58"/>
      <c r="CT22" s="58"/>
      <c r="CU22" s="54"/>
      <c r="CV22" s="54"/>
      <c r="CW22" s="58"/>
      <c r="CX22" s="58"/>
      <c r="CY22" s="58"/>
      <c r="CZ22" s="54"/>
      <c r="DA22" s="58"/>
      <c r="DB22" s="58"/>
      <c r="DC22" s="58"/>
      <c r="DD22" s="54"/>
      <c r="DE22" s="58"/>
      <c r="DF22" s="58"/>
      <c r="DG22" s="58"/>
      <c r="DH22" s="54"/>
      <c r="DI22" s="58"/>
      <c r="DJ22" s="58"/>
      <c r="DK22" s="62"/>
    </row>
    <row r="23" spans="1:115" x14ac:dyDescent="0.25">
      <c r="BN23" s="51"/>
      <c r="BO23" s="35"/>
      <c r="BP23" s="52"/>
      <c r="BQ23" s="35"/>
      <c r="BR23" s="57"/>
      <c r="BS23" s="35"/>
      <c r="BT23" s="54"/>
      <c r="BU23" s="73">
        <f t="shared" si="20"/>
        <v>0</v>
      </c>
      <c r="BV23" s="57" t="s">
        <v>155</v>
      </c>
      <c r="BW23" s="35">
        <v>100</v>
      </c>
      <c r="BX23" s="56">
        <v>125</v>
      </c>
      <c r="BY23" s="52"/>
      <c r="BZ23" s="35"/>
      <c r="CA23" s="57"/>
      <c r="CB23" s="35"/>
      <c r="CC23" s="54"/>
      <c r="CD23" s="58"/>
      <c r="CE23" s="58"/>
      <c r="CF23" s="58"/>
      <c r="CG23" s="54"/>
      <c r="CH23" s="58"/>
      <c r="CI23" s="58"/>
      <c r="CJ23" s="58"/>
      <c r="CK23" s="58"/>
      <c r="CL23" s="58"/>
      <c r="CM23" s="58"/>
      <c r="CN23" s="58"/>
      <c r="CO23" s="58"/>
      <c r="CP23" s="58"/>
      <c r="CQ23" s="54"/>
      <c r="CR23" s="58"/>
      <c r="CS23" s="58"/>
      <c r="CT23" s="58"/>
      <c r="CU23" s="54"/>
      <c r="CV23" s="54"/>
      <c r="CW23" s="58"/>
      <c r="CX23" s="58"/>
      <c r="CY23" s="58"/>
      <c r="CZ23" s="54"/>
      <c r="DA23" s="58"/>
      <c r="DB23" s="58"/>
      <c r="DC23" s="58"/>
      <c r="DD23" s="54"/>
      <c r="DE23" s="58"/>
      <c r="DF23" s="58"/>
      <c r="DG23" s="58"/>
      <c r="DH23" s="54"/>
      <c r="DI23" s="58"/>
      <c r="DJ23" s="58"/>
      <c r="DK23" s="62"/>
    </row>
    <row r="24" spans="1:115" x14ac:dyDescent="0.25">
      <c r="BN24" s="51"/>
      <c r="BO24" s="35"/>
      <c r="BP24" s="52"/>
      <c r="BQ24" s="35"/>
      <c r="BR24" s="57"/>
      <c r="BS24" s="35"/>
      <c r="BT24" s="54"/>
      <c r="BU24" s="73">
        <f t="shared" si="20"/>
        <v>0</v>
      </c>
      <c r="BV24" s="57" t="s">
        <v>156</v>
      </c>
      <c r="BW24" s="35">
        <v>100</v>
      </c>
      <c r="BX24" s="56">
        <v>160</v>
      </c>
      <c r="BY24" s="52"/>
      <c r="BZ24" s="35"/>
      <c r="CA24" s="57"/>
      <c r="CB24" s="35"/>
      <c r="CC24" s="54"/>
      <c r="CD24" s="58"/>
      <c r="CE24" s="58"/>
      <c r="CF24" s="58"/>
      <c r="CG24" s="54"/>
      <c r="CH24" s="58"/>
      <c r="CI24" s="58"/>
      <c r="CJ24" s="58"/>
      <c r="CK24" s="58"/>
      <c r="CL24" s="58"/>
      <c r="CM24" s="58"/>
      <c r="CN24" s="58"/>
      <c r="CO24" s="58"/>
      <c r="CP24" s="58"/>
      <c r="CQ24" s="54"/>
      <c r="CR24" s="58"/>
      <c r="CS24" s="58"/>
      <c r="CT24" s="58"/>
      <c r="CU24" s="54"/>
      <c r="CV24" s="54"/>
      <c r="CW24" s="58"/>
      <c r="CX24" s="58"/>
      <c r="CY24" s="58"/>
      <c r="CZ24" s="54"/>
      <c r="DA24" s="58"/>
      <c r="DB24" s="58"/>
      <c r="DC24" s="58"/>
      <c r="DD24" s="54"/>
      <c r="DE24" s="58"/>
      <c r="DF24" s="58"/>
      <c r="DG24" s="58"/>
      <c r="DH24" s="54"/>
      <c r="DI24" s="58"/>
      <c r="DJ24" s="58"/>
      <c r="DK24" s="62"/>
    </row>
    <row r="25" spans="1:115" x14ac:dyDescent="0.25">
      <c r="BN25" s="51"/>
      <c r="BO25" s="35"/>
      <c r="BP25" s="52"/>
      <c r="BQ25" s="35"/>
      <c r="BR25" s="57"/>
      <c r="BS25" s="35"/>
      <c r="BT25" s="54"/>
      <c r="BU25" s="73">
        <f t="shared" si="20"/>
        <v>0</v>
      </c>
      <c r="BV25" s="57" t="s">
        <v>157</v>
      </c>
      <c r="BW25" s="35">
        <v>125</v>
      </c>
      <c r="BX25" s="56">
        <v>250</v>
      </c>
      <c r="BY25" s="52"/>
      <c r="BZ25" s="35"/>
      <c r="CA25" s="57"/>
      <c r="CB25" s="35"/>
      <c r="CC25" s="54"/>
      <c r="CD25" s="58"/>
      <c r="CE25" s="58"/>
      <c r="CF25" s="58"/>
      <c r="CG25" s="54"/>
      <c r="CH25" s="58"/>
      <c r="CI25" s="58"/>
      <c r="CJ25" s="58"/>
      <c r="CK25" s="58"/>
      <c r="CL25" s="58"/>
      <c r="CM25" s="58"/>
      <c r="CN25" s="58"/>
      <c r="CO25" s="58"/>
      <c r="CP25" s="58"/>
      <c r="CQ25" s="54"/>
      <c r="CR25" s="58"/>
      <c r="CS25" s="58"/>
      <c r="CT25" s="58"/>
      <c r="CU25" s="54"/>
      <c r="CV25" s="54"/>
      <c r="CW25" s="58"/>
      <c r="CX25" s="58"/>
      <c r="CY25" s="58"/>
      <c r="CZ25" s="54"/>
      <c r="DA25" s="58"/>
      <c r="DB25" s="58"/>
      <c r="DC25" s="58"/>
      <c r="DD25" s="54"/>
      <c r="DE25" s="58"/>
      <c r="DF25" s="58"/>
      <c r="DG25" s="58"/>
      <c r="DH25" s="54"/>
      <c r="DI25" s="58"/>
      <c r="DJ25" s="58"/>
      <c r="DK25" s="62"/>
    </row>
    <row r="26" spans="1:115" x14ac:dyDescent="0.25">
      <c r="BN26" s="103"/>
      <c r="BO26" s="104"/>
      <c r="BP26" s="105"/>
      <c r="BQ26" s="104"/>
      <c r="BR26" s="106"/>
      <c r="BS26" s="104"/>
      <c r="BT26" s="107"/>
      <c r="BU26" s="108">
        <f t="shared" si="20"/>
        <v>0</v>
      </c>
      <c r="BV26" s="106" t="s">
        <v>158</v>
      </c>
      <c r="BW26" s="104">
        <v>150</v>
      </c>
      <c r="BX26" s="109">
        <v>315</v>
      </c>
      <c r="BY26" s="105"/>
      <c r="BZ26" s="104"/>
      <c r="CA26" s="106"/>
      <c r="CB26" s="104"/>
      <c r="CC26" s="107"/>
      <c r="CD26" s="96"/>
      <c r="CE26" s="96"/>
      <c r="CF26" s="96"/>
      <c r="CG26" s="107"/>
      <c r="CH26" s="96"/>
      <c r="CI26" s="96"/>
      <c r="CJ26" s="96"/>
      <c r="CK26" s="96"/>
      <c r="CL26" s="96"/>
      <c r="CM26" s="96"/>
      <c r="CN26" s="96"/>
      <c r="CO26" s="96"/>
      <c r="CP26" s="96"/>
      <c r="CQ26" s="107"/>
      <c r="CR26" s="96"/>
      <c r="CS26" s="96"/>
      <c r="CT26" s="96"/>
      <c r="CU26" s="107"/>
      <c r="CV26" s="107"/>
      <c r="CW26" s="96"/>
      <c r="CX26" s="96"/>
      <c r="CY26" s="96"/>
      <c r="CZ26" s="107"/>
      <c r="DA26" s="96"/>
      <c r="DB26" s="96"/>
      <c r="DC26" s="96"/>
      <c r="DD26" s="107"/>
      <c r="DE26" s="96"/>
      <c r="DF26" s="96"/>
      <c r="DG26" s="96"/>
      <c r="DH26" s="107"/>
      <c r="DI26" s="96"/>
      <c r="DJ26" s="96"/>
      <c r="DK26" s="98"/>
    </row>
  </sheetData>
  <mergeCells count="28">
    <mergeCell ref="B16:C16"/>
    <mergeCell ref="B17:C17"/>
    <mergeCell ref="B18:C18"/>
    <mergeCell ref="BC3:BG3"/>
    <mergeCell ref="BH3:BL3"/>
    <mergeCell ref="B14:C14"/>
    <mergeCell ref="E14:F14"/>
    <mergeCell ref="B15:C15"/>
    <mergeCell ref="Z3:AB3"/>
    <mergeCell ref="AC3:AE3"/>
    <mergeCell ref="AF3:AH3"/>
    <mergeCell ref="AS3:AW3"/>
    <mergeCell ref="AX3:BB3"/>
    <mergeCell ref="CR2:CT2"/>
    <mergeCell ref="CW2:CY2"/>
    <mergeCell ref="DA2:DC2"/>
    <mergeCell ref="DE2:DG2"/>
    <mergeCell ref="DI2:DK2"/>
    <mergeCell ref="BR2:BS2"/>
    <mergeCell ref="BV2:BX2"/>
    <mergeCell ref="CA2:CB2"/>
    <mergeCell ref="CE2:CF2"/>
    <mergeCell ref="CI2:CP2"/>
    <mergeCell ref="I2:Q2"/>
    <mergeCell ref="W2:AH2"/>
    <mergeCell ref="AJ2:AM2"/>
    <mergeCell ref="AS2:BL2"/>
    <mergeCell ref="BN2:BO2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L26"/>
  <sheetViews>
    <sheetView zoomScale="85" zoomScaleNormal="85" workbookViewId="0">
      <selection activeCell="N14" sqref="N14"/>
    </sheetView>
  </sheetViews>
  <sheetFormatPr defaultRowHeight="15" x14ac:dyDescent="0.25"/>
  <cols>
    <col min="1" max="1" width="7.7109375" customWidth="1"/>
    <col min="2" max="2" width="8" customWidth="1"/>
    <col min="3" max="4" width="8.7109375" customWidth="1"/>
    <col min="5" max="6" width="12.5703125" customWidth="1"/>
    <col min="7" max="8" width="8.7109375" customWidth="1"/>
    <col min="9" max="9" width="9.140625" customWidth="1"/>
    <col min="10" max="10" width="6" customWidth="1"/>
    <col min="11" max="12" width="8" customWidth="1"/>
    <col min="13" max="13" width="4.7109375" customWidth="1"/>
    <col min="14" max="14" width="8.28515625" bestFit="1" customWidth="1"/>
    <col min="15" max="17" width="9.140625" customWidth="1"/>
    <col min="18" max="18" width="6" customWidth="1"/>
    <col min="19" max="35" width="9.140625" customWidth="1"/>
    <col min="36" max="37" width="9.85546875" customWidth="1"/>
    <col min="38" max="38" width="15.7109375" customWidth="1"/>
    <col min="39" max="39" width="9.140625" customWidth="1"/>
    <col min="40" max="40" width="25.140625" customWidth="1"/>
    <col min="41" max="41" width="11" customWidth="1"/>
    <col min="42" max="42" width="18.28515625" customWidth="1"/>
    <col min="43" max="48" width="9.140625" customWidth="1"/>
    <col min="49" max="49" width="9.140625" style="15" customWidth="1"/>
    <col min="50" max="64" width="9.140625" customWidth="1"/>
    <col min="65" max="65" width="8.7109375" customWidth="1"/>
    <col min="66" max="66" width="4.85546875" customWidth="1"/>
    <col min="67" max="67" width="12.85546875" customWidth="1"/>
    <col min="68" max="68" width="3.28515625" customWidth="1"/>
    <col min="69" max="69" width="11.28515625" customWidth="1"/>
    <col min="70" max="71" width="6.28515625" customWidth="1"/>
    <col min="72" max="72" width="3.5703125" customWidth="1"/>
    <col min="73" max="73" width="8.28515625" customWidth="1"/>
    <col min="74" max="76" width="6.140625" customWidth="1"/>
    <col min="77" max="77" width="3.28515625" customWidth="1"/>
    <col min="78" max="78" width="9.5703125" customWidth="1"/>
    <col min="79" max="79" width="6.140625" customWidth="1"/>
    <col min="80" max="80" width="15.28515625" customWidth="1"/>
    <col min="81" max="81" width="3.28515625" customWidth="1"/>
    <col min="82" max="82" width="8.7109375" customWidth="1"/>
    <col min="83" max="84" width="6.28515625" customWidth="1"/>
    <col min="85" max="85" width="3.28515625" customWidth="1"/>
    <col min="86" max="86" width="9.5703125" customWidth="1"/>
    <col min="87" max="87" width="6.140625" customWidth="1"/>
    <col min="88" max="88" width="16.85546875" customWidth="1"/>
    <col min="89" max="89" width="8.5703125" customWidth="1"/>
    <col min="90" max="90" width="7" customWidth="1"/>
    <col min="91" max="91" width="25.140625" customWidth="1"/>
    <col min="92" max="92" width="8.5703125" customWidth="1"/>
    <col min="93" max="93" width="6.7109375" customWidth="1"/>
    <col min="94" max="94" width="18.28515625" customWidth="1"/>
    <col min="95" max="95" width="3.5703125" customWidth="1"/>
    <col min="96" max="96" width="8.5703125" customWidth="1"/>
    <col min="97" max="97" width="5.85546875" customWidth="1"/>
    <col min="98" max="98" width="16.140625" customWidth="1"/>
    <col min="99" max="99" width="3.7109375" customWidth="1"/>
    <col min="100" max="100" width="3.28515625" customWidth="1"/>
    <col min="101" max="101" width="8.5703125" customWidth="1"/>
    <col min="102" max="102" width="6.28515625" customWidth="1"/>
    <col min="103" max="103" width="11.42578125"/>
    <col min="104" max="104" width="3.5703125" customWidth="1"/>
    <col min="105" max="105" width="8.7109375" customWidth="1"/>
    <col min="106" max="106" width="6.28515625" customWidth="1"/>
    <col min="107" max="107" width="11.42578125"/>
    <col min="108" max="108" width="3.5703125" customWidth="1"/>
    <col min="109" max="109" width="8.7109375" customWidth="1"/>
    <col min="110" max="110" width="6.28515625" customWidth="1"/>
    <col min="111" max="111" width="11.42578125"/>
    <col min="112" max="112" width="3.5703125" customWidth="1"/>
    <col min="113" max="113" width="8.5703125" customWidth="1"/>
    <col min="114" max="114" width="6.28515625" customWidth="1"/>
    <col min="115" max="115" width="13.7109375" customWidth="1"/>
    <col min="116" max="116" width="3.5703125" customWidth="1"/>
    <col min="117" max="1025" width="8.7109375" customWidth="1"/>
  </cols>
  <sheetData>
    <row r="2" spans="1:116" x14ac:dyDescent="0.25">
      <c r="B2" t="s">
        <v>159</v>
      </c>
      <c r="I2" s="7" t="s">
        <v>30</v>
      </c>
      <c r="J2" s="7"/>
      <c r="K2" s="7"/>
      <c r="L2" s="7"/>
      <c r="M2" s="7"/>
      <c r="N2" s="7"/>
      <c r="O2" s="7"/>
      <c r="P2" s="7"/>
      <c r="Q2" s="7"/>
      <c r="R2" s="35"/>
      <c r="S2" s="35"/>
      <c r="T2" s="35"/>
      <c r="U2" s="35"/>
      <c r="W2" s="7" t="s">
        <v>31</v>
      </c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J2" s="7" t="s">
        <v>32</v>
      </c>
      <c r="AK2" s="7"/>
      <c r="AL2" s="7"/>
      <c r="AM2" s="7"/>
      <c r="AN2" s="36" t="s">
        <v>33</v>
      </c>
      <c r="AO2" s="36" t="s">
        <v>34</v>
      </c>
      <c r="AP2" s="37" t="s">
        <v>35</v>
      </c>
      <c r="AS2" s="6" t="s">
        <v>36</v>
      </c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N2" s="13" t="s">
        <v>37</v>
      </c>
      <c r="BO2" s="13"/>
      <c r="BP2" s="18"/>
      <c r="BQ2" s="38"/>
      <c r="BR2" s="5" t="s">
        <v>38</v>
      </c>
      <c r="BS2" s="5"/>
      <c r="BT2" s="39"/>
      <c r="BU2" s="40"/>
      <c r="BV2" s="4" t="s">
        <v>39</v>
      </c>
      <c r="BW2" s="4"/>
      <c r="BX2" s="4"/>
      <c r="BY2" s="18"/>
      <c r="BZ2" s="38"/>
      <c r="CA2" s="5" t="s">
        <v>40</v>
      </c>
      <c r="CB2" s="5"/>
      <c r="CC2" s="18"/>
      <c r="CD2" s="38"/>
      <c r="CE2" s="5" t="s">
        <v>41</v>
      </c>
      <c r="CF2" s="5"/>
      <c r="CG2" s="18"/>
      <c r="CH2" s="38"/>
      <c r="CI2" s="3" t="s">
        <v>42</v>
      </c>
      <c r="CJ2" s="3"/>
      <c r="CK2" s="3"/>
      <c r="CL2" s="3"/>
      <c r="CM2" s="3"/>
      <c r="CN2" s="3"/>
      <c r="CO2" s="3"/>
      <c r="CP2" s="3"/>
      <c r="CQ2" s="39"/>
      <c r="CR2" s="14" t="s">
        <v>43</v>
      </c>
      <c r="CS2" s="14"/>
      <c r="CT2" s="14"/>
      <c r="CU2" s="41"/>
      <c r="CV2" s="18"/>
      <c r="CW2" s="14" t="s">
        <v>44</v>
      </c>
      <c r="CX2" s="14"/>
      <c r="CY2" s="14"/>
      <c r="CZ2" s="39"/>
      <c r="DA2" s="14" t="s">
        <v>45</v>
      </c>
      <c r="DB2" s="14"/>
      <c r="DC2" s="14"/>
      <c r="DD2" s="39"/>
      <c r="DE2" s="14" t="s">
        <v>46</v>
      </c>
      <c r="DF2" s="14"/>
      <c r="DG2" s="14"/>
      <c r="DH2" s="39"/>
      <c r="DI2" s="14" t="s">
        <v>47</v>
      </c>
      <c r="DJ2" s="14"/>
      <c r="DK2" s="14"/>
      <c r="DL2" s="42"/>
    </row>
    <row r="3" spans="1:116" x14ac:dyDescent="0.25">
      <c r="I3" s="43"/>
      <c r="J3" s="44" t="s">
        <v>48</v>
      </c>
      <c r="K3" s="45" t="s">
        <v>49</v>
      </c>
      <c r="L3" s="44" t="s">
        <v>50</v>
      </c>
      <c r="M3" s="44"/>
      <c r="N3" s="44"/>
      <c r="O3" s="44" t="s">
        <v>51</v>
      </c>
      <c r="P3" s="45" t="s">
        <v>49</v>
      </c>
      <c r="Q3" s="46" t="s">
        <v>50</v>
      </c>
      <c r="R3" s="44"/>
      <c r="S3" s="44" t="s">
        <v>52</v>
      </c>
      <c r="T3" s="45" t="s">
        <v>49</v>
      </c>
      <c r="U3" s="46" t="s">
        <v>50</v>
      </c>
      <c r="W3" s="43" t="s">
        <v>53</v>
      </c>
      <c r="X3" s="44" t="s">
        <v>54</v>
      </c>
      <c r="Y3" s="46" t="s">
        <v>55</v>
      </c>
      <c r="Z3" s="7" t="s">
        <v>53</v>
      </c>
      <c r="AA3" s="7"/>
      <c r="AB3" s="7"/>
      <c r="AC3" s="7" t="s">
        <v>54</v>
      </c>
      <c r="AD3" s="7"/>
      <c r="AE3" s="7"/>
      <c r="AF3" s="7" t="s">
        <v>55</v>
      </c>
      <c r="AG3" s="7"/>
      <c r="AH3" s="7"/>
      <c r="AJ3" s="47" t="s">
        <v>56</v>
      </c>
      <c r="AK3" s="48"/>
      <c r="AL3" s="49"/>
      <c r="AM3" s="49"/>
      <c r="AN3" s="50"/>
      <c r="AO3" s="50"/>
      <c r="AP3" s="50"/>
      <c r="AS3" s="7" t="s">
        <v>57</v>
      </c>
      <c r="AT3" s="7"/>
      <c r="AU3" s="7"/>
      <c r="AV3" s="7"/>
      <c r="AW3" s="7"/>
      <c r="AX3" s="2" t="s">
        <v>58</v>
      </c>
      <c r="AY3" s="2"/>
      <c r="AZ3" s="2"/>
      <c r="BA3" s="2"/>
      <c r="BB3" s="2"/>
      <c r="BC3" s="7" t="s">
        <v>59</v>
      </c>
      <c r="BD3" s="7"/>
      <c r="BE3" s="7"/>
      <c r="BF3" s="7"/>
      <c r="BG3" s="7"/>
      <c r="BH3" s="7" t="s">
        <v>60</v>
      </c>
      <c r="BI3" s="7"/>
      <c r="BJ3" s="7"/>
      <c r="BK3" s="7"/>
      <c r="BL3" s="7"/>
      <c r="BN3" s="51" t="s">
        <v>61</v>
      </c>
      <c r="BO3" s="35" t="s">
        <v>62</v>
      </c>
      <c r="BP3" s="52"/>
      <c r="BQ3" s="35"/>
      <c r="BR3" s="53" t="s">
        <v>61</v>
      </c>
      <c r="BS3" s="32" t="s">
        <v>63</v>
      </c>
      <c r="BT3" s="54"/>
      <c r="BU3" s="55"/>
      <c r="BV3" s="53" t="s">
        <v>61</v>
      </c>
      <c r="BW3" s="32" t="s">
        <v>63</v>
      </c>
      <c r="BX3" s="56" t="s">
        <v>64</v>
      </c>
      <c r="BY3" s="52"/>
      <c r="BZ3" s="35"/>
      <c r="CA3" s="57" t="s">
        <v>61</v>
      </c>
      <c r="CB3" s="35" t="s">
        <v>65</v>
      </c>
      <c r="CC3" s="52"/>
      <c r="CD3" s="35"/>
      <c r="CE3" s="53" t="s">
        <v>61</v>
      </c>
      <c r="CF3" s="32" t="s">
        <v>63</v>
      </c>
      <c r="CG3" s="52"/>
      <c r="CH3" s="35"/>
      <c r="CI3" s="53" t="s">
        <v>61</v>
      </c>
      <c r="CJ3" s="35" t="s">
        <v>66</v>
      </c>
      <c r="CK3" s="35"/>
      <c r="CL3" s="35"/>
      <c r="CM3" s="35" t="s">
        <v>66</v>
      </c>
      <c r="CN3" s="35"/>
      <c r="CO3" s="35"/>
      <c r="CP3" s="35" t="s">
        <v>66</v>
      </c>
      <c r="CQ3" s="54"/>
      <c r="CR3" s="58"/>
      <c r="CS3" s="57" t="s">
        <v>61</v>
      </c>
      <c r="CT3" s="35" t="s">
        <v>66</v>
      </c>
      <c r="CU3" s="54"/>
      <c r="CV3" s="52"/>
      <c r="CW3" s="35"/>
      <c r="CX3" s="53" t="s">
        <v>61</v>
      </c>
      <c r="CY3" s="32" t="s">
        <v>67</v>
      </c>
      <c r="CZ3" s="54"/>
      <c r="DA3" s="35"/>
      <c r="DB3" s="53" t="s">
        <v>61</v>
      </c>
      <c r="DC3" s="32" t="s">
        <v>68</v>
      </c>
      <c r="DD3" s="54"/>
      <c r="DE3" s="35"/>
      <c r="DF3" s="53" t="s">
        <v>61</v>
      </c>
      <c r="DG3" s="32" t="s">
        <v>68</v>
      </c>
      <c r="DH3" s="54"/>
      <c r="DI3" s="35"/>
      <c r="DJ3" s="53" t="s">
        <v>61</v>
      </c>
      <c r="DK3" s="31" t="s">
        <v>69</v>
      </c>
    </row>
    <row r="4" spans="1:116" x14ac:dyDescent="0.25">
      <c r="A4" s="59" t="s">
        <v>70</v>
      </c>
      <c r="B4" s="60">
        <f>'ol4'!C15</f>
        <v>0</v>
      </c>
      <c r="C4" t="s">
        <v>71</v>
      </c>
      <c r="E4" t="s">
        <v>72</v>
      </c>
      <c r="F4" s="61">
        <f>B4*1000/(B5-B6)</f>
        <v>0</v>
      </c>
      <c r="I4" s="55">
        <f t="shared" ref="I4:I17" si="0">IF($B$12&lt;12,(IF((L4&gt;4)*AND(L4&lt;16),2,0)),IF((L4&gt;4)*AND(L4&lt;20),2,0))</f>
        <v>0</v>
      </c>
      <c r="J4" s="58"/>
      <c r="K4" s="58"/>
      <c r="L4" s="58"/>
      <c r="M4" s="58"/>
      <c r="N4" s="58">
        <f t="shared" ref="N4:N17" si="1">IF((Q4&gt;4)*AND(Q4&lt;20),1,0)</f>
        <v>0</v>
      </c>
      <c r="O4" s="58"/>
      <c r="P4" s="58"/>
      <c r="Q4" s="62"/>
      <c r="R4" s="58">
        <f t="shared" ref="R4:R17" si="2">IF((U4&gt;4)*AND(U4&lt;20),1,0)</f>
        <v>0</v>
      </c>
      <c r="S4" s="58">
        <v>15</v>
      </c>
      <c r="T4" s="58">
        <f t="shared" ref="T4:T17" si="3">1/POWER(1.14+2*LOG10((S4/1000)/($K$21/1000)),2)</f>
        <v>5.9655827422120798E-2</v>
      </c>
      <c r="U4" s="62">
        <f t="shared" ref="U4:U17" si="4">0.00638*T4*POWER($F$16,2)/(POWER(S4/1000,5)*$K$20)</f>
        <v>0</v>
      </c>
      <c r="W4" s="63" t="s">
        <v>73</v>
      </c>
      <c r="X4" s="58">
        <f>IF(B12=0,0,IF(B12&gt;12,3,1.8))</f>
        <v>3</v>
      </c>
      <c r="Y4" s="58"/>
      <c r="Z4" s="64">
        <f t="shared" ref="Z4:Z21" si="5">IF(AB4&gt;$X$5,1,0)</f>
        <v>1</v>
      </c>
      <c r="AA4" s="65">
        <v>15</v>
      </c>
      <c r="AB4" s="66">
        <v>1.6</v>
      </c>
      <c r="AC4" s="64">
        <f t="shared" ref="AC4:AC22" si="6">IF(AE4&gt;$X$5,1,0)</f>
        <v>1</v>
      </c>
      <c r="AD4" s="65">
        <v>15</v>
      </c>
      <c r="AE4" s="66">
        <v>1.6</v>
      </c>
      <c r="AF4" s="58">
        <f t="shared" ref="AF4:AF16" si="7">IF(AH4&gt;$X$5,1,0)</f>
        <v>1</v>
      </c>
      <c r="AG4" s="67">
        <v>15</v>
      </c>
      <c r="AH4" s="62">
        <v>1.6</v>
      </c>
      <c r="AJ4" s="68">
        <v>4</v>
      </c>
      <c r="AK4" s="64" t="e">
        <f t="shared" ref="AK4:AK13" si="8">IF($F$13&lt;AJ4,1,0)</f>
        <v>#DIV/0!</v>
      </c>
      <c r="AL4" s="66" t="s">
        <v>74</v>
      </c>
      <c r="AM4" s="69" t="e">
        <f t="shared" ref="AM4:AM13" si="9">IF($F$13&lt;AJ4,1,0)</f>
        <v>#DIV/0!</v>
      </c>
      <c r="AN4" s="70" t="s">
        <v>75</v>
      </c>
      <c r="AO4" s="64" t="e">
        <f t="shared" ref="AO4:AO13" si="10">IF($F$13&lt;AJ4,1,0)</f>
        <v>#DIV/0!</v>
      </c>
      <c r="AP4" s="71" t="s">
        <v>76</v>
      </c>
      <c r="AS4" s="64">
        <v>0.1</v>
      </c>
      <c r="AT4" s="72">
        <f t="shared" ref="AT4:AT11" si="11">IF($B$4&lt;AS4,1,0)</f>
        <v>1</v>
      </c>
      <c r="AU4" s="72" t="s">
        <v>77</v>
      </c>
      <c r="AV4" s="72">
        <f t="shared" ref="AV4:AV11" si="12">IF($B$4&lt;AS4,1,0)</f>
        <v>1</v>
      </c>
      <c r="AW4" s="17">
        <v>1</v>
      </c>
      <c r="AX4" s="64">
        <v>0.1</v>
      </c>
      <c r="AY4" s="72">
        <f t="shared" ref="AY4:AY11" si="13">IF($B$4&lt;AX4,1,0)</f>
        <v>1</v>
      </c>
      <c r="AZ4" s="72" t="s">
        <v>77</v>
      </c>
      <c r="BA4" s="72">
        <f t="shared" ref="BA4:BA11" si="14">IF($B$4&lt;AX4,1,0)</f>
        <v>1</v>
      </c>
      <c r="BB4" s="17">
        <v>1</v>
      </c>
      <c r="BC4" s="55">
        <v>0.14000000000000001</v>
      </c>
      <c r="BD4" s="58">
        <f t="shared" ref="BD4:BD10" si="15">IF($B$4&lt;BC4,1,0)</f>
        <v>1</v>
      </c>
      <c r="BE4" s="72" t="s">
        <v>77</v>
      </c>
      <c r="BF4" s="58">
        <f t="shared" ref="BF4:BF10" si="16">IF($B$4&lt;BC4,1,0)</f>
        <v>1</v>
      </c>
      <c r="BG4" s="56">
        <v>1</v>
      </c>
      <c r="BH4" s="58">
        <v>0.05</v>
      </c>
      <c r="BI4" s="58">
        <f t="shared" ref="BI4:BI13" si="17">IF($B$4&lt;BH4,1,0)</f>
        <v>1</v>
      </c>
      <c r="BJ4" s="58" t="s">
        <v>77</v>
      </c>
      <c r="BK4" s="58">
        <f t="shared" ref="BK4:BK13" si="18">IF($B$4&lt;BH4,1,0)</f>
        <v>1</v>
      </c>
      <c r="BL4" s="62">
        <v>1</v>
      </c>
      <c r="BN4" s="51" t="s">
        <v>78</v>
      </c>
      <c r="BO4" s="35" t="s">
        <v>79</v>
      </c>
      <c r="BP4" s="52"/>
      <c r="BQ4" s="35" t="e">
        <f t="shared" ref="BQ4:BQ15" si="19">IF($F$5=BS4,1,0)</f>
        <v>#N/A</v>
      </c>
      <c r="BR4" s="57" t="s">
        <v>80</v>
      </c>
      <c r="BS4" s="35">
        <v>15</v>
      </c>
      <c r="BT4" s="54"/>
      <c r="BU4" s="73">
        <f t="shared" ref="BU4:BU26" si="20">IF($F$7=BX4,1,0)</f>
        <v>0</v>
      </c>
      <c r="BV4" s="57" t="s">
        <v>80</v>
      </c>
      <c r="BW4" s="35">
        <v>15</v>
      </c>
      <c r="BX4" s="56">
        <v>0.63</v>
      </c>
      <c r="BY4" s="52"/>
      <c r="BZ4" s="35">
        <f>IF($B$14=CB4,1,0)</f>
        <v>0</v>
      </c>
      <c r="CA4" s="57" t="s">
        <v>78</v>
      </c>
      <c r="CB4" s="35" t="s">
        <v>53</v>
      </c>
      <c r="CC4" s="52"/>
      <c r="CD4" s="35" t="e">
        <f t="shared" ref="CD4:CD15" si="21">IF($F$12=CF4,1,0)</f>
        <v>#N/A</v>
      </c>
      <c r="CE4" s="57" t="s">
        <v>80</v>
      </c>
      <c r="CF4" s="35">
        <v>15</v>
      </c>
      <c r="CG4" s="52"/>
      <c r="CH4" s="35" t="e">
        <f t="shared" ref="CH4:CH14" si="22">IF($E$14=CJ4,1,0)</f>
        <v>#N/A</v>
      </c>
      <c r="CI4" s="32">
        <v>1</v>
      </c>
      <c r="CJ4" s="32" t="s">
        <v>74</v>
      </c>
      <c r="CK4" s="32" t="e">
        <f t="shared" ref="CK4:CK10" si="23">IF($E$14=CM4,1,0)</f>
        <v>#N/A</v>
      </c>
      <c r="CL4" s="32">
        <v>1</v>
      </c>
      <c r="CM4" s="74" t="s">
        <v>75</v>
      </c>
      <c r="CN4" s="74" t="e">
        <f t="shared" ref="CN4:CN10" si="24">IF($E$14=CP4,1,0)</f>
        <v>#N/A</v>
      </c>
      <c r="CO4" s="32">
        <v>1</v>
      </c>
      <c r="CP4" s="74" t="s">
        <v>76</v>
      </c>
      <c r="CQ4" s="54"/>
      <c r="CR4" t="e">
        <f>IF(OR(E14="DPL 80/115-2,2/2",E14="DPL 100/175-3/4"),1,0)</f>
        <v>#N/A</v>
      </c>
      <c r="CS4" s="15">
        <v>5</v>
      </c>
      <c r="CU4" s="54"/>
      <c r="CV4" s="52"/>
      <c r="CW4" s="35">
        <f t="shared" ref="CW4:CW10" si="25">IF($E$9=CY4,1,0)</f>
        <v>0</v>
      </c>
      <c r="CX4" s="57" t="s">
        <v>81</v>
      </c>
      <c r="CY4" s="58" t="s">
        <v>82</v>
      </c>
      <c r="CZ4" s="54"/>
      <c r="DA4" s="35">
        <f t="shared" ref="DA4:DA9" si="26">IF($F$9=DC4,1,0)</f>
        <v>0</v>
      </c>
      <c r="DB4" s="57" t="s">
        <v>81</v>
      </c>
      <c r="DC4" s="58" t="s">
        <v>82</v>
      </c>
      <c r="DD4" s="54"/>
      <c r="DE4" s="35">
        <f>IF($B$16=DG4,1,0)</f>
        <v>0</v>
      </c>
      <c r="DF4" s="57" t="s">
        <v>78</v>
      </c>
      <c r="DG4" s="35" t="s">
        <v>83</v>
      </c>
      <c r="DH4" s="54"/>
      <c r="DI4" s="35">
        <f>IF($B$17=DK4,1,0)</f>
        <v>0</v>
      </c>
      <c r="DJ4" s="57" t="s">
        <v>78</v>
      </c>
      <c r="DK4" s="62" t="s">
        <v>84</v>
      </c>
    </row>
    <row r="5" spans="1:116" x14ac:dyDescent="0.25">
      <c r="A5" s="59" t="s">
        <v>85</v>
      </c>
      <c r="B5" s="75">
        <f>'ol4'!N13</f>
        <v>130</v>
      </c>
      <c r="C5" s="76" t="s">
        <v>86</v>
      </c>
      <c r="E5" t="s">
        <v>48</v>
      </c>
      <c r="F5" s="77" t="e">
        <f>VLOOKUP(2,I4:L17,2,0)</f>
        <v>#N/A</v>
      </c>
      <c r="I5" s="55">
        <f t="shared" si="0"/>
        <v>0</v>
      </c>
      <c r="J5" s="58"/>
      <c r="K5" s="58"/>
      <c r="L5" s="58"/>
      <c r="M5" s="58"/>
      <c r="N5" s="58">
        <f t="shared" si="1"/>
        <v>0</v>
      </c>
      <c r="O5" s="58"/>
      <c r="P5" s="58"/>
      <c r="Q5" s="62"/>
      <c r="R5" s="58">
        <f t="shared" si="2"/>
        <v>0</v>
      </c>
      <c r="S5" s="58">
        <v>20</v>
      </c>
      <c r="T5" s="58">
        <f t="shared" si="3"/>
        <v>5.2990299783484442E-2</v>
      </c>
      <c r="U5" s="62">
        <f t="shared" si="4"/>
        <v>0</v>
      </c>
      <c r="W5" s="63" t="s">
        <v>87</v>
      </c>
      <c r="X5" s="78">
        <f>F4/SQRT(0.1*X4)</f>
        <v>0</v>
      </c>
      <c r="Y5" s="78"/>
      <c r="Z5" s="55">
        <f t="shared" si="5"/>
        <v>1</v>
      </c>
      <c r="AA5" s="67">
        <v>15</v>
      </c>
      <c r="AB5" s="62">
        <v>2.5</v>
      </c>
      <c r="AC5" s="55">
        <f t="shared" si="6"/>
        <v>1</v>
      </c>
      <c r="AD5" s="67">
        <v>15</v>
      </c>
      <c r="AE5" s="62">
        <v>2.5</v>
      </c>
      <c r="AF5" s="58">
        <f t="shared" si="7"/>
        <v>1</v>
      </c>
      <c r="AG5" s="67">
        <v>15</v>
      </c>
      <c r="AH5" s="62">
        <v>2.5</v>
      </c>
      <c r="AJ5" s="73">
        <v>6</v>
      </c>
      <c r="AK5" s="55" t="e">
        <f t="shared" si="8"/>
        <v>#DIV/0!</v>
      </c>
      <c r="AL5" s="62" t="s">
        <v>88</v>
      </c>
      <c r="AM5" s="54" t="e">
        <f t="shared" si="9"/>
        <v>#DIV/0!</v>
      </c>
      <c r="AN5" s="54" t="s">
        <v>89</v>
      </c>
      <c r="AO5" s="55" t="e">
        <f t="shared" si="10"/>
        <v>#DIV/0!</v>
      </c>
      <c r="AP5" s="79" t="s">
        <v>90</v>
      </c>
      <c r="AS5" s="55">
        <v>0.25</v>
      </c>
      <c r="AT5" s="58">
        <f t="shared" si="11"/>
        <v>1</v>
      </c>
      <c r="AU5" s="58" t="s">
        <v>91</v>
      </c>
      <c r="AV5" s="58">
        <f t="shared" si="12"/>
        <v>1</v>
      </c>
      <c r="AW5" s="31">
        <v>1</v>
      </c>
      <c r="AX5" s="55">
        <v>0.25</v>
      </c>
      <c r="AY5" s="58">
        <f t="shared" si="13"/>
        <v>1</v>
      </c>
      <c r="AZ5" s="58" t="s">
        <v>91</v>
      </c>
      <c r="BA5" s="58">
        <f t="shared" si="14"/>
        <v>1</v>
      </c>
      <c r="BB5" s="31">
        <v>1</v>
      </c>
      <c r="BC5" s="55">
        <v>0.45</v>
      </c>
      <c r="BD5" s="58">
        <f t="shared" si="15"/>
        <v>1</v>
      </c>
      <c r="BE5" s="58" t="s">
        <v>92</v>
      </c>
      <c r="BF5" s="58">
        <f t="shared" si="16"/>
        <v>1</v>
      </c>
      <c r="BG5" s="56">
        <v>1</v>
      </c>
      <c r="BH5" s="58">
        <v>0.09</v>
      </c>
      <c r="BI5" s="58">
        <f t="shared" si="17"/>
        <v>1</v>
      </c>
      <c r="BJ5" s="58" t="s">
        <v>93</v>
      </c>
      <c r="BK5" s="58">
        <f t="shared" si="18"/>
        <v>1</v>
      </c>
      <c r="BL5" s="62">
        <v>1</v>
      </c>
      <c r="BN5" s="51" t="s">
        <v>94</v>
      </c>
      <c r="BO5" s="35" t="s">
        <v>95</v>
      </c>
      <c r="BP5" s="52"/>
      <c r="BQ5" s="35" t="e">
        <f t="shared" si="19"/>
        <v>#N/A</v>
      </c>
      <c r="BR5" s="57" t="s">
        <v>96</v>
      </c>
      <c r="BS5" s="35">
        <v>20</v>
      </c>
      <c r="BT5" s="54"/>
      <c r="BU5" s="73">
        <f t="shared" si="20"/>
        <v>0</v>
      </c>
      <c r="BV5" s="57" t="s">
        <v>96</v>
      </c>
      <c r="BW5" s="35">
        <v>15</v>
      </c>
      <c r="BX5" s="56">
        <v>1.25</v>
      </c>
      <c r="BY5" s="52"/>
      <c r="BZ5" s="35">
        <f>IF($B$14=CB5,1,0)</f>
        <v>0</v>
      </c>
      <c r="CA5" s="57" t="s">
        <v>94</v>
      </c>
      <c r="CB5" s="35" t="s">
        <v>55</v>
      </c>
      <c r="CC5" s="52"/>
      <c r="CD5" s="35" t="e">
        <f t="shared" si="21"/>
        <v>#N/A</v>
      </c>
      <c r="CE5" s="57" t="s">
        <v>96</v>
      </c>
      <c r="CF5" s="35">
        <v>20</v>
      </c>
      <c r="CG5" s="52"/>
      <c r="CH5" s="35" t="e">
        <f t="shared" si="22"/>
        <v>#N/A</v>
      </c>
      <c r="CI5" s="32">
        <v>2</v>
      </c>
      <c r="CJ5" s="32" t="s">
        <v>88</v>
      </c>
      <c r="CK5" s="32" t="e">
        <f t="shared" si="23"/>
        <v>#N/A</v>
      </c>
      <c r="CL5" s="32">
        <v>2</v>
      </c>
      <c r="CM5" s="32" t="s">
        <v>89</v>
      </c>
      <c r="CN5" s="74" t="e">
        <f t="shared" si="24"/>
        <v>#N/A</v>
      </c>
      <c r="CO5" s="32">
        <v>2</v>
      </c>
      <c r="CP5" s="74" t="s">
        <v>90</v>
      </c>
      <c r="CQ5" s="54"/>
      <c r="CR5" s="58">
        <f>IF($B$15=CT5,1,0)</f>
        <v>0</v>
      </c>
      <c r="CS5" s="32">
        <v>1</v>
      </c>
      <c r="CT5" s="32" t="s">
        <v>33</v>
      </c>
      <c r="CU5" s="54"/>
      <c r="CV5" s="52"/>
      <c r="CW5" s="35">
        <f t="shared" si="25"/>
        <v>1</v>
      </c>
      <c r="CX5" s="57" t="s">
        <v>78</v>
      </c>
      <c r="CY5" s="35" t="s">
        <v>77</v>
      </c>
      <c r="CZ5" s="54"/>
      <c r="DA5" s="35">
        <f t="shared" si="26"/>
        <v>1</v>
      </c>
      <c r="DB5" s="57" t="s">
        <v>78</v>
      </c>
      <c r="DC5" s="35">
        <v>1</v>
      </c>
      <c r="DD5" s="54"/>
      <c r="DE5" s="35">
        <f>IF($B$16=DG5,1,0)</f>
        <v>0</v>
      </c>
      <c r="DF5" s="57" t="s">
        <v>94</v>
      </c>
      <c r="DG5" s="35" t="s">
        <v>55</v>
      </c>
      <c r="DH5" s="54"/>
      <c r="DI5" s="35">
        <f>IF($B$17=DK5,1,0)</f>
        <v>1</v>
      </c>
      <c r="DJ5" s="57" t="s">
        <v>81</v>
      </c>
      <c r="DK5" s="56" t="s">
        <v>97</v>
      </c>
    </row>
    <row r="6" spans="1:116" x14ac:dyDescent="0.25">
      <c r="A6" s="59" t="s">
        <v>98</v>
      </c>
      <c r="B6" s="75">
        <f>IF(OR('ol4'!C28="зависимая",'ol4'!C28=0),'ol4'!R13,IF(('ol4'!R13-B8)&lt;5,B8+5,'ol4'!R13))</f>
        <v>70</v>
      </c>
      <c r="C6" s="76" t="s">
        <v>86</v>
      </c>
      <c r="E6" t="s">
        <v>99</v>
      </c>
      <c r="F6" s="77">
        <f>VLOOKUP(1,IF(B14="IMI Hydronic",Z4:AB21,IF(B14="Siemens",AC4:AE22,AF4:AH16)),2,0)</f>
        <v>15</v>
      </c>
      <c r="I6" s="55">
        <f t="shared" si="0"/>
        <v>0</v>
      </c>
      <c r="J6" s="58"/>
      <c r="K6" s="58"/>
      <c r="L6" s="58"/>
      <c r="M6" s="58"/>
      <c r="N6" s="58">
        <f t="shared" si="1"/>
        <v>0</v>
      </c>
      <c r="O6" s="58"/>
      <c r="P6" s="58"/>
      <c r="Q6" s="62"/>
      <c r="R6" s="58">
        <f t="shared" si="2"/>
        <v>0</v>
      </c>
      <c r="S6" s="58">
        <v>25</v>
      </c>
      <c r="T6" s="58">
        <f t="shared" si="3"/>
        <v>4.8560427292756572E-2</v>
      </c>
      <c r="U6" s="62">
        <f t="shared" si="4"/>
        <v>0</v>
      </c>
      <c r="W6" s="55"/>
      <c r="X6" s="58"/>
      <c r="Y6" s="58"/>
      <c r="Z6" s="55">
        <f t="shared" si="5"/>
        <v>1</v>
      </c>
      <c r="AA6" s="67">
        <v>15</v>
      </c>
      <c r="AB6" s="62">
        <v>4</v>
      </c>
      <c r="AC6" s="55">
        <f t="shared" si="6"/>
        <v>1</v>
      </c>
      <c r="AD6" s="67">
        <v>15</v>
      </c>
      <c r="AE6" s="62">
        <v>4</v>
      </c>
      <c r="AF6" s="58">
        <f t="shared" si="7"/>
        <v>1</v>
      </c>
      <c r="AG6" s="67">
        <v>15</v>
      </c>
      <c r="AH6" s="62">
        <v>4</v>
      </c>
      <c r="AJ6" s="73">
        <v>10</v>
      </c>
      <c r="AK6" s="55" t="e">
        <f t="shared" si="8"/>
        <v>#DIV/0!</v>
      </c>
      <c r="AL6" s="62" t="s">
        <v>100</v>
      </c>
      <c r="AM6" s="54" t="e">
        <f t="shared" si="9"/>
        <v>#DIV/0!</v>
      </c>
      <c r="AN6" s="54" t="s">
        <v>101</v>
      </c>
      <c r="AO6" s="55" t="e">
        <f t="shared" si="10"/>
        <v>#DIV/0!</v>
      </c>
      <c r="AP6" s="79" t="s">
        <v>102</v>
      </c>
      <c r="AR6" s="58"/>
      <c r="AS6" s="55">
        <v>0.67</v>
      </c>
      <c r="AT6" s="58">
        <f t="shared" si="11"/>
        <v>1</v>
      </c>
      <c r="AU6" s="58" t="s">
        <v>92</v>
      </c>
      <c r="AV6" s="58">
        <f t="shared" si="12"/>
        <v>1</v>
      </c>
      <c r="AW6" s="31">
        <v>1</v>
      </c>
      <c r="AX6" s="55">
        <v>0.57499999999999996</v>
      </c>
      <c r="AY6" s="58">
        <f t="shared" si="13"/>
        <v>1</v>
      </c>
      <c r="AZ6" s="58" t="s">
        <v>92</v>
      </c>
      <c r="BA6" s="58">
        <f t="shared" si="14"/>
        <v>1</v>
      </c>
      <c r="BB6" s="31">
        <v>1</v>
      </c>
      <c r="BC6" s="55">
        <v>0.71</v>
      </c>
      <c r="BD6" s="58">
        <f t="shared" si="15"/>
        <v>1</v>
      </c>
      <c r="BE6" s="58" t="s">
        <v>92</v>
      </c>
      <c r="BF6" s="58">
        <f t="shared" si="16"/>
        <v>1</v>
      </c>
      <c r="BG6" s="56">
        <v>2</v>
      </c>
      <c r="BH6">
        <v>0.3</v>
      </c>
      <c r="BI6" s="58">
        <f t="shared" si="17"/>
        <v>1</v>
      </c>
      <c r="BJ6" s="58" t="s">
        <v>92</v>
      </c>
      <c r="BK6" s="58">
        <f t="shared" si="18"/>
        <v>1</v>
      </c>
      <c r="BL6" s="62">
        <v>1</v>
      </c>
      <c r="BN6" s="51"/>
      <c r="BO6" s="35"/>
      <c r="BP6" s="52"/>
      <c r="BQ6" s="35" t="e">
        <f t="shared" si="19"/>
        <v>#N/A</v>
      </c>
      <c r="BR6" s="57" t="s">
        <v>103</v>
      </c>
      <c r="BS6" s="35">
        <v>25</v>
      </c>
      <c r="BT6" s="54"/>
      <c r="BU6" s="73">
        <f t="shared" si="20"/>
        <v>1</v>
      </c>
      <c r="BV6" s="57" t="s">
        <v>103</v>
      </c>
      <c r="BW6" s="35">
        <v>15</v>
      </c>
      <c r="BX6" s="56">
        <v>1.6</v>
      </c>
      <c r="BY6" s="52"/>
      <c r="BZ6" s="35">
        <f>IF($B$14=CB6,1,0)</f>
        <v>0</v>
      </c>
      <c r="CA6" s="57" t="s">
        <v>104</v>
      </c>
      <c r="CB6" s="35" t="s">
        <v>54</v>
      </c>
      <c r="CC6" s="52"/>
      <c r="CD6" s="35" t="e">
        <f t="shared" si="21"/>
        <v>#N/A</v>
      </c>
      <c r="CE6" s="57" t="s">
        <v>103</v>
      </c>
      <c r="CF6" s="35">
        <v>25</v>
      </c>
      <c r="CG6" s="52"/>
      <c r="CH6" s="35" t="e">
        <f t="shared" si="22"/>
        <v>#N/A</v>
      </c>
      <c r="CI6" s="32">
        <v>3</v>
      </c>
      <c r="CJ6" s="32" t="s">
        <v>100</v>
      </c>
      <c r="CK6" s="32" t="e">
        <f t="shared" si="23"/>
        <v>#N/A</v>
      </c>
      <c r="CL6" s="32">
        <v>3</v>
      </c>
      <c r="CM6" s="32" t="s">
        <v>101</v>
      </c>
      <c r="CN6" s="74" t="e">
        <f t="shared" si="24"/>
        <v>#N/A</v>
      </c>
      <c r="CO6" s="32">
        <v>3</v>
      </c>
      <c r="CP6" s="74" t="s">
        <v>102</v>
      </c>
      <c r="CQ6" s="54"/>
      <c r="CR6" s="58">
        <f>IF($B$15=CT6,1,0)</f>
        <v>0</v>
      </c>
      <c r="CS6" s="32">
        <v>2</v>
      </c>
      <c r="CT6" s="32" t="s">
        <v>34</v>
      </c>
      <c r="CU6" s="54"/>
      <c r="CV6" s="52"/>
      <c r="CW6" s="35">
        <f t="shared" si="25"/>
        <v>0</v>
      </c>
      <c r="CX6" s="57" t="s">
        <v>94</v>
      </c>
      <c r="CY6" s="35" t="s">
        <v>91</v>
      </c>
      <c r="CZ6" s="54"/>
      <c r="DA6" s="35">
        <f t="shared" si="26"/>
        <v>0</v>
      </c>
      <c r="DB6" s="57" t="s">
        <v>94</v>
      </c>
      <c r="DC6" s="35">
        <v>2</v>
      </c>
      <c r="DD6" s="54"/>
      <c r="DE6" s="35">
        <f>IF($B$16=DG6,1,0)</f>
        <v>0</v>
      </c>
      <c r="DF6" s="57" t="s">
        <v>104</v>
      </c>
      <c r="DG6" s="80" t="s">
        <v>54</v>
      </c>
      <c r="DH6" s="54"/>
      <c r="DI6" s="35"/>
      <c r="DJ6" s="57"/>
      <c r="DK6" s="56"/>
    </row>
    <row r="7" spans="1:116" x14ac:dyDescent="0.25">
      <c r="A7" s="59" t="s">
        <v>105</v>
      </c>
      <c r="B7" s="75">
        <f>'ol4'!N15</f>
        <v>0</v>
      </c>
      <c r="C7" s="76" t="s">
        <v>86</v>
      </c>
      <c r="E7" t="s">
        <v>106</v>
      </c>
      <c r="F7" s="77">
        <f>VLOOKUP(1,IF(B14="IMI Hydronic",Z4:AB21,IF(B14="Siemens",AC4:AE22,AF4:AH16)),3,0)</f>
        <v>1.6</v>
      </c>
      <c r="I7" s="55">
        <f t="shared" si="0"/>
        <v>0</v>
      </c>
      <c r="J7" s="58"/>
      <c r="K7" s="58"/>
      <c r="L7" s="58"/>
      <c r="M7" s="58"/>
      <c r="N7" s="58">
        <f t="shared" si="1"/>
        <v>0</v>
      </c>
      <c r="O7" s="58"/>
      <c r="P7" s="58"/>
      <c r="Q7" s="62"/>
      <c r="R7" s="58">
        <f t="shared" si="2"/>
        <v>0</v>
      </c>
      <c r="S7" s="58">
        <v>32</v>
      </c>
      <c r="T7" s="58">
        <f t="shared" si="3"/>
        <v>4.4277322004702871E-2</v>
      </c>
      <c r="U7" s="62">
        <f t="shared" si="4"/>
        <v>0</v>
      </c>
      <c r="W7" s="55"/>
      <c r="X7" s="58"/>
      <c r="Y7" s="58"/>
      <c r="Z7" s="55">
        <f t="shared" si="5"/>
        <v>1</v>
      </c>
      <c r="AA7" s="67">
        <v>20</v>
      </c>
      <c r="AB7" s="62">
        <v>6.3</v>
      </c>
      <c r="AC7" s="55">
        <f t="shared" si="6"/>
        <v>1</v>
      </c>
      <c r="AD7" s="67">
        <v>20</v>
      </c>
      <c r="AE7" s="62">
        <v>6.3</v>
      </c>
      <c r="AF7" s="58">
        <f t="shared" si="7"/>
        <v>1</v>
      </c>
      <c r="AG7" s="67">
        <v>20</v>
      </c>
      <c r="AH7" s="62">
        <v>6.3</v>
      </c>
      <c r="AJ7" s="73">
        <v>14</v>
      </c>
      <c r="AK7" s="55" t="e">
        <f t="shared" si="8"/>
        <v>#DIV/0!</v>
      </c>
      <c r="AL7" s="62" t="s">
        <v>107</v>
      </c>
      <c r="AM7" s="54" t="e">
        <f t="shared" si="9"/>
        <v>#DIV/0!</v>
      </c>
      <c r="AN7" s="54" t="s">
        <v>108</v>
      </c>
      <c r="AO7" s="55" t="e">
        <f t="shared" si="10"/>
        <v>#DIV/0!</v>
      </c>
      <c r="AP7" s="54" t="s">
        <v>109</v>
      </c>
      <c r="AR7" s="58"/>
      <c r="AS7" s="55">
        <v>1</v>
      </c>
      <c r="AT7" s="58">
        <f t="shared" si="11"/>
        <v>1</v>
      </c>
      <c r="AU7" s="58" t="s">
        <v>92</v>
      </c>
      <c r="AV7" s="58">
        <f t="shared" si="12"/>
        <v>1</v>
      </c>
      <c r="AW7" s="31">
        <v>2</v>
      </c>
      <c r="AX7" s="81">
        <v>0.9</v>
      </c>
      <c r="AY7" s="58">
        <f t="shared" si="13"/>
        <v>1</v>
      </c>
      <c r="AZ7" s="58" t="s">
        <v>92</v>
      </c>
      <c r="BA7" s="58">
        <f t="shared" si="14"/>
        <v>1</v>
      </c>
      <c r="BB7" s="31">
        <v>2</v>
      </c>
      <c r="BC7" s="55">
        <v>0.95</v>
      </c>
      <c r="BD7" s="58">
        <f t="shared" si="15"/>
        <v>1</v>
      </c>
      <c r="BE7" s="58" t="s">
        <v>92</v>
      </c>
      <c r="BF7" s="58">
        <f t="shared" si="16"/>
        <v>1</v>
      </c>
      <c r="BG7" s="82">
        <v>3</v>
      </c>
      <c r="BH7">
        <v>0.48</v>
      </c>
      <c r="BI7" s="58">
        <f t="shared" si="17"/>
        <v>1</v>
      </c>
      <c r="BJ7" s="58" t="s">
        <v>92</v>
      </c>
      <c r="BK7" s="58">
        <f t="shared" si="18"/>
        <v>1</v>
      </c>
      <c r="BL7" s="62">
        <v>2</v>
      </c>
      <c r="BN7" s="51"/>
      <c r="BO7" s="35"/>
      <c r="BP7" s="52"/>
      <c r="BQ7" s="35" t="e">
        <f t="shared" si="19"/>
        <v>#N/A</v>
      </c>
      <c r="BR7" s="57" t="s">
        <v>110</v>
      </c>
      <c r="BS7" s="35">
        <v>32</v>
      </c>
      <c r="BT7" s="54"/>
      <c r="BU7" s="73">
        <f t="shared" si="20"/>
        <v>0</v>
      </c>
      <c r="BV7" s="57" t="s">
        <v>110</v>
      </c>
      <c r="BW7" s="35">
        <v>15</v>
      </c>
      <c r="BX7" s="56">
        <v>2.5</v>
      </c>
      <c r="BY7" s="52"/>
      <c r="BZ7" s="35"/>
      <c r="CA7" s="57"/>
      <c r="CB7" s="35"/>
      <c r="CC7" s="52"/>
      <c r="CD7" s="35" t="e">
        <f t="shared" si="21"/>
        <v>#N/A</v>
      </c>
      <c r="CE7" s="57" t="s">
        <v>110</v>
      </c>
      <c r="CF7" s="35">
        <v>32</v>
      </c>
      <c r="CG7" s="52"/>
      <c r="CH7" s="35" t="e">
        <f t="shared" si="22"/>
        <v>#N/A</v>
      </c>
      <c r="CI7" s="80">
        <v>4</v>
      </c>
      <c r="CJ7" s="32" t="s">
        <v>107</v>
      </c>
      <c r="CK7" s="32" t="e">
        <f t="shared" si="23"/>
        <v>#N/A</v>
      </c>
      <c r="CL7" s="80">
        <v>4</v>
      </c>
      <c r="CM7" s="32" t="s">
        <v>108</v>
      </c>
      <c r="CN7" s="74" t="e">
        <f t="shared" si="24"/>
        <v>#N/A</v>
      </c>
      <c r="CO7" s="80">
        <v>4</v>
      </c>
      <c r="CP7" s="32" t="s">
        <v>109</v>
      </c>
      <c r="CQ7" s="54"/>
      <c r="CR7" s="58">
        <f>IF($B$15=CT7,1,0)</f>
        <v>0</v>
      </c>
      <c r="CS7" s="32">
        <v>3</v>
      </c>
      <c r="CT7" s="80" t="s">
        <v>35</v>
      </c>
      <c r="CU7" s="54"/>
      <c r="CV7" s="52"/>
      <c r="CW7" s="35">
        <f t="shared" si="25"/>
        <v>0</v>
      </c>
      <c r="CX7" s="57" t="s">
        <v>104</v>
      </c>
      <c r="CY7" s="80" t="s">
        <v>93</v>
      </c>
      <c r="CZ7" s="54"/>
      <c r="DA7" s="35">
        <f t="shared" si="26"/>
        <v>0</v>
      </c>
      <c r="DB7" s="57" t="s">
        <v>104</v>
      </c>
      <c r="DC7" s="35">
        <v>3</v>
      </c>
      <c r="DD7" s="54"/>
      <c r="DE7" s="35"/>
      <c r="DF7" s="58"/>
      <c r="DG7" s="58"/>
      <c r="DH7" s="54"/>
      <c r="DI7" s="35"/>
      <c r="DJ7" s="57"/>
      <c r="DK7" s="83"/>
    </row>
    <row r="8" spans="1:116" x14ac:dyDescent="0.25">
      <c r="A8" s="59" t="s">
        <v>111</v>
      </c>
      <c r="B8" s="75">
        <f>'ol4'!R15</f>
        <v>0</v>
      </c>
      <c r="C8" s="76" t="s">
        <v>86</v>
      </c>
      <c r="E8" s="84" t="s">
        <v>73</v>
      </c>
      <c r="F8" s="61">
        <f>(F4^2/F7^2)*10</f>
        <v>0</v>
      </c>
      <c r="I8" s="55">
        <f t="shared" si="0"/>
        <v>0</v>
      </c>
      <c r="J8" s="58"/>
      <c r="K8" s="58"/>
      <c r="L8" s="58"/>
      <c r="M8" s="58"/>
      <c r="N8" s="58">
        <f t="shared" si="1"/>
        <v>0</v>
      </c>
      <c r="O8" s="58"/>
      <c r="P8" s="58"/>
      <c r="Q8" s="62"/>
      <c r="R8" s="58">
        <f t="shared" si="2"/>
        <v>0</v>
      </c>
      <c r="S8" s="58">
        <v>40</v>
      </c>
      <c r="T8" s="58">
        <f t="shared" si="3"/>
        <v>4.0875226338606248E-2</v>
      </c>
      <c r="U8" s="62">
        <f t="shared" si="4"/>
        <v>0</v>
      </c>
      <c r="W8" s="63"/>
      <c r="X8" s="58"/>
      <c r="Y8" s="78"/>
      <c r="Z8" s="55">
        <f t="shared" si="5"/>
        <v>1</v>
      </c>
      <c r="AA8" s="67">
        <v>25</v>
      </c>
      <c r="AB8" s="62">
        <v>10</v>
      </c>
      <c r="AC8" s="55">
        <f t="shared" si="6"/>
        <v>1</v>
      </c>
      <c r="AD8" s="67">
        <v>25</v>
      </c>
      <c r="AE8" s="62">
        <v>10</v>
      </c>
      <c r="AF8" s="58">
        <f t="shared" si="7"/>
        <v>1</v>
      </c>
      <c r="AG8" s="67">
        <v>25</v>
      </c>
      <c r="AH8" s="62">
        <v>10</v>
      </c>
      <c r="AJ8" s="73">
        <v>25</v>
      </c>
      <c r="AK8" s="55" t="e">
        <f t="shared" si="8"/>
        <v>#DIV/0!</v>
      </c>
      <c r="AL8" s="62" t="s">
        <v>112</v>
      </c>
      <c r="AM8" s="54" t="e">
        <f t="shared" si="9"/>
        <v>#DIV/0!</v>
      </c>
      <c r="AN8" s="54" t="s">
        <v>113</v>
      </c>
      <c r="AO8" s="55" t="e">
        <f t="shared" si="10"/>
        <v>#DIV/0!</v>
      </c>
      <c r="AP8" s="79" t="s">
        <v>114</v>
      </c>
      <c r="AR8" s="58"/>
      <c r="AS8" s="55">
        <v>1.25</v>
      </c>
      <c r="AT8" s="58">
        <f t="shared" si="11"/>
        <v>1</v>
      </c>
      <c r="AU8" s="58" t="s">
        <v>92</v>
      </c>
      <c r="AV8" s="58">
        <f t="shared" si="12"/>
        <v>1</v>
      </c>
      <c r="AW8" s="31">
        <v>3</v>
      </c>
      <c r="AX8" s="81">
        <v>1.1599999999999999</v>
      </c>
      <c r="AY8" s="58">
        <f t="shared" si="13"/>
        <v>1</v>
      </c>
      <c r="AZ8" s="58" t="s">
        <v>92</v>
      </c>
      <c r="BA8" s="58">
        <f t="shared" si="14"/>
        <v>1</v>
      </c>
      <c r="BB8" s="31">
        <v>3</v>
      </c>
      <c r="BC8" s="55">
        <v>1.25</v>
      </c>
      <c r="BD8" s="58">
        <f t="shared" si="15"/>
        <v>1</v>
      </c>
      <c r="BE8" s="58" t="s">
        <v>92</v>
      </c>
      <c r="BF8" s="58">
        <f t="shared" si="16"/>
        <v>1</v>
      </c>
      <c r="BG8" s="82">
        <v>4</v>
      </c>
      <c r="BH8">
        <v>0.66</v>
      </c>
      <c r="BI8" s="58">
        <f t="shared" si="17"/>
        <v>1</v>
      </c>
      <c r="BJ8" s="58" t="s">
        <v>92</v>
      </c>
      <c r="BK8" s="58">
        <f t="shared" si="18"/>
        <v>1</v>
      </c>
      <c r="BL8" s="62">
        <v>3</v>
      </c>
      <c r="BN8" s="51"/>
      <c r="BO8" s="35"/>
      <c r="BP8" s="52"/>
      <c r="BQ8" s="35" t="e">
        <f t="shared" si="19"/>
        <v>#N/A</v>
      </c>
      <c r="BR8" s="57" t="s">
        <v>115</v>
      </c>
      <c r="BS8" s="35">
        <v>40</v>
      </c>
      <c r="BT8" s="54"/>
      <c r="BU8" s="73">
        <f t="shared" si="20"/>
        <v>0</v>
      </c>
      <c r="BV8" s="57" t="s">
        <v>115</v>
      </c>
      <c r="BW8" s="35">
        <v>15</v>
      </c>
      <c r="BX8" s="56">
        <v>4</v>
      </c>
      <c r="BY8" s="52"/>
      <c r="BZ8" s="35"/>
      <c r="CA8" s="57"/>
      <c r="CB8" s="35"/>
      <c r="CC8" s="52"/>
      <c r="CD8" s="35" t="e">
        <f t="shared" si="21"/>
        <v>#N/A</v>
      </c>
      <c r="CE8" s="57" t="s">
        <v>115</v>
      </c>
      <c r="CF8" s="35">
        <v>40</v>
      </c>
      <c r="CG8" s="52"/>
      <c r="CH8" s="35" t="e">
        <f t="shared" si="22"/>
        <v>#N/A</v>
      </c>
      <c r="CI8" s="80">
        <v>5</v>
      </c>
      <c r="CJ8" s="32" t="s">
        <v>112</v>
      </c>
      <c r="CK8" s="32" t="e">
        <f t="shared" si="23"/>
        <v>#N/A</v>
      </c>
      <c r="CL8" s="80">
        <v>5</v>
      </c>
      <c r="CM8" s="32" t="s">
        <v>113</v>
      </c>
      <c r="CN8" s="74" t="e">
        <f t="shared" si="24"/>
        <v>#N/A</v>
      </c>
      <c r="CO8" s="80">
        <v>5</v>
      </c>
      <c r="CP8" s="74" t="s">
        <v>114</v>
      </c>
      <c r="CQ8" s="54"/>
      <c r="CU8" s="54"/>
      <c r="CV8" s="52"/>
      <c r="CW8" s="35">
        <f t="shared" si="25"/>
        <v>0</v>
      </c>
      <c r="CX8" s="57" t="s">
        <v>116</v>
      </c>
      <c r="CY8" s="35" t="s">
        <v>92</v>
      </c>
      <c r="CZ8" s="54"/>
      <c r="DA8" s="35">
        <f t="shared" si="26"/>
        <v>0</v>
      </c>
      <c r="DB8" s="57" t="s">
        <v>116</v>
      </c>
      <c r="DC8" s="35">
        <v>4</v>
      </c>
      <c r="DD8" s="54"/>
      <c r="DE8" s="35"/>
      <c r="DF8" s="57"/>
      <c r="DG8" s="35"/>
      <c r="DH8" s="54"/>
      <c r="DI8" s="35"/>
      <c r="DJ8" s="57"/>
      <c r="DK8" s="56"/>
    </row>
    <row r="9" spans="1:116" x14ac:dyDescent="0.25">
      <c r="A9" s="59" t="s">
        <v>117</v>
      </c>
      <c r="B9" s="75">
        <f>'ol4'!W13*100</f>
        <v>60</v>
      </c>
      <c r="C9" s="76" t="s">
        <v>118</v>
      </c>
      <c r="E9" s="85" t="str">
        <f>IF('ol4'!C28="ЗАВИСИМАЯ","ОТСУТСТВУЕТ",VLOOKUP(1,IF(B5=150,AT4:AU11,IF(B5=130,AY4:AZ11,IF(B5=115,BD4:BE10,IF(B5=105,BI4:BJ13,0)))),2,0))</f>
        <v>НН08</v>
      </c>
      <c r="F9" s="77">
        <f>IF('ol4'!C28="ЗАВИСИМАЯ","ОТСУТСТВУЕТ",VLOOKUP(1,IF(B5=150,AV4:AW11,IF(B5=130,BA4:BB11,IF(B5=115,BF4:BG10,IF(B5=105,BK4:BL13,0)))),2,0))</f>
        <v>1</v>
      </c>
      <c r="I9" s="55">
        <f t="shared" si="0"/>
        <v>0</v>
      </c>
      <c r="J9" s="58"/>
      <c r="K9" s="58"/>
      <c r="L9" s="58"/>
      <c r="M9" s="58"/>
      <c r="N9" s="58">
        <f t="shared" si="1"/>
        <v>0</v>
      </c>
      <c r="O9" s="58"/>
      <c r="P9" s="58"/>
      <c r="Q9" s="62"/>
      <c r="R9" s="58">
        <f t="shared" si="2"/>
        <v>0</v>
      </c>
      <c r="S9" s="58">
        <v>50</v>
      </c>
      <c r="T9" s="58">
        <f t="shared" si="3"/>
        <v>3.7850686611455138E-2</v>
      </c>
      <c r="U9" s="62">
        <f t="shared" si="4"/>
        <v>0</v>
      </c>
      <c r="W9" s="63"/>
      <c r="X9" s="78"/>
      <c r="Y9" s="58"/>
      <c r="Z9" s="55">
        <f t="shared" si="5"/>
        <v>1</v>
      </c>
      <c r="AA9" s="67">
        <v>32</v>
      </c>
      <c r="AB9" s="62">
        <v>16</v>
      </c>
      <c r="AC9" s="55">
        <f t="shared" si="6"/>
        <v>1</v>
      </c>
      <c r="AD9" s="67">
        <v>32</v>
      </c>
      <c r="AE9" s="62">
        <v>16</v>
      </c>
      <c r="AF9" s="58">
        <f t="shared" si="7"/>
        <v>1</v>
      </c>
      <c r="AG9" s="67">
        <v>32</v>
      </c>
      <c r="AH9" s="62">
        <v>16</v>
      </c>
      <c r="AJ9" s="73">
        <v>30</v>
      </c>
      <c r="AK9" s="55" t="e">
        <f t="shared" si="8"/>
        <v>#DIV/0!</v>
      </c>
      <c r="AL9" s="62" t="s">
        <v>119</v>
      </c>
      <c r="AM9" s="54" t="e">
        <f t="shared" si="9"/>
        <v>#DIV/0!</v>
      </c>
      <c r="AN9" s="54" t="s">
        <v>120</v>
      </c>
      <c r="AO9" s="55" t="e">
        <f t="shared" si="10"/>
        <v>#DIV/0!</v>
      </c>
      <c r="AP9" s="79" t="s">
        <v>121</v>
      </c>
      <c r="AR9" s="58"/>
      <c r="AS9" s="55">
        <v>1.3</v>
      </c>
      <c r="AT9" s="58">
        <f t="shared" si="11"/>
        <v>1</v>
      </c>
      <c r="AU9" s="58" t="s">
        <v>92</v>
      </c>
      <c r="AV9" s="58">
        <f t="shared" si="12"/>
        <v>1</v>
      </c>
      <c r="AW9" s="31">
        <v>4</v>
      </c>
      <c r="AX9" s="55">
        <v>1.3</v>
      </c>
      <c r="AY9" s="58">
        <f t="shared" si="13"/>
        <v>1</v>
      </c>
      <c r="AZ9" s="58" t="s">
        <v>92</v>
      </c>
      <c r="BA9" s="58">
        <f t="shared" si="14"/>
        <v>1</v>
      </c>
      <c r="BB9" s="31">
        <v>4</v>
      </c>
      <c r="BC9" s="55">
        <v>1.8</v>
      </c>
      <c r="BD9" s="58">
        <f t="shared" si="15"/>
        <v>1</v>
      </c>
      <c r="BE9" s="58" t="s">
        <v>122</v>
      </c>
      <c r="BF9" s="58">
        <f t="shared" si="16"/>
        <v>1</v>
      </c>
      <c r="BG9" s="82">
        <v>2</v>
      </c>
      <c r="BH9" s="58">
        <v>0.91</v>
      </c>
      <c r="BI9" s="58">
        <f t="shared" si="17"/>
        <v>1</v>
      </c>
      <c r="BJ9" s="58" t="s">
        <v>92</v>
      </c>
      <c r="BK9" s="58">
        <f t="shared" si="18"/>
        <v>1</v>
      </c>
      <c r="BL9" s="62">
        <v>4</v>
      </c>
      <c r="BN9" s="51"/>
      <c r="BO9" s="35"/>
      <c r="BP9" s="52"/>
      <c r="BQ9" s="35" t="e">
        <f t="shared" si="19"/>
        <v>#N/A</v>
      </c>
      <c r="BR9" s="57" t="s">
        <v>123</v>
      </c>
      <c r="BS9" s="35">
        <v>50</v>
      </c>
      <c r="BT9" s="54"/>
      <c r="BU9" s="73">
        <f t="shared" si="20"/>
        <v>0</v>
      </c>
      <c r="BV9" s="57" t="s">
        <v>123</v>
      </c>
      <c r="BW9" s="35">
        <v>20</v>
      </c>
      <c r="BX9" s="56">
        <v>5</v>
      </c>
      <c r="BY9" s="52"/>
      <c r="BZ9" s="35"/>
      <c r="CA9" s="57"/>
      <c r="CB9" s="35"/>
      <c r="CC9" s="52"/>
      <c r="CD9" s="35" t="e">
        <f t="shared" si="21"/>
        <v>#N/A</v>
      </c>
      <c r="CE9" s="57" t="s">
        <v>123</v>
      </c>
      <c r="CF9" s="35">
        <v>50</v>
      </c>
      <c r="CG9" s="52"/>
      <c r="CH9" s="35" t="e">
        <f t="shared" si="22"/>
        <v>#N/A</v>
      </c>
      <c r="CI9" s="80">
        <v>6</v>
      </c>
      <c r="CJ9" s="32" t="s">
        <v>119</v>
      </c>
      <c r="CK9" s="32" t="e">
        <f t="shared" si="23"/>
        <v>#N/A</v>
      </c>
      <c r="CL9" s="80">
        <v>6</v>
      </c>
      <c r="CM9" s="32" t="s">
        <v>120</v>
      </c>
      <c r="CN9" s="74" t="e">
        <f t="shared" si="24"/>
        <v>#N/A</v>
      </c>
      <c r="CO9" s="80">
        <v>6</v>
      </c>
      <c r="CP9" s="74" t="s">
        <v>121</v>
      </c>
      <c r="CQ9" s="54"/>
      <c r="CR9" s="58"/>
      <c r="CS9" s="58"/>
      <c r="CT9" s="58"/>
      <c r="CU9" s="54"/>
      <c r="CV9" s="52"/>
      <c r="CW9" s="35">
        <f t="shared" si="25"/>
        <v>0</v>
      </c>
      <c r="CX9" s="57" t="s">
        <v>124</v>
      </c>
      <c r="CY9" s="35" t="s">
        <v>122</v>
      </c>
      <c r="CZ9" s="54"/>
      <c r="DA9" s="35">
        <f t="shared" si="26"/>
        <v>0</v>
      </c>
      <c r="DB9" s="57" t="s">
        <v>124</v>
      </c>
      <c r="DC9" s="35">
        <v>5</v>
      </c>
      <c r="DD9" s="54"/>
      <c r="DE9" s="35"/>
      <c r="DF9" s="57"/>
      <c r="DG9" s="35"/>
      <c r="DH9" s="54"/>
      <c r="DI9" s="35"/>
      <c r="DJ9" s="57"/>
      <c r="DK9" s="56"/>
    </row>
    <row r="10" spans="1:116" x14ac:dyDescent="0.25">
      <c r="A10" s="59" t="s">
        <v>125</v>
      </c>
      <c r="B10" s="75">
        <f>'ol4'!AC13*100</f>
        <v>40</v>
      </c>
      <c r="C10" s="76" t="s">
        <v>118</v>
      </c>
      <c r="I10" s="55">
        <f t="shared" si="0"/>
        <v>0</v>
      </c>
      <c r="J10" s="58"/>
      <c r="K10" s="58"/>
      <c r="L10" s="58"/>
      <c r="M10" s="58"/>
      <c r="N10" s="58">
        <f t="shared" si="1"/>
        <v>0</v>
      </c>
      <c r="O10" s="58"/>
      <c r="P10" s="58"/>
      <c r="Q10" s="62"/>
      <c r="R10" s="58">
        <f t="shared" si="2"/>
        <v>0</v>
      </c>
      <c r="S10" s="58">
        <v>65</v>
      </c>
      <c r="T10" s="58">
        <f t="shared" si="3"/>
        <v>3.4705101432211748E-2</v>
      </c>
      <c r="U10" s="62">
        <f t="shared" si="4"/>
        <v>0</v>
      </c>
      <c r="W10" s="55"/>
      <c r="X10" s="58"/>
      <c r="Y10" s="58"/>
      <c r="Z10" s="55">
        <f t="shared" si="5"/>
        <v>1</v>
      </c>
      <c r="AA10" s="67">
        <v>40</v>
      </c>
      <c r="AB10" s="62">
        <v>20</v>
      </c>
      <c r="AC10" s="55">
        <f t="shared" si="6"/>
        <v>1</v>
      </c>
      <c r="AD10" s="67">
        <v>40</v>
      </c>
      <c r="AE10" s="62">
        <v>25</v>
      </c>
      <c r="AF10" s="58">
        <f t="shared" si="7"/>
        <v>1</v>
      </c>
      <c r="AG10" s="67">
        <v>40</v>
      </c>
      <c r="AH10" s="62">
        <v>25</v>
      </c>
      <c r="AJ10" s="73">
        <v>40</v>
      </c>
      <c r="AK10" s="55" t="e">
        <f t="shared" si="8"/>
        <v>#DIV/0!</v>
      </c>
      <c r="AL10" s="62" t="s">
        <v>126</v>
      </c>
      <c r="AM10" s="54" t="e">
        <f t="shared" si="9"/>
        <v>#DIV/0!</v>
      </c>
      <c r="AN10" s="54" t="s">
        <v>127</v>
      </c>
      <c r="AO10" s="55" t="e">
        <f t="shared" si="10"/>
        <v>#DIV/0!</v>
      </c>
      <c r="AP10" s="79" t="s">
        <v>128</v>
      </c>
      <c r="AR10" s="58"/>
      <c r="AS10" s="55">
        <v>1.65</v>
      </c>
      <c r="AT10" s="58">
        <f t="shared" si="11"/>
        <v>1</v>
      </c>
      <c r="AU10" s="58" t="s">
        <v>122</v>
      </c>
      <c r="AV10" s="58">
        <f t="shared" si="12"/>
        <v>1</v>
      </c>
      <c r="AW10" s="31">
        <v>1</v>
      </c>
      <c r="AX10" s="81">
        <v>1.4</v>
      </c>
      <c r="AY10" s="58">
        <f t="shared" si="13"/>
        <v>1</v>
      </c>
      <c r="AZ10" s="58" t="s">
        <v>122</v>
      </c>
      <c r="BA10" s="58">
        <f t="shared" si="14"/>
        <v>1</v>
      </c>
      <c r="BB10" s="31">
        <v>1</v>
      </c>
      <c r="BC10" s="55">
        <v>2.0009999999999999</v>
      </c>
      <c r="BD10" s="58">
        <f t="shared" si="15"/>
        <v>1</v>
      </c>
      <c r="BE10" s="58" t="s">
        <v>129</v>
      </c>
      <c r="BF10" s="58">
        <f t="shared" si="16"/>
        <v>1</v>
      </c>
      <c r="BG10" s="82">
        <v>1</v>
      </c>
      <c r="BH10" s="58">
        <v>1.1000000000000001</v>
      </c>
      <c r="BI10" s="58">
        <f t="shared" si="17"/>
        <v>1</v>
      </c>
      <c r="BJ10" s="58" t="s">
        <v>92</v>
      </c>
      <c r="BK10" s="58">
        <f t="shared" si="18"/>
        <v>1</v>
      </c>
      <c r="BL10" s="62">
        <v>5</v>
      </c>
      <c r="BN10" s="51"/>
      <c r="BO10" s="35"/>
      <c r="BP10" s="52"/>
      <c r="BQ10" s="35" t="e">
        <f t="shared" si="19"/>
        <v>#N/A</v>
      </c>
      <c r="BR10" s="57" t="s">
        <v>130</v>
      </c>
      <c r="BS10" s="35">
        <v>65</v>
      </c>
      <c r="BT10" s="54"/>
      <c r="BU10" s="73">
        <f t="shared" si="20"/>
        <v>0</v>
      </c>
      <c r="BV10" s="57" t="s">
        <v>130</v>
      </c>
      <c r="BW10" s="35">
        <v>20</v>
      </c>
      <c r="BX10" s="56">
        <v>6.3</v>
      </c>
      <c r="BY10" s="52"/>
      <c r="BZ10" s="35"/>
      <c r="CA10" s="57"/>
      <c r="CB10" s="35"/>
      <c r="CC10" s="52"/>
      <c r="CD10" s="35" t="e">
        <f t="shared" si="21"/>
        <v>#N/A</v>
      </c>
      <c r="CE10" s="57" t="s">
        <v>130</v>
      </c>
      <c r="CF10" s="35">
        <v>65</v>
      </c>
      <c r="CG10" s="52"/>
      <c r="CH10" s="35" t="e">
        <f t="shared" si="22"/>
        <v>#N/A</v>
      </c>
      <c r="CI10" s="80">
        <v>7</v>
      </c>
      <c r="CJ10" s="32" t="s">
        <v>126</v>
      </c>
      <c r="CK10" s="32" t="e">
        <f t="shared" si="23"/>
        <v>#N/A</v>
      </c>
      <c r="CL10" s="80">
        <v>7</v>
      </c>
      <c r="CM10" s="32" t="s">
        <v>127</v>
      </c>
      <c r="CN10" s="74" t="e">
        <f t="shared" si="24"/>
        <v>#N/A</v>
      </c>
      <c r="CO10" s="80">
        <v>7</v>
      </c>
      <c r="CP10" s="74" t="s">
        <v>128</v>
      </c>
      <c r="CQ10" s="54"/>
      <c r="CU10" s="54"/>
      <c r="CV10" s="52"/>
      <c r="CW10" s="35">
        <f t="shared" si="25"/>
        <v>0</v>
      </c>
      <c r="CX10" s="57" t="s">
        <v>131</v>
      </c>
      <c r="CY10" s="35" t="s">
        <v>129</v>
      </c>
      <c r="CZ10" s="54"/>
      <c r="DA10" s="35"/>
      <c r="DB10" s="57"/>
      <c r="DC10" s="35"/>
      <c r="DD10" s="54"/>
      <c r="DE10" s="35"/>
      <c r="DF10" s="57"/>
      <c r="DG10" s="35"/>
      <c r="DH10" s="54"/>
      <c r="DI10" s="35"/>
      <c r="DJ10" s="57"/>
      <c r="DK10" s="56"/>
    </row>
    <row r="11" spans="1:116" x14ac:dyDescent="0.25">
      <c r="A11" s="86" t="s">
        <v>132</v>
      </c>
      <c r="B11" s="75">
        <f>'ol4'!Z15</f>
        <v>0</v>
      </c>
      <c r="C11" s="76" t="s">
        <v>118</v>
      </c>
      <c r="E11" t="s">
        <v>133</v>
      </c>
      <c r="F11" s="61" t="e">
        <f>B4*1000/(B7-B8)</f>
        <v>#DIV/0!</v>
      </c>
      <c r="I11" s="55">
        <f t="shared" si="0"/>
        <v>0</v>
      </c>
      <c r="J11" s="58"/>
      <c r="K11" s="58"/>
      <c r="L11" s="58"/>
      <c r="M11" s="58"/>
      <c r="N11" s="58">
        <f t="shared" si="1"/>
        <v>0</v>
      </c>
      <c r="O11" s="58"/>
      <c r="P11" s="58"/>
      <c r="Q11" s="62"/>
      <c r="R11" s="58">
        <f t="shared" si="2"/>
        <v>0</v>
      </c>
      <c r="S11" s="58">
        <v>80</v>
      </c>
      <c r="T11" s="58">
        <f t="shared" si="3"/>
        <v>3.248549788373601E-2</v>
      </c>
      <c r="U11" s="62">
        <f t="shared" si="4"/>
        <v>0</v>
      </c>
      <c r="W11" s="55"/>
      <c r="X11" s="58"/>
      <c r="Y11" s="78"/>
      <c r="Z11" s="55">
        <f t="shared" si="5"/>
        <v>1</v>
      </c>
      <c r="AA11" s="67">
        <v>40</v>
      </c>
      <c r="AB11" s="62">
        <v>25</v>
      </c>
      <c r="AC11" s="55">
        <f t="shared" si="6"/>
        <v>1</v>
      </c>
      <c r="AD11" s="67">
        <v>50</v>
      </c>
      <c r="AE11" s="87">
        <v>31.5</v>
      </c>
      <c r="AF11" s="58">
        <f t="shared" si="7"/>
        <v>1</v>
      </c>
      <c r="AG11" s="67">
        <v>50</v>
      </c>
      <c r="AH11" s="62">
        <v>40</v>
      </c>
      <c r="AJ11" s="73">
        <v>50</v>
      </c>
      <c r="AK11" s="55" t="e">
        <f t="shared" si="8"/>
        <v>#DIV/0!</v>
      </c>
      <c r="AL11" s="62" t="s">
        <v>134</v>
      </c>
      <c r="AM11" s="54" t="e">
        <f t="shared" si="9"/>
        <v>#DIV/0!</v>
      </c>
      <c r="AN11" s="54" t="s">
        <v>135</v>
      </c>
      <c r="AO11" s="55" t="e">
        <f t="shared" si="10"/>
        <v>#DIV/0!</v>
      </c>
      <c r="AP11" s="54" t="s">
        <v>135</v>
      </c>
      <c r="AS11" s="55">
        <v>2.0009999999999999</v>
      </c>
      <c r="AT11" s="58">
        <f t="shared" si="11"/>
        <v>1</v>
      </c>
      <c r="AU11" s="58" t="s">
        <v>122</v>
      </c>
      <c r="AV11" s="58">
        <f t="shared" si="12"/>
        <v>1</v>
      </c>
      <c r="AW11" s="31">
        <v>2</v>
      </c>
      <c r="AX11" s="55">
        <v>2.0009999999999999</v>
      </c>
      <c r="AY11" s="58">
        <f t="shared" si="13"/>
        <v>1</v>
      </c>
      <c r="AZ11" s="58" t="s">
        <v>122</v>
      </c>
      <c r="BA11" s="58">
        <f t="shared" si="14"/>
        <v>1</v>
      </c>
      <c r="BB11" s="31">
        <v>2</v>
      </c>
      <c r="BC11" s="55"/>
      <c r="BD11" s="58"/>
      <c r="BE11" s="58"/>
      <c r="BF11" s="58"/>
      <c r="BG11" s="62"/>
      <c r="BH11" s="58">
        <v>1.3</v>
      </c>
      <c r="BI11" s="58">
        <f t="shared" si="17"/>
        <v>1</v>
      </c>
      <c r="BJ11" s="58" t="s">
        <v>122</v>
      </c>
      <c r="BK11" s="58">
        <f t="shared" si="18"/>
        <v>1</v>
      </c>
      <c r="BL11" s="62">
        <v>2</v>
      </c>
      <c r="BN11" s="51"/>
      <c r="BO11" s="35"/>
      <c r="BP11" s="52"/>
      <c r="BQ11" s="35" t="e">
        <f t="shared" si="19"/>
        <v>#N/A</v>
      </c>
      <c r="BR11" s="57" t="s">
        <v>136</v>
      </c>
      <c r="BS11" s="35">
        <v>80</v>
      </c>
      <c r="BT11" s="54"/>
      <c r="BU11" s="73">
        <f t="shared" si="20"/>
        <v>0</v>
      </c>
      <c r="BV11" s="57" t="s">
        <v>136</v>
      </c>
      <c r="BW11" s="35">
        <v>25</v>
      </c>
      <c r="BX11" s="56">
        <v>8</v>
      </c>
      <c r="BY11" s="52"/>
      <c r="BZ11" s="35"/>
      <c r="CA11" s="57"/>
      <c r="CB11" s="35"/>
      <c r="CC11" s="52"/>
      <c r="CD11" s="35" t="e">
        <f t="shared" si="21"/>
        <v>#N/A</v>
      </c>
      <c r="CE11" s="57" t="s">
        <v>136</v>
      </c>
      <c r="CF11" s="35">
        <v>80</v>
      </c>
      <c r="CG11" s="52"/>
      <c r="CH11" s="35" t="e">
        <f t="shared" si="22"/>
        <v>#N/A</v>
      </c>
      <c r="CI11" s="80">
        <v>8</v>
      </c>
      <c r="CJ11" s="32" t="s">
        <v>134</v>
      </c>
      <c r="CK11" s="32"/>
      <c r="CL11" s="32"/>
      <c r="CM11" s="32"/>
      <c r="CN11" s="32"/>
      <c r="CO11" s="32"/>
      <c r="CP11" s="32"/>
      <c r="CQ11" s="54"/>
      <c r="CU11" s="54"/>
      <c r="CV11" s="52"/>
      <c r="CW11" s="35"/>
      <c r="CX11" s="57"/>
      <c r="CY11" s="35"/>
      <c r="CZ11" s="54"/>
      <c r="DA11" s="35"/>
      <c r="DB11" s="57"/>
      <c r="DC11" s="35"/>
      <c r="DD11" s="54"/>
      <c r="DE11" s="35"/>
      <c r="DF11" s="57"/>
      <c r="DG11" s="35"/>
      <c r="DH11" s="54"/>
      <c r="DI11" s="35"/>
      <c r="DJ11" s="57"/>
      <c r="DK11" s="56"/>
    </row>
    <row r="12" spans="1:116" x14ac:dyDescent="0.25">
      <c r="A12" s="86" t="s">
        <v>137</v>
      </c>
      <c r="B12">
        <f>B9-B10</f>
        <v>20</v>
      </c>
      <c r="C12" s="76" t="s">
        <v>118</v>
      </c>
      <c r="E12" t="s">
        <v>51</v>
      </c>
      <c r="F12" s="77" t="e">
        <f>VLOOKUP(1,N4:Q17,2,0)</f>
        <v>#N/A</v>
      </c>
      <c r="I12" s="55">
        <f t="shared" si="0"/>
        <v>0</v>
      </c>
      <c r="J12" s="58"/>
      <c r="K12" s="58"/>
      <c r="L12" s="58"/>
      <c r="M12" s="58"/>
      <c r="N12" s="58">
        <f t="shared" si="1"/>
        <v>0</v>
      </c>
      <c r="O12" s="58"/>
      <c r="P12" s="58"/>
      <c r="Q12" s="62"/>
      <c r="R12" s="58">
        <f t="shared" si="2"/>
        <v>0</v>
      </c>
      <c r="S12" s="58">
        <v>100</v>
      </c>
      <c r="T12" s="58">
        <f t="shared" si="3"/>
        <v>3.0329450982592862E-2</v>
      </c>
      <c r="U12" s="62">
        <f t="shared" si="4"/>
        <v>0</v>
      </c>
      <c r="W12" s="63"/>
      <c r="X12" s="58"/>
      <c r="Y12" s="58"/>
      <c r="Z12" s="55">
        <f t="shared" si="5"/>
        <v>1</v>
      </c>
      <c r="AA12" s="67">
        <v>50</v>
      </c>
      <c r="AB12" s="62">
        <v>31.5</v>
      </c>
      <c r="AC12" s="55">
        <f t="shared" si="6"/>
        <v>1</v>
      </c>
      <c r="AD12" s="67">
        <v>50</v>
      </c>
      <c r="AE12" s="87">
        <v>40</v>
      </c>
      <c r="AF12" s="58">
        <f t="shared" si="7"/>
        <v>1</v>
      </c>
      <c r="AG12" s="67">
        <v>65</v>
      </c>
      <c r="AH12" s="62">
        <v>63</v>
      </c>
      <c r="AJ12" s="88">
        <v>60</v>
      </c>
      <c r="AK12" s="81" t="e">
        <f t="shared" si="8"/>
        <v>#DIV/0!</v>
      </c>
      <c r="AL12" s="87" t="s">
        <v>135</v>
      </c>
      <c r="AM12" s="54" t="e">
        <f t="shared" si="9"/>
        <v>#DIV/0!</v>
      </c>
      <c r="AN12" s="89" t="s">
        <v>135</v>
      </c>
      <c r="AO12" s="55" t="e">
        <f t="shared" si="10"/>
        <v>#DIV/0!</v>
      </c>
      <c r="AP12" s="89" t="s">
        <v>135</v>
      </c>
      <c r="AS12" s="55"/>
      <c r="AT12" s="58"/>
      <c r="AU12" s="58"/>
      <c r="AV12" s="58"/>
      <c r="AW12" s="31"/>
      <c r="AX12" s="55"/>
      <c r="AY12" s="58"/>
      <c r="AZ12" s="58"/>
      <c r="BA12" s="58"/>
      <c r="BB12" s="62"/>
      <c r="BC12" s="55"/>
      <c r="BD12" s="58"/>
      <c r="BE12" s="58"/>
      <c r="BF12" s="58"/>
      <c r="BG12" s="62"/>
      <c r="BH12" s="67">
        <v>1.45</v>
      </c>
      <c r="BI12" s="58">
        <f t="shared" si="17"/>
        <v>1</v>
      </c>
      <c r="BJ12" s="58" t="s">
        <v>129</v>
      </c>
      <c r="BK12" s="58">
        <f t="shared" si="18"/>
        <v>1</v>
      </c>
      <c r="BL12" s="62">
        <v>1</v>
      </c>
      <c r="BN12" s="51"/>
      <c r="BO12" s="35"/>
      <c r="BP12" s="52"/>
      <c r="BQ12" s="35" t="e">
        <f t="shared" si="19"/>
        <v>#N/A</v>
      </c>
      <c r="BR12" s="57" t="s">
        <v>138</v>
      </c>
      <c r="BS12" s="35">
        <v>100</v>
      </c>
      <c r="BT12" s="54"/>
      <c r="BU12" s="73">
        <f t="shared" si="20"/>
        <v>0</v>
      </c>
      <c r="BV12" s="57" t="s">
        <v>138</v>
      </c>
      <c r="BW12" s="35">
        <v>25</v>
      </c>
      <c r="BX12" s="56">
        <v>10</v>
      </c>
      <c r="BY12" s="52"/>
      <c r="BZ12" s="35"/>
      <c r="CA12" s="57"/>
      <c r="CB12" s="35"/>
      <c r="CC12" s="52"/>
      <c r="CD12" s="35" t="e">
        <f t="shared" si="21"/>
        <v>#N/A</v>
      </c>
      <c r="CE12" s="57" t="s">
        <v>138</v>
      </c>
      <c r="CF12" s="35">
        <v>100</v>
      </c>
      <c r="CG12" s="52"/>
      <c r="CH12" s="35" t="e">
        <f t="shared" si="22"/>
        <v>#N/A</v>
      </c>
      <c r="CI12" s="32"/>
      <c r="CJ12" s="58"/>
      <c r="CK12" s="58"/>
      <c r="CL12" s="58"/>
      <c r="CM12" s="58"/>
      <c r="CN12" s="58"/>
      <c r="CO12" s="58"/>
      <c r="CP12" s="58"/>
      <c r="CQ12" s="54"/>
      <c r="CU12" s="54"/>
      <c r="CV12" s="52"/>
      <c r="CW12" s="35"/>
      <c r="CX12" s="57"/>
      <c r="CY12" s="35"/>
      <c r="CZ12" s="54"/>
      <c r="DA12" s="35"/>
      <c r="DB12" s="57"/>
      <c r="DC12" s="35"/>
      <c r="DD12" s="54"/>
      <c r="DE12" s="35"/>
      <c r="DF12" s="57"/>
      <c r="DG12" s="35"/>
      <c r="DH12" s="54"/>
      <c r="DI12" s="35"/>
      <c r="DJ12" s="57"/>
      <c r="DK12" s="56"/>
    </row>
    <row r="13" spans="1:116" x14ac:dyDescent="0.25">
      <c r="A13" s="59"/>
      <c r="C13" s="76"/>
      <c r="E13" t="s">
        <v>56</v>
      </c>
      <c r="F13" s="61" t="e">
        <f>F11*1.1</f>
        <v>#DIV/0!</v>
      </c>
      <c r="I13" s="55">
        <f t="shared" si="0"/>
        <v>0</v>
      </c>
      <c r="J13" s="58"/>
      <c r="K13" s="58"/>
      <c r="L13" s="58"/>
      <c r="M13" s="58"/>
      <c r="N13" s="58">
        <f t="shared" si="1"/>
        <v>0</v>
      </c>
      <c r="O13" s="58"/>
      <c r="P13" s="58"/>
      <c r="Q13" s="62"/>
      <c r="R13" s="58">
        <f t="shared" si="2"/>
        <v>0</v>
      </c>
      <c r="S13" s="58">
        <v>125</v>
      </c>
      <c r="T13" s="58">
        <f t="shared" si="3"/>
        <v>2.8381135828692533E-2</v>
      </c>
      <c r="U13" s="62">
        <f t="shared" si="4"/>
        <v>0</v>
      </c>
      <c r="W13" s="63"/>
      <c r="X13" s="78"/>
      <c r="Y13" s="58"/>
      <c r="Z13" s="55">
        <f t="shared" si="5"/>
        <v>1</v>
      </c>
      <c r="AA13" s="67">
        <v>50</v>
      </c>
      <c r="AB13" s="62">
        <v>40</v>
      </c>
      <c r="AC13" s="55">
        <f t="shared" si="6"/>
        <v>1</v>
      </c>
      <c r="AD13" s="67">
        <v>65</v>
      </c>
      <c r="AE13" s="87">
        <v>50</v>
      </c>
      <c r="AF13" s="58">
        <f t="shared" si="7"/>
        <v>1</v>
      </c>
      <c r="AG13" s="67">
        <v>80</v>
      </c>
      <c r="AH13" s="62">
        <v>100</v>
      </c>
      <c r="AJ13" s="90">
        <v>90</v>
      </c>
      <c r="AK13" s="91" t="e">
        <f t="shared" si="8"/>
        <v>#DIV/0!</v>
      </c>
      <c r="AL13" s="92" t="s">
        <v>139</v>
      </c>
      <c r="AM13" s="93" t="e">
        <f t="shared" si="9"/>
        <v>#DIV/0!</v>
      </c>
      <c r="AN13" s="92" t="s">
        <v>139</v>
      </c>
      <c r="AO13" s="91" t="e">
        <f t="shared" si="10"/>
        <v>#DIV/0!</v>
      </c>
      <c r="AP13" s="94" t="s">
        <v>139</v>
      </c>
      <c r="AS13" s="55"/>
      <c r="AT13" s="58"/>
      <c r="AU13" s="58"/>
      <c r="AV13" s="58"/>
      <c r="AW13" s="31"/>
      <c r="AX13" s="55"/>
      <c r="AY13" s="58"/>
      <c r="AZ13" s="58"/>
      <c r="BA13" s="58"/>
      <c r="BB13" s="62"/>
      <c r="BC13" s="55"/>
      <c r="BD13" s="58"/>
      <c r="BE13" s="58"/>
      <c r="BF13" s="58"/>
      <c r="BG13" s="62"/>
      <c r="BH13" s="55">
        <v>2.0009999999999999</v>
      </c>
      <c r="BI13" s="58">
        <f t="shared" si="17"/>
        <v>1</v>
      </c>
      <c r="BJ13" s="58" t="s">
        <v>129</v>
      </c>
      <c r="BK13" s="58">
        <f t="shared" si="18"/>
        <v>1</v>
      </c>
      <c r="BL13" s="62">
        <v>2</v>
      </c>
      <c r="BN13" s="51"/>
      <c r="BO13" s="35"/>
      <c r="BP13" s="52"/>
      <c r="BQ13" s="35" t="e">
        <f t="shared" si="19"/>
        <v>#N/A</v>
      </c>
      <c r="BR13" s="57" t="s">
        <v>140</v>
      </c>
      <c r="BS13" s="35">
        <v>125</v>
      </c>
      <c r="BT13" s="54"/>
      <c r="BU13" s="73">
        <f t="shared" si="20"/>
        <v>0</v>
      </c>
      <c r="BV13" s="57" t="s">
        <v>140</v>
      </c>
      <c r="BW13" s="35">
        <v>32</v>
      </c>
      <c r="BX13" s="56">
        <v>12.5</v>
      </c>
      <c r="BY13" s="52"/>
      <c r="BZ13" s="35"/>
      <c r="CA13" s="57"/>
      <c r="CB13" s="35"/>
      <c r="CC13" s="52"/>
      <c r="CD13" s="35" t="e">
        <f t="shared" si="21"/>
        <v>#N/A</v>
      </c>
      <c r="CE13" s="57" t="s">
        <v>140</v>
      </c>
      <c r="CF13" s="35">
        <v>125</v>
      </c>
      <c r="CG13" s="52"/>
      <c r="CH13" s="35" t="e">
        <f t="shared" si="22"/>
        <v>#N/A</v>
      </c>
      <c r="CI13" s="32">
        <v>10</v>
      </c>
      <c r="CJ13" s="80" t="s">
        <v>135</v>
      </c>
      <c r="CK13" s="35" t="e">
        <f>IF($E$14=CM13,1,0)</f>
        <v>#N/A</v>
      </c>
      <c r="CL13" s="32">
        <v>10</v>
      </c>
      <c r="CM13" s="80" t="s">
        <v>135</v>
      </c>
      <c r="CN13" s="35" t="e">
        <f>IF($E$14=CP13,1,0)</f>
        <v>#N/A</v>
      </c>
      <c r="CO13" s="32">
        <v>10</v>
      </c>
      <c r="CP13" s="80" t="s">
        <v>135</v>
      </c>
      <c r="CQ13" s="54"/>
      <c r="CR13" s="58"/>
      <c r="CS13" s="80"/>
      <c r="CT13" s="58"/>
      <c r="CU13" s="54"/>
      <c r="CV13" s="52"/>
      <c r="CW13" s="35"/>
      <c r="CX13" s="57"/>
      <c r="CY13" s="35"/>
      <c r="CZ13" s="54"/>
      <c r="DA13" s="35"/>
      <c r="DB13" s="57"/>
      <c r="DC13" s="35"/>
      <c r="DD13" s="54"/>
      <c r="DE13" s="35"/>
      <c r="DF13" s="57"/>
      <c r="DG13" s="35"/>
      <c r="DH13" s="54"/>
      <c r="DI13" s="35"/>
      <c r="DJ13" s="57"/>
      <c r="DK13" s="56"/>
    </row>
    <row r="14" spans="1:116" x14ac:dyDescent="0.25">
      <c r="A14" s="59" t="s">
        <v>31</v>
      </c>
      <c r="B14" s="1">
        <f>'ol4'!O28</f>
        <v>0</v>
      </c>
      <c r="C14" s="1"/>
      <c r="E14" s="1" t="e">
        <f>VLOOKUP(1,IF(B15="TOP-SD",AK4:AL13,IF(B15="Yonos MAXO-D",AM4:AN13,IF(B15="Stratos-D",AO4:AP13,0))),2,0)</f>
        <v>#N/A</v>
      </c>
      <c r="F14" s="1"/>
      <c r="I14" s="55">
        <f t="shared" si="0"/>
        <v>0</v>
      </c>
      <c r="J14" s="58"/>
      <c r="K14" s="58"/>
      <c r="L14" s="58"/>
      <c r="M14" s="58"/>
      <c r="N14" s="58">
        <f t="shared" si="1"/>
        <v>0</v>
      </c>
      <c r="O14" s="58"/>
      <c r="P14" s="58"/>
      <c r="Q14" s="62"/>
      <c r="R14" s="58">
        <f t="shared" si="2"/>
        <v>0</v>
      </c>
      <c r="S14" s="58">
        <v>150</v>
      </c>
      <c r="T14" s="58">
        <f t="shared" si="3"/>
        <v>2.6925299052784474E-2</v>
      </c>
      <c r="U14" s="62">
        <f t="shared" si="4"/>
        <v>0</v>
      </c>
      <c r="W14" s="55"/>
      <c r="X14" s="58"/>
      <c r="Y14" s="58"/>
      <c r="Z14" s="55">
        <f t="shared" si="5"/>
        <v>1</v>
      </c>
      <c r="AA14" s="67">
        <v>65</v>
      </c>
      <c r="AB14" s="62">
        <v>50</v>
      </c>
      <c r="AC14" s="55">
        <f t="shared" si="6"/>
        <v>1</v>
      </c>
      <c r="AD14" s="67">
        <v>65</v>
      </c>
      <c r="AE14" s="87">
        <v>63</v>
      </c>
      <c r="AF14" s="58">
        <f t="shared" si="7"/>
        <v>1</v>
      </c>
      <c r="AG14" s="67">
        <v>100</v>
      </c>
      <c r="AH14" s="62">
        <v>160</v>
      </c>
      <c r="AS14" s="55"/>
      <c r="AT14" s="58"/>
      <c r="AU14" s="58"/>
      <c r="AV14" s="58"/>
      <c r="AW14" s="31"/>
      <c r="AX14" s="55"/>
      <c r="AY14" s="58"/>
      <c r="AZ14" s="58"/>
      <c r="BA14" s="58"/>
      <c r="BB14" s="62"/>
      <c r="BC14" s="55"/>
      <c r="BD14" s="58"/>
      <c r="BE14" s="58"/>
      <c r="BF14" s="58"/>
      <c r="BG14" s="62"/>
      <c r="BH14" s="58"/>
      <c r="BI14" s="58"/>
      <c r="BJ14" s="58"/>
      <c r="BK14" s="58"/>
      <c r="BL14" s="62"/>
      <c r="BN14" s="51"/>
      <c r="BO14" s="35"/>
      <c r="BP14" s="52"/>
      <c r="BQ14" s="35" t="e">
        <f t="shared" si="19"/>
        <v>#N/A</v>
      </c>
      <c r="BR14" s="57" t="s">
        <v>141</v>
      </c>
      <c r="BS14" s="35">
        <v>150</v>
      </c>
      <c r="BT14" s="54"/>
      <c r="BU14" s="73">
        <f t="shared" si="20"/>
        <v>0</v>
      </c>
      <c r="BV14" s="57" t="s">
        <v>141</v>
      </c>
      <c r="BW14" s="35">
        <v>32</v>
      </c>
      <c r="BX14" s="56">
        <v>16</v>
      </c>
      <c r="BY14" s="52"/>
      <c r="BZ14" s="35"/>
      <c r="CA14" s="57"/>
      <c r="CB14" s="35"/>
      <c r="CC14" s="52"/>
      <c r="CD14" s="35" t="e">
        <f t="shared" si="21"/>
        <v>#N/A</v>
      </c>
      <c r="CE14" s="57" t="s">
        <v>141</v>
      </c>
      <c r="CF14" s="35">
        <v>150</v>
      </c>
      <c r="CG14" s="52"/>
      <c r="CH14" s="35" t="e">
        <f t="shared" si="22"/>
        <v>#N/A</v>
      </c>
      <c r="CI14" s="32">
        <v>11</v>
      </c>
      <c r="CJ14" s="80" t="s">
        <v>139</v>
      </c>
      <c r="CK14" s="35" t="e">
        <f>IF($E$14=CM14,1,0)</f>
        <v>#N/A</v>
      </c>
      <c r="CL14" s="32">
        <v>11</v>
      </c>
      <c r="CM14" s="80" t="s">
        <v>139</v>
      </c>
      <c r="CN14" s="35" t="e">
        <f>IF($E$14=CP14,1,0)</f>
        <v>#N/A</v>
      </c>
      <c r="CO14" s="32">
        <v>11</v>
      </c>
      <c r="CP14" s="80" t="s">
        <v>139</v>
      </c>
      <c r="CQ14" s="54"/>
      <c r="CR14" s="58"/>
      <c r="CS14" s="80"/>
      <c r="CT14" s="58"/>
      <c r="CU14" s="54"/>
      <c r="CV14" s="52"/>
      <c r="CW14" s="35"/>
      <c r="CX14" s="57"/>
      <c r="CY14" s="35"/>
      <c r="CZ14" s="54"/>
      <c r="DA14" s="35"/>
      <c r="DB14" s="57"/>
      <c r="DC14" s="35"/>
      <c r="DD14" s="54"/>
      <c r="DE14" s="35"/>
      <c r="DF14" s="57"/>
      <c r="DG14" s="35"/>
      <c r="DH14" s="54"/>
      <c r="DI14" s="35"/>
      <c r="DJ14" s="57"/>
      <c r="DK14" s="56"/>
    </row>
    <row r="15" spans="1:116" x14ac:dyDescent="0.25">
      <c r="A15" s="59" t="s">
        <v>32</v>
      </c>
      <c r="B15" s="1">
        <f>'ol4'!I28</f>
        <v>0</v>
      </c>
      <c r="C15" s="1"/>
      <c r="I15" s="55">
        <f t="shared" si="0"/>
        <v>0</v>
      </c>
      <c r="J15" s="58"/>
      <c r="K15" s="58"/>
      <c r="L15" s="58"/>
      <c r="M15" s="58"/>
      <c r="N15" s="58">
        <f t="shared" si="1"/>
        <v>0</v>
      </c>
      <c r="O15" s="58"/>
      <c r="P15" s="58"/>
      <c r="Q15" s="62"/>
      <c r="R15" s="58">
        <f t="shared" si="2"/>
        <v>0</v>
      </c>
      <c r="S15" s="58">
        <v>200</v>
      </c>
      <c r="T15" s="58">
        <f t="shared" si="3"/>
        <v>2.4846042519733526E-2</v>
      </c>
      <c r="U15" s="62">
        <f t="shared" si="4"/>
        <v>0</v>
      </c>
      <c r="W15" s="55"/>
      <c r="X15" s="58"/>
      <c r="Y15" s="58"/>
      <c r="Z15" s="55">
        <f t="shared" si="5"/>
        <v>1</v>
      </c>
      <c r="AA15" s="67">
        <v>65</v>
      </c>
      <c r="AB15" s="62">
        <v>63</v>
      </c>
      <c r="AC15" s="55">
        <f t="shared" si="6"/>
        <v>1</v>
      </c>
      <c r="AD15" s="67">
        <v>80</v>
      </c>
      <c r="AE15" s="87">
        <v>80</v>
      </c>
      <c r="AF15" s="58">
        <f t="shared" si="7"/>
        <v>1</v>
      </c>
      <c r="AG15" s="67">
        <v>125</v>
      </c>
      <c r="AH15" s="62">
        <v>250</v>
      </c>
      <c r="AS15" s="55"/>
      <c r="AT15" s="58"/>
      <c r="AU15" s="58"/>
      <c r="AV15" s="58"/>
      <c r="AW15" s="31"/>
      <c r="AX15" s="55"/>
      <c r="AY15" s="58"/>
      <c r="AZ15" s="58"/>
      <c r="BA15" s="58"/>
      <c r="BB15" s="62"/>
      <c r="BC15" s="55"/>
      <c r="BD15" s="58"/>
      <c r="BE15" s="58"/>
      <c r="BF15" s="58"/>
      <c r="BG15" s="62"/>
      <c r="BH15" s="58"/>
      <c r="BI15" s="58"/>
      <c r="BJ15" s="58"/>
      <c r="BK15" s="58"/>
      <c r="BL15" s="62"/>
      <c r="BN15" s="51"/>
      <c r="BO15" s="35"/>
      <c r="BP15" s="52"/>
      <c r="BQ15" s="35" t="e">
        <f t="shared" si="19"/>
        <v>#N/A</v>
      </c>
      <c r="BR15" s="57" t="s">
        <v>142</v>
      </c>
      <c r="BS15" s="35">
        <v>200</v>
      </c>
      <c r="BT15" s="54"/>
      <c r="BU15" s="73">
        <f t="shared" si="20"/>
        <v>0</v>
      </c>
      <c r="BV15" s="57" t="s">
        <v>142</v>
      </c>
      <c r="BW15" s="35">
        <v>40</v>
      </c>
      <c r="BX15" s="56">
        <v>20</v>
      </c>
      <c r="BY15" s="52"/>
      <c r="BZ15" s="35"/>
      <c r="CA15" s="57"/>
      <c r="CB15" s="35"/>
      <c r="CC15" s="52"/>
      <c r="CD15" s="35" t="e">
        <f t="shared" si="21"/>
        <v>#N/A</v>
      </c>
      <c r="CE15" s="57" t="s">
        <v>142</v>
      </c>
      <c r="CF15" s="35">
        <v>200</v>
      </c>
      <c r="CG15" s="52"/>
      <c r="CH15" s="35"/>
      <c r="CI15" s="32"/>
      <c r="CJ15" s="58"/>
      <c r="CK15" s="58"/>
      <c r="CL15" s="58"/>
      <c r="CM15" s="58"/>
      <c r="CN15" s="58"/>
      <c r="CO15" s="58"/>
      <c r="CP15" s="58"/>
      <c r="CQ15" s="54"/>
      <c r="CR15" s="58"/>
      <c r="CS15" s="58"/>
      <c r="CT15" s="58"/>
      <c r="CU15" s="54"/>
      <c r="CV15" s="52"/>
      <c r="CW15" s="35"/>
      <c r="CX15" s="57"/>
      <c r="CY15" s="35"/>
      <c r="CZ15" s="54"/>
      <c r="DA15" s="35"/>
      <c r="DB15" s="57"/>
      <c r="DC15" s="35"/>
      <c r="DD15" s="54"/>
      <c r="DE15" s="35"/>
      <c r="DF15" s="57"/>
      <c r="DG15" s="35"/>
      <c r="DH15" s="54"/>
      <c r="DI15" s="35"/>
      <c r="DJ15" s="57"/>
      <c r="DK15" s="56"/>
    </row>
    <row r="16" spans="1:116" x14ac:dyDescent="0.25">
      <c r="A16" s="59" t="s">
        <v>143</v>
      </c>
      <c r="B16" s="1">
        <f>'ol4'!U28</f>
        <v>0</v>
      </c>
      <c r="C16" s="1"/>
      <c r="E16" t="s">
        <v>144</v>
      </c>
      <c r="F16">
        <f>IF(B18="Отопление",11.7,IF(B18="Вентиляция",8.6,30))*B4/6</f>
        <v>0</v>
      </c>
      <c r="I16" s="55">
        <f t="shared" si="0"/>
        <v>0</v>
      </c>
      <c r="J16" s="58"/>
      <c r="K16" s="58"/>
      <c r="L16" s="58"/>
      <c r="M16" s="58"/>
      <c r="N16" s="58">
        <f t="shared" si="1"/>
        <v>0</v>
      </c>
      <c r="O16" s="58"/>
      <c r="P16" s="58"/>
      <c r="Q16" s="62"/>
      <c r="R16" s="58">
        <f t="shared" si="2"/>
        <v>0</v>
      </c>
      <c r="S16" s="58">
        <v>250</v>
      </c>
      <c r="T16" s="58">
        <f t="shared" si="3"/>
        <v>2.339473539768467E-2</v>
      </c>
      <c r="U16" s="62">
        <f t="shared" si="4"/>
        <v>0</v>
      </c>
      <c r="W16" s="55"/>
      <c r="X16" s="58"/>
      <c r="Y16" s="58"/>
      <c r="Z16" s="55">
        <f t="shared" si="5"/>
        <v>1</v>
      </c>
      <c r="AA16" s="67">
        <v>80</v>
      </c>
      <c r="AB16" s="62">
        <v>80</v>
      </c>
      <c r="AC16" s="55">
        <f t="shared" si="6"/>
        <v>1</v>
      </c>
      <c r="AD16" s="67">
        <v>80</v>
      </c>
      <c r="AE16" s="87">
        <v>100</v>
      </c>
      <c r="AF16" s="58">
        <f t="shared" si="7"/>
        <v>1</v>
      </c>
      <c r="AG16" s="67">
        <v>150</v>
      </c>
      <c r="AH16" s="62">
        <v>400</v>
      </c>
      <c r="AS16" s="95"/>
      <c r="AT16" s="96"/>
      <c r="AU16" s="96"/>
      <c r="AV16" s="96"/>
      <c r="AW16" s="97"/>
      <c r="AX16" s="95"/>
      <c r="AY16" s="96"/>
      <c r="AZ16" s="96"/>
      <c r="BA16" s="96"/>
      <c r="BB16" s="98"/>
      <c r="BC16" s="95"/>
      <c r="BD16" s="96"/>
      <c r="BE16" s="96"/>
      <c r="BF16" s="96"/>
      <c r="BG16" s="98"/>
      <c r="BH16" s="96"/>
      <c r="BI16" s="96"/>
      <c r="BJ16" s="96"/>
      <c r="BK16" s="96"/>
      <c r="BL16" s="98"/>
      <c r="BN16" s="51"/>
      <c r="BO16" s="35"/>
      <c r="BP16" s="52"/>
      <c r="BQ16" s="35"/>
      <c r="BR16" s="57"/>
      <c r="BS16" s="35"/>
      <c r="BT16" s="54"/>
      <c r="BU16" s="73">
        <f t="shared" si="20"/>
        <v>0</v>
      </c>
      <c r="BV16" s="57" t="s">
        <v>145</v>
      </c>
      <c r="BW16" s="35">
        <v>40</v>
      </c>
      <c r="BX16" s="56">
        <v>25</v>
      </c>
      <c r="BY16" s="52"/>
      <c r="BZ16" s="35"/>
      <c r="CA16" s="57"/>
      <c r="CB16" s="35"/>
      <c r="CC16" s="54"/>
      <c r="CD16" s="58"/>
      <c r="CE16" s="58"/>
      <c r="CF16" s="58"/>
      <c r="CG16" s="54"/>
      <c r="CH16" s="35"/>
      <c r="CI16" s="58"/>
      <c r="CJ16" s="58"/>
      <c r="CK16" s="58"/>
      <c r="CL16" s="58"/>
      <c r="CM16" s="58"/>
      <c r="CN16" s="58"/>
      <c r="CO16" s="58"/>
      <c r="CP16" s="58"/>
      <c r="CQ16" s="54"/>
      <c r="CR16" s="58"/>
      <c r="CS16" s="58"/>
      <c r="CT16" s="58"/>
      <c r="CU16" s="54"/>
      <c r="CV16" s="54"/>
      <c r="CW16" s="58"/>
      <c r="CX16" s="58"/>
      <c r="CY16" s="58"/>
      <c r="CZ16" s="54"/>
      <c r="DA16" s="58"/>
      <c r="DB16" s="58"/>
      <c r="DC16" s="58"/>
      <c r="DD16" s="54"/>
      <c r="DE16" s="58"/>
      <c r="DF16" s="58"/>
      <c r="DG16" s="58"/>
      <c r="DH16" s="54"/>
      <c r="DI16" s="58"/>
      <c r="DJ16" s="58"/>
      <c r="DK16" s="62"/>
    </row>
    <row r="17" spans="1:115" x14ac:dyDescent="0.25">
      <c r="A17" s="59" t="s">
        <v>69</v>
      </c>
      <c r="B17" s="1" t="str">
        <f>'ol4'!AA28</f>
        <v>Учтен в БОВ-1</v>
      </c>
      <c r="C17" s="1"/>
      <c r="E17" t="s">
        <v>52</v>
      </c>
      <c r="F17" t="e">
        <f>VLOOKUP(1,R4:U17,2,0)</f>
        <v>#N/A</v>
      </c>
      <c r="I17" s="55">
        <f t="shared" si="0"/>
        <v>0</v>
      </c>
      <c r="J17" s="58"/>
      <c r="K17" s="58"/>
      <c r="L17" s="58"/>
      <c r="M17" s="58"/>
      <c r="N17" s="58">
        <f t="shared" si="1"/>
        <v>0</v>
      </c>
      <c r="O17" s="58"/>
      <c r="P17" s="58"/>
      <c r="Q17" s="62"/>
      <c r="R17" s="58">
        <f t="shared" si="2"/>
        <v>0</v>
      </c>
      <c r="S17" s="58">
        <v>300</v>
      </c>
      <c r="T17" s="58">
        <f t="shared" si="3"/>
        <v>2.2301284149115197E-2</v>
      </c>
      <c r="U17" s="62">
        <f t="shared" si="4"/>
        <v>0</v>
      </c>
      <c r="W17" s="55"/>
      <c r="X17" s="58"/>
      <c r="Y17" s="58"/>
      <c r="Z17" s="55">
        <f t="shared" si="5"/>
        <v>1</v>
      </c>
      <c r="AA17" s="67">
        <v>80</v>
      </c>
      <c r="AB17" s="62">
        <v>100</v>
      </c>
      <c r="AC17" s="81">
        <f t="shared" si="6"/>
        <v>1</v>
      </c>
      <c r="AD17" s="67">
        <v>100</v>
      </c>
      <c r="AE17" s="87">
        <v>125</v>
      </c>
      <c r="AF17" s="58"/>
      <c r="AG17" s="58"/>
      <c r="AH17" s="62"/>
      <c r="AS17" s="58"/>
      <c r="AT17" s="58"/>
      <c r="AU17" s="58"/>
      <c r="BN17" s="51"/>
      <c r="BO17" s="35"/>
      <c r="BP17" s="52"/>
      <c r="BQ17" s="35"/>
      <c r="BR17" s="57"/>
      <c r="BS17" s="35"/>
      <c r="BT17" s="54"/>
      <c r="BU17" s="73">
        <f t="shared" si="20"/>
        <v>0</v>
      </c>
      <c r="BV17" s="57" t="s">
        <v>146</v>
      </c>
      <c r="BW17" s="35">
        <v>50</v>
      </c>
      <c r="BX17" s="56">
        <v>31.5</v>
      </c>
      <c r="BY17" s="52"/>
      <c r="BZ17" s="35"/>
      <c r="CA17" s="57"/>
      <c r="CB17" s="35"/>
      <c r="CC17" s="54"/>
      <c r="CD17" s="58"/>
      <c r="CE17" s="58"/>
      <c r="CF17" s="58"/>
      <c r="CG17" s="54"/>
      <c r="CH17" s="35"/>
      <c r="CI17" s="58"/>
      <c r="CJ17" s="58"/>
      <c r="CK17" s="58"/>
      <c r="CL17" s="58"/>
      <c r="CM17" s="58"/>
      <c r="CN17" s="58"/>
      <c r="CO17" s="58"/>
      <c r="CP17" s="58"/>
      <c r="CQ17" s="54"/>
      <c r="CR17" s="58"/>
      <c r="CS17" s="58"/>
      <c r="CT17" s="58"/>
      <c r="CU17" s="54"/>
      <c r="CV17" s="54"/>
      <c r="CW17" s="58"/>
      <c r="CX17" s="58"/>
      <c r="CY17" s="58"/>
      <c r="CZ17" s="54"/>
      <c r="DA17" s="58"/>
      <c r="DB17" s="58"/>
      <c r="DC17" s="58"/>
      <c r="DD17" s="54"/>
      <c r="DE17" s="58"/>
      <c r="DF17" s="58"/>
      <c r="DG17" s="58"/>
      <c r="DH17" s="54"/>
      <c r="DI17" s="58"/>
      <c r="DJ17" s="58"/>
      <c r="DK17" s="62"/>
    </row>
    <row r="18" spans="1:115" x14ac:dyDescent="0.25">
      <c r="A18" s="59" t="s">
        <v>147</v>
      </c>
      <c r="B18" s="1" t="str">
        <f>'ol4'!A15</f>
        <v>Вентиляция</v>
      </c>
      <c r="C18" s="1"/>
      <c r="I18" s="55"/>
      <c r="J18" s="58"/>
      <c r="K18" s="58"/>
      <c r="L18" s="58"/>
      <c r="M18" s="58"/>
      <c r="N18" s="58"/>
      <c r="O18" s="58"/>
      <c r="P18" s="58"/>
      <c r="Q18" s="62"/>
      <c r="R18" s="58"/>
      <c r="S18" s="58"/>
      <c r="T18" s="58"/>
      <c r="U18" s="62"/>
      <c r="W18" s="55"/>
      <c r="X18" s="58"/>
      <c r="Y18" s="58"/>
      <c r="Z18" s="81">
        <f t="shared" si="5"/>
        <v>1</v>
      </c>
      <c r="AA18" s="67">
        <v>100</v>
      </c>
      <c r="AB18" s="62">
        <v>125</v>
      </c>
      <c r="AC18" s="81">
        <f t="shared" si="6"/>
        <v>1</v>
      </c>
      <c r="AD18" s="67">
        <v>100</v>
      </c>
      <c r="AE18" s="87">
        <v>160</v>
      </c>
      <c r="AF18" s="58"/>
      <c r="AG18" s="58"/>
      <c r="AH18" s="62"/>
      <c r="BN18" s="51"/>
      <c r="BO18" s="35"/>
      <c r="BP18" s="52"/>
      <c r="BQ18" s="35"/>
      <c r="BR18" s="57"/>
      <c r="BS18" s="35"/>
      <c r="BT18" s="54"/>
      <c r="BU18" s="73">
        <f t="shared" si="20"/>
        <v>0</v>
      </c>
      <c r="BV18" s="57" t="s">
        <v>148</v>
      </c>
      <c r="BW18" s="35">
        <v>50</v>
      </c>
      <c r="BX18" s="56">
        <v>40</v>
      </c>
      <c r="BY18" s="52"/>
      <c r="BZ18" s="35"/>
      <c r="CA18" s="57"/>
      <c r="CB18" s="35"/>
      <c r="CC18" s="54"/>
      <c r="CD18" s="58"/>
      <c r="CE18" s="58"/>
      <c r="CF18" s="58"/>
      <c r="CG18" s="54"/>
      <c r="CH18" s="35"/>
      <c r="CI18" s="58"/>
      <c r="CJ18" s="58"/>
      <c r="CK18" s="58"/>
      <c r="CL18" s="58"/>
      <c r="CM18" s="58"/>
      <c r="CN18" s="58"/>
      <c r="CO18" s="58"/>
      <c r="CP18" s="58"/>
      <c r="CQ18" s="54"/>
      <c r="CR18" s="58"/>
      <c r="CS18" s="58"/>
      <c r="CT18" s="58"/>
      <c r="CU18" s="54"/>
      <c r="CV18" s="54"/>
      <c r="CW18" s="58"/>
      <c r="CX18" s="58"/>
      <c r="CY18" s="58"/>
      <c r="CZ18" s="54"/>
      <c r="DA18" s="58"/>
      <c r="DB18" s="58"/>
      <c r="DC18" s="58"/>
      <c r="DD18" s="54"/>
      <c r="DE18" s="58"/>
      <c r="DF18" s="58"/>
      <c r="DG18" s="58"/>
      <c r="DH18" s="54"/>
      <c r="DI18" s="58"/>
      <c r="DJ18" s="58"/>
      <c r="DK18" s="62"/>
    </row>
    <row r="19" spans="1:115" x14ac:dyDescent="0.25">
      <c r="A19" s="59"/>
      <c r="C19" s="76"/>
      <c r="I19" s="55"/>
      <c r="J19" s="99"/>
      <c r="K19" s="58"/>
      <c r="L19" s="58"/>
      <c r="M19" s="58"/>
      <c r="N19" s="58"/>
      <c r="O19" s="58"/>
      <c r="P19" s="58"/>
      <c r="Q19" s="62"/>
      <c r="R19" s="58"/>
      <c r="S19" s="58"/>
      <c r="T19" s="58"/>
      <c r="U19" s="62"/>
      <c r="W19" s="55"/>
      <c r="X19" s="58"/>
      <c r="Y19" s="58"/>
      <c r="Z19" s="81">
        <f t="shared" si="5"/>
        <v>1</v>
      </c>
      <c r="AA19" s="58">
        <v>100</v>
      </c>
      <c r="AB19" s="62">
        <v>160</v>
      </c>
      <c r="AC19" s="81">
        <f t="shared" si="6"/>
        <v>1</v>
      </c>
      <c r="AD19" s="67">
        <v>125</v>
      </c>
      <c r="AE19" s="87">
        <v>200</v>
      </c>
      <c r="AF19" s="58"/>
      <c r="AG19" s="58"/>
      <c r="AH19" s="62"/>
      <c r="BN19" s="51"/>
      <c r="BO19" s="35"/>
      <c r="BP19" s="52"/>
      <c r="BQ19" s="35"/>
      <c r="BR19" s="57"/>
      <c r="BS19" s="35"/>
      <c r="BT19" s="54"/>
      <c r="BU19" s="73">
        <f t="shared" si="20"/>
        <v>0</v>
      </c>
      <c r="BV19" s="57" t="s">
        <v>149</v>
      </c>
      <c r="BW19" s="35">
        <v>65</v>
      </c>
      <c r="BX19" s="56">
        <v>50</v>
      </c>
      <c r="BY19" s="52"/>
      <c r="BZ19" s="35"/>
      <c r="CA19" s="57"/>
      <c r="CB19" s="35"/>
      <c r="CC19" s="54"/>
      <c r="CD19" s="58"/>
      <c r="CE19" s="58"/>
      <c r="CF19" s="58"/>
      <c r="CG19" s="54"/>
      <c r="CH19" s="58"/>
      <c r="CI19" s="58"/>
      <c r="CJ19" s="58"/>
      <c r="CK19" s="58"/>
      <c r="CL19" s="58"/>
      <c r="CM19" s="58"/>
      <c r="CN19" s="58"/>
      <c r="CO19" s="58"/>
      <c r="CP19" s="58"/>
      <c r="CQ19" s="54"/>
      <c r="CR19" s="58"/>
      <c r="CS19" s="58"/>
      <c r="CT19" s="58"/>
      <c r="CU19" s="54"/>
      <c r="CV19" s="54"/>
      <c r="CW19" s="58"/>
      <c r="CX19" s="58"/>
      <c r="CY19" s="58"/>
      <c r="CZ19" s="54"/>
      <c r="DA19" s="58"/>
      <c r="DB19" s="58"/>
      <c r="DC19" s="58"/>
      <c r="DD19" s="54"/>
      <c r="DE19" s="58"/>
      <c r="DF19" s="58"/>
      <c r="DG19" s="58"/>
      <c r="DH19" s="54"/>
      <c r="DI19" s="58"/>
      <c r="DJ19" s="58"/>
      <c r="DK19" s="62"/>
    </row>
    <row r="20" spans="1:115" x14ac:dyDescent="0.25">
      <c r="A20" s="59"/>
      <c r="C20" s="76"/>
      <c r="I20" s="55"/>
      <c r="J20" s="99" t="s">
        <v>150</v>
      </c>
      <c r="K20" s="58">
        <v>958.4</v>
      </c>
      <c r="L20" s="58"/>
      <c r="M20" s="58"/>
      <c r="N20" s="58"/>
      <c r="O20" s="58"/>
      <c r="P20" s="58"/>
      <c r="Q20" s="62"/>
      <c r="R20" s="58"/>
      <c r="S20" s="58"/>
      <c r="T20" s="58"/>
      <c r="U20" s="62"/>
      <c r="W20" s="55"/>
      <c r="X20" s="58"/>
      <c r="Y20" s="58"/>
      <c r="Z20" s="81">
        <f t="shared" si="5"/>
        <v>1</v>
      </c>
      <c r="AA20" s="58">
        <v>125</v>
      </c>
      <c r="AB20" s="62">
        <v>250</v>
      </c>
      <c r="AC20" s="81">
        <f t="shared" si="6"/>
        <v>1</v>
      </c>
      <c r="AD20" s="67">
        <v>125</v>
      </c>
      <c r="AE20" s="87">
        <v>250</v>
      </c>
      <c r="AF20" s="58"/>
      <c r="AG20" s="58"/>
      <c r="AH20" s="62"/>
      <c r="BN20" s="51"/>
      <c r="BO20" s="35"/>
      <c r="BP20" s="52"/>
      <c r="BQ20" s="35"/>
      <c r="BR20" s="57"/>
      <c r="BS20" s="35"/>
      <c r="BT20" s="54"/>
      <c r="BU20" s="73">
        <f t="shared" si="20"/>
        <v>0</v>
      </c>
      <c r="BV20" s="57" t="s">
        <v>151</v>
      </c>
      <c r="BW20" s="35">
        <v>65</v>
      </c>
      <c r="BX20" s="56">
        <v>63</v>
      </c>
      <c r="BY20" s="52"/>
      <c r="BZ20" s="35"/>
      <c r="CA20" s="57"/>
      <c r="CB20" s="35"/>
      <c r="CC20" s="54"/>
      <c r="CD20" s="58"/>
      <c r="CE20" s="58"/>
      <c r="CF20" s="58"/>
      <c r="CG20" s="54"/>
      <c r="CH20" s="58"/>
      <c r="CI20" s="58"/>
      <c r="CJ20" s="58"/>
      <c r="CK20" s="58"/>
      <c r="CL20" s="58"/>
      <c r="CM20" s="58"/>
      <c r="CN20" s="58"/>
      <c r="CO20" s="58"/>
      <c r="CP20" s="58"/>
      <c r="CQ20" s="54"/>
      <c r="CR20" s="58"/>
      <c r="CS20" s="58"/>
      <c r="CT20" s="58"/>
      <c r="CU20" s="54"/>
      <c r="CV20" s="54"/>
      <c r="CW20" s="58"/>
      <c r="CX20" s="58"/>
      <c r="CY20" s="58"/>
      <c r="CZ20" s="54"/>
      <c r="DA20" s="58"/>
      <c r="DB20" s="58"/>
      <c r="DC20" s="58"/>
      <c r="DD20" s="54"/>
      <c r="DE20" s="58"/>
      <c r="DF20" s="58"/>
      <c r="DG20" s="58"/>
      <c r="DH20" s="54"/>
      <c r="DI20" s="58"/>
      <c r="DJ20" s="58"/>
      <c r="DK20" s="62"/>
    </row>
    <row r="21" spans="1:115" x14ac:dyDescent="0.25">
      <c r="I21" s="55"/>
      <c r="J21" s="99" t="s">
        <v>152</v>
      </c>
      <c r="K21" s="58">
        <v>0.5</v>
      </c>
      <c r="L21" s="58"/>
      <c r="M21" s="58"/>
      <c r="N21" s="58"/>
      <c r="O21" s="58"/>
      <c r="P21" s="58"/>
      <c r="Q21" s="62"/>
      <c r="R21" s="58"/>
      <c r="S21" s="58"/>
      <c r="T21" s="58"/>
      <c r="U21" s="62"/>
      <c r="W21" s="55"/>
      <c r="X21" s="58"/>
      <c r="Y21" s="58"/>
      <c r="Z21" s="81">
        <f t="shared" si="5"/>
        <v>1</v>
      </c>
      <c r="AA21" s="58">
        <v>150</v>
      </c>
      <c r="AB21" s="62">
        <v>315</v>
      </c>
      <c r="AC21" s="81">
        <f t="shared" si="6"/>
        <v>1</v>
      </c>
      <c r="AD21" s="67">
        <v>150</v>
      </c>
      <c r="AE21" s="87">
        <v>315</v>
      </c>
      <c r="AF21" s="58"/>
      <c r="AG21" s="58"/>
      <c r="AH21" s="62"/>
      <c r="BN21" s="51"/>
      <c r="BO21" s="35"/>
      <c r="BP21" s="52"/>
      <c r="BQ21" s="35"/>
      <c r="BR21" s="57"/>
      <c r="BS21" s="35"/>
      <c r="BT21" s="54"/>
      <c r="BU21" s="73">
        <f t="shared" si="20"/>
        <v>0</v>
      </c>
      <c r="BV21" s="57" t="s">
        <v>153</v>
      </c>
      <c r="BW21" s="35">
        <v>80</v>
      </c>
      <c r="BX21" s="56">
        <v>80</v>
      </c>
      <c r="BY21" s="52"/>
      <c r="BZ21" s="35"/>
      <c r="CA21" s="57"/>
      <c r="CB21" s="35"/>
      <c r="CC21" s="54"/>
      <c r="CD21" s="58"/>
      <c r="CE21" s="58"/>
      <c r="CF21" s="58"/>
      <c r="CG21" s="54"/>
      <c r="CH21" s="58"/>
      <c r="CI21" s="58"/>
      <c r="CJ21" s="58"/>
      <c r="CK21" s="58"/>
      <c r="CL21" s="58"/>
      <c r="CM21" s="58"/>
      <c r="CN21" s="58"/>
      <c r="CO21" s="58"/>
      <c r="CP21" s="58"/>
      <c r="CQ21" s="54"/>
      <c r="CR21" s="58"/>
      <c r="CS21" s="58"/>
      <c r="CT21" s="58"/>
      <c r="CU21" s="54"/>
      <c r="CV21" s="54"/>
      <c r="CW21" s="58"/>
      <c r="CX21" s="58"/>
      <c r="CY21" s="58"/>
      <c r="CZ21" s="54"/>
      <c r="DA21" s="58"/>
      <c r="DB21" s="58"/>
      <c r="DC21" s="58"/>
      <c r="DD21" s="54"/>
      <c r="DE21" s="58"/>
      <c r="DF21" s="58"/>
      <c r="DG21" s="58"/>
      <c r="DH21" s="54"/>
      <c r="DI21" s="58"/>
      <c r="DJ21" s="58"/>
      <c r="DK21" s="62"/>
    </row>
    <row r="22" spans="1:115" x14ac:dyDescent="0.25">
      <c r="I22" s="95"/>
      <c r="J22" s="100"/>
      <c r="K22" s="96"/>
      <c r="L22" s="96"/>
      <c r="M22" s="96"/>
      <c r="N22" s="96"/>
      <c r="O22" s="96"/>
      <c r="P22" s="96"/>
      <c r="Q22" s="98"/>
      <c r="R22" s="96"/>
      <c r="S22" s="96"/>
      <c r="T22" s="96"/>
      <c r="U22" s="98"/>
      <c r="W22" s="95"/>
      <c r="X22" s="96"/>
      <c r="Y22" s="96"/>
      <c r="Z22" s="95"/>
      <c r="AA22" s="96"/>
      <c r="AB22" s="98"/>
      <c r="AC22" s="91">
        <f t="shared" si="6"/>
        <v>1</v>
      </c>
      <c r="AD22" s="101">
        <v>150</v>
      </c>
      <c r="AE22" s="102">
        <v>400</v>
      </c>
      <c r="AF22" s="96"/>
      <c r="AG22" s="96"/>
      <c r="AH22" s="98"/>
      <c r="BN22" s="51"/>
      <c r="BO22" s="35"/>
      <c r="BP22" s="52"/>
      <c r="BQ22" s="35"/>
      <c r="BR22" s="57"/>
      <c r="BS22" s="35"/>
      <c r="BT22" s="54"/>
      <c r="BU22" s="73">
        <f t="shared" si="20"/>
        <v>0</v>
      </c>
      <c r="BV22" s="57" t="s">
        <v>154</v>
      </c>
      <c r="BW22" s="35">
        <v>80</v>
      </c>
      <c r="BX22" s="56">
        <v>100</v>
      </c>
      <c r="BY22" s="52"/>
      <c r="BZ22" s="35"/>
      <c r="CA22" s="57"/>
      <c r="CB22" s="35"/>
      <c r="CC22" s="54"/>
      <c r="CD22" s="58"/>
      <c r="CE22" s="58"/>
      <c r="CF22" s="58"/>
      <c r="CG22" s="54"/>
      <c r="CH22" s="58"/>
      <c r="CI22" s="58"/>
      <c r="CJ22" s="58"/>
      <c r="CK22" s="58"/>
      <c r="CL22" s="58"/>
      <c r="CM22" s="58"/>
      <c r="CN22" s="58"/>
      <c r="CO22" s="58"/>
      <c r="CP22" s="58"/>
      <c r="CQ22" s="54"/>
      <c r="CR22" s="58"/>
      <c r="CS22" s="58"/>
      <c r="CT22" s="58"/>
      <c r="CU22" s="54"/>
      <c r="CV22" s="54"/>
      <c r="CW22" s="58"/>
      <c r="CX22" s="58"/>
      <c r="CY22" s="58"/>
      <c r="CZ22" s="54"/>
      <c r="DA22" s="58"/>
      <c r="DB22" s="58"/>
      <c r="DC22" s="58"/>
      <c r="DD22" s="54"/>
      <c r="DE22" s="58"/>
      <c r="DF22" s="58"/>
      <c r="DG22" s="58"/>
      <c r="DH22" s="54"/>
      <c r="DI22" s="58"/>
      <c r="DJ22" s="58"/>
      <c r="DK22" s="62"/>
    </row>
    <row r="23" spans="1:115" x14ac:dyDescent="0.25">
      <c r="BN23" s="51"/>
      <c r="BO23" s="35"/>
      <c r="BP23" s="52"/>
      <c r="BQ23" s="35"/>
      <c r="BR23" s="57"/>
      <c r="BS23" s="35"/>
      <c r="BT23" s="54"/>
      <c r="BU23" s="73">
        <f t="shared" si="20"/>
        <v>0</v>
      </c>
      <c r="BV23" s="57" t="s">
        <v>155</v>
      </c>
      <c r="BW23" s="35">
        <v>100</v>
      </c>
      <c r="BX23" s="56">
        <v>125</v>
      </c>
      <c r="BY23" s="52"/>
      <c r="BZ23" s="35"/>
      <c r="CA23" s="57"/>
      <c r="CB23" s="35"/>
      <c r="CC23" s="54"/>
      <c r="CD23" s="58"/>
      <c r="CE23" s="58"/>
      <c r="CF23" s="58"/>
      <c r="CG23" s="54"/>
      <c r="CH23" s="58"/>
      <c r="CI23" s="58"/>
      <c r="CJ23" s="58"/>
      <c r="CK23" s="58"/>
      <c r="CL23" s="58"/>
      <c r="CM23" s="58"/>
      <c r="CN23" s="58"/>
      <c r="CO23" s="58"/>
      <c r="CP23" s="58"/>
      <c r="CQ23" s="54"/>
      <c r="CR23" s="58"/>
      <c r="CS23" s="58"/>
      <c r="CT23" s="58"/>
      <c r="CU23" s="54"/>
      <c r="CV23" s="54"/>
      <c r="CW23" s="58"/>
      <c r="CX23" s="58"/>
      <c r="CY23" s="58"/>
      <c r="CZ23" s="54"/>
      <c r="DA23" s="58"/>
      <c r="DB23" s="58"/>
      <c r="DC23" s="58"/>
      <c r="DD23" s="54"/>
      <c r="DE23" s="58"/>
      <c r="DF23" s="58"/>
      <c r="DG23" s="58"/>
      <c r="DH23" s="54"/>
      <c r="DI23" s="58"/>
      <c r="DJ23" s="58"/>
      <c r="DK23" s="62"/>
    </row>
    <row r="24" spans="1:115" x14ac:dyDescent="0.25">
      <c r="BN24" s="51"/>
      <c r="BO24" s="35"/>
      <c r="BP24" s="52"/>
      <c r="BQ24" s="35"/>
      <c r="BR24" s="57"/>
      <c r="BS24" s="35"/>
      <c r="BT24" s="54"/>
      <c r="BU24" s="73">
        <f t="shared" si="20"/>
        <v>0</v>
      </c>
      <c r="BV24" s="57" t="s">
        <v>156</v>
      </c>
      <c r="BW24" s="35">
        <v>100</v>
      </c>
      <c r="BX24" s="56">
        <v>160</v>
      </c>
      <c r="BY24" s="52"/>
      <c r="BZ24" s="35"/>
      <c r="CA24" s="57"/>
      <c r="CB24" s="35"/>
      <c r="CC24" s="54"/>
      <c r="CD24" s="58"/>
      <c r="CE24" s="58"/>
      <c r="CF24" s="58"/>
      <c r="CG24" s="54"/>
      <c r="CH24" s="58"/>
      <c r="CI24" s="58"/>
      <c r="CJ24" s="58"/>
      <c r="CK24" s="58"/>
      <c r="CL24" s="58"/>
      <c r="CM24" s="58"/>
      <c r="CN24" s="58"/>
      <c r="CO24" s="58"/>
      <c r="CP24" s="58"/>
      <c r="CQ24" s="54"/>
      <c r="CR24" s="58"/>
      <c r="CS24" s="58"/>
      <c r="CT24" s="58"/>
      <c r="CU24" s="54"/>
      <c r="CV24" s="54"/>
      <c r="CW24" s="58"/>
      <c r="CX24" s="58"/>
      <c r="CY24" s="58"/>
      <c r="CZ24" s="54"/>
      <c r="DA24" s="58"/>
      <c r="DB24" s="58"/>
      <c r="DC24" s="58"/>
      <c r="DD24" s="54"/>
      <c r="DE24" s="58"/>
      <c r="DF24" s="58"/>
      <c r="DG24" s="58"/>
      <c r="DH24" s="54"/>
      <c r="DI24" s="58"/>
      <c r="DJ24" s="58"/>
      <c r="DK24" s="62"/>
    </row>
    <row r="25" spans="1:115" x14ac:dyDescent="0.25">
      <c r="BN25" s="51"/>
      <c r="BO25" s="35"/>
      <c r="BP25" s="52"/>
      <c r="BQ25" s="35"/>
      <c r="BR25" s="57"/>
      <c r="BS25" s="35"/>
      <c r="BT25" s="54"/>
      <c r="BU25" s="73">
        <f t="shared" si="20"/>
        <v>0</v>
      </c>
      <c r="BV25" s="57" t="s">
        <v>157</v>
      </c>
      <c r="BW25" s="35">
        <v>125</v>
      </c>
      <c r="BX25" s="56">
        <v>250</v>
      </c>
      <c r="BY25" s="52"/>
      <c r="BZ25" s="35"/>
      <c r="CA25" s="57"/>
      <c r="CB25" s="35"/>
      <c r="CC25" s="54"/>
      <c r="CD25" s="58"/>
      <c r="CE25" s="58"/>
      <c r="CF25" s="58"/>
      <c r="CG25" s="54"/>
      <c r="CH25" s="58"/>
      <c r="CI25" s="58"/>
      <c r="CJ25" s="58"/>
      <c r="CK25" s="58"/>
      <c r="CL25" s="58"/>
      <c r="CM25" s="58"/>
      <c r="CN25" s="58"/>
      <c r="CO25" s="58"/>
      <c r="CP25" s="58"/>
      <c r="CQ25" s="54"/>
      <c r="CR25" s="58"/>
      <c r="CS25" s="58"/>
      <c r="CT25" s="58"/>
      <c r="CU25" s="54"/>
      <c r="CV25" s="54"/>
      <c r="CW25" s="58"/>
      <c r="CX25" s="58"/>
      <c r="CY25" s="58"/>
      <c r="CZ25" s="54"/>
      <c r="DA25" s="58"/>
      <c r="DB25" s="58"/>
      <c r="DC25" s="58"/>
      <c r="DD25" s="54"/>
      <c r="DE25" s="58"/>
      <c r="DF25" s="58"/>
      <c r="DG25" s="58"/>
      <c r="DH25" s="54"/>
      <c r="DI25" s="58"/>
      <c r="DJ25" s="58"/>
      <c r="DK25" s="62"/>
    </row>
    <row r="26" spans="1:115" x14ac:dyDescent="0.25">
      <c r="BN26" s="103"/>
      <c r="BO26" s="104"/>
      <c r="BP26" s="105"/>
      <c r="BQ26" s="104"/>
      <c r="BR26" s="106"/>
      <c r="BS26" s="104"/>
      <c r="BT26" s="107"/>
      <c r="BU26" s="108">
        <f t="shared" si="20"/>
        <v>0</v>
      </c>
      <c r="BV26" s="106" t="s">
        <v>158</v>
      </c>
      <c r="BW26" s="104">
        <v>150</v>
      </c>
      <c r="BX26" s="109">
        <v>315</v>
      </c>
      <c r="BY26" s="105"/>
      <c r="BZ26" s="104"/>
      <c r="CA26" s="106"/>
      <c r="CB26" s="104"/>
      <c r="CC26" s="107"/>
      <c r="CD26" s="96"/>
      <c r="CE26" s="96"/>
      <c r="CF26" s="96"/>
      <c r="CG26" s="107"/>
      <c r="CH26" s="96"/>
      <c r="CI26" s="96"/>
      <c r="CJ26" s="96"/>
      <c r="CK26" s="96"/>
      <c r="CL26" s="96"/>
      <c r="CM26" s="96"/>
      <c r="CN26" s="96"/>
      <c r="CO26" s="96"/>
      <c r="CP26" s="96"/>
      <c r="CQ26" s="107"/>
      <c r="CR26" s="96"/>
      <c r="CS26" s="96"/>
      <c r="CT26" s="96"/>
      <c r="CU26" s="107"/>
      <c r="CV26" s="107"/>
      <c r="CW26" s="96"/>
      <c r="CX26" s="96"/>
      <c r="CY26" s="96"/>
      <c r="CZ26" s="107"/>
      <c r="DA26" s="96"/>
      <c r="DB26" s="96"/>
      <c r="DC26" s="96"/>
      <c r="DD26" s="107"/>
      <c r="DE26" s="96"/>
      <c r="DF26" s="96"/>
      <c r="DG26" s="96"/>
      <c r="DH26" s="107"/>
      <c r="DI26" s="96"/>
      <c r="DJ26" s="96"/>
      <c r="DK26" s="98"/>
    </row>
  </sheetData>
  <mergeCells count="28">
    <mergeCell ref="B16:C16"/>
    <mergeCell ref="B17:C17"/>
    <mergeCell ref="B18:C18"/>
    <mergeCell ref="BC3:BG3"/>
    <mergeCell ref="BH3:BL3"/>
    <mergeCell ref="B14:C14"/>
    <mergeCell ref="E14:F14"/>
    <mergeCell ref="B15:C15"/>
    <mergeCell ref="Z3:AB3"/>
    <mergeCell ref="AC3:AE3"/>
    <mergeCell ref="AF3:AH3"/>
    <mergeCell ref="AS3:AW3"/>
    <mergeCell ref="AX3:BB3"/>
    <mergeCell ref="CR2:CT2"/>
    <mergeCell ref="CW2:CY2"/>
    <mergeCell ref="DA2:DC2"/>
    <mergeCell ref="DE2:DG2"/>
    <mergeCell ref="DI2:DK2"/>
    <mergeCell ref="BR2:BS2"/>
    <mergeCell ref="BV2:BX2"/>
    <mergeCell ref="CA2:CB2"/>
    <mergeCell ref="CE2:CF2"/>
    <mergeCell ref="CI2:CP2"/>
    <mergeCell ref="I2:Q2"/>
    <mergeCell ref="W2:AH2"/>
    <mergeCell ref="AJ2:AM2"/>
    <mergeCell ref="AS2:BL2"/>
    <mergeCell ref="BN2:BO2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L26"/>
  <sheetViews>
    <sheetView zoomScale="70" zoomScaleNormal="70" workbookViewId="0">
      <selection activeCell="L4" sqref="L4:L17"/>
    </sheetView>
  </sheetViews>
  <sheetFormatPr defaultRowHeight="15" x14ac:dyDescent="0.25"/>
  <cols>
    <col min="1" max="1" width="7.7109375" customWidth="1"/>
    <col min="2" max="2" width="8" customWidth="1"/>
    <col min="3" max="4" width="8.7109375" customWidth="1"/>
    <col min="5" max="6" width="12.5703125" customWidth="1"/>
    <col min="7" max="8" width="8.7109375" customWidth="1"/>
    <col min="9" max="9" width="9.140625" customWidth="1"/>
    <col min="10" max="10" width="6" customWidth="1"/>
    <col min="11" max="12" width="8" customWidth="1"/>
    <col min="13" max="13" width="4.7109375" customWidth="1"/>
    <col min="14" max="14" width="6" customWidth="1"/>
    <col min="15" max="17" width="9.140625" customWidth="1"/>
    <col min="18" max="18" width="6" customWidth="1"/>
    <col min="19" max="35" width="9.140625" customWidth="1"/>
    <col min="36" max="37" width="9.85546875" customWidth="1"/>
    <col min="38" max="38" width="15.7109375" customWidth="1"/>
    <col min="39" max="39" width="9.140625" customWidth="1"/>
    <col min="40" max="40" width="25.140625" customWidth="1"/>
    <col min="41" max="41" width="11" customWidth="1"/>
    <col min="42" max="42" width="18.28515625" customWidth="1"/>
    <col min="43" max="48" width="9.140625" customWidth="1"/>
    <col min="49" max="49" width="9.140625" style="15" customWidth="1"/>
    <col min="50" max="64" width="9.140625" customWidth="1"/>
    <col min="65" max="65" width="8.7109375" customWidth="1"/>
    <col min="66" max="66" width="4.85546875" customWidth="1"/>
    <col min="67" max="67" width="12.85546875" customWidth="1"/>
    <col min="68" max="68" width="3.28515625" customWidth="1"/>
    <col min="69" max="69" width="11.28515625" customWidth="1"/>
    <col min="70" max="71" width="6.28515625" customWidth="1"/>
    <col min="72" max="72" width="3.5703125" customWidth="1"/>
    <col min="73" max="73" width="8.28515625" customWidth="1"/>
    <col min="74" max="76" width="6.140625" customWidth="1"/>
    <col min="77" max="77" width="3.28515625" customWidth="1"/>
    <col min="78" max="78" width="9.5703125" customWidth="1"/>
    <col min="79" max="79" width="6.140625" customWidth="1"/>
    <col min="80" max="80" width="15.28515625" customWidth="1"/>
    <col min="81" max="81" width="3.28515625" customWidth="1"/>
    <col min="82" max="82" width="8.7109375" customWidth="1"/>
    <col min="83" max="84" width="6.28515625" customWidth="1"/>
    <col min="85" max="85" width="3.28515625" customWidth="1"/>
    <col min="86" max="86" width="9.5703125" customWidth="1"/>
    <col min="87" max="87" width="6.140625" customWidth="1"/>
    <col min="88" max="88" width="16.85546875" customWidth="1"/>
    <col min="89" max="89" width="8.5703125" customWidth="1"/>
    <col min="90" max="90" width="7" customWidth="1"/>
    <col min="91" max="91" width="25.140625" customWidth="1"/>
    <col min="92" max="92" width="8.5703125" customWidth="1"/>
    <col min="93" max="93" width="6.7109375" customWidth="1"/>
    <col min="94" max="94" width="18.28515625" customWidth="1"/>
    <col min="95" max="95" width="3.5703125" customWidth="1"/>
    <col min="96" max="96" width="8.5703125" customWidth="1"/>
    <col min="97" max="97" width="5.85546875" customWidth="1"/>
    <col min="98" max="98" width="16.140625" customWidth="1"/>
    <col min="99" max="99" width="3.7109375" customWidth="1"/>
    <col min="100" max="100" width="3.28515625" customWidth="1"/>
    <col min="101" max="101" width="8.5703125" customWidth="1"/>
    <col min="102" max="102" width="6.28515625" customWidth="1"/>
    <col min="103" max="103" width="11.42578125"/>
    <col min="104" max="104" width="3.5703125" customWidth="1"/>
    <col min="105" max="105" width="8.7109375" customWidth="1"/>
    <col min="106" max="106" width="6.28515625" customWidth="1"/>
    <col min="107" max="107" width="11.42578125"/>
    <col min="108" max="108" width="3.5703125" customWidth="1"/>
    <col min="109" max="109" width="8.7109375" customWidth="1"/>
    <col min="110" max="110" width="6.28515625" customWidth="1"/>
    <col min="111" max="111" width="11.42578125"/>
    <col min="112" max="112" width="3.5703125" customWidth="1"/>
    <col min="113" max="113" width="8.5703125" customWidth="1"/>
    <col min="114" max="114" width="6.28515625" customWidth="1"/>
    <col min="115" max="115" width="13.7109375" customWidth="1"/>
    <col min="116" max="116" width="3.5703125" customWidth="1"/>
    <col min="117" max="1025" width="8.7109375" customWidth="1"/>
  </cols>
  <sheetData>
    <row r="2" spans="1:116" x14ac:dyDescent="0.25">
      <c r="B2" t="s">
        <v>160</v>
      </c>
      <c r="I2" s="149" t="s">
        <v>30</v>
      </c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W2" s="7" t="s">
        <v>31</v>
      </c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J2" s="7" t="s">
        <v>32</v>
      </c>
      <c r="AK2" s="7"/>
      <c r="AL2" s="7"/>
      <c r="AM2" s="7"/>
      <c r="AN2" s="36" t="s">
        <v>33</v>
      </c>
      <c r="AO2" s="36" t="s">
        <v>34</v>
      </c>
      <c r="AP2" s="37" t="s">
        <v>35</v>
      </c>
      <c r="AS2" s="6" t="s">
        <v>36</v>
      </c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N2" s="13" t="s">
        <v>37</v>
      </c>
      <c r="BO2" s="13"/>
      <c r="BP2" s="18"/>
      <c r="BQ2" s="38"/>
      <c r="BR2" s="5" t="s">
        <v>38</v>
      </c>
      <c r="BS2" s="5"/>
      <c r="BT2" s="39"/>
      <c r="BU2" s="40"/>
      <c r="BV2" s="4" t="s">
        <v>39</v>
      </c>
      <c r="BW2" s="4"/>
      <c r="BX2" s="4"/>
      <c r="BY2" s="18"/>
      <c r="BZ2" s="38"/>
      <c r="CA2" s="5" t="s">
        <v>40</v>
      </c>
      <c r="CB2" s="5"/>
      <c r="CC2" s="18"/>
      <c r="CD2" s="38"/>
      <c r="CE2" s="5" t="s">
        <v>41</v>
      </c>
      <c r="CF2" s="5"/>
      <c r="CG2" s="18"/>
      <c r="CH2" s="38"/>
      <c r="CI2" s="3" t="s">
        <v>42</v>
      </c>
      <c r="CJ2" s="3"/>
      <c r="CK2" s="3"/>
      <c r="CL2" s="3"/>
      <c r="CM2" s="3"/>
      <c r="CN2" s="3"/>
      <c r="CO2" s="3"/>
      <c r="CP2" s="3"/>
      <c r="CQ2" s="39"/>
      <c r="CR2" s="14" t="s">
        <v>43</v>
      </c>
      <c r="CS2" s="14"/>
      <c r="CT2" s="14"/>
      <c r="CU2" s="41"/>
      <c r="CV2" s="18"/>
      <c r="CW2" s="14" t="s">
        <v>44</v>
      </c>
      <c r="CX2" s="14"/>
      <c r="CY2" s="14"/>
      <c r="CZ2" s="39"/>
      <c r="DA2" s="14" t="s">
        <v>45</v>
      </c>
      <c r="DB2" s="14"/>
      <c r="DC2" s="14"/>
      <c r="DD2" s="39"/>
      <c r="DE2" s="14" t="s">
        <v>46</v>
      </c>
      <c r="DF2" s="14"/>
      <c r="DG2" s="14"/>
      <c r="DH2" s="39"/>
      <c r="DI2" s="14" t="s">
        <v>47</v>
      </c>
      <c r="DJ2" s="14"/>
      <c r="DK2" s="14"/>
      <c r="DL2" s="42"/>
    </row>
    <row r="3" spans="1:116" x14ac:dyDescent="0.25">
      <c r="I3" s="43"/>
      <c r="J3" s="44" t="s">
        <v>48</v>
      </c>
      <c r="K3" s="45" t="s">
        <v>49</v>
      </c>
      <c r="L3" s="44" t="s">
        <v>50</v>
      </c>
      <c r="M3" s="44"/>
      <c r="N3" s="44"/>
      <c r="O3" s="44" t="s">
        <v>51</v>
      </c>
      <c r="P3" s="45" t="s">
        <v>49</v>
      </c>
      <c r="Q3" s="46" t="s">
        <v>50</v>
      </c>
      <c r="R3" s="44"/>
      <c r="S3" s="44" t="s">
        <v>52</v>
      </c>
      <c r="T3" s="45" t="s">
        <v>49</v>
      </c>
      <c r="U3" s="46" t="s">
        <v>50</v>
      </c>
      <c r="W3" s="43" t="s">
        <v>53</v>
      </c>
      <c r="X3" s="44" t="s">
        <v>54</v>
      </c>
      <c r="Y3" s="46" t="s">
        <v>55</v>
      </c>
      <c r="Z3" s="7" t="s">
        <v>53</v>
      </c>
      <c r="AA3" s="7"/>
      <c r="AB3" s="7"/>
      <c r="AC3" s="7" t="s">
        <v>54</v>
      </c>
      <c r="AD3" s="7"/>
      <c r="AE3" s="7"/>
      <c r="AF3" s="7" t="s">
        <v>55</v>
      </c>
      <c r="AG3" s="7"/>
      <c r="AH3" s="7"/>
      <c r="AJ3" s="47" t="s">
        <v>56</v>
      </c>
      <c r="AK3" s="48"/>
      <c r="AL3" s="49"/>
      <c r="AM3" s="49"/>
      <c r="AN3" s="50"/>
      <c r="AO3" s="50"/>
      <c r="AP3" s="50"/>
      <c r="AS3" s="7" t="s">
        <v>57</v>
      </c>
      <c r="AT3" s="7"/>
      <c r="AU3" s="7"/>
      <c r="AV3" s="7"/>
      <c r="AW3" s="7"/>
      <c r="AX3" s="2" t="s">
        <v>58</v>
      </c>
      <c r="AY3" s="2"/>
      <c r="AZ3" s="2"/>
      <c r="BA3" s="2"/>
      <c r="BB3" s="2"/>
      <c r="BC3" s="7" t="s">
        <v>59</v>
      </c>
      <c r="BD3" s="7"/>
      <c r="BE3" s="7"/>
      <c r="BF3" s="7"/>
      <c r="BG3" s="7"/>
      <c r="BH3" s="7" t="s">
        <v>60</v>
      </c>
      <c r="BI3" s="7"/>
      <c r="BJ3" s="7"/>
      <c r="BK3" s="7"/>
      <c r="BL3" s="7"/>
      <c r="BN3" s="51" t="s">
        <v>61</v>
      </c>
      <c r="BO3" s="35" t="s">
        <v>62</v>
      </c>
      <c r="BP3" s="52"/>
      <c r="BQ3" s="35" t="s">
        <v>161</v>
      </c>
      <c r="BR3" s="53" t="s">
        <v>61</v>
      </c>
      <c r="BS3" s="32" t="s">
        <v>63</v>
      </c>
      <c r="BT3" s="54"/>
      <c r="BU3" s="55" t="s">
        <v>31</v>
      </c>
      <c r="BV3" s="53" t="s">
        <v>61</v>
      </c>
      <c r="BW3" s="32" t="s">
        <v>63</v>
      </c>
      <c r="BX3" s="56" t="s">
        <v>64</v>
      </c>
      <c r="BY3" s="52"/>
      <c r="BZ3" s="35" t="s">
        <v>31</v>
      </c>
      <c r="CA3" s="57" t="s">
        <v>61</v>
      </c>
      <c r="CB3" s="35" t="s">
        <v>65</v>
      </c>
      <c r="CC3" s="52"/>
      <c r="CD3" s="35" t="s">
        <v>162</v>
      </c>
      <c r="CE3" s="53" t="s">
        <v>61</v>
      </c>
      <c r="CF3" s="32" t="s">
        <v>63</v>
      </c>
      <c r="CG3" s="52"/>
      <c r="CH3" s="35"/>
      <c r="CI3" s="53" t="s">
        <v>61</v>
      </c>
      <c r="CJ3" s="35" t="s">
        <v>66</v>
      </c>
      <c r="CK3" s="35"/>
      <c r="CL3" s="35"/>
      <c r="CM3" s="35" t="s">
        <v>66</v>
      </c>
      <c r="CN3" s="35"/>
      <c r="CO3" s="35"/>
      <c r="CP3" s="35" t="s">
        <v>66</v>
      </c>
      <c r="CQ3" s="54"/>
      <c r="CR3" s="58"/>
      <c r="CS3" s="57" t="s">
        <v>61</v>
      </c>
      <c r="CT3" s="35" t="s">
        <v>66</v>
      </c>
      <c r="CU3" s="54"/>
      <c r="CV3" s="52"/>
      <c r="CW3" s="35"/>
      <c r="CX3" s="53" t="s">
        <v>61</v>
      </c>
      <c r="CY3" s="32" t="s">
        <v>67</v>
      </c>
      <c r="CZ3" s="54"/>
      <c r="DA3" s="35"/>
      <c r="DB3" s="53" t="s">
        <v>61</v>
      </c>
      <c r="DC3" s="32" t="s">
        <v>163</v>
      </c>
      <c r="DD3" s="54"/>
      <c r="DE3" s="35"/>
      <c r="DF3" s="53" t="s">
        <v>61</v>
      </c>
      <c r="DG3" s="32" t="s">
        <v>68</v>
      </c>
      <c r="DH3" s="54"/>
      <c r="DI3" s="35"/>
      <c r="DJ3" s="53" t="s">
        <v>61</v>
      </c>
      <c r="DK3" s="31" t="s">
        <v>69</v>
      </c>
    </row>
    <row r="4" spans="1:116" x14ac:dyDescent="0.25">
      <c r="A4" s="59" t="s">
        <v>70</v>
      </c>
      <c r="B4" s="60">
        <f>'ol4'!C16</f>
        <v>0</v>
      </c>
      <c r="C4" t="s">
        <v>71</v>
      </c>
      <c r="E4" t="s">
        <v>72</v>
      </c>
      <c r="F4" s="61">
        <f>B4*1000/(B5-B6)</f>
        <v>0</v>
      </c>
      <c r="I4" s="55">
        <f t="shared" ref="I4:I17" si="0">IF($B$12&lt;12,(IF((L4&gt;4)*AND(L4&lt;16),2,0)),IF((L4&gt;4)*AND(L4&lt;20),2,0))</f>
        <v>0</v>
      </c>
      <c r="J4" s="58"/>
      <c r="K4" s="58"/>
      <c r="L4" s="58"/>
      <c r="M4" s="58"/>
      <c r="N4" s="58">
        <f t="shared" ref="N4:N17" si="1">IF((Q4&gt;4)*AND(Q4&lt;20),1,0)</f>
        <v>0</v>
      </c>
      <c r="O4" s="58">
        <v>15</v>
      </c>
      <c r="P4" s="58"/>
      <c r="Q4" s="62"/>
      <c r="R4" s="58">
        <f t="shared" ref="R4:R17" si="2">IF((U4&gt;4)*AND(U4&lt;20),1,0)</f>
        <v>0</v>
      </c>
      <c r="S4" s="58">
        <v>15</v>
      </c>
      <c r="T4" s="58">
        <f t="shared" ref="T4:T17" si="3">1/POWER(1.14+2*LOG10((S4/1000)/($K$21/1000)),2)</f>
        <v>5.9655827422120798E-2</v>
      </c>
      <c r="U4" s="62">
        <f t="shared" ref="U4:U17" si="4">0.00638*T4*POWER($F$16,2)/(POWER(S4/1000,5)*$K$20)</f>
        <v>0</v>
      </c>
      <c r="W4" s="63" t="s">
        <v>73</v>
      </c>
      <c r="X4" s="58">
        <f>IF(B12=0,0,IF(B12&gt;12,3,1.8))</f>
        <v>3</v>
      </c>
      <c r="Y4" s="58"/>
      <c r="Z4" s="64">
        <f t="shared" ref="Z4:Z21" si="5">IF(AB4&gt;$X$5,1,0)</f>
        <v>1</v>
      </c>
      <c r="AA4" s="65">
        <v>15</v>
      </c>
      <c r="AB4" s="66">
        <v>1.6</v>
      </c>
      <c r="AC4" s="64">
        <f t="shared" ref="AC4:AC22" si="6">IF(AE4&gt;$X$5,1,0)</f>
        <v>1</v>
      </c>
      <c r="AD4" s="65">
        <v>15</v>
      </c>
      <c r="AE4" s="66">
        <v>1.6</v>
      </c>
      <c r="AF4" s="58">
        <f t="shared" ref="AF4:AF16" si="7">IF(AH4&gt;$X$5,1,0)</f>
        <v>1</v>
      </c>
      <c r="AG4" s="67">
        <v>15</v>
      </c>
      <c r="AH4" s="62">
        <v>1.6</v>
      </c>
      <c r="AJ4" s="68">
        <v>4</v>
      </c>
      <c r="AK4" s="64" t="e">
        <f t="shared" ref="AK4:AK13" si="8">IF($F$13&lt;AJ4,1,0)</f>
        <v>#DIV/0!</v>
      </c>
      <c r="AL4" s="66" t="s">
        <v>74</v>
      </c>
      <c r="AM4" s="69" t="e">
        <f t="shared" ref="AM4:AM13" si="9">IF($F$13&lt;AJ4,1,0)</f>
        <v>#DIV/0!</v>
      </c>
      <c r="AN4" s="70" t="s">
        <v>75</v>
      </c>
      <c r="AO4" s="64" t="e">
        <f t="shared" ref="AO4:AO13" si="10">IF($F$13&lt;AJ4,1,0)</f>
        <v>#DIV/0!</v>
      </c>
      <c r="AP4" s="71" t="s">
        <v>76</v>
      </c>
      <c r="AS4" s="64">
        <v>0.1</v>
      </c>
      <c r="AT4" s="72">
        <f t="shared" ref="AT4:AT11" si="11">IF($B$4&lt;AS4,1,0)</f>
        <v>1</v>
      </c>
      <c r="AU4" s="72" t="s">
        <v>77</v>
      </c>
      <c r="AV4" s="72">
        <f t="shared" ref="AV4:AV11" si="12">IF($B$4&lt;AS4,1,0)</f>
        <v>1</v>
      </c>
      <c r="AW4" s="17">
        <v>1</v>
      </c>
      <c r="AX4" s="64">
        <v>0.1</v>
      </c>
      <c r="AY4" s="72">
        <f t="shared" ref="AY4:AY11" si="13">IF($B$4&lt;AX4,1,0)</f>
        <v>1</v>
      </c>
      <c r="AZ4" s="72" t="s">
        <v>77</v>
      </c>
      <c r="BA4" s="72">
        <f t="shared" ref="BA4:BA11" si="14">IF($B$4&lt;AX4,1,0)</f>
        <v>1</v>
      </c>
      <c r="BB4" s="17">
        <v>1</v>
      </c>
      <c r="BC4" s="55">
        <v>0.14000000000000001</v>
      </c>
      <c r="BD4" s="58">
        <f t="shared" ref="BD4:BD10" si="15">IF($B$4&lt;BC4,1,0)</f>
        <v>1</v>
      </c>
      <c r="BE4" s="72" t="s">
        <v>77</v>
      </c>
      <c r="BF4" s="58">
        <f t="shared" ref="BF4:BF10" si="16">IF($B$4&lt;BC4,1,0)</f>
        <v>1</v>
      </c>
      <c r="BG4" s="56">
        <v>1</v>
      </c>
      <c r="BH4" s="58">
        <v>0.05</v>
      </c>
      <c r="BI4" s="58">
        <f t="shared" ref="BI4:BI13" si="17">IF($B$4&lt;BH4,1,0)</f>
        <v>1</v>
      </c>
      <c r="BJ4" s="58" t="s">
        <v>77</v>
      </c>
      <c r="BK4" s="58">
        <f t="shared" ref="BK4:BK13" si="18">IF($B$4&lt;BH4,1,0)</f>
        <v>1</v>
      </c>
      <c r="BL4" s="62">
        <v>1</v>
      </c>
      <c r="BN4" s="51" t="s">
        <v>78</v>
      </c>
      <c r="BO4" s="35" t="s">
        <v>79</v>
      </c>
      <c r="BP4" s="52"/>
      <c r="BQ4" s="35" t="e">
        <f t="shared" ref="BQ4:BQ15" si="19">IF($F$5=BS4,1,0)</f>
        <v>#N/A</v>
      </c>
      <c r="BR4" s="57" t="s">
        <v>80</v>
      </c>
      <c r="BS4" s="35">
        <v>15</v>
      </c>
      <c r="BT4" s="54"/>
      <c r="BU4" s="73">
        <f t="shared" ref="BU4:BU26" si="20">IF($F$7=BX4,1,0)</f>
        <v>0</v>
      </c>
      <c r="BV4" s="57" t="s">
        <v>80</v>
      </c>
      <c r="BW4" s="35">
        <v>15</v>
      </c>
      <c r="BX4" s="56">
        <v>0.63</v>
      </c>
      <c r="BY4" s="52"/>
      <c r="BZ4" s="35">
        <f>IF($B$14=CB4,1,0)</f>
        <v>0</v>
      </c>
      <c r="CA4" s="57" t="s">
        <v>78</v>
      </c>
      <c r="CB4" s="35" t="s">
        <v>53</v>
      </c>
      <c r="CC4" s="52"/>
      <c r="CD4" s="35" t="e">
        <f t="shared" ref="CD4:CD15" si="21">IF($F$12=CF4,1,0)</f>
        <v>#N/A</v>
      </c>
      <c r="CE4" s="57" t="s">
        <v>80</v>
      </c>
      <c r="CF4" s="35">
        <v>15</v>
      </c>
      <c r="CG4" s="52"/>
      <c r="CH4" s="35" t="e">
        <f t="shared" ref="CH4:CH14" si="22">IF($E$14=CJ4,1,0)</f>
        <v>#N/A</v>
      </c>
      <c r="CI4" s="32">
        <v>1</v>
      </c>
      <c r="CJ4" s="32" t="s">
        <v>74</v>
      </c>
      <c r="CK4" s="32" t="e">
        <f t="shared" ref="CK4:CK10" si="23">IF($E$14=CM4,1,0)</f>
        <v>#N/A</v>
      </c>
      <c r="CL4" s="32">
        <v>1</v>
      </c>
      <c r="CM4" s="74" t="s">
        <v>75</v>
      </c>
      <c r="CN4" s="74" t="e">
        <f t="shared" ref="CN4:CN10" si="24">IF($E$14=CP4,1,0)</f>
        <v>#N/A</v>
      </c>
      <c r="CO4" s="32">
        <v>1</v>
      </c>
      <c r="CP4" s="74" t="s">
        <v>76</v>
      </c>
      <c r="CQ4" s="54"/>
      <c r="CR4" t="e">
        <f>IF(OR(E14="DPL 80/115-2,2/2",E14="DPL 100/175-3/4"),1,0)</f>
        <v>#N/A</v>
      </c>
      <c r="CS4" s="15">
        <v>5</v>
      </c>
      <c r="CU4" s="54"/>
      <c r="CV4" s="52"/>
      <c r="CW4" s="35">
        <f t="shared" ref="CW4:CW10" si="25">IF($E$9=CY4,1,0)</f>
        <v>0</v>
      </c>
      <c r="CX4" s="57" t="s">
        <v>81</v>
      </c>
      <c r="CY4" s="58" t="s">
        <v>82</v>
      </c>
      <c r="CZ4" s="54"/>
      <c r="DA4" s="35">
        <f t="shared" ref="DA4:DA9" si="26">IF($F$9=DC4,1,0)</f>
        <v>0</v>
      </c>
      <c r="DB4" s="57" t="s">
        <v>81</v>
      </c>
      <c r="DC4" s="58" t="s">
        <v>82</v>
      </c>
      <c r="DD4" s="54"/>
      <c r="DE4" s="35">
        <f>IF($B$16=DG4,1,0)</f>
        <v>0</v>
      </c>
      <c r="DF4" s="57" t="s">
        <v>78</v>
      </c>
      <c r="DG4" s="35" t="s">
        <v>83</v>
      </c>
      <c r="DH4" s="54"/>
      <c r="DI4" s="35">
        <f>IF($B$17=DK4,1,0)</f>
        <v>0</v>
      </c>
      <c r="DJ4" s="57" t="s">
        <v>78</v>
      </c>
      <c r="DK4" s="62" t="s">
        <v>84</v>
      </c>
    </row>
    <row r="5" spans="1:116" x14ac:dyDescent="0.25">
      <c r="A5" s="59" t="s">
        <v>85</v>
      </c>
      <c r="B5" s="75">
        <f>'ol4'!N13</f>
        <v>130</v>
      </c>
      <c r="C5" s="76" t="s">
        <v>86</v>
      </c>
      <c r="E5" t="s">
        <v>48</v>
      </c>
      <c r="F5" s="77" t="e">
        <f>VLOOKUP(2,I4:L17,2,0)</f>
        <v>#N/A</v>
      </c>
      <c r="I5" s="55">
        <f t="shared" si="0"/>
        <v>0</v>
      </c>
      <c r="J5" s="58"/>
      <c r="K5" s="58"/>
      <c r="L5" s="58"/>
      <c r="M5" s="58"/>
      <c r="N5" s="58">
        <f t="shared" si="1"/>
        <v>0</v>
      </c>
      <c r="O5" s="58">
        <v>20</v>
      </c>
      <c r="P5" s="58"/>
      <c r="Q5" s="62"/>
      <c r="R5" s="58">
        <f t="shared" si="2"/>
        <v>0</v>
      </c>
      <c r="S5" s="58">
        <v>20</v>
      </c>
      <c r="T5" s="58">
        <f t="shared" si="3"/>
        <v>5.2990299783484442E-2</v>
      </c>
      <c r="U5" s="62">
        <f t="shared" si="4"/>
        <v>0</v>
      </c>
      <c r="W5" s="63" t="s">
        <v>87</v>
      </c>
      <c r="X5" s="78">
        <f>F4/SQRT(0.1*X4)</f>
        <v>0</v>
      </c>
      <c r="Y5" s="78"/>
      <c r="Z5" s="55">
        <f t="shared" si="5"/>
        <v>1</v>
      </c>
      <c r="AA5" s="67">
        <v>15</v>
      </c>
      <c r="AB5" s="62">
        <v>2.5</v>
      </c>
      <c r="AC5" s="55">
        <f t="shared" si="6"/>
        <v>1</v>
      </c>
      <c r="AD5" s="67">
        <v>15</v>
      </c>
      <c r="AE5" s="62">
        <v>2.5</v>
      </c>
      <c r="AF5" s="58">
        <f t="shared" si="7"/>
        <v>1</v>
      </c>
      <c r="AG5" s="67">
        <v>15</v>
      </c>
      <c r="AH5" s="62">
        <v>2.5</v>
      </c>
      <c r="AJ5" s="73">
        <v>6</v>
      </c>
      <c r="AK5" s="55" t="e">
        <f t="shared" si="8"/>
        <v>#DIV/0!</v>
      </c>
      <c r="AL5" s="62" t="s">
        <v>88</v>
      </c>
      <c r="AM5" s="54" t="e">
        <f t="shared" si="9"/>
        <v>#DIV/0!</v>
      </c>
      <c r="AN5" s="54" t="s">
        <v>89</v>
      </c>
      <c r="AO5" s="55" t="e">
        <f t="shared" si="10"/>
        <v>#DIV/0!</v>
      </c>
      <c r="AP5" s="79" t="s">
        <v>90</v>
      </c>
      <c r="AS5" s="55">
        <v>0.25</v>
      </c>
      <c r="AT5" s="58">
        <f t="shared" si="11"/>
        <v>1</v>
      </c>
      <c r="AU5" s="58" t="s">
        <v>91</v>
      </c>
      <c r="AV5" s="58">
        <f t="shared" si="12"/>
        <v>1</v>
      </c>
      <c r="AW5" s="31">
        <v>1</v>
      </c>
      <c r="AX5" s="55">
        <v>0.25</v>
      </c>
      <c r="AY5" s="58">
        <f t="shared" si="13"/>
        <v>1</v>
      </c>
      <c r="AZ5" s="58" t="s">
        <v>91</v>
      </c>
      <c r="BA5" s="58">
        <f t="shared" si="14"/>
        <v>1</v>
      </c>
      <c r="BB5" s="31">
        <v>1</v>
      </c>
      <c r="BC5" s="55">
        <v>0.45</v>
      </c>
      <c r="BD5" s="58">
        <f t="shared" si="15"/>
        <v>1</v>
      </c>
      <c r="BE5" s="58" t="s">
        <v>92</v>
      </c>
      <c r="BF5" s="58">
        <f t="shared" si="16"/>
        <v>1</v>
      </c>
      <c r="BG5" s="56">
        <v>1</v>
      </c>
      <c r="BH5" s="58">
        <v>0.09</v>
      </c>
      <c r="BI5" s="58">
        <f t="shared" si="17"/>
        <v>1</v>
      </c>
      <c r="BJ5" s="58" t="s">
        <v>93</v>
      </c>
      <c r="BK5" s="58">
        <f t="shared" si="18"/>
        <v>1</v>
      </c>
      <c r="BL5" s="62">
        <v>1</v>
      </c>
      <c r="BN5" s="51" t="s">
        <v>94</v>
      </c>
      <c r="BO5" s="35" t="s">
        <v>95</v>
      </c>
      <c r="BP5" s="52"/>
      <c r="BQ5" s="35" t="e">
        <f t="shared" si="19"/>
        <v>#N/A</v>
      </c>
      <c r="BR5" s="57" t="s">
        <v>96</v>
      </c>
      <c r="BS5" s="35">
        <v>20</v>
      </c>
      <c r="BT5" s="54"/>
      <c r="BU5" s="73">
        <f t="shared" si="20"/>
        <v>0</v>
      </c>
      <c r="BV5" s="57" t="s">
        <v>96</v>
      </c>
      <c r="BW5" s="35">
        <v>15</v>
      </c>
      <c r="BX5" s="56">
        <v>1.25</v>
      </c>
      <c r="BY5" s="52"/>
      <c r="BZ5" s="35">
        <f>IF($B$14=CB5,1,0)</f>
        <v>0</v>
      </c>
      <c r="CA5" s="57" t="s">
        <v>94</v>
      </c>
      <c r="CB5" s="35" t="s">
        <v>55</v>
      </c>
      <c r="CC5" s="52"/>
      <c r="CD5" s="35" t="e">
        <f t="shared" si="21"/>
        <v>#N/A</v>
      </c>
      <c r="CE5" s="57" t="s">
        <v>96</v>
      </c>
      <c r="CF5" s="35">
        <v>20</v>
      </c>
      <c r="CG5" s="52"/>
      <c r="CH5" s="35" t="e">
        <f t="shared" si="22"/>
        <v>#N/A</v>
      </c>
      <c r="CI5" s="32">
        <v>2</v>
      </c>
      <c r="CJ5" s="32" t="s">
        <v>88</v>
      </c>
      <c r="CK5" s="32" t="e">
        <f t="shared" si="23"/>
        <v>#N/A</v>
      </c>
      <c r="CL5" s="32">
        <v>2</v>
      </c>
      <c r="CM5" s="32" t="s">
        <v>89</v>
      </c>
      <c r="CN5" s="74" t="e">
        <f t="shared" si="24"/>
        <v>#N/A</v>
      </c>
      <c r="CO5" s="32">
        <v>2</v>
      </c>
      <c r="CP5" s="74" t="s">
        <v>90</v>
      </c>
      <c r="CQ5" s="54"/>
      <c r="CR5" s="58">
        <f>IF($B$15=CT5,1,0)</f>
        <v>0</v>
      </c>
      <c r="CS5" s="32">
        <v>1</v>
      </c>
      <c r="CT5" s="32" t="s">
        <v>33</v>
      </c>
      <c r="CU5" s="54"/>
      <c r="CV5" s="52"/>
      <c r="CW5" s="35">
        <f t="shared" si="25"/>
        <v>1</v>
      </c>
      <c r="CX5" s="57" t="s">
        <v>78</v>
      </c>
      <c r="CY5" s="35" t="s">
        <v>77</v>
      </c>
      <c r="CZ5" s="54"/>
      <c r="DA5" s="35">
        <f t="shared" si="26"/>
        <v>1</v>
      </c>
      <c r="DB5" s="57" t="s">
        <v>78</v>
      </c>
      <c r="DC5" s="35">
        <v>1</v>
      </c>
      <c r="DD5" s="54"/>
      <c r="DE5" s="35">
        <f>IF($B$16=DG5,1,0)</f>
        <v>0</v>
      </c>
      <c r="DF5" s="57" t="s">
        <v>94</v>
      </c>
      <c r="DG5" s="35" t="s">
        <v>55</v>
      </c>
      <c r="DH5" s="54"/>
      <c r="DI5" s="35">
        <f>IF($B$17=DK5,1,0)</f>
        <v>0</v>
      </c>
      <c r="DJ5" s="57" t="s">
        <v>81</v>
      </c>
      <c r="DK5" s="56" t="s">
        <v>97</v>
      </c>
    </row>
    <row r="6" spans="1:116" x14ac:dyDescent="0.25">
      <c r="A6" s="59" t="s">
        <v>98</v>
      </c>
      <c r="B6" s="75">
        <f>IF(OR('ol4'!C32="зависимая",'ol4'!C32=0),'ol4'!R13,IF(('ol4'!R13-B8)&lt;5,B8+5,'ol4'!R13))</f>
        <v>70</v>
      </c>
      <c r="C6" s="76" t="s">
        <v>86</v>
      </c>
      <c r="E6" t="s">
        <v>99</v>
      </c>
      <c r="F6" s="77">
        <f>VLOOKUP(1,IF(B14="IMI Hydronic",Z4:AB21,IF(B14="Siemens",AC4:AE22,AF4:AH16)),2,0)</f>
        <v>15</v>
      </c>
      <c r="I6" s="55">
        <f t="shared" si="0"/>
        <v>0</v>
      </c>
      <c r="J6" s="58"/>
      <c r="K6" s="58"/>
      <c r="L6" s="58"/>
      <c r="M6" s="58"/>
      <c r="N6" s="58">
        <f t="shared" si="1"/>
        <v>0</v>
      </c>
      <c r="O6" s="58">
        <v>25</v>
      </c>
      <c r="P6" s="58"/>
      <c r="Q6" s="62"/>
      <c r="R6" s="58">
        <f t="shared" si="2"/>
        <v>0</v>
      </c>
      <c r="S6" s="58">
        <v>25</v>
      </c>
      <c r="T6" s="58">
        <f t="shared" si="3"/>
        <v>4.8560427292756572E-2</v>
      </c>
      <c r="U6" s="62">
        <f t="shared" si="4"/>
        <v>0</v>
      </c>
      <c r="W6" s="55"/>
      <c r="X6" s="58"/>
      <c r="Y6" s="58"/>
      <c r="Z6" s="55">
        <f t="shared" si="5"/>
        <v>1</v>
      </c>
      <c r="AA6" s="67">
        <v>15</v>
      </c>
      <c r="AB6" s="62">
        <v>4</v>
      </c>
      <c r="AC6" s="55">
        <f t="shared" si="6"/>
        <v>1</v>
      </c>
      <c r="AD6" s="67">
        <v>15</v>
      </c>
      <c r="AE6" s="62">
        <v>4</v>
      </c>
      <c r="AF6" s="58">
        <f t="shared" si="7"/>
        <v>1</v>
      </c>
      <c r="AG6" s="67">
        <v>15</v>
      </c>
      <c r="AH6" s="62">
        <v>4</v>
      </c>
      <c r="AJ6" s="73">
        <v>10</v>
      </c>
      <c r="AK6" s="55" t="e">
        <f t="shared" si="8"/>
        <v>#DIV/0!</v>
      </c>
      <c r="AL6" s="62" t="s">
        <v>100</v>
      </c>
      <c r="AM6" s="54" t="e">
        <f t="shared" si="9"/>
        <v>#DIV/0!</v>
      </c>
      <c r="AN6" s="54" t="s">
        <v>101</v>
      </c>
      <c r="AO6" s="55" t="e">
        <f t="shared" si="10"/>
        <v>#DIV/0!</v>
      </c>
      <c r="AP6" s="79" t="s">
        <v>102</v>
      </c>
      <c r="AR6" s="58"/>
      <c r="AS6" s="55">
        <v>0.67</v>
      </c>
      <c r="AT6" s="58">
        <f t="shared" si="11"/>
        <v>1</v>
      </c>
      <c r="AU6" s="58" t="s">
        <v>92</v>
      </c>
      <c r="AV6" s="58">
        <f t="shared" si="12"/>
        <v>1</v>
      </c>
      <c r="AW6" s="31">
        <v>1</v>
      </c>
      <c r="AX6" s="55">
        <v>0.57499999999999996</v>
      </c>
      <c r="AY6" s="58">
        <f t="shared" si="13"/>
        <v>1</v>
      </c>
      <c r="AZ6" s="58" t="s">
        <v>92</v>
      </c>
      <c r="BA6" s="58">
        <f t="shared" si="14"/>
        <v>1</v>
      </c>
      <c r="BB6" s="31">
        <v>1</v>
      </c>
      <c r="BC6" s="55">
        <v>0.71</v>
      </c>
      <c r="BD6" s="58">
        <f t="shared" si="15"/>
        <v>1</v>
      </c>
      <c r="BE6" s="58" t="s">
        <v>92</v>
      </c>
      <c r="BF6" s="58">
        <f t="shared" si="16"/>
        <v>1</v>
      </c>
      <c r="BG6" s="56">
        <v>2</v>
      </c>
      <c r="BH6">
        <v>0.3</v>
      </c>
      <c r="BI6" s="58">
        <f t="shared" si="17"/>
        <v>1</v>
      </c>
      <c r="BJ6" s="58" t="s">
        <v>92</v>
      </c>
      <c r="BK6" s="58">
        <f t="shared" si="18"/>
        <v>1</v>
      </c>
      <c r="BL6" s="62">
        <v>1</v>
      </c>
      <c r="BN6" s="51"/>
      <c r="BO6" s="35"/>
      <c r="BP6" s="52"/>
      <c r="BQ6" s="35" t="e">
        <f t="shared" si="19"/>
        <v>#N/A</v>
      </c>
      <c r="BR6" s="57" t="s">
        <v>103</v>
      </c>
      <c r="BS6" s="35">
        <v>25</v>
      </c>
      <c r="BT6" s="54"/>
      <c r="BU6" s="73">
        <f t="shared" si="20"/>
        <v>1</v>
      </c>
      <c r="BV6" s="57" t="s">
        <v>103</v>
      </c>
      <c r="BW6" s="35">
        <v>15</v>
      </c>
      <c r="BX6" s="56">
        <v>1.6</v>
      </c>
      <c r="BY6" s="52"/>
      <c r="BZ6" s="35">
        <f>IF($B$14=CB6,1,0)</f>
        <v>0</v>
      </c>
      <c r="CA6" s="57" t="s">
        <v>104</v>
      </c>
      <c r="CB6" s="35" t="s">
        <v>54</v>
      </c>
      <c r="CC6" s="52"/>
      <c r="CD6" s="35" t="e">
        <f t="shared" si="21"/>
        <v>#N/A</v>
      </c>
      <c r="CE6" s="57" t="s">
        <v>103</v>
      </c>
      <c r="CF6" s="35">
        <v>25</v>
      </c>
      <c r="CG6" s="52"/>
      <c r="CH6" s="35" t="e">
        <f t="shared" si="22"/>
        <v>#N/A</v>
      </c>
      <c r="CI6" s="32">
        <v>3</v>
      </c>
      <c r="CJ6" s="32" t="s">
        <v>100</v>
      </c>
      <c r="CK6" s="32" t="e">
        <f t="shared" si="23"/>
        <v>#N/A</v>
      </c>
      <c r="CL6" s="32">
        <v>3</v>
      </c>
      <c r="CM6" s="32" t="s">
        <v>101</v>
      </c>
      <c r="CN6" s="74" t="e">
        <f t="shared" si="24"/>
        <v>#N/A</v>
      </c>
      <c r="CO6" s="32">
        <v>3</v>
      </c>
      <c r="CP6" s="74" t="s">
        <v>102</v>
      </c>
      <c r="CQ6" s="54"/>
      <c r="CR6" s="58">
        <f>IF($B$15=CT6,1,0)</f>
        <v>0</v>
      </c>
      <c r="CS6" s="32">
        <v>2</v>
      </c>
      <c r="CT6" s="32" t="s">
        <v>34</v>
      </c>
      <c r="CU6" s="54"/>
      <c r="CV6" s="52"/>
      <c r="CW6" s="35">
        <f t="shared" si="25"/>
        <v>0</v>
      </c>
      <c r="CX6" s="57" t="s">
        <v>94</v>
      </c>
      <c r="CY6" s="35" t="s">
        <v>91</v>
      </c>
      <c r="CZ6" s="54"/>
      <c r="DA6" s="35">
        <f t="shared" si="26"/>
        <v>0</v>
      </c>
      <c r="DB6" s="57" t="s">
        <v>94</v>
      </c>
      <c r="DC6" s="35">
        <v>2</v>
      </c>
      <c r="DD6" s="54"/>
      <c r="DE6" s="35">
        <f>IF($B$16=DG6,1,0)</f>
        <v>0</v>
      </c>
      <c r="DF6" s="57" t="s">
        <v>104</v>
      </c>
      <c r="DG6" s="80" t="s">
        <v>54</v>
      </c>
      <c r="DH6" s="54"/>
      <c r="DI6" s="35"/>
      <c r="DJ6" s="57"/>
      <c r="DK6" s="56"/>
    </row>
    <row r="7" spans="1:116" x14ac:dyDescent="0.25">
      <c r="A7" s="59" t="s">
        <v>105</v>
      </c>
      <c r="B7" s="75">
        <f>'ol4'!N16</f>
        <v>0</v>
      </c>
      <c r="C7" s="76" t="s">
        <v>86</v>
      </c>
      <c r="E7" t="s">
        <v>106</v>
      </c>
      <c r="F7" s="77">
        <f>VLOOKUP(1,IF(B14="IMI Hydronic",Z4:AB21,IF(B14="Siemens",AC4:AE22,AF4:AH16)),3,0)</f>
        <v>1.6</v>
      </c>
      <c r="I7" s="55">
        <f t="shared" si="0"/>
        <v>0</v>
      </c>
      <c r="J7" s="58"/>
      <c r="K7" s="58"/>
      <c r="L7" s="58"/>
      <c r="M7" s="58"/>
      <c r="N7" s="58">
        <f t="shared" si="1"/>
        <v>0</v>
      </c>
      <c r="O7" s="58">
        <v>32</v>
      </c>
      <c r="P7" s="58"/>
      <c r="Q7" s="62"/>
      <c r="R7" s="58">
        <f t="shared" si="2"/>
        <v>0</v>
      </c>
      <c r="S7" s="58">
        <v>32</v>
      </c>
      <c r="T7" s="58">
        <f t="shared" si="3"/>
        <v>4.4277322004702871E-2</v>
      </c>
      <c r="U7" s="62">
        <f t="shared" si="4"/>
        <v>0</v>
      </c>
      <c r="W7" s="55"/>
      <c r="X7" s="58"/>
      <c r="Y7" s="58"/>
      <c r="Z7" s="55">
        <f t="shared" si="5"/>
        <v>1</v>
      </c>
      <c r="AA7" s="67">
        <v>20</v>
      </c>
      <c r="AB7" s="62">
        <v>6.3</v>
      </c>
      <c r="AC7" s="55">
        <f t="shared" si="6"/>
        <v>1</v>
      </c>
      <c r="AD7" s="67">
        <v>20</v>
      </c>
      <c r="AE7" s="62">
        <v>6.3</v>
      </c>
      <c r="AF7" s="58">
        <f t="shared" si="7"/>
        <v>1</v>
      </c>
      <c r="AG7" s="67">
        <v>20</v>
      </c>
      <c r="AH7" s="62">
        <v>6.3</v>
      </c>
      <c r="AJ7" s="73">
        <v>14</v>
      </c>
      <c r="AK7" s="55" t="e">
        <f t="shared" si="8"/>
        <v>#DIV/0!</v>
      </c>
      <c r="AL7" s="62" t="s">
        <v>107</v>
      </c>
      <c r="AM7" s="54" t="e">
        <f t="shared" si="9"/>
        <v>#DIV/0!</v>
      </c>
      <c r="AN7" s="54" t="s">
        <v>108</v>
      </c>
      <c r="AO7" s="55" t="e">
        <f t="shared" si="10"/>
        <v>#DIV/0!</v>
      </c>
      <c r="AP7" s="54" t="s">
        <v>109</v>
      </c>
      <c r="AR7" s="58"/>
      <c r="AS7" s="55">
        <v>1</v>
      </c>
      <c r="AT7" s="58">
        <f t="shared" si="11"/>
        <v>1</v>
      </c>
      <c r="AU7" s="58" t="s">
        <v>92</v>
      </c>
      <c r="AV7" s="58">
        <f t="shared" si="12"/>
        <v>1</v>
      </c>
      <c r="AW7" s="31">
        <v>2</v>
      </c>
      <c r="AX7" s="81">
        <v>0.9</v>
      </c>
      <c r="AY7" s="58">
        <f t="shared" si="13"/>
        <v>1</v>
      </c>
      <c r="AZ7" s="58" t="s">
        <v>92</v>
      </c>
      <c r="BA7" s="58">
        <f t="shared" si="14"/>
        <v>1</v>
      </c>
      <c r="BB7" s="31">
        <v>2</v>
      </c>
      <c r="BC7" s="55">
        <v>0.95</v>
      </c>
      <c r="BD7" s="58">
        <f t="shared" si="15"/>
        <v>1</v>
      </c>
      <c r="BE7" s="58" t="s">
        <v>92</v>
      </c>
      <c r="BF7" s="58">
        <f t="shared" si="16"/>
        <v>1</v>
      </c>
      <c r="BG7" s="82">
        <v>3</v>
      </c>
      <c r="BH7">
        <v>0.48</v>
      </c>
      <c r="BI7" s="58">
        <f t="shared" si="17"/>
        <v>1</v>
      </c>
      <c r="BJ7" s="58" t="s">
        <v>92</v>
      </c>
      <c r="BK7" s="58">
        <f t="shared" si="18"/>
        <v>1</v>
      </c>
      <c r="BL7" s="62">
        <v>2</v>
      </c>
      <c r="BN7" s="51"/>
      <c r="BO7" s="35"/>
      <c r="BP7" s="52"/>
      <c r="BQ7" s="35" t="e">
        <f t="shared" si="19"/>
        <v>#N/A</v>
      </c>
      <c r="BR7" s="57" t="s">
        <v>110</v>
      </c>
      <c r="BS7" s="35">
        <v>32</v>
      </c>
      <c r="BT7" s="54"/>
      <c r="BU7" s="73">
        <f t="shared" si="20"/>
        <v>0</v>
      </c>
      <c r="BV7" s="57" t="s">
        <v>110</v>
      </c>
      <c r="BW7" s="35">
        <v>15</v>
      </c>
      <c r="BX7" s="56">
        <v>2.5</v>
      </c>
      <c r="BY7" s="52"/>
      <c r="BZ7" s="35"/>
      <c r="CA7" s="57"/>
      <c r="CB7" s="35"/>
      <c r="CC7" s="52"/>
      <c r="CD7" s="35" t="e">
        <f t="shared" si="21"/>
        <v>#N/A</v>
      </c>
      <c r="CE7" s="57" t="s">
        <v>110</v>
      </c>
      <c r="CF7" s="35">
        <v>32</v>
      </c>
      <c r="CG7" s="52"/>
      <c r="CH7" s="35" t="e">
        <f t="shared" si="22"/>
        <v>#N/A</v>
      </c>
      <c r="CI7" s="80">
        <v>4</v>
      </c>
      <c r="CJ7" s="32" t="s">
        <v>107</v>
      </c>
      <c r="CK7" s="32" t="e">
        <f t="shared" si="23"/>
        <v>#N/A</v>
      </c>
      <c r="CL7" s="80">
        <v>4</v>
      </c>
      <c r="CM7" s="32" t="s">
        <v>108</v>
      </c>
      <c r="CN7" s="74" t="e">
        <f t="shared" si="24"/>
        <v>#N/A</v>
      </c>
      <c r="CO7" s="80">
        <v>4</v>
      </c>
      <c r="CP7" s="32" t="s">
        <v>109</v>
      </c>
      <c r="CQ7" s="54"/>
      <c r="CR7" s="58">
        <f>IF($B$15=CT7,1,0)</f>
        <v>0</v>
      </c>
      <c r="CS7" s="32">
        <v>3</v>
      </c>
      <c r="CT7" s="80" t="s">
        <v>35</v>
      </c>
      <c r="CU7" s="54"/>
      <c r="CV7" s="52"/>
      <c r="CW7" s="35">
        <f t="shared" si="25"/>
        <v>0</v>
      </c>
      <c r="CX7" s="57" t="s">
        <v>104</v>
      </c>
      <c r="CY7" s="80" t="s">
        <v>93</v>
      </c>
      <c r="CZ7" s="54"/>
      <c r="DA7" s="35">
        <f t="shared" si="26"/>
        <v>0</v>
      </c>
      <c r="DB7" s="57" t="s">
        <v>104</v>
      </c>
      <c r="DC7" s="35">
        <v>3</v>
      </c>
      <c r="DD7" s="54"/>
      <c r="DE7" s="35"/>
      <c r="DF7" s="58"/>
      <c r="DG7" s="58"/>
      <c r="DH7" s="54"/>
      <c r="DI7" s="35"/>
      <c r="DJ7" s="57"/>
      <c r="DK7" s="83"/>
    </row>
    <row r="8" spans="1:116" x14ac:dyDescent="0.25">
      <c r="A8" s="59" t="s">
        <v>111</v>
      </c>
      <c r="B8" s="75">
        <f>'ol4'!R16</f>
        <v>0</v>
      </c>
      <c r="C8" s="76" t="s">
        <v>86</v>
      </c>
      <c r="E8" s="84" t="s">
        <v>73</v>
      </c>
      <c r="F8" s="61">
        <f>(F4^2/F7^2)*10</f>
        <v>0</v>
      </c>
      <c r="I8" s="55">
        <f t="shared" si="0"/>
        <v>0</v>
      </c>
      <c r="J8" s="58"/>
      <c r="K8" s="58"/>
      <c r="L8" s="58"/>
      <c r="M8" s="58"/>
      <c r="N8" s="58">
        <f t="shared" si="1"/>
        <v>0</v>
      </c>
      <c r="O8" s="58">
        <v>40</v>
      </c>
      <c r="P8" s="58"/>
      <c r="Q8" s="62"/>
      <c r="R8" s="58">
        <f t="shared" si="2"/>
        <v>0</v>
      </c>
      <c r="S8" s="58">
        <v>40</v>
      </c>
      <c r="T8" s="58">
        <f t="shared" si="3"/>
        <v>4.0875226338606248E-2</v>
      </c>
      <c r="U8" s="62">
        <f t="shared" si="4"/>
        <v>0</v>
      </c>
      <c r="W8" s="63"/>
      <c r="X8" s="58"/>
      <c r="Y8" s="78"/>
      <c r="Z8" s="55">
        <f t="shared" si="5"/>
        <v>1</v>
      </c>
      <c r="AA8" s="67">
        <v>25</v>
      </c>
      <c r="AB8" s="62">
        <v>10</v>
      </c>
      <c r="AC8" s="55">
        <f t="shared" si="6"/>
        <v>1</v>
      </c>
      <c r="AD8" s="67">
        <v>25</v>
      </c>
      <c r="AE8" s="62">
        <v>10</v>
      </c>
      <c r="AF8" s="58">
        <f t="shared" si="7"/>
        <v>1</v>
      </c>
      <c r="AG8" s="67">
        <v>25</v>
      </c>
      <c r="AH8" s="62">
        <v>10</v>
      </c>
      <c r="AJ8" s="73">
        <v>25</v>
      </c>
      <c r="AK8" s="55" t="e">
        <f t="shared" si="8"/>
        <v>#DIV/0!</v>
      </c>
      <c r="AL8" s="62" t="s">
        <v>112</v>
      </c>
      <c r="AM8" s="54" t="e">
        <f t="shared" si="9"/>
        <v>#DIV/0!</v>
      </c>
      <c r="AN8" s="54" t="s">
        <v>113</v>
      </c>
      <c r="AO8" s="55" t="e">
        <f t="shared" si="10"/>
        <v>#DIV/0!</v>
      </c>
      <c r="AP8" s="79" t="s">
        <v>114</v>
      </c>
      <c r="AR8" s="58"/>
      <c r="AS8" s="55">
        <v>1.25</v>
      </c>
      <c r="AT8" s="58">
        <f t="shared" si="11"/>
        <v>1</v>
      </c>
      <c r="AU8" s="58" t="s">
        <v>92</v>
      </c>
      <c r="AV8" s="58">
        <f t="shared" si="12"/>
        <v>1</v>
      </c>
      <c r="AW8" s="31">
        <v>3</v>
      </c>
      <c r="AX8" s="81">
        <v>1.1599999999999999</v>
      </c>
      <c r="AY8" s="58">
        <f t="shared" si="13"/>
        <v>1</v>
      </c>
      <c r="AZ8" s="58" t="s">
        <v>92</v>
      </c>
      <c r="BA8" s="58">
        <f t="shared" si="14"/>
        <v>1</v>
      </c>
      <c r="BB8" s="31">
        <v>3</v>
      </c>
      <c r="BC8" s="55">
        <v>1.25</v>
      </c>
      <c r="BD8" s="58">
        <f t="shared" si="15"/>
        <v>1</v>
      </c>
      <c r="BE8" s="58" t="s">
        <v>92</v>
      </c>
      <c r="BF8" s="58">
        <f t="shared" si="16"/>
        <v>1</v>
      </c>
      <c r="BG8" s="82">
        <v>4</v>
      </c>
      <c r="BH8">
        <v>0.66</v>
      </c>
      <c r="BI8" s="58">
        <f t="shared" si="17"/>
        <v>1</v>
      </c>
      <c r="BJ8" s="58" t="s">
        <v>92</v>
      </c>
      <c r="BK8" s="58">
        <f t="shared" si="18"/>
        <v>1</v>
      </c>
      <c r="BL8" s="62">
        <v>3</v>
      </c>
      <c r="BN8" s="51"/>
      <c r="BO8" s="35"/>
      <c r="BP8" s="52"/>
      <c r="BQ8" s="35" t="e">
        <f t="shared" si="19"/>
        <v>#N/A</v>
      </c>
      <c r="BR8" s="57" t="s">
        <v>115</v>
      </c>
      <c r="BS8" s="35">
        <v>40</v>
      </c>
      <c r="BT8" s="54"/>
      <c r="BU8" s="73">
        <f t="shared" si="20"/>
        <v>0</v>
      </c>
      <c r="BV8" s="57" t="s">
        <v>115</v>
      </c>
      <c r="BW8" s="35">
        <v>15</v>
      </c>
      <c r="BX8" s="56">
        <v>4</v>
      </c>
      <c r="BY8" s="52"/>
      <c r="BZ8" s="35"/>
      <c r="CA8" s="57"/>
      <c r="CB8" s="35"/>
      <c r="CC8" s="52"/>
      <c r="CD8" s="35" t="e">
        <f t="shared" si="21"/>
        <v>#N/A</v>
      </c>
      <c r="CE8" s="57" t="s">
        <v>115</v>
      </c>
      <c r="CF8" s="35">
        <v>40</v>
      </c>
      <c r="CG8" s="52"/>
      <c r="CH8" s="35" t="e">
        <f t="shared" si="22"/>
        <v>#N/A</v>
      </c>
      <c r="CI8" s="80">
        <v>5</v>
      </c>
      <c r="CJ8" s="32" t="s">
        <v>112</v>
      </c>
      <c r="CK8" s="32" t="e">
        <f t="shared" si="23"/>
        <v>#N/A</v>
      </c>
      <c r="CL8" s="80">
        <v>5</v>
      </c>
      <c r="CM8" s="32" t="s">
        <v>113</v>
      </c>
      <c r="CN8" s="74" t="e">
        <f t="shared" si="24"/>
        <v>#N/A</v>
      </c>
      <c r="CO8" s="80">
        <v>5</v>
      </c>
      <c r="CP8" s="74" t="s">
        <v>114</v>
      </c>
      <c r="CQ8" s="54"/>
      <c r="CU8" s="54"/>
      <c r="CV8" s="52"/>
      <c r="CW8" s="35">
        <f t="shared" si="25"/>
        <v>0</v>
      </c>
      <c r="CX8" s="57" t="s">
        <v>116</v>
      </c>
      <c r="CY8" s="35" t="s">
        <v>92</v>
      </c>
      <c r="CZ8" s="54"/>
      <c r="DA8" s="35">
        <f t="shared" si="26"/>
        <v>0</v>
      </c>
      <c r="DB8" s="57" t="s">
        <v>116</v>
      </c>
      <c r="DC8" s="35">
        <v>4</v>
      </c>
      <c r="DD8" s="54"/>
      <c r="DE8" s="35"/>
      <c r="DF8" s="57"/>
      <c r="DG8" s="35"/>
      <c r="DH8" s="54"/>
      <c r="DI8" s="35"/>
      <c r="DJ8" s="57"/>
      <c r="DK8" s="56"/>
    </row>
    <row r="9" spans="1:116" x14ac:dyDescent="0.25">
      <c r="A9" s="59" t="s">
        <v>117</v>
      </c>
      <c r="B9" s="75">
        <f>'ol4'!W13*100</f>
        <v>60</v>
      </c>
      <c r="C9" s="76" t="s">
        <v>118</v>
      </c>
      <c r="E9" s="85" t="str">
        <f>IF('ol4'!C32="ЗАВИСИМАЯ","ОТСУТСТВУЕТ",VLOOKUP(1,IF(B5=150,AT4:AU11,IF(B5=130,AY4:AZ11,IF(B5=115,BD4:BE10,IF(B5=105,BI4:BJ13,0)))),2,0))</f>
        <v>НН08</v>
      </c>
      <c r="F9" s="77">
        <f>IF('ol4'!C32="ЗАВИСИМАЯ","ОТСУТСТВУЕТ",VLOOKUP(1,IF(B5=150,AV4:AW11,IF(B5=130,BA4:BB11,IF(B5=115,BF4:BG10,IF(B5=105,BK4:BL13,0)))),2,0))</f>
        <v>1</v>
      </c>
      <c r="I9" s="55">
        <f t="shared" si="0"/>
        <v>0</v>
      </c>
      <c r="J9" s="58"/>
      <c r="K9" s="58"/>
      <c r="L9" s="58"/>
      <c r="M9" s="58"/>
      <c r="N9" s="58">
        <f t="shared" si="1"/>
        <v>0</v>
      </c>
      <c r="O9" s="58">
        <v>50</v>
      </c>
      <c r="P9" s="58"/>
      <c r="Q9" s="62"/>
      <c r="R9" s="58">
        <f t="shared" si="2"/>
        <v>0</v>
      </c>
      <c r="S9" s="58">
        <v>50</v>
      </c>
      <c r="T9" s="58">
        <f t="shared" si="3"/>
        <v>3.7850686611455138E-2</v>
      </c>
      <c r="U9" s="62">
        <f t="shared" si="4"/>
        <v>0</v>
      </c>
      <c r="W9" s="63"/>
      <c r="X9" s="78"/>
      <c r="Y9" s="58"/>
      <c r="Z9" s="55">
        <f t="shared" si="5"/>
        <v>1</v>
      </c>
      <c r="AA9" s="67">
        <v>32</v>
      </c>
      <c r="AB9" s="62">
        <v>16</v>
      </c>
      <c r="AC9" s="55">
        <f t="shared" si="6"/>
        <v>1</v>
      </c>
      <c r="AD9" s="67">
        <v>32</v>
      </c>
      <c r="AE9" s="62">
        <v>16</v>
      </c>
      <c r="AF9" s="58">
        <f t="shared" si="7"/>
        <v>1</v>
      </c>
      <c r="AG9" s="67">
        <v>32</v>
      </c>
      <c r="AH9" s="62">
        <v>16</v>
      </c>
      <c r="AJ9" s="73">
        <v>30</v>
      </c>
      <c r="AK9" s="55" t="e">
        <f t="shared" si="8"/>
        <v>#DIV/0!</v>
      </c>
      <c r="AL9" s="62" t="s">
        <v>119</v>
      </c>
      <c r="AM9" s="54" t="e">
        <f t="shared" si="9"/>
        <v>#DIV/0!</v>
      </c>
      <c r="AN9" s="54" t="s">
        <v>120</v>
      </c>
      <c r="AO9" s="55" t="e">
        <f t="shared" si="10"/>
        <v>#DIV/0!</v>
      </c>
      <c r="AP9" s="79" t="s">
        <v>121</v>
      </c>
      <c r="AR9" s="58"/>
      <c r="AS9" s="55">
        <v>1.3</v>
      </c>
      <c r="AT9" s="58">
        <f t="shared" si="11"/>
        <v>1</v>
      </c>
      <c r="AU9" s="58" t="s">
        <v>92</v>
      </c>
      <c r="AV9" s="58">
        <f t="shared" si="12"/>
        <v>1</v>
      </c>
      <c r="AW9" s="31">
        <v>4</v>
      </c>
      <c r="AX9" s="55">
        <v>1.3</v>
      </c>
      <c r="AY9" s="58">
        <f t="shared" si="13"/>
        <v>1</v>
      </c>
      <c r="AZ9" s="58" t="s">
        <v>92</v>
      </c>
      <c r="BA9" s="58">
        <f t="shared" si="14"/>
        <v>1</v>
      </c>
      <c r="BB9" s="31">
        <v>4</v>
      </c>
      <c r="BC9" s="55">
        <v>1.8</v>
      </c>
      <c r="BD9" s="58">
        <f t="shared" si="15"/>
        <v>1</v>
      </c>
      <c r="BE9" s="58" t="s">
        <v>122</v>
      </c>
      <c r="BF9" s="58">
        <f t="shared" si="16"/>
        <v>1</v>
      </c>
      <c r="BG9" s="82">
        <v>2</v>
      </c>
      <c r="BH9" s="58">
        <v>0.91</v>
      </c>
      <c r="BI9" s="58">
        <f t="shared" si="17"/>
        <v>1</v>
      </c>
      <c r="BJ9" s="58" t="s">
        <v>92</v>
      </c>
      <c r="BK9" s="58">
        <f t="shared" si="18"/>
        <v>1</v>
      </c>
      <c r="BL9" s="62">
        <v>4</v>
      </c>
      <c r="BN9" s="51"/>
      <c r="BO9" s="35"/>
      <c r="BP9" s="52"/>
      <c r="BQ9" s="35" t="e">
        <f t="shared" si="19"/>
        <v>#N/A</v>
      </c>
      <c r="BR9" s="57" t="s">
        <v>123</v>
      </c>
      <c r="BS9" s="35">
        <v>50</v>
      </c>
      <c r="BT9" s="54"/>
      <c r="BU9" s="73">
        <f t="shared" si="20"/>
        <v>0</v>
      </c>
      <c r="BV9" s="57" t="s">
        <v>123</v>
      </c>
      <c r="BW9" s="35">
        <v>20</v>
      </c>
      <c r="BX9" s="56">
        <v>5</v>
      </c>
      <c r="BY9" s="52"/>
      <c r="BZ9" s="35"/>
      <c r="CA9" s="57"/>
      <c r="CB9" s="35"/>
      <c r="CC9" s="52"/>
      <c r="CD9" s="35" t="e">
        <f t="shared" si="21"/>
        <v>#N/A</v>
      </c>
      <c r="CE9" s="57" t="s">
        <v>123</v>
      </c>
      <c r="CF9" s="35">
        <v>50</v>
      </c>
      <c r="CG9" s="52"/>
      <c r="CH9" s="35" t="e">
        <f t="shared" si="22"/>
        <v>#N/A</v>
      </c>
      <c r="CI9" s="80">
        <v>6</v>
      </c>
      <c r="CJ9" s="32" t="s">
        <v>119</v>
      </c>
      <c r="CK9" s="32" t="e">
        <f t="shared" si="23"/>
        <v>#N/A</v>
      </c>
      <c r="CL9" s="80">
        <v>6</v>
      </c>
      <c r="CM9" s="32" t="s">
        <v>120</v>
      </c>
      <c r="CN9" s="74" t="e">
        <f t="shared" si="24"/>
        <v>#N/A</v>
      </c>
      <c r="CO9" s="80">
        <v>6</v>
      </c>
      <c r="CP9" s="74" t="s">
        <v>121</v>
      </c>
      <c r="CQ9" s="54"/>
      <c r="CR9" s="58"/>
      <c r="CS9" s="58"/>
      <c r="CT9" s="58"/>
      <c r="CU9" s="54"/>
      <c r="CV9" s="52"/>
      <c r="CW9" s="35">
        <f t="shared" si="25"/>
        <v>0</v>
      </c>
      <c r="CX9" s="57" t="s">
        <v>124</v>
      </c>
      <c r="CY9" s="35" t="s">
        <v>122</v>
      </c>
      <c r="CZ9" s="54"/>
      <c r="DA9" s="35">
        <f t="shared" si="26"/>
        <v>0</v>
      </c>
      <c r="DB9" s="57" t="s">
        <v>124</v>
      </c>
      <c r="DC9" s="35">
        <v>5</v>
      </c>
      <c r="DD9" s="54"/>
      <c r="DE9" s="35"/>
      <c r="DF9" s="57"/>
      <c r="DG9" s="35"/>
      <c r="DH9" s="54"/>
      <c r="DI9" s="35"/>
      <c r="DJ9" s="57"/>
      <c r="DK9" s="56"/>
    </row>
    <row r="10" spans="1:116" x14ac:dyDescent="0.25">
      <c r="A10" s="59" t="s">
        <v>125</v>
      </c>
      <c r="B10" s="75">
        <f>'ol4'!AC13*100</f>
        <v>40</v>
      </c>
      <c r="C10" s="76" t="s">
        <v>118</v>
      </c>
      <c r="I10" s="55">
        <f t="shared" si="0"/>
        <v>0</v>
      </c>
      <c r="J10" s="58"/>
      <c r="K10" s="58"/>
      <c r="L10" s="58"/>
      <c r="M10" s="58"/>
      <c r="N10" s="58">
        <f t="shared" si="1"/>
        <v>0</v>
      </c>
      <c r="O10" s="58">
        <v>65</v>
      </c>
      <c r="P10" s="58"/>
      <c r="Q10" s="62"/>
      <c r="R10" s="58">
        <f t="shared" si="2"/>
        <v>0</v>
      </c>
      <c r="S10" s="58">
        <v>65</v>
      </c>
      <c r="T10" s="58">
        <f t="shared" si="3"/>
        <v>3.4705101432211748E-2</v>
      </c>
      <c r="U10" s="62">
        <f t="shared" si="4"/>
        <v>0</v>
      </c>
      <c r="W10" s="55"/>
      <c r="X10" s="58"/>
      <c r="Y10" s="58"/>
      <c r="Z10" s="55">
        <f t="shared" si="5"/>
        <v>1</v>
      </c>
      <c r="AA10" s="67">
        <v>40</v>
      </c>
      <c r="AB10" s="62">
        <v>20</v>
      </c>
      <c r="AC10" s="55">
        <f t="shared" si="6"/>
        <v>1</v>
      </c>
      <c r="AD10" s="67">
        <v>40</v>
      </c>
      <c r="AE10" s="62">
        <v>25</v>
      </c>
      <c r="AF10" s="58">
        <f t="shared" si="7"/>
        <v>1</v>
      </c>
      <c r="AG10" s="67">
        <v>40</v>
      </c>
      <c r="AH10" s="62">
        <v>25</v>
      </c>
      <c r="AJ10" s="73">
        <v>40</v>
      </c>
      <c r="AK10" s="55" t="e">
        <f t="shared" si="8"/>
        <v>#DIV/0!</v>
      </c>
      <c r="AL10" s="62" t="s">
        <v>126</v>
      </c>
      <c r="AM10" s="54" t="e">
        <f t="shared" si="9"/>
        <v>#DIV/0!</v>
      </c>
      <c r="AN10" s="54" t="s">
        <v>127</v>
      </c>
      <c r="AO10" s="55" t="e">
        <f t="shared" si="10"/>
        <v>#DIV/0!</v>
      </c>
      <c r="AP10" s="79" t="s">
        <v>128</v>
      </c>
      <c r="AR10" s="58"/>
      <c r="AS10" s="55">
        <v>1.65</v>
      </c>
      <c r="AT10" s="58">
        <f t="shared" si="11"/>
        <v>1</v>
      </c>
      <c r="AU10" s="58" t="s">
        <v>122</v>
      </c>
      <c r="AV10" s="58">
        <f t="shared" si="12"/>
        <v>1</v>
      </c>
      <c r="AW10" s="31">
        <v>1</v>
      </c>
      <c r="AX10" s="81">
        <v>1.4</v>
      </c>
      <c r="AY10" s="58">
        <f t="shared" si="13"/>
        <v>1</v>
      </c>
      <c r="AZ10" s="58" t="s">
        <v>122</v>
      </c>
      <c r="BA10" s="58">
        <f t="shared" si="14"/>
        <v>1</v>
      </c>
      <c r="BB10" s="31">
        <v>1</v>
      </c>
      <c r="BC10" s="55">
        <v>2.0009999999999999</v>
      </c>
      <c r="BD10" s="58">
        <f t="shared" si="15"/>
        <v>1</v>
      </c>
      <c r="BE10" s="58" t="s">
        <v>129</v>
      </c>
      <c r="BF10" s="58">
        <f t="shared" si="16"/>
        <v>1</v>
      </c>
      <c r="BG10" s="82">
        <v>1</v>
      </c>
      <c r="BH10" s="58">
        <v>1.1000000000000001</v>
      </c>
      <c r="BI10" s="58">
        <f t="shared" si="17"/>
        <v>1</v>
      </c>
      <c r="BJ10" s="58" t="s">
        <v>92</v>
      </c>
      <c r="BK10" s="58">
        <f t="shared" si="18"/>
        <v>1</v>
      </c>
      <c r="BL10" s="62">
        <v>5</v>
      </c>
      <c r="BN10" s="51"/>
      <c r="BO10" s="35"/>
      <c r="BP10" s="52"/>
      <c r="BQ10" s="35" t="e">
        <f t="shared" si="19"/>
        <v>#N/A</v>
      </c>
      <c r="BR10" s="57" t="s">
        <v>130</v>
      </c>
      <c r="BS10" s="35">
        <v>65</v>
      </c>
      <c r="BT10" s="54"/>
      <c r="BU10" s="73">
        <f t="shared" si="20"/>
        <v>0</v>
      </c>
      <c r="BV10" s="57" t="s">
        <v>130</v>
      </c>
      <c r="BW10" s="35">
        <v>20</v>
      </c>
      <c r="BX10" s="56">
        <v>6.3</v>
      </c>
      <c r="BY10" s="52"/>
      <c r="BZ10" s="35"/>
      <c r="CA10" s="57"/>
      <c r="CB10" s="35"/>
      <c r="CC10" s="52"/>
      <c r="CD10" s="35" t="e">
        <f t="shared" si="21"/>
        <v>#N/A</v>
      </c>
      <c r="CE10" s="57" t="s">
        <v>130</v>
      </c>
      <c r="CF10" s="35">
        <v>65</v>
      </c>
      <c r="CG10" s="52"/>
      <c r="CH10" s="35" t="e">
        <f t="shared" si="22"/>
        <v>#N/A</v>
      </c>
      <c r="CI10" s="80">
        <v>7</v>
      </c>
      <c r="CJ10" s="32" t="s">
        <v>126</v>
      </c>
      <c r="CK10" s="32" t="e">
        <f t="shared" si="23"/>
        <v>#N/A</v>
      </c>
      <c r="CL10" s="80">
        <v>7</v>
      </c>
      <c r="CM10" s="32" t="s">
        <v>127</v>
      </c>
      <c r="CN10" s="74" t="e">
        <f t="shared" si="24"/>
        <v>#N/A</v>
      </c>
      <c r="CO10" s="80">
        <v>7</v>
      </c>
      <c r="CP10" s="74" t="s">
        <v>128</v>
      </c>
      <c r="CQ10" s="54"/>
      <c r="CU10" s="54"/>
      <c r="CV10" s="52"/>
      <c r="CW10" s="35">
        <f t="shared" si="25"/>
        <v>0</v>
      </c>
      <c r="CX10" s="57" t="s">
        <v>131</v>
      </c>
      <c r="CY10" s="35" t="s">
        <v>129</v>
      </c>
      <c r="CZ10" s="54"/>
      <c r="DA10" s="35"/>
      <c r="DB10" s="57"/>
      <c r="DC10" s="35"/>
      <c r="DD10" s="54"/>
      <c r="DE10" s="35"/>
      <c r="DF10" s="57"/>
      <c r="DG10" s="35"/>
      <c r="DH10" s="54"/>
      <c r="DI10" s="35"/>
      <c r="DJ10" s="57"/>
      <c r="DK10" s="56"/>
    </row>
    <row r="11" spans="1:116" x14ac:dyDescent="0.25">
      <c r="A11" s="86" t="s">
        <v>132</v>
      </c>
      <c r="B11" s="75">
        <f>'ol4'!Z16</f>
        <v>0</v>
      </c>
      <c r="C11" s="76" t="s">
        <v>118</v>
      </c>
      <c r="E11" t="s">
        <v>133</v>
      </c>
      <c r="F11" s="61" t="e">
        <f>B4*1000/(B7-B8)</f>
        <v>#DIV/0!</v>
      </c>
      <c r="I11" s="55">
        <f t="shared" si="0"/>
        <v>0</v>
      </c>
      <c r="J11" s="58"/>
      <c r="K11" s="58"/>
      <c r="L11" s="58"/>
      <c r="M11" s="58"/>
      <c r="N11" s="58">
        <f t="shared" si="1"/>
        <v>0</v>
      </c>
      <c r="O11" s="58">
        <v>80</v>
      </c>
      <c r="P11" s="58"/>
      <c r="Q11" s="62"/>
      <c r="R11" s="58">
        <f t="shared" si="2"/>
        <v>0</v>
      </c>
      <c r="S11" s="58">
        <v>80</v>
      </c>
      <c r="T11" s="58">
        <f t="shared" si="3"/>
        <v>3.248549788373601E-2</v>
      </c>
      <c r="U11" s="62">
        <f t="shared" si="4"/>
        <v>0</v>
      </c>
      <c r="W11" s="55"/>
      <c r="X11" s="58"/>
      <c r="Y11" s="78"/>
      <c r="Z11" s="55">
        <f t="shared" si="5"/>
        <v>1</v>
      </c>
      <c r="AA11" s="67">
        <v>40</v>
      </c>
      <c r="AB11" s="62">
        <v>25</v>
      </c>
      <c r="AC11" s="55">
        <f t="shared" si="6"/>
        <v>1</v>
      </c>
      <c r="AD11" s="67">
        <v>50</v>
      </c>
      <c r="AE11" s="87">
        <v>31.5</v>
      </c>
      <c r="AF11" s="58">
        <f t="shared" si="7"/>
        <v>1</v>
      </c>
      <c r="AG11" s="67">
        <v>50</v>
      </c>
      <c r="AH11" s="62">
        <v>40</v>
      </c>
      <c r="AJ11" s="73">
        <v>50</v>
      </c>
      <c r="AK11" s="55" t="e">
        <f t="shared" si="8"/>
        <v>#DIV/0!</v>
      </c>
      <c r="AL11" s="62" t="s">
        <v>134</v>
      </c>
      <c r="AM11" s="54" t="e">
        <f t="shared" si="9"/>
        <v>#DIV/0!</v>
      </c>
      <c r="AN11" s="54" t="s">
        <v>135</v>
      </c>
      <c r="AO11" s="55" t="e">
        <f t="shared" si="10"/>
        <v>#DIV/0!</v>
      </c>
      <c r="AP11" s="54" t="s">
        <v>135</v>
      </c>
      <c r="AS11" s="55">
        <v>2.0009999999999999</v>
      </c>
      <c r="AT11" s="58">
        <f t="shared" si="11"/>
        <v>1</v>
      </c>
      <c r="AU11" s="58" t="s">
        <v>122</v>
      </c>
      <c r="AV11" s="58">
        <f t="shared" si="12"/>
        <v>1</v>
      </c>
      <c r="AW11" s="31">
        <v>2</v>
      </c>
      <c r="AX11" s="55">
        <v>2.0009999999999999</v>
      </c>
      <c r="AY11" s="58">
        <f t="shared" si="13"/>
        <v>1</v>
      </c>
      <c r="AZ11" s="58" t="s">
        <v>122</v>
      </c>
      <c r="BA11" s="58">
        <f t="shared" si="14"/>
        <v>1</v>
      </c>
      <c r="BB11" s="31">
        <v>2</v>
      </c>
      <c r="BC11" s="55"/>
      <c r="BD11" s="58"/>
      <c r="BE11" s="58"/>
      <c r="BF11" s="58"/>
      <c r="BG11" s="62"/>
      <c r="BH11" s="58">
        <v>1.3</v>
      </c>
      <c r="BI11" s="58">
        <f t="shared" si="17"/>
        <v>1</v>
      </c>
      <c r="BJ11" s="58" t="s">
        <v>122</v>
      </c>
      <c r="BK11" s="58">
        <f t="shared" si="18"/>
        <v>1</v>
      </c>
      <c r="BL11" s="62">
        <v>2</v>
      </c>
      <c r="BN11" s="51"/>
      <c r="BO11" s="35"/>
      <c r="BP11" s="52"/>
      <c r="BQ11" s="35" t="e">
        <f t="shared" si="19"/>
        <v>#N/A</v>
      </c>
      <c r="BR11" s="57" t="s">
        <v>136</v>
      </c>
      <c r="BS11" s="35">
        <v>80</v>
      </c>
      <c r="BT11" s="54"/>
      <c r="BU11" s="73">
        <f t="shared" si="20"/>
        <v>0</v>
      </c>
      <c r="BV11" s="57" t="s">
        <v>136</v>
      </c>
      <c r="BW11" s="35">
        <v>25</v>
      </c>
      <c r="BX11" s="56">
        <v>8</v>
      </c>
      <c r="BY11" s="52"/>
      <c r="BZ11" s="35"/>
      <c r="CA11" s="57"/>
      <c r="CB11" s="35"/>
      <c r="CC11" s="52"/>
      <c r="CD11" s="35" t="e">
        <f t="shared" si="21"/>
        <v>#N/A</v>
      </c>
      <c r="CE11" s="57" t="s">
        <v>136</v>
      </c>
      <c r="CF11" s="35">
        <v>80</v>
      </c>
      <c r="CG11" s="52"/>
      <c r="CH11" s="35" t="e">
        <f t="shared" si="22"/>
        <v>#N/A</v>
      </c>
      <c r="CI11" s="80">
        <v>8</v>
      </c>
      <c r="CJ11" s="32" t="s">
        <v>134</v>
      </c>
      <c r="CK11" s="32"/>
      <c r="CL11" s="32"/>
      <c r="CM11" s="32"/>
      <c r="CN11" s="32"/>
      <c r="CO11" s="32"/>
      <c r="CP11" s="32"/>
      <c r="CQ11" s="54"/>
      <c r="CU11" s="54"/>
      <c r="CV11" s="52"/>
      <c r="CW11" s="35"/>
      <c r="CX11" s="57"/>
      <c r="CY11" s="35"/>
      <c r="CZ11" s="54"/>
      <c r="DA11" s="35"/>
      <c r="DB11" s="57"/>
      <c r="DC11" s="35"/>
      <c r="DD11" s="54"/>
      <c r="DE11" s="35"/>
      <c r="DF11" s="57"/>
      <c r="DG11" s="35"/>
      <c r="DH11" s="54"/>
      <c r="DI11" s="35"/>
      <c r="DJ11" s="57"/>
      <c r="DK11" s="56"/>
    </row>
    <row r="12" spans="1:116" x14ac:dyDescent="0.25">
      <c r="A12" s="86" t="s">
        <v>137</v>
      </c>
      <c r="B12">
        <f>B9-B10</f>
        <v>20</v>
      </c>
      <c r="C12" s="76" t="s">
        <v>118</v>
      </c>
      <c r="E12" t="s">
        <v>51</v>
      </c>
      <c r="F12" s="77" t="e">
        <f>VLOOKUP(1,N4:Q17,2,0)</f>
        <v>#N/A</v>
      </c>
      <c r="I12" s="55">
        <f t="shared" si="0"/>
        <v>0</v>
      </c>
      <c r="J12" s="58"/>
      <c r="K12" s="58"/>
      <c r="L12" s="58"/>
      <c r="M12" s="58"/>
      <c r="N12" s="58">
        <f t="shared" si="1"/>
        <v>0</v>
      </c>
      <c r="O12" s="58">
        <v>100</v>
      </c>
      <c r="P12" s="58"/>
      <c r="Q12" s="62"/>
      <c r="R12" s="58">
        <f t="shared" si="2"/>
        <v>0</v>
      </c>
      <c r="S12" s="58">
        <v>100</v>
      </c>
      <c r="T12" s="58">
        <f t="shared" si="3"/>
        <v>3.0329450982592862E-2</v>
      </c>
      <c r="U12" s="62">
        <f t="shared" si="4"/>
        <v>0</v>
      </c>
      <c r="W12" s="63"/>
      <c r="X12" s="58"/>
      <c r="Y12" s="58"/>
      <c r="Z12" s="55">
        <f t="shared" si="5"/>
        <v>1</v>
      </c>
      <c r="AA12" s="67">
        <v>50</v>
      </c>
      <c r="AB12" s="62">
        <v>31.5</v>
      </c>
      <c r="AC12" s="55">
        <f t="shared" si="6"/>
        <v>1</v>
      </c>
      <c r="AD12" s="67">
        <v>50</v>
      </c>
      <c r="AE12" s="87">
        <v>40</v>
      </c>
      <c r="AF12" s="58">
        <f t="shared" si="7"/>
        <v>1</v>
      </c>
      <c r="AG12" s="67">
        <v>65</v>
      </c>
      <c r="AH12" s="62">
        <v>63</v>
      </c>
      <c r="AJ12" s="88">
        <v>60</v>
      </c>
      <c r="AK12" s="81" t="e">
        <f t="shared" si="8"/>
        <v>#DIV/0!</v>
      </c>
      <c r="AL12" s="87" t="s">
        <v>135</v>
      </c>
      <c r="AM12" s="54" t="e">
        <f t="shared" si="9"/>
        <v>#DIV/0!</v>
      </c>
      <c r="AN12" s="89" t="s">
        <v>135</v>
      </c>
      <c r="AO12" s="55" t="e">
        <f t="shared" si="10"/>
        <v>#DIV/0!</v>
      </c>
      <c r="AP12" s="89" t="s">
        <v>135</v>
      </c>
      <c r="AS12" s="55"/>
      <c r="AT12" s="58"/>
      <c r="AU12" s="58"/>
      <c r="AV12" s="58"/>
      <c r="AW12" s="31"/>
      <c r="AX12" s="55"/>
      <c r="AY12" s="58"/>
      <c r="AZ12" s="58"/>
      <c r="BA12" s="58"/>
      <c r="BB12" s="62"/>
      <c r="BC12" s="55"/>
      <c r="BD12" s="58"/>
      <c r="BE12" s="58"/>
      <c r="BF12" s="58"/>
      <c r="BG12" s="62"/>
      <c r="BH12" s="67">
        <v>1.45</v>
      </c>
      <c r="BI12" s="58">
        <f t="shared" si="17"/>
        <v>1</v>
      </c>
      <c r="BJ12" s="58" t="s">
        <v>129</v>
      </c>
      <c r="BK12" s="58">
        <f t="shared" si="18"/>
        <v>1</v>
      </c>
      <c r="BL12" s="62">
        <v>1</v>
      </c>
      <c r="BN12" s="51"/>
      <c r="BO12" s="35"/>
      <c r="BP12" s="52"/>
      <c r="BQ12" s="35" t="e">
        <f t="shared" si="19"/>
        <v>#N/A</v>
      </c>
      <c r="BR12" s="57" t="s">
        <v>138</v>
      </c>
      <c r="BS12" s="35">
        <v>100</v>
      </c>
      <c r="BT12" s="54"/>
      <c r="BU12" s="73">
        <f t="shared" si="20"/>
        <v>0</v>
      </c>
      <c r="BV12" s="57" t="s">
        <v>138</v>
      </c>
      <c r="BW12" s="35">
        <v>25</v>
      </c>
      <c r="BX12" s="56">
        <v>10</v>
      </c>
      <c r="BY12" s="52"/>
      <c r="BZ12" s="35"/>
      <c r="CA12" s="57"/>
      <c r="CB12" s="35"/>
      <c r="CC12" s="52"/>
      <c r="CD12" s="35" t="e">
        <f t="shared" si="21"/>
        <v>#N/A</v>
      </c>
      <c r="CE12" s="57" t="s">
        <v>138</v>
      </c>
      <c r="CF12" s="35">
        <v>100</v>
      </c>
      <c r="CG12" s="52"/>
      <c r="CH12" s="35" t="e">
        <f t="shared" si="22"/>
        <v>#N/A</v>
      </c>
      <c r="CI12" s="32"/>
      <c r="CJ12" s="58"/>
      <c r="CK12" s="58"/>
      <c r="CL12" s="58"/>
      <c r="CM12" s="58"/>
      <c r="CN12" s="58"/>
      <c r="CO12" s="58"/>
      <c r="CP12" s="58"/>
      <c r="CQ12" s="54"/>
      <c r="CU12" s="54"/>
      <c r="CV12" s="52"/>
      <c r="CW12" s="35"/>
      <c r="CX12" s="57"/>
      <c r="CY12" s="35"/>
      <c r="CZ12" s="54"/>
      <c r="DA12" s="35"/>
      <c r="DB12" s="57"/>
      <c r="DC12" s="35"/>
      <c r="DD12" s="54"/>
      <c r="DE12" s="35"/>
      <c r="DF12" s="57"/>
      <c r="DG12" s="35"/>
      <c r="DH12" s="54"/>
      <c r="DI12" s="35"/>
      <c r="DJ12" s="57"/>
      <c r="DK12" s="56"/>
    </row>
    <row r="13" spans="1:116" x14ac:dyDescent="0.25">
      <c r="A13" s="59"/>
      <c r="C13" s="76"/>
      <c r="E13" t="s">
        <v>56</v>
      </c>
      <c r="F13" s="61" t="e">
        <f>F11*1.1</f>
        <v>#DIV/0!</v>
      </c>
      <c r="I13" s="55">
        <f t="shared" si="0"/>
        <v>0</v>
      </c>
      <c r="J13" s="58"/>
      <c r="K13" s="58"/>
      <c r="L13" s="58"/>
      <c r="M13" s="58"/>
      <c r="N13" s="58">
        <f t="shared" si="1"/>
        <v>0</v>
      </c>
      <c r="O13" s="58">
        <v>125</v>
      </c>
      <c r="P13" s="58"/>
      <c r="Q13" s="62"/>
      <c r="R13" s="58">
        <f t="shared" si="2"/>
        <v>0</v>
      </c>
      <c r="S13" s="58">
        <v>125</v>
      </c>
      <c r="T13" s="58">
        <f t="shared" si="3"/>
        <v>2.8381135828692533E-2</v>
      </c>
      <c r="U13" s="62">
        <f t="shared" si="4"/>
        <v>0</v>
      </c>
      <c r="W13" s="63"/>
      <c r="X13" s="78"/>
      <c r="Y13" s="58"/>
      <c r="Z13" s="55">
        <f t="shared" si="5"/>
        <v>1</v>
      </c>
      <c r="AA13" s="67">
        <v>50</v>
      </c>
      <c r="AB13" s="62">
        <v>40</v>
      </c>
      <c r="AC13" s="55">
        <f t="shared" si="6"/>
        <v>1</v>
      </c>
      <c r="AD13" s="67">
        <v>65</v>
      </c>
      <c r="AE13" s="87">
        <v>50</v>
      </c>
      <c r="AF13" s="58">
        <f t="shared" si="7"/>
        <v>1</v>
      </c>
      <c r="AG13" s="67">
        <v>80</v>
      </c>
      <c r="AH13" s="62">
        <v>100</v>
      </c>
      <c r="AJ13" s="90">
        <v>90</v>
      </c>
      <c r="AK13" s="91" t="e">
        <f t="shared" si="8"/>
        <v>#DIV/0!</v>
      </c>
      <c r="AL13" s="92" t="s">
        <v>139</v>
      </c>
      <c r="AM13" s="93" t="e">
        <f t="shared" si="9"/>
        <v>#DIV/0!</v>
      </c>
      <c r="AN13" s="92" t="s">
        <v>139</v>
      </c>
      <c r="AO13" s="91" t="e">
        <f t="shared" si="10"/>
        <v>#DIV/0!</v>
      </c>
      <c r="AP13" s="94" t="s">
        <v>139</v>
      </c>
      <c r="AS13" s="55"/>
      <c r="AT13" s="58"/>
      <c r="AU13" s="58"/>
      <c r="AV13" s="58"/>
      <c r="AW13" s="31"/>
      <c r="AX13" s="55"/>
      <c r="AY13" s="58"/>
      <c r="AZ13" s="58"/>
      <c r="BA13" s="58"/>
      <c r="BB13" s="62"/>
      <c r="BC13" s="55"/>
      <c r="BD13" s="58"/>
      <c r="BE13" s="58"/>
      <c r="BF13" s="58"/>
      <c r="BG13" s="62"/>
      <c r="BH13" s="55">
        <v>2.0009999999999999</v>
      </c>
      <c r="BI13" s="58">
        <f t="shared" si="17"/>
        <v>1</v>
      </c>
      <c r="BJ13" s="58" t="s">
        <v>129</v>
      </c>
      <c r="BK13" s="58">
        <f t="shared" si="18"/>
        <v>1</v>
      </c>
      <c r="BL13" s="62">
        <v>2</v>
      </c>
      <c r="BN13" s="51"/>
      <c r="BO13" s="35"/>
      <c r="BP13" s="52"/>
      <c r="BQ13" s="35" t="e">
        <f t="shared" si="19"/>
        <v>#N/A</v>
      </c>
      <c r="BR13" s="57" t="s">
        <v>140</v>
      </c>
      <c r="BS13" s="35">
        <v>125</v>
      </c>
      <c r="BT13" s="54"/>
      <c r="BU13" s="73">
        <f t="shared" si="20"/>
        <v>0</v>
      </c>
      <c r="BV13" s="57" t="s">
        <v>140</v>
      </c>
      <c r="BW13" s="35">
        <v>32</v>
      </c>
      <c r="BX13" s="56">
        <v>12.5</v>
      </c>
      <c r="BY13" s="52"/>
      <c r="BZ13" s="35"/>
      <c r="CA13" s="57"/>
      <c r="CB13" s="35"/>
      <c r="CC13" s="52"/>
      <c r="CD13" s="35" t="e">
        <f t="shared" si="21"/>
        <v>#N/A</v>
      </c>
      <c r="CE13" s="57" t="s">
        <v>140</v>
      </c>
      <c r="CF13" s="35">
        <v>125</v>
      </c>
      <c r="CG13" s="52"/>
      <c r="CH13" s="35" t="e">
        <f t="shared" si="22"/>
        <v>#N/A</v>
      </c>
      <c r="CI13" s="32">
        <v>10</v>
      </c>
      <c r="CJ13" s="80" t="s">
        <v>135</v>
      </c>
      <c r="CK13" s="35" t="e">
        <f>IF($E$14=CM13,1,0)</f>
        <v>#N/A</v>
      </c>
      <c r="CL13" s="32">
        <v>10</v>
      </c>
      <c r="CM13" s="80" t="s">
        <v>135</v>
      </c>
      <c r="CN13" s="35" t="e">
        <f>IF($E$14=CP13,1,0)</f>
        <v>#N/A</v>
      </c>
      <c r="CO13" s="32">
        <v>10</v>
      </c>
      <c r="CP13" s="80" t="s">
        <v>135</v>
      </c>
      <c r="CQ13" s="54"/>
      <c r="CR13" s="58"/>
      <c r="CS13" s="80"/>
      <c r="CT13" s="58"/>
      <c r="CU13" s="54"/>
      <c r="CV13" s="52"/>
      <c r="CW13" s="35"/>
      <c r="CX13" s="57"/>
      <c r="CY13" s="35"/>
      <c r="CZ13" s="54"/>
      <c r="DA13" s="35"/>
      <c r="DB13" s="57"/>
      <c r="DC13" s="35"/>
      <c r="DD13" s="54"/>
      <c r="DE13" s="35"/>
      <c r="DF13" s="57"/>
      <c r="DG13" s="35"/>
      <c r="DH13" s="54"/>
      <c r="DI13" s="35"/>
      <c r="DJ13" s="57"/>
      <c r="DK13" s="56"/>
    </row>
    <row r="14" spans="1:116" x14ac:dyDescent="0.25">
      <c r="A14" s="59" t="s">
        <v>31</v>
      </c>
      <c r="B14" s="1">
        <f>'ol4'!O32</f>
        <v>0</v>
      </c>
      <c r="C14" s="1"/>
      <c r="E14" s="1" t="e">
        <f>VLOOKUP(1,IF(B15="TOP-SD",AK4:AL13,IF(B15="Yonos MAXO-D",AM4:AN13,IF(B15="Stratos-D",AO4:AP13,0))),2,0)</f>
        <v>#N/A</v>
      </c>
      <c r="F14" s="1"/>
      <c r="I14" s="55">
        <f t="shared" si="0"/>
        <v>0</v>
      </c>
      <c r="J14" s="58"/>
      <c r="K14" s="58"/>
      <c r="L14" s="58"/>
      <c r="M14" s="58"/>
      <c r="N14" s="58">
        <f t="shared" si="1"/>
        <v>0</v>
      </c>
      <c r="O14" s="58">
        <v>150</v>
      </c>
      <c r="P14" s="58"/>
      <c r="Q14" s="62"/>
      <c r="R14" s="58">
        <f t="shared" si="2"/>
        <v>0</v>
      </c>
      <c r="S14" s="58">
        <v>150</v>
      </c>
      <c r="T14" s="58">
        <f t="shared" si="3"/>
        <v>2.6925299052784474E-2</v>
      </c>
      <c r="U14" s="62">
        <f t="shared" si="4"/>
        <v>0</v>
      </c>
      <c r="W14" s="55"/>
      <c r="X14" s="58"/>
      <c r="Y14" s="58"/>
      <c r="Z14" s="55">
        <f t="shared" si="5"/>
        <v>1</v>
      </c>
      <c r="AA14" s="67">
        <v>65</v>
      </c>
      <c r="AB14" s="62">
        <v>50</v>
      </c>
      <c r="AC14" s="55">
        <f t="shared" si="6"/>
        <v>1</v>
      </c>
      <c r="AD14" s="67">
        <v>65</v>
      </c>
      <c r="AE14" s="87">
        <v>63</v>
      </c>
      <c r="AF14" s="58">
        <f t="shared" si="7"/>
        <v>1</v>
      </c>
      <c r="AG14" s="67">
        <v>100</v>
      </c>
      <c r="AH14" s="62">
        <v>160</v>
      </c>
      <c r="AS14" s="55"/>
      <c r="AT14" s="58"/>
      <c r="AU14" s="58"/>
      <c r="AV14" s="58"/>
      <c r="AW14" s="31"/>
      <c r="AX14" s="55"/>
      <c r="AY14" s="58"/>
      <c r="AZ14" s="58"/>
      <c r="BA14" s="58"/>
      <c r="BB14" s="62"/>
      <c r="BC14" s="55"/>
      <c r="BD14" s="58"/>
      <c r="BE14" s="58"/>
      <c r="BF14" s="58"/>
      <c r="BG14" s="62"/>
      <c r="BH14" s="58"/>
      <c r="BI14" s="58"/>
      <c r="BJ14" s="58"/>
      <c r="BK14" s="58"/>
      <c r="BL14" s="62"/>
      <c r="BN14" s="51"/>
      <c r="BO14" s="35"/>
      <c r="BP14" s="52"/>
      <c r="BQ14" s="35" t="e">
        <f t="shared" si="19"/>
        <v>#N/A</v>
      </c>
      <c r="BR14" s="57" t="s">
        <v>141</v>
      </c>
      <c r="BS14" s="35">
        <v>150</v>
      </c>
      <c r="BT14" s="54"/>
      <c r="BU14" s="73">
        <f t="shared" si="20"/>
        <v>0</v>
      </c>
      <c r="BV14" s="57" t="s">
        <v>141</v>
      </c>
      <c r="BW14" s="35">
        <v>32</v>
      </c>
      <c r="BX14" s="56">
        <v>16</v>
      </c>
      <c r="BY14" s="52"/>
      <c r="BZ14" s="35"/>
      <c r="CA14" s="57"/>
      <c r="CB14" s="35"/>
      <c r="CC14" s="52"/>
      <c r="CD14" s="35" t="e">
        <f t="shared" si="21"/>
        <v>#N/A</v>
      </c>
      <c r="CE14" s="57" t="s">
        <v>141</v>
      </c>
      <c r="CF14" s="35">
        <v>150</v>
      </c>
      <c r="CG14" s="52"/>
      <c r="CH14" s="35" t="e">
        <f t="shared" si="22"/>
        <v>#N/A</v>
      </c>
      <c r="CI14" s="32">
        <v>11</v>
      </c>
      <c r="CJ14" s="80" t="s">
        <v>139</v>
      </c>
      <c r="CK14" s="35" t="e">
        <f>IF($E$14=CM14,1,0)</f>
        <v>#N/A</v>
      </c>
      <c r="CL14" s="32">
        <v>11</v>
      </c>
      <c r="CM14" s="80" t="s">
        <v>139</v>
      </c>
      <c r="CN14" s="35" t="e">
        <f>IF($E$14=CP14,1,0)</f>
        <v>#N/A</v>
      </c>
      <c r="CO14" s="32">
        <v>11</v>
      </c>
      <c r="CP14" s="80" t="s">
        <v>139</v>
      </c>
      <c r="CQ14" s="54"/>
      <c r="CR14" s="58"/>
      <c r="CS14" s="80"/>
      <c r="CT14" s="58"/>
      <c r="CU14" s="54"/>
      <c r="CV14" s="52"/>
      <c r="CW14" s="35"/>
      <c r="CX14" s="57"/>
      <c r="CY14" s="35"/>
      <c r="CZ14" s="54"/>
      <c r="DA14" s="35"/>
      <c r="DB14" s="57"/>
      <c r="DC14" s="35"/>
      <c r="DD14" s="54"/>
      <c r="DE14" s="35"/>
      <c r="DF14" s="57"/>
      <c r="DG14" s="35"/>
      <c r="DH14" s="54"/>
      <c r="DI14" s="35"/>
      <c r="DJ14" s="57"/>
      <c r="DK14" s="56"/>
    </row>
    <row r="15" spans="1:116" x14ac:dyDescent="0.25">
      <c r="A15" s="59" t="s">
        <v>32</v>
      </c>
      <c r="B15" s="1">
        <f>'ol4'!I32</f>
        <v>0</v>
      </c>
      <c r="C15" s="1"/>
      <c r="I15" s="55">
        <f t="shared" si="0"/>
        <v>0</v>
      </c>
      <c r="J15" s="58"/>
      <c r="K15" s="58"/>
      <c r="L15" s="58"/>
      <c r="M15" s="58"/>
      <c r="N15" s="58">
        <f t="shared" si="1"/>
        <v>0</v>
      </c>
      <c r="O15" s="58">
        <v>200</v>
      </c>
      <c r="P15" s="58"/>
      <c r="Q15" s="62"/>
      <c r="R15" s="58">
        <f t="shared" si="2"/>
        <v>0</v>
      </c>
      <c r="S15" s="58">
        <v>200</v>
      </c>
      <c r="T15" s="58">
        <f t="shared" si="3"/>
        <v>2.4846042519733526E-2</v>
      </c>
      <c r="U15" s="62">
        <f t="shared" si="4"/>
        <v>0</v>
      </c>
      <c r="W15" s="55"/>
      <c r="X15" s="58"/>
      <c r="Y15" s="58"/>
      <c r="Z15" s="55">
        <f t="shared" si="5"/>
        <v>1</v>
      </c>
      <c r="AA15" s="67">
        <v>65</v>
      </c>
      <c r="AB15" s="62">
        <v>63</v>
      </c>
      <c r="AC15" s="55">
        <f t="shared" si="6"/>
        <v>1</v>
      </c>
      <c r="AD15" s="67">
        <v>80</v>
      </c>
      <c r="AE15" s="87">
        <v>80</v>
      </c>
      <c r="AF15" s="58">
        <f t="shared" si="7"/>
        <v>1</v>
      </c>
      <c r="AG15" s="67">
        <v>125</v>
      </c>
      <c r="AH15" s="62">
        <v>250</v>
      </c>
      <c r="AS15" s="55"/>
      <c r="AT15" s="58"/>
      <c r="AU15" s="58"/>
      <c r="AV15" s="58"/>
      <c r="AW15" s="31"/>
      <c r="AX15" s="55"/>
      <c r="AY15" s="58"/>
      <c r="AZ15" s="58"/>
      <c r="BA15" s="58"/>
      <c r="BB15" s="62"/>
      <c r="BC15" s="55"/>
      <c r="BD15" s="58"/>
      <c r="BE15" s="58"/>
      <c r="BF15" s="58"/>
      <c r="BG15" s="62"/>
      <c r="BH15" s="58"/>
      <c r="BI15" s="58"/>
      <c r="BJ15" s="58"/>
      <c r="BK15" s="58"/>
      <c r="BL15" s="62"/>
      <c r="BN15" s="51"/>
      <c r="BO15" s="35"/>
      <c r="BP15" s="52"/>
      <c r="BQ15" s="35" t="e">
        <f t="shared" si="19"/>
        <v>#N/A</v>
      </c>
      <c r="BR15" s="57" t="s">
        <v>142</v>
      </c>
      <c r="BS15" s="35">
        <v>200</v>
      </c>
      <c r="BT15" s="54"/>
      <c r="BU15" s="73">
        <f t="shared" si="20"/>
        <v>0</v>
      </c>
      <c r="BV15" s="57" t="s">
        <v>142</v>
      </c>
      <c r="BW15" s="35">
        <v>40</v>
      </c>
      <c r="BX15" s="56">
        <v>20</v>
      </c>
      <c r="BY15" s="52"/>
      <c r="BZ15" s="35"/>
      <c r="CA15" s="57"/>
      <c r="CB15" s="35"/>
      <c r="CC15" s="52"/>
      <c r="CD15" s="35" t="e">
        <f t="shared" si="21"/>
        <v>#N/A</v>
      </c>
      <c r="CE15" s="57" t="s">
        <v>142</v>
      </c>
      <c r="CF15" s="35">
        <v>200</v>
      </c>
      <c r="CG15" s="52"/>
      <c r="CH15" s="35"/>
      <c r="CI15" s="32"/>
      <c r="CJ15" s="58"/>
      <c r="CK15" s="58"/>
      <c r="CL15" s="58"/>
      <c r="CM15" s="58"/>
      <c r="CN15" s="58"/>
      <c r="CO15" s="58"/>
      <c r="CP15" s="58"/>
      <c r="CQ15" s="54"/>
      <c r="CR15" s="58"/>
      <c r="CS15" s="58"/>
      <c r="CT15" s="58"/>
      <c r="CU15" s="54"/>
      <c r="CV15" s="52"/>
      <c r="CW15" s="35"/>
      <c r="CX15" s="57"/>
      <c r="CY15" s="35"/>
      <c r="CZ15" s="54"/>
      <c r="DA15" s="35"/>
      <c r="DB15" s="57"/>
      <c r="DC15" s="35"/>
      <c r="DD15" s="54"/>
      <c r="DE15" s="35"/>
      <c r="DF15" s="57"/>
      <c r="DG15" s="35"/>
      <c r="DH15" s="54"/>
      <c r="DI15" s="35"/>
      <c r="DJ15" s="57"/>
      <c r="DK15" s="56"/>
    </row>
    <row r="16" spans="1:116" x14ac:dyDescent="0.25">
      <c r="A16" s="59" t="s">
        <v>143</v>
      </c>
      <c r="B16" s="1">
        <f>'ol4'!U32</f>
        <v>0</v>
      </c>
      <c r="C16" s="1"/>
      <c r="E16" t="s">
        <v>144</v>
      </c>
      <c r="F16">
        <f>IF(B18="Отопление",11.7,IF(B18="Вентиляция",8.6,30))*B4/6</f>
        <v>0</v>
      </c>
      <c r="I16" s="55">
        <f t="shared" si="0"/>
        <v>0</v>
      </c>
      <c r="J16" s="58"/>
      <c r="K16" s="58"/>
      <c r="L16" s="58"/>
      <c r="M16" s="58"/>
      <c r="N16" s="58">
        <f t="shared" si="1"/>
        <v>0</v>
      </c>
      <c r="O16" s="58">
        <v>250</v>
      </c>
      <c r="P16" s="58"/>
      <c r="Q16" s="62"/>
      <c r="R16" s="58">
        <f t="shared" si="2"/>
        <v>0</v>
      </c>
      <c r="S16" s="58">
        <v>250</v>
      </c>
      <c r="T16" s="58">
        <f t="shared" si="3"/>
        <v>2.339473539768467E-2</v>
      </c>
      <c r="U16" s="62">
        <f t="shared" si="4"/>
        <v>0</v>
      </c>
      <c r="W16" s="55"/>
      <c r="X16" s="58"/>
      <c r="Y16" s="58"/>
      <c r="Z16" s="55">
        <f t="shared" si="5"/>
        <v>1</v>
      </c>
      <c r="AA16" s="67">
        <v>80</v>
      </c>
      <c r="AB16" s="62">
        <v>80</v>
      </c>
      <c r="AC16" s="55">
        <f t="shared" si="6"/>
        <v>1</v>
      </c>
      <c r="AD16" s="67">
        <v>80</v>
      </c>
      <c r="AE16" s="87">
        <v>100</v>
      </c>
      <c r="AF16" s="58">
        <f t="shared" si="7"/>
        <v>1</v>
      </c>
      <c r="AG16" s="67">
        <v>150</v>
      </c>
      <c r="AH16" s="62">
        <v>400</v>
      </c>
      <c r="AS16" s="95"/>
      <c r="AT16" s="96"/>
      <c r="AU16" s="96"/>
      <c r="AV16" s="96"/>
      <c r="AW16" s="97"/>
      <c r="AX16" s="95"/>
      <c r="AY16" s="96"/>
      <c r="AZ16" s="96"/>
      <c r="BA16" s="96"/>
      <c r="BB16" s="98"/>
      <c r="BC16" s="95"/>
      <c r="BD16" s="96"/>
      <c r="BE16" s="96"/>
      <c r="BF16" s="96"/>
      <c r="BG16" s="98"/>
      <c r="BH16" s="96"/>
      <c r="BI16" s="96"/>
      <c r="BJ16" s="96"/>
      <c r="BK16" s="96"/>
      <c r="BL16" s="98"/>
      <c r="BN16" s="51"/>
      <c r="BO16" s="35"/>
      <c r="BP16" s="52"/>
      <c r="BQ16" s="35"/>
      <c r="BR16" s="57"/>
      <c r="BS16" s="35"/>
      <c r="BT16" s="54"/>
      <c r="BU16" s="73">
        <f t="shared" si="20"/>
        <v>0</v>
      </c>
      <c r="BV16" s="57" t="s">
        <v>145</v>
      </c>
      <c r="BW16" s="35">
        <v>40</v>
      </c>
      <c r="BX16" s="56">
        <v>25</v>
      </c>
      <c r="BY16" s="52"/>
      <c r="BZ16" s="35"/>
      <c r="CA16" s="57"/>
      <c r="CB16" s="35"/>
      <c r="CC16" s="54"/>
      <c r="CD16" s="58"/>
      <c r="CE16" s="58"/>
      <c r="CF16" s="58"/>
      <c r="CG16" s="54"/>
      <c r="CH16" s="35"/>
      <c r="CI16" s="58"/>
      <c r="CJ16" s="58"/>
      <c r="CK16" s="58"/>
      <c r="CL16" s="58"/>
      <c r="CM16" s="58"/>
      <c r="CN16" s="58"/>
      <c r="CO16" s="58"/>
      <c r="CP16" s="58"/>
      <c r="CQ16" s="54"/>
      <c r="CR16" s="58"/>
      <c r="CS16" s="58"/>
      <c r="CT16" s="58"/>
      <c r="CU16" s="54"/>
      <c r="CV16" s="54"/>
      <c r="CW16" s="58"/>
      <c r="CX16" s="58"/>
      <c r="CY16" s="58"/>
      <c r="CZ16" s="54"/>
      <c r="DA16" s="58"/>
      <c r="DB16" s="58"/>
      <c r="DC16" s="58"/>
      <c r="DD16" s="54"/>
      <c r="DE16" s="58"/>
      <c r="DF16" s="58"/>
      <c r="DG16" s="58"/>
      <c r="DH16" s="54"/>
      <c r="DI16" s="58"/>
      <c r="DJ16" s="58"/>
      <c r="DK16" s="62"/>
    </row>
    <row r="17" spans="1:115" x14ac:dyDescent="0.25">
      <c r="A17" s="59" t="s">
        <v>69</v>
      </c>
      <c r="B17" s="1">
        <f>'ol4'!AA32</f>
        <v>0</v>
      </c>
      <c r="C17" s="1"/>
      <c r="E17" t="s">
        <v>52</v>
      </c>
      <c r="F17" t="e">
        <f>VLOOKUP(1,R4:U17,2,0)</f>
        <v>#N/A</v>
      </c>
      <c r="I17" s="55">
        <f t="shared" si="0"/>
        <v>0</v>
      </c>
      <c r="J17" s="58"/>
      <c r="K17" s="58"/>
      <c r="L17" s="58"/>
      <c r="M17" s="58"/>
      <c r="N17" s="58">
        <f t="shared" si="1"/>
        <v>0</v>
      </c>
      <c r="O17" s="58">
        <v>300</v>
      </c>
      <c r="P17" s="58"/>
      <c r="Q17" s="62"/>
      <c r="R17" s="58">
        <f t="shared" si="2"/>
        <v>0</v>
      </c>
      <c r="S17" s="58">
        <v>300</v>
      </c>
      <c r="T17" s="58">
        <f t="shared" si="3"/>
        <v>2.2301284149115197E-2</v>
      </c>
      <c r="U17" s="62">
        <f t="shared" si="4"/>
        <v>0</v>
      </c>
      <c r="W17" s="55"/>
      <c r="X17" s="58"/>
      <c r="Y17" s="58"/>
      <c r="Z17" s="55">
        <f t="shared" si="5"/>
        <v>1</v>
      </c>
      <c r="AA17" s="67">
        <v>80</v>
      </c>
      <c r="AB17" s="62">
        <v>100</v>
      </c>
      <c r="AC17" s="81">
        <f t="shared" si="6"/>
        <v>1</v>
      </c>
      <c r="AD17" s="67">
        <v>100</v>
      </c>
      <c r="AE17" s="87">
        <v>125</v>
      </c>
      <c r="AF17" s="58"/>
      <c r="AG17" s="58"/>
      <c r="AH17" s="62"/>
      <c r="AS17" s="58"/>
      <c r="AT17" s="58"/>
      <c r="AU17" s="58"/>
      <c r="BN17" s="51"/>
      <c r="BO17" s="35"/>
      <c r="BP17" s="52"/>
      <c r="BQ17" s="35"/>
      <c r="BR17" s="57"/>
      <c r="BS17" s="35"/>
      <c r="BT17" s="54"/>
      <c r="BU17" s="73">
        <f t="shared" si="20"/>
        <v>0</v>
      </c>
      <c r="BV17" s="57" t="s">
        <v>146</v>
      </c>
      <c r="BW17" s="35">
        <v>50</v>
      </c>
      <c r="BX17" s="56">
        <v>31.5</v>
      </c>
      <c r="BY17" s="52"/>
      <c r="BZ17" s="35"/>
      <c r="CA17" s="57"/>
      <c r="CB17" s="35"/>
      <c r="CC17" s="54"/>
      <c r="CD17" s="58"/>
      <c r="CE17" s="58"/>
      <c r="CF17" s="58"/>
      <c r="CG17" s="54"/>
      <c r="CH17" s="35"/>
      <c r="CI17" s="58"/>
      <c r="CJ17" s="58"/>
      <c r="CK17" s="58"/>
      <c r="CL17" s="58"/>
      <c r="CM17" s="58"/>
      <c r="CN17" s="58"/>
      <c r="CO17" s="58"/>
      <c r="CP17" s="58"/>
      <c r="CQ17" s="54"/>
      <c r="CR17" s="58"/>
      <c r="CS17" s="58"/>
      <c r="CT17" s="58"/>
      <c r="CU17" s="54"/>
      <c r="CV17" s="54"/>
      <c r="CW17" s="58"/>
      <c r="CX17" s="58"/>
      <c r="CY17" s="58"/>
      <c r="CZ17" s="54"/>
      <c r="DA17" s="58"/>
      <c r="DB17" s="58"/>
      <c r="DC17" s="58"/>
      <c r="DD17" s="54"/>
      <c r="DE17" s="58"/>
      <c r="DF17" s="58"/>
      <c r="DG17" s="58"/>
      <c r="DH17" s="54"/>
      <c r="DI17" s="58"/>
      <c r="DJ17" s="58"/>
      <c r="DK17" s="62"/>
    </row>
    <row r="18" spans="1:115" x14ac:dyDescent="0.25">
      <c r="A18" s="59" t="s">
        <v>147</v>
      </c>
      <c r="B18" s="1" t="str">
        <f>'ol4'!A16</f>
        <v>Отопление</v>
      </c>
      <c r="C18" s="1"/>
      <c r="I18" s="55"/>
      <c r="J18" s="58"/>
      <c r="K18" s="58"/>
      <c r="L18" s="58"/>
      <c r="M18" s="58"/>
      <c r="N18" s="58"/>
      <c r="O18" s="58"/>
      <c r="P18" s="58"/>
      <c r="Q18" s="62"/>
      <c r="R18" s="58"/>
      <c r="S18" s="58"/>
      <c r="T18" s="58"/>
      <c r="U18" s="62"/>
      <c r="W18" s="55"/>
      <c r="X18" s="58"/>
      <c r="Y18" s="58"/>
      <c r="Z18" s="81">
        <f t="shared" si="5"/>
        <v>1</v>
      </c>
      <c r="AA18" s="67">
        <v>100</v>
      </c>
      <c r="AB18" s="62">
        <v>125</v>
      </c>
      <c r="AC18" s="81">
        <f t="shared" si="6"/>
        <v>1</v>
      </c>
      <c r="AD18" s="67">
        <v>100</v>
      </c>
      <c r="AE18" s="87">
        <v>160</v>
      </c>
      <c r="AF18" s="58"/>
      <c r="AG18" s="58"/>
      <c r="AH18" s="62"/>
      <c r="BN18" s="51"/>
      <c r="BO18" s="35"/>
      <c r="BP18" s="52"/>
      <c r="BQ18" s="35"/>
      <c r="BR18" s="57"/>
      <c r="BS18" s="35"/>
      <c r="BT18" s="54"/>
      <c r="BU18" s="73">
        <f t="shared" si="20"/>
        <v>0</v>
      </c>
      <c r="BV18" s="57" t="s">
        <v>148</v>
      </c>
      <c r="BW18" s="35">
        <v>50</v>
      </c>
      <c r="BX18" s="56">
        <v>40</v>
      </c>
      <c r="BY18" s="52"/>
      <c r="BZ18" s="35"/>
      <c r="CA18" s="57"/>
      <c r="CB18" s="35"/>
      <c r="CC18" s="54"/>
      <c r="CD18" s="58"/>
      <c r="CE18" s="58"/>
      <c r="CF18" s="58"/>
      <c r="CG18" s="54"/>
      <c r="CH18" s="35"/>
      <c r="CI18" s="58"/>
      <c r="CJ18" s="58"/>
      <c r="CK18" s="58"/>
      <c r="CL18" s="58"/>
      <c r="CM18" s="58"/>
      <c r="CN18" s="58"/>
      <c r="CO18" s="58"/>
      <c r="CP18" s="58"/>
      <c r="CQ18" s="54"/>
      <c r="CR18" s="58"/>
      <c r="CS18" s="58"/>
      <c r="CT18" s="58"/>
      <c r="CU18" s="54"/>
      <c r="CV18" s="54"/>
      <c r="CW18" s="58"/>
      <c r="CX18" s="58"/>
      <c r="CY18" s="58"/>
      <c r="CZ18" s="54"/>
      <c r="DA18" s="58"/>
      <c r="DB18" s="58"/>
      <c r="DC18" s="58"/>
      <c r="DD18" s="54"/>
      <c r="DE18" s="58"/>
      <c r="DF18" s="58"/>
      <c r="DG18" s="58"/>
      <c r="DH18" s="54"/>
      <c r="DI18" s="58"/>
      <c r="DJ18" s="58"/>
      <c r="DK18" s="62"/>
    </row>
    <row r="19" spans="1:115" x14ac:dyDescent="0.25">
      <c r="A19" s="59"/>
      <c r="C19" s="76"/>
      <c r="I19" s="55"/>
      <c r="J19" s="99"/>
      <c r="K19" s="58"/>
      <c r="L19" s="58"/>
      <c r="M19" s="58"/>
      <c r="N19" s="58"/>
      <c r="O19" s="58"/>
      <c r="P19" s="58"/>
      <c r="Q19" s="62"/>
      <c r="R19" s="58"/>
      <c r="S19" s="58"/>
      <c r="T19" s="58"/>
      <c r="U19" s="62"/>
      <c r="W19" s="55"/>
      <c r="X19" s="58"/>
      <c r="Y19" s="58"/>
      <c r="Z19" s="81">
        <f t="shared" si="5"/>
        <v>1</v>
      </c>
      <c r="AA19" s="58">
        <v>100</v>
      </c>
      <c r="AB19" s="62">
        <v>160</v>
      </c>
      <c r="AC19" s="81">
        <f t="shared" si="6"/>
        <v>1</v>
      </c>
      <c r="AD19" s="67">
        <v>125</v>
      </c>
      <c r="AE19" s="87">
        <v>200</v>
      </c>
      <c r="AF19" s="58"/>
      <c r="AG19" s="58"/>
      <c r="AH19" s="62"/>
      <c r="BN19" s="51"/>
      <c r="BO19" s="35"/>
      <c r="BP19" s="52"/>
      <c r="BQ19" s="35"/>
      <c r="BR19" s="57"/>
      <c r="BS19" s="35"/>
      <c r="BT19" s="54"/>
      <c r="BU19" s="73">
        <f t="shared" si="20"/>
        <v>0</v>
      </c>
      <c r="BV19" s="57" t="s">
        <v>149</v>
      </c>
      <c r="BW19" s="35">
        <v>65</v>
      </c>
      <c r="BX19" s="56">
        <v>50</v>
      </c>
      <c r="BY19" s="52"/>
      <c r="BZ19" s="35"/>
      <c r="CA19" s="57"/>
      <c r="CB19" s="35"/>
      <c r="CC19" s="54"/>
      <c r="CD19" s="58"/>
      <c r="CE19" s="58"/>
      <c r="CF19" s="58"/>
      <c r="CG19" s="54"/>
      <c r="CH19" s="58"/>
      <c r="CI19" s="58"/>
      <c r="CJ19" s="58"/>
      <c r="CK19" s="58"/>
      <c r="CL19" s="58"/>
      <c r="CM19" s="58"/>
      <c r="CN19" s="58"/>
      <c r="CO19" s="58"/>
      <c r="CP19" s="58"/>
      <c r="CQ19" s="54"/>
      <c r="CR19" s="58"/>
      <c r="CS19" s="58"/>
      <c r="CT19" s="58"/>
      <c r="CU19" s="54"/>
      <c r="CV19" s="54"/>
      <c r="CW19" s="58"/>
      <c r="CX19" s="58"/>
      <c r="CY19" s="58"/>
      <c r="CZ19" s="54"/>
      <c r="DA19" s="58"/>
      <c r="DB19" s="58"/>
      <c r="DC19" s="58"/>
      <c r="DD19" s="54"/>
      <c r="DE19" s="58"/>
      <c r="DF19" s="58"/>
      <c r="DG19" s="58"/>
      <c r="DH19" s="54"/>
      <c r="DI19" s="58"/>
      <c r="DJ19" s="58"/>
      <c r="DK19" s="62"/>
    </row>
    <row r="20" spans="1:115" x14ac:dyDescent="0.25">
      <c r="A20" s="59"/>
      <c r="C20" s="76"/>
      <c r="I20" s="55"/>
      <c r="J20" s="99" t="s">
        <v>150</v>
      </c>
      <c r="K20" s="58">
        <v>958.4</v>
      </c>
      <c r="L20" s="58"/>
      <c r="M20" s="58"/>
      <c r="N20" s="58"/>
      <c r="O20" s="58"/>
      <c r="P20" s="58"/>
      <c r="Q20" s="62"/>
      <c r="R20" s="58"/>
      <c r="S20" s="58"/>
      <c r="T20" s="58"/>
      <c r="U20" s="62"/>
      <c r="W20" s="55"/>
      <c r="X20" s="58"/>
      <c r="Y20" s="58"/>
      <c r="Z20" s="81">
        <f t="shared" si="5"/>
        <v>1</v>
      </c>
      <c r="AA20" s="58">
        <v>125</v>
      </c>
      <c r="AB20" s="62">
        <v>250</v>
      </c>
      <c r="AC20" s="81">
        <f t="shared" si="6"/>
        <v>1</v>
      </c>
      <c r="AD20" s="67">
        <v>125</v>
      </c>
      <c r="AE20" s="87">
        <v>250</v>
      </c>
      <c r="AF20" s="58"/>
      <c r="AG20" s="58"/>
      <c r="AH20" s="62"/>
      <c r="BN20" s="51"/>
      <c r="BO20" s="35"/>
      <c r="BP20" s="52"/>
      <c r="BQ20" s="35"/>
      <c r="BR20" s="57"/>
      <c r="BS20" s="35"/>
      <c r="BT20" s="54"/>
      <c r="BU20" s="73">
        <f t="shared" si="20"/>
        <v>0</v>
      </c>
      <c r="BV20" s="57" t="s">
        <v>151</v>
      </c>
      <c r="BW20" s="35">
        <v>65</v>
      </c>
      <c r="BX20" s="56">
        <v>63</v>
      </c>
      <c r="BY20" s="52"/>
      <c r="BZ20" s="35"/>
      <c r="CA20" s="57"/>
      <c r="CB20" s="35"/>
      <c r="CC20" s="54"/>
      <c r="CD20" s="58"/>
      <c r="CE20" s="58"/>
      <c r="CF20" s="58"/>
      <c r="CG20" s="54"/>
      <c r="CH20" s="58"/>
      <c r="CI20" s="58"/>
      <c r="CJ20" s="58"/>
      <c r="CK20" s="58"/>
      <c r="CL20" s="58"/>
      <c r="CM20" s="58"/>
      <c r="CN20" s="58"/>
      <c r="CO20" s="58"/>
      <c r="CP20" s="58"/>
      <c r="CQ20" s="54"/>
      <c r="CR20" s="58"/>
      <c r="CS20" s="58"/>
      <c r="CT20" s="58"/>
      <c r="CU20" s="54"/>
      <c r="CV20" s="54"/>
      <c r="CW20" s="58"/>
      <c r="CX20" s="58"/>
      <c r="CY20" s="58"/>
      <c r="CZ20" s="54"/>
      <c r="DA20" s="58"/>
      <c r="DB20" s="58"/>
      <c r="DC20" s="58"/>
      <c r="DD20" s="54"/>
      <c r="DE20" s="58"/>
      <c r="DF20" s="58"/>
      <c r="DG20" s="58"/>
      <c r="DH20" s="54"/>
      <c r="DI20" s="58"/>
      <c r="DJ20" s="58"/>
      <c r="DK20" s="62"/>
    </row>
    <row r="21" spans="1:115" x14ac:dyDescent="0.25">
      <c r="I21" s="55"/>
      <c r="J21" s="99" t="s">
        <v>152</v>
      </c>
      <c r="K21" s="58">
        <v>0.5</v>
      </c>
      <c r="L21" s="58"/>
      <c r="M21" s="58"/>
      <c r="N21" s="58"/>
      <c r="O21" s="58"/>
      <c r="P21" s="58"/>
      <c r="Q21" s="62"/>
      <c r="R21" s="58"/>
      <c r="S21" s="58"/>
      <c r="T21" s="58"/>
      <c r="U21" s="62"/>
      <c r="W21" s="55"/>
      <c r="X21" s="58"/>
      <c r="Y21" s="58"/>
      <c r="Z21" s="81">
        <f t="shared" si="5"/>
        <v>1</v>
      </c>
      <c r="AA21" s="58">
        <v>150</v>
      </c>
      <c r="AB21" s="62">
        <v>315</v>
      </c>
      <c r="AC21" s="81">
        <f t="shared" si="6"/>
        <v>1</v>
      </c>
      <c r="AD21" s="67">
        <v>150</v>
      </c>
      <c r="AE21" s="87">
        <v>315</v>
      </c>
      <c r="AF21" s="58"/>
      <c r="AG21" s="58"/>
      <c r="AH21" s="62"/>
      <c r="BN21" s="51"/>
      <c r="BO21" s="35"/>
      <c r="BP21" s="52"/>
      <c r="BQ21" s="35"/>
      <c r="BR21" s="57"/>
      <c r="BS21" s="35"/>
      <c r="BT21" s="54"/>
      <c r="BU21" s="73">
        <f t="shared" si="20"/>
        <v>0</v>
      </c>
      <c r="BV21" s="57" t="s">
        <v>153</v>
      </c>
      <c r="BW21" s="35">
        <v>80</v>
      </c>
      <c r="BX21" s="56">
        <v>80</v>
      </c>
      <c r="BY21" s="52"/>
      <c r="BZ21" s="35"/>
      <c r="CA21" s="57"/>
      <c r="CB21" s="35"/>
      <c r="CC21" s="54"/>
      <c r="CD21" s="58"/>
      <c r="CE21" s="58"/>
      <c r="CF21" s="58"/>
      <c r="CG21" s="54"/>
      <c r="CH21" s="58"/>
      <c r="CI21" s="58"/>
      <c r="CJ21" s="58"/>
      <c r="CK21" s="58"/>
      <c r="CL21" s="58"/>
      <c r="CM21" s="58"/>
      <c r="CN21" s="58"/>
      <c r="CO21" s="58"/>
      <c r="CP21" s="58"/>
      <c r="CQ21" s="54"/>
      <c r="CR21" s="58"/>
      <c r="CS21" s="58"/>
      <c r="CT21" s="58"/>
      <c r="CU21" s="54"/>
      <c r="CV21" s="54"/>
      <c r="CW21" s="58"/>
      <c r="CX21" s="58"/>
      <c r="CY21" s="58"/>
      <c r="CZ21" s="54"/>
      <c r="DA21" s="58"/>
      <c r="DB21" s="58"/>
      <c r="DC21" s="58"/>
      <c r="DD21" s="54"/>
      <c r="DE21" s="58"/>
      <c r="DF21" s="58"/>
      <c r="DG21" s="58"/>
      <c r="DH21" s="54"/>
      <c r="DI21" s="58"/>
      <c r="DJ21" s="58"/>
      <c r="DK21" s="62"/>
    </row>
    <row r="22" spans="1:115" x14ac:dyDescent="0.25">
      <c r="I22" s="95"/>
      <c r="J22" s="100"/>
      <c r="K22" s="96"/>
      <c r="L22" s="96"/>
      <c r="M22" s="96"/>
      <c r="N22" s="96"/>
      <c r="O22" s="96"/>
      <c r="P22" s="96"/>
      <c r="Q22" s="98"/>
      <c r="R22" s="96"/>
      <c r="S22" s="96"/>
      <c r="T22" s="96"/>
      <c r="U22" s="98"/>
      <c r="W22" s="95"/>
      <c r="X22" s="96"/>
      <c r="Y22" s="96"/>
      <c r="Z22" s="95"/>
      <c r="AA22" s="96"/>
      <c r="AB22" s="98"/>
      <c r="AC22" s="91">
        <f t="shared" si="6"/>
        <v>1</v>
      </c>
      <c r="AD22" s="101">
        <v>150</v>
      </c>
      <c r="AE22" s="102">
        <v>400</v>
      </c>
      <c r="AF22" s="96"/>
      <c r="AG22" s="96"/>
      <c r="AH22" s="98"/>
      <c r="BN22" s="51"/>
      <c r="BO22" s="35"/>
      <c r="BP22" s="52"/>
      <c r="BQ22" s="35"/>
      <c r="BR22" s="57"/>
      <c r="BS22" s="35"/>
      <c r="BT22" s="54"/>
      <c r="BU22" s="73">
        <f t="shared" si="20"/>
        <v>0</v>
      </c>
      <c r="BV22" s="57" t="s">
        <v>154</v>
      </c>
      <c r="BW22" s="35">
        <v>80</v>
      </c>
      <c r="BX22" s="56">
        <v>100</v>
      </c>
      <c r="BY22" s="52"/>
      <c r="BZ22" s="35"/>
      <c r="CA22" s="57"/>
      <c r="CB22" s="35"/>
      <c r="CC22" s="54"/>
      <c r="CD22" s="58"/>
      <c r="CE22" s="58"/>
      <c r="CF22" s="58"/>
      <c r="CG22" s="54"/>
      <c r="CH22" s="58"/>
      <c r="CI22" s="58"/>
      <c r="CJ22" s="58"/>
      <c r="CK22" s="58"/>
      <c r="CL22" s="58"/>
      <c r="CM22" s="58"/>
      <c r="CN22" s="58"/>
      <c r="CO22" s="58"/>
      <c r="CP22" s="58"/>
      <c r="CQ22" s="54"/>
      <c r="CR22" s="58"/>
      <c r="CS22" s="58"/>
      <c r="CT22" s="58"/>
      <c r="CU22" s="54"/>
      <c r="CV22" s="54"/>
      <c r="CW22" s="58"/>
      <c r="CX22" s="58"/>
      <c r="CY22" s="58"/>
      <c r="CZ22" s="54"/>
      <c r="DA22" s="58"/>
      <c r="DB22" s="58"/>
      <c r="DC22" s="58"/>
      <c r="DD22" s="54"/>
      <c r="DE22" s="58"/>
      <c r="DF22" s="58"/>
      <c r="DG22" s="58"/>
      <c r="DH22" s="54"/>
      <c r="DI22" s="58"/>
      <c r="DJ22" s="58"/>
      <c r="DK22" s="62"/>
    </row>
    <row r="23" spans="1:115" x14ac:dyDescent="0.25">
      <c r="BN23" s="51"/>
      <c r="BO23" s="35"/>
      <c r="BP23" s="52"/>
      <c r="BQ23" s="35"/>
      <c r="BR23" s="57"/>
      <c r="BS23" s="35"/>
      <c r="BT23" s="54"/>
      <c r="BU23" s="73">
        <f t="shared" si="20"/>
        <v>0</v>
      </c>
      <c r="BV23" s="57" t="s">
        <v>155</v>
      </c>
      <c r="BW23" s="35">
        <v>100</v>
      </c>
      <c r="BX23" s="56">
        <v>125</v>
      </c>
      <c r="BY23" s="52"/>
      <c r="BZ23" s="35"/>
      <c r="CA23" s="57"/>
      <c r="CB23" s="35"/>
      <c r="CC23" s="54"/>
      <c r="CD23" s="58"/>
      <c r="CE23" s="58"/>
      <c r="CF23" s="58"/>
      <c r="CG23" s="54"/>
      <c r="CH23" s="58"/>
      <c r="CI23" s="58"/>
      <c r="CJ23" s="58"/>
      <c r="CK23" s="58"/>
      <c r="CL23" s="58"/>
      <c r="CM23" s="58"/>
      <c r="CN23" s="58"/>
      <c r="CO23" s="58"/>
      <c r="CP23" s="58"/>
      <c r="CQ23" s="54"/>
      <c r="CR23" s="58"/>
      <c r="CS23" s="58"/>
      <c r="CT23" s="58"/>
      <c r="CU23" s="54"/>
      <c r="CV23" s="54"/>
      <c r="CW23" s="58"/>
      <c r="CX23" s="58"/>
      <c r="CY23" s="58"/>
      <c r="CZ23" s="54"/>
      <c r="DA23" s="58"/>
      <c r="DB23" s="58"/>
      <c r="DC23" s="58"/>
      <c r="DD23" s="54"/>
      <c r="DE23" s="58"/>
      <c r="DF23" s="58"/>
      <c r="DG23" s="58"/>
      <c r="DH23" s="54"/>
      <c r="DI23" s="58"/>
      <c r="DJ23" s="58"/>
      <c r="DK23" s="62"/>
    </row>
    <row r="24" spans="1:115" x14ac:dyDescent="0.25">
      <c r="BN24" s="51"/>
      <c r="BO24" s="35"/>
      <c r="BP24" s="52"/>
      <c r="BQ24" s="35"/>
      <c r="BR24" s="57"/>
      <c r="BS24" s="35"/>
      <c r="BT24" s="54"/>
      <c r="BU24" s="73">
        <f t="shared" si="20"/>
        <v>0</v>
      </c>
      <c r="BV24" s="57" t="s">
        <v>156</v>
      </c>
      <c r="BW24" s="35">
        <v>100</v>
      </c>
      <c r="BX24" s="56">
        <v>160</v>
      </c>
      <c r="BY24" s="52"/>
      <c r="BZ24" s="35"/>
      <c r="CA24" s="57"/>
      <c r="CB24" s="35"/>
      <c r="CC24" s="54"/>
      <c r="CD24" s="58"/>
      <c r="CE24" s="58"/>
      <c r="CF24" s="58"/>
      <c r="CG24" s="54"/>
      <c r="CH24" s="58"/>
      <c r="CI24" s="58"/>
      <c r="CJ24" s="58"/>
      <c r="CK24" s="58"/>
      <c r="CL24" s="58"/>
      <c r="CM24" s="58"/>
      <c r="CN24" s="58"/>
      <c r="CO24" s="58"/>
      <c r="CP24" s="58"/>
      <c r="CQ24" s="54"/>
      <c r="CR24" s="58"/>
      <c r="CS24" s="58"/>
      <c r="CT24" s="58"/>
      <c r="CU24" s="54"/>
      <c r="CV24" s="54"/>
      <c r="CW24" s="58"/>
      <c r="CX24" s="58"/>
      <c r="CY24" s="58"/>
      <c r="CZ24" s="54"/>
      <c r="DA24" s="58"/>
      <c r="DB24" s="58"/>
      <c r="DC24" s="58"/>
      <c r="DD24" s="54"/>
      <c r="DE24" s="58"/>
      <c r="DF24" s="58"/>
      <c r="DG24" s="58"/>
      <c r="DH24" s="54"/>
      <c r="DI24" s="58"/>
      <c r="DJ24" s="58"/>
      <c r="DK24" s="62"/>
    </row>
    <row r="25" spans="1:115" x14ac:dyDescent="0.25">
      <c r="BN25" s="51"/>
      <c r="BO25" s="35"/>
      <c r="BP25" s="52"/>
      <c r="BQ25" s="35"/>
      <c r="BR25" s="57"/>
      <c r="BS25" s="35"/>
      <c r="BT25" s="54"/>
      <c r="BU25" s="73">
        <f t="shared" si="20"/>
        <v>0</v>
      </c>
      <c r="BV25" s="57" t="s">
        <v>157</v>
      </c>
      <c r="BW25" s="35">
        <v>125</v>
      </c>
      <c r="BX25" s="56">
        <v>250</v>
      </c>
      <c r="BY25" s="52"/>
      <c r="BZ25" s="35"/>
      <c r="CA25" s="57"/>
      <c r="CB25" s="35"/>
      <c r="CC25" s="54"/>
      <c r="CD25" s="58"/>
      <c r="CE25" s="58"/>
      <c r="CF25" s="58"/>
      <c r="CG25" s="54"/>
      <c r="CH25" s="58"/>
      <c r="CI25" s="58"/>
      <c r="CJ25" s="58"/>
      <c r="CK25" s="58"/>
      <c r="CL25" s="58"/>
      <c r="CM25" s="58"/>
      <c r="CN25" s="58"/>
      <c r="CO25" s="58"/>
      <c r="CP25" s="58"/>
      <c r="CQ25" s="54"/>
      <c r="CR25" s="58"/>
      <c r="CS25" s="58"/>
      <c r="CT25" s="58"/>
      <c r="CU25" s="54"/>
      <c r="CV25" s="54"/>
      <c r="CW25" s="58"/>
      <c r="CX25" s="58"/>
      <c r="CY25" s="58"/>
      <c r="CZ25" s="54"/>
      <c r="DA25" s="58"/>
      <c r="DB25" s="58"/>
      <c r="DC25" s="58"/>
      <c r="DD25" s="54"/>
      <c r="DE25" s="58"/>
      <c r="DF25" s="58"/>
      <c r="DG25" s="58"/>
      <c r="DH25" s="54"/>
      <c r="DI25" s="58"/>
      <c r="DJ25" s="58"/>
      <c r="DK25" s="62"/>
    </row>
    <row r="26" spans="1:115" x14ac:dyDescent="0.25">
      <c r="BN26" s="103"/>
      <c r="BO26" s="104"/>
      <c r="BP26" s="105"/>
      <c r="BQ26" s="104"/>
      <c r="BR26" s="106"/>
      <c r="BS26" s="104"/>
      <c r="BT26" s="107"/>
      <c r="BU26" s="108">
        <f t="shared" si="20"/>
        <v>0</v>
      </c>
      <c r="BV26" s="106" t="s">
        <v>158</v>
      </c>
      <c r="BW26" s="104">
        <v>150</v>
      </c>
      <c r="BX26" s="109">
        <v>315</v>
      </c>
      <c r="BY26" s="105"/>
      <c r="BZ26" s="104"/>
      <c r="CA26" s="106"/>
      <c r="CB26" s="104"/>
      <c r="CC26" s="107"/>
      <c r="CD26" s="96"/>
      <c r="CE26" s="96"/>
      <c r="CF26" s="96"/>
      <c r="CG26" s="107"/>
      <c r="CH26" s="96"/>
      <c r="CI26" s="96"/>
      <c r="CJ26" s="96"/>
      <c r="CK26" s="96"/>
      <c r="CL26" s="96"/>
      <c r="CM26" s="96"/>
      <c r="CN26" s="96"/>
      <c r="CO26" s="96"/>
      <c r="CP26" s="96"/>
      <c r="CQ26" s="107"/>
      <c r="CR26" s="96"/>
      <c r="CS26" s="96"/>
      <c r="CT26" s="96"/>
      <c r="CU26" s="107"/>
      <c r="CV26" s="107"/>
      <c r="CW26" s="96"/>
      <c r="CX26" s="96"/>
      <c r="CY26" s="96"/>
      <c r="CZ26" s="107"/>
      <c r="DA26" s="96"/>
      <c r="DB26" s="96"/>
      <c r="DC26" s="96"/>
      <c r="DD26" s="107"/>
      <c r="DE26" s="96"/>
      <c r="DF26" s="96"/>
      <c r="DG26" s="96"/>
      <c r="DH26" s="107"/>
      <c r="DI26" s="96"/>
      <c r="DJ26" s="96"/>
      <c r="DK26" s="98"/>
    </row>
  </sheetData>
  <mergeCells count="28">
    <mergeCell ref="B16:C16"/>
    <mergeCell ref="B17:C17"/>
    <mergeCell ref="B18:C18"/>
    <mergeCell ref="BC3:BG3"/>
    <mergeCell ref="BH3:BL3"/>
    <mergeCell ref="B14:C14"/>
    <mergeCell ref="E14:F14"/>
    <mergeCell ref="B15:C15"/>
    <mergeCell ref="Z3:AB3"/>
    <mergeCell ref="AC3:AE3"/>
    <mergeCell ref="AF3:AH3"/>
    <mergeCell ref="AS3:AW3"/>
    <mergeCell ref="AX3:BB3"/>
    <mergeCell ref="CR2:CT2"/>
    <mergeCell ref="CW2:CY2"/>
    <mergeCell ref="DA2:DC2"/>
    <mergeCell ref="DE2:DG2"/>
    <mergeCell ref="DI2:DK2"/>
    <mergeCell ref="BR2:BS2"/>
    <mergeCell ref="BV2:BX2"/>
    <mergeCell ref="CA2:CB2"/>
    <mergeCell ref="CE2:CF2"/>
    <mergeCell ref="CI2:CP2"/>
    <mergeCell ref="I2:U2"/>
    <mergeCell ref="W2:AH2"/>
    <mergeCell ref="AJ2:AM2"/>
    <mergeCell ref="AS2:BL2"/>
    <mergeCell ref="BN2:BO2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2:BI26"/>
  <sheetViews>
    <sheetView topLeftCell="AA1" zoomScaleNormal="100" workbookViewId="0">
      <selection activeCell="AJ33" sqref="AJ33"/>
    </sheetView>
  </sheetViews>
  <sheetFormatPr defaultRowHeight="15" x14ac:dyDescent="0.25"/>
  <cols>
    <col min="1" max="1" width="8.7109375" customWidth="1"/>
    <col min="2" max="2" width="4.140625" customWidth="1"/>
    <col min="3" max="3" width="4.7109375" customWidth="1"/>
    <col min="4" max="4" width="1.7109375" customWidth="1"/>
    <col min="5" max="5" width="3.140625" customWidth="1"/>
    <col min="6" max="6" width="1.7109375" customWidth="1"/>
    <col min="7" max="7" width="3.140625" customWidth="1"/>
    <col min="8" max="8" width="1.7109375" customWidth="1"/>
    <col min="9" max="9" width="3.140625" customWidth="1"/>
    <col min="10" max="10" width="1.5703125" customWidth="1"/>
    <col min="11" max="11" width="3.140625" customWidth="1"/>
    <col min="12" max="12" width="1.7109375" customWidth="1"/>
    <col min="13" max="13" width="3.140625" customWidth="1"/>
    <col min="14" max="14" width="1.7109375" customWidth="1"/>
    <col min="15" max="15" width="3.140625" customWidth="1"/>
    <col min="16" max="16" width="1.5703125" customWidth="1"/>
    <col min="17" max="17" width="3.140625" customWidth="1"/>
    <col min="18" max="18" width="1.7109375" customWidth="1"/>
    <col min="19" max="19" width="3.140625" customWidth="1"/>
    <col min="20" max="20" width="1.7109375" customWidth="1"/>
    <col min="21" max="21" width="3.140625" customWidth="1"/>
    <col min="22" max="22" width="1.7109375" customWidth="1"/>
    <col min="23" max="23" width="3.7109375" customWidth="1"/>
    <col min="24" max="24" width="8.7109375" customWidth="1"/>
    <col min="25" max="25" width="4.85546875" style="110" customWidth="1"/>
    <col min="26" max="26" width="12.85546875" style="85" customWidth="1"/>
    <col min="27" max="27" width="3.28515625" style="85" customWidth="1"/>
    <col min="28" max="28" width="6.28515625" style="110" customWidth="1"/>
    <col min="29" max="29" width="6.28515625" style="85" customWidth="1"/>
    <col min="30" max="30" width="3.5703125" customWidth="1"/>
    <col min="31" max="33" width="6.140625" style="85" customWidth="1"/>
    <col min="34" max="34" width="3.28515625" style="85" customWidth="1"/>
    <col min="35" max="35" width="6.140625" style="110" customWidth="1"/>
    <col min="36" max="36" width="15.28515625" style="85" customWidth="1"/>
    <col min="37" max="37" width="3.28515625" customWidth="1"/>
    <col min="38" max="39" width="6.28515625" customWidth="1"/>
    <col min="40" max="40" width="3.5703125" customWidth="1"/>
    <col min="41" max="41" width="5.85546875" customWidth="1"/>
    <col min="42" max="42" width="16.140625" customWidth="1"/>
    <col min="43" max="43" width="3.7109375" customWidth="1"/>
    <col min="44" max="44" width="6.140625" customWidth="1"/>
    <col min="45" max="45" width="16.85546875" customWidth="1"/>
    <col min="46" max="46" width="25.140625" customWidth="1"/>
    <col min="47" max="47" width="18.28515625" customWidth="1"/>
    <col min="48" max="48" width="3.28515625" customWidth="1"/>
    <col min="49" max="49" width="6.28515625" customWidth="1"/>
    <col min="50" max="50" width="11.42578125"/>
    <col min="51" max="51" width="3.5703125" customWidth="1"/>
    <col min="52" max="52" width="4.85546875" style="85" customWidth="1"/>
    <col min="53" max="53" width="8.42578125" style="85" customWidth="1"/>
    <col min="54" max="54" width="3.28515625" customWidth="1"/>
    <col min="55" max="55" width="6.28515625" customWidth="1"/>
    <col min="56" max="56" width="11.42578125"/>
    <col min="57" max="57" width="3.5703125" customWidth="1"/>
    <col min="58" max="58" width="3.28515625" customWidth="1"/>
    <col min="59" max="59" width="6.28515625" customWidth="1"/>
    <col min="60" max="60" width="11.42578125"/>
    <col min="61" max="61" width="3.5703125" customWidth="1"/>
    <col min="62" max="1025" width="8.7109375" customWidth="1"/>
  </cols>
  <sheetData>
    <row r="2" spans="3:61" x14ac:dyDescent="0.25">
      <c r="C2" t="s">
        <v>2</v>
      </c>
      <c r="D2" t="s">
        <v>164</v>
      </c>
      <c r="E2" t="s">
        <v>37</v>
      </c>
      <c r="F2" t="s">
        <v>164</v>
      </c>
      <c r="G2" t="s">
        <v>38</v>
      </c>
      <c r="H2" t="s">
        <v>164</v>
      </c>
      <c r="I2" t="s">
        <v>39</v>
      </c>
      <c r="J2" t="s">
        <v>165</v>
      </c>
      <c r="K2" t="s">
        <v>40</v>
      </c>
      <c r="L2" t="s">
        <v>164</v>
      </c>
      <c r="M2" t="s">
        <v>41</v>
      </c>
      <c r="N2" t="s">
        <v>164</v>
      </c>
      <c r="O2" t="s">
        <v>42</v>
      </c>
      <c r="P2" t="s">
        <v>165</v>
      </c>
      <c r="Q2" t="s">
        <v>43</v>
      </c>
      <c r="R2" t="s">
        <v>164</v>
      </c>
      <c r="S2" t="s">
        <v>44</v>
      </c>
      <c r="T2" t="s">
        <v>164</v>
      </c>
      <c r="U2" t="s">
        <v>45</v>
      </c>
      <c r="V2" t="s">
        <v>164</v>
      </c>
      <c r="W2" t="s">
        <v>46</v>
      </c>
      <c r="Y2" s="150" t="s">
        <v>37</v>
      </c>
      <c r="Z2" s="150"/>
      <c r="AA2" s="15"/>
      <c r="AB2" s="150" t="s">
        <v>38</v>
      </c>
      <c r="AC2" s="150"/>
      <c r="AD2" s="42"/>
      <c r="AE2" s="150" t="s">
        <v>39</v>
      </c>
      <c r="AF2" s="150"/>
      <c r="AG2" s="150"/>
      <c r="AH2" s="15"/>
      <c r="AI2" s="150" t="s">
        <v>40</v>
      </c>
      <c r="AJ2" s="150"/>
      <c r="AK2" s="15"/>
      <c r="AL2" s="150" t="s">
        <v>41</v>
      </c>
      <c r="AM2" s="150"/>
      <c r="AN2" s="42"/>
      <c r="AO2" s="150" t="s">
        <v>42</v>
      </c>
      <c r="AP2" s="150"/>
      <c r="AR2" s="151" t="s">
        <v>43</v>
      </c>
      <c r="AS2" s="151"/>
      <c r="AT2" s="151"/>
      <c r="AU2" s="151"/>
      <c r="AV2" s="15"/>
      <c r="AW2" s="150" t="s">
        <v>44</v>
      </c>
      <c r="AX2" s="150"/>
      <c r="AY2" s="42"/>
      <c r="AZ2" s="150" t="s">
        <v>45</v>
      </c>
      <c r="BA2" s="150"/>
      <c r="BB2" s="15"/>
      <c r="BC2" s="150" t="s">
        <v>46</v>
      </c>
      <c r="BD2" s="150"/>
      <c r="BE2" s="42"/>
      <c r="BF2" s="15"/>
      <c r="BG2" s="150" t="s">
        <v>47</v>
      </c>
      <c r="BH2" s="150"/>
      <c r="BI2" s="42"/>
    </row>
    <row r="3" spans="3:61" x14ac:dyDescent="0.25">
      <c r="Y3" s="110" t="s">
        <v>61</v>
      </c>
      <c r="Z3" s="85" t="s">
        <v>62</v>
      </c>
      <c r="AB3" s="111" t="s">
        <v>61</v>
      </c>
      <c r="AC3" s="15" t="s">
        <v>63</v>
      </c>
      <c r="AE3" s="111" t="s">
        <v>61</v>
      </c>
      <c r="AF3" s="15" t="s">
        <v>63</v>
      </c>
      <c r="AG3" s="85" t="s">
        <v>64</v>
      </c>
      <c r="AI3" s="110" t="s">
        <v>61</v>
      </c>
      <c r="AJ3" s="85" t="s">
        <v>65</v>
      </c>
      <c r="AK3" s="85"/>
      <c r="AL3" s="111" t="s">
        <v>61</v>
      </c>
      <c r="AM3" s="15" t="s">
        <v>63</v>
      </c>
      <c r="AO3" s="110" t="s">
        <v>61</v>
      </c>
      <c r="AP3" s="85" t="s">
        <v>66</v>
      </c>
      <c r="AQ3" s="58"/>
      <c r="AR3" s="111" t="s">
        <v>61</v>
      </c>
      <c r="AS3" s="85" t="s">
        <v>66</v>
      </c>
      <c r="AT3" s="85" t="s">
        <v>66</v>
      </c>
      <c r="AU3" s="85" t="s">
        <v>66</v>
      </c>
      <c r="AV3" s="85"/>
      <c r="AW3" s="111" t="s">
        <v>61</v>
      </c>
      <c r="AX3" s="15" t="s">
        <v>67</v>
      </c>
      <c r="AZ3" s="85" t="s">
        <v>61</v>
      </c>
      <c r="BA3" s="85" t="s">
        <v>163</v>
      </c>
      <c r="BB3" s="85"/>
      <c r="BC3" s="111" t="s">
        <v>61</v>
      </c>
      <c r="BD3" s="15" t="s">
        <v>68</v>
      </c>
      <c r="BF3" s="85"/>
      <c r="BG3" s="111" t="s">
        <v>61</v>
      </c>
      <c r="BH3" s="15" t="s">
        <v>69</v>
      </c>
    </row>
    <row r="4" spans="3:61" x14ac:dyDescent="0.25">
      <c r="Y4" s="110" t="s">
        <v>78</v>
      </c>
      <c r="Z4" s="85" t="s">
        <v>79</v>
      </c>
      <c r="AB4" s="110" t="s">
        <v>80</v>
      </c>
      <c r="AC4" s="85">
        <v>15</v>
      </c>
      <c r="AE4" s="110" t="s">
        <v>80</v>
      </c>
      <c r="AF4" s="85">
        <v>15</v>
      </c>
      <c r="AG4" s="85">
        <v>0.63</v>
      </c>
      <c r="AI4" s="110" t="s">
        <v>78</v>
      </c>
      <c r="AJ4" s="85" t="s">
        <v>53</v>
      </c>
      <c r="AK4" s="85"/>
      <c r="AL4" s="110" t="s">
        <v>80</v>
      </c>
      <c r="AM4" s="85">
        <v>15</v>
      </c>
      <c r="AO4" s="32">
        <v>1</v>
      </c>
      <c r="AP4" s="32" t="s">
        <v>33</v>
      </c>
      <c r="AQ4" s="58"/>
      <c r="AR4" s="32">
        <v>1</v>
      </c>
      <c r="AS4" s="32" t="s">
        <v>74</v>
      </c>
      <c r="AT4" s="74" t="s">
        <v>75</v>
      </c>
      <c r="AU4" s="74" t="s">
        <v>76</v>
      </c>
      <c r="AV4" s="85"/>
      <c r="AW4" s="110" t="s">
        <v>81</v>
      </c>
      <c r="AX4" t="s">
        <v>82</v>
      </c>
      <c r="AZ4" s="85">
        <v>1</v>
      </c>
      <c r="BA4" s="85">
        <v>1</v>
      </c>
      <c r="BB4" s="85"/>
      <c r="BC4" s="110" t="s">
        <v>78</v>
      </c>
      <c r="BD4" s="85" t="s">
        <v>83</v>
      </c>
      <c r="BF4" s="85"/>
      <c r="BG4" s="110" t="s">
        <v>81</v>
      </c>
      <c r="BH4" t="s">
        <v>82</v>
      </c>
    </row>
    <row r="5" spans="3:61" x14ac:dyDescent="0.25">
      <c r="Y5" s="110" t="s">
        <v>94</v>
      </c>
      <c r="Z5" s="85" t="s">
        <v>95</v>
      </c>
      <c r="AB5" s="110" t="s">
        <v>96</v>
      </c>
      <c r="AC5" s="85">
        <v>20</v>
      </c>
      <c r="AE5" s="110" t="s">
        <v>96</v>
      </c>
      <c r="AF5" s="85">
        <v>15</v>
      </c>
      <c r="AG5" s="85">
        <v>1.25</v>
      </c>
      <c r="AI5" s="110" t="s">
        <v>94</v>
      </c>
      <c r="AJ5" s="85" t="s">
        <v>55</v>
      </c>
      <c r="AK5" s="85"/>
      <c r="AL5" s="110" t="s">
        <v>96</v>
      </c>
      <c r="AM5" s="85">
        <v>20</v>
      </c>
      <c r="AO5" s="32">
        <v>2</v>
      </c>
      <c r="AP5" s="32" t="s">
        <v>166</v>
      </c>
      <c r="AQ5" s="58"/>
      <c r="AR5" s="32">
        <v>2</v>
      </c>
      <c r="AS5" s="32" t="s">
        <v>88</v>
      </c>
      <c r="AT5" s="32" t="s">
        <v>89</v>
      </c>
      <c r="AU5" s="74" t="s">
        <v>90</v>
      </c>
      <c r="AV5" s="85"/>
      <c r="AW5" s="110" t="s">
        <v>78</v>
      </c>
      <c r="AX5" s="85" t="s">
        <v>77</v>
      </c>
      <c r="AZ5" s="85">
        <v>2</v>
      </c>
      <c r="BA5" s="85">
        <v>2</v>
      </c>
      <c r="BB5" s="85"/>
      <c r="BC5" s="110" t="s">
        <v>94</v>
      </c>
      <c r="BD5" s="85" t="s">
        <v>55</v>
      </c>
      <c r="BF5" s="85"/>
      <c r="BG5" s="110" t="s">
        <v>78</v>
      </c>
      <c r="BH5" s="85" t="s">
        <v>167</v>
      </c>
    </row>
    <row r="6" spans="3:61" x14ac:dyDescent="0.25">
      <c r="AB6" s="110" t="s">
        <v>103</v>
      </c>
      <c r="AC6" s="85">
        <v>25</v>
      </c>
      <c r="AE6" s="110" t="s">
        <v>103</v>
      </c>
      <c r="AF6" s="85">
        <v>15</v>
      </c>
      <c r="AG6" s="85">
        <v>1.6</v>
      </c>
      <c r="AI6" s="110" t="s">
        <v>104</v>
      </c>
      <c r="AJ6" s="85" t="s">
        <v>54</v>
      </c>
      <c r="AK6" s="85"/>
      <c r="AL6" s="110" t="s">
        <v>103</v>
      </c>
      <c r="AM6" s="85">
        <v>25</v>
      </c>
      <c r="AO6" s="32">
        <v>3</v>
      </c>
      <c r="AP6" s="80" t="s">
        <v>35</v>
      </c>
      <c r="AQ6" s="58"/>
      <c r="AR6" s="32">
        <v>3</v>
      </c>
      <c r="AS6" s="32" t="s">
        <v>100</v>
      </c>
      <c r="AT6" s="32" t="s">
        <v>101</v>
      </c>
      <c r="AU6" s="74" t="s">
        <v>102</v>
      </c>
      <c r="AV6" s="85"/>
      <c r="AW6" s="110" t="s">
        <v>94</v>
      </c>
      <c r="AX6" s="85" t="s">
        <v>91</v>
      </c>
      <c r="AZ6" s="85">
        <v>3</v>
      </c>
      <c r="BA6" s="85">
        <v>3</v>
      </c>
      <c r="BB6" s="85"/>
      <c r="BC6" s="110" t="s">
        <v>104</v>
      </c>
      <c r="BD6" s="80" t="s">
        <v>54</v>
      </c>
      <c r="BF6" s="85"/>
      <c r="BG6" s="110"/>
      <c r="BH6" s="85"/>
    </row>
    <row r="7" spans="3:61" x14ac:dyDescent="0.25">
      <c r="AB7" s="110" t="s">
        <v>110</v>
      </c>
      <c r="AC7" s="85">
        <v>32</v>
      </c>
      <c r="AE7" s="110" t="s">
        <v>110</v>
      </c>
      <c r="AF7" s="85">
        <v>15</v>
      </c>
      <c r="AG7" s="85">
        <v>2.5</v>
      </c>
      <c r="AK7" s="85"/>
      <c r="AL7" s="110" t="s">
        <v>110</v>
      </c>
      <c r="AM7" s="85">
        <v>32</v>
      </c>
      <c r="AO7" s="58"/>
      <c r="AP7" s="58"/>
      <c r="AQ7" s="58"/>
      <c r="AR7" s="80">
        <v>4</v>
      </c>
      <c r="AS7" s="32" t="s">
        <v>107</v>
      </c>
      <c r="AT7" s="32" t="s">
        <v>108</v>
      </c>
      <c r="AU7" s="32" t="s">
        <v>109</v>
      </c>
      <c r="AV7" s="85"/>
      <c r="AW7" s="110" t="s">
        <v>104</v>
      </c>
      <c r="AX7" s="80" t="s">
        <v>93</v>
      </c>
      <c r="AZ7" s="85">
        <v>4</v>
      </c>
      <c r="BA7" s="85">
        <v>4</v>
      </c>
      <c r="BB7" s="85"/>
      <c r="BF7" s="85"/>
      <c r="BG7" s="110"/>
      <c r="BH7" s="80"/>
    </row>
    <row r="8" spans="3:61" x14ac:dyDescent="0.25">
      <c r="AB8" s="110" t="s">
        <v>115</v>
      </c>
      <c r="AC8" s="85">
        <v>40</v>
      </c>
      <c r="AE8" s="110" t="s">
        <v>115</v>
      </c>
      <c r="AF8" s="85">
        <v>15</v>
      </c>
      <c r="AG8" s="85">
        <v>4</v>
      </c>
      <c r="AK8" s="85"/>
      <c r="AL8" s="110" t="s">
        <v>115</v>
      </c>
      <c r="AM8" s="85">
        <v>40</v>
      </c>
      <c r="AO8" s="58"/>
      <c r="AP8" s="58"/>
      <c r="AQ8" s="58"/>
      <c r="AR8" s="80">
        <v>5</v>
      </c>
      <c r="AS8" s="32" t="s">
        <v>112</v>
      </c>
      <c r="AT8" s="32" t="s">
        <v>113</v>
      </c>
      <c r="AU8" s="74" t="s">
        <v>114</v>
      </c>
      <c r="AV8" s="85"/>
      <c r="AW8" s="110" t="s">
        <v>116</v>
      </c>
      <c r="AX8" s="85" t="s">
        <v>92</v>
      </c>
      <c r="AZ8" s="85">
        <v>5</v>
      </c>
      <c r="BA8" s="85">
        <v>5</v>
      </c>
      <c r="BB8" s="85"/>
      <c r="BC8" s="110"/>
      <c r="BD8" s="85"/>
      <c r="BF8" s="85"/>
      <c r="BG8" s="110"/>
      <c r="BH8" s="85"/>
    </row>
    <row r="9" spans="3:61" x14ac:dyDescent="0.25">
      <c r="AB9" s="110" t="s">
        <v>123</v>
      </c>
      <c r="AC9" s="85">
        <v>50</v>
      </c>
      <c r="AE9" s="110" t="s">
        <v>123</v>
      </c>
      <c r="AF9" s="85">
        <v>20</v>
      </c>
      <c r="AG9" s="85">
        <v>5</v>
      </c>
      <c r="AK9" s="85"/>
      <c r="AL9" s="110" t="s">
        <v>123</v>
      </c>
      <c r="AM9" s="85">
        <v>50</v>
      </c>
      <c r="AO9" s="58"/>
      <c r="AP9" s="58"/>
      <c r="AQ9" s="58"/>
      <c r="AR9" s="80">
        <v>6</v>
      </c>
      <c r="AS9" s="32" t="s">
        <v>119</v>
      </c>
      <c r="AT9" s="32" t="s">
        <v>120</v>
      </c>
      <c r="AU9" s="74" t="s">
        <v>121</v>
      </c>
      <c r="AV9" s="85"/>
      <c r="AW9" s="110" t="s">
        <v>124</v>
      </c>
      <c r="AX9" s="85" t="s">
        <v>122</v>
      </c>
      <c r="BB9" s="85"/>
      <c r="BC9" s="110"/>
      <c r="BD9" s="85"/>
      <c r="BF9" s="85"/>
      <c r="BG9" s="110"/>
      <c r="BH9" s="85"/>
    </row>
    <row r="10" spans="3:61" x14ac:dyDescent="0.25">
      <c r="AB10" s="110" t="s">
        <v>130</v>
      </c>
      <c r="AC10" s="85">
        <v>65</v>
      </c>
      <c r="AE10" s="110" t="s">
        <v>130</v>
      </c>
      <c r="AF10" s="85">
        <v>20</v>
      </c>
      <c r="AG10" s="85">
        <v>6.3</v>
      </c>
      <c r="AK10" s="85"/>
      <c r="AL10" s="110" t="s">
        <v>130</v>
      </c>
      <c r="AM10" s="85">
        <v>65</v>
      </c>
      <c r="AO10" s="58"/>
      <c r="AP10" s="58"/>
      <c r="AQ10" s="58"/>
      <c r="AR10" s="80">
        <v>7</v>
      </c>
      <c r="AS10" s="32" t="s">
        <v>126</v>
      </c>
      <c r="AT10" s="32" t="s">
        <v>127</v>
      </c>
      <c r="AU10" s="74" t="s">
        <v>128</v>
      </c>
      <c r="AV10" s="85"/>
      <c r="AW10" s="110" t="s">
        <v>131</v>
      </c>
      <c r="AX10" s="85" t="s">
        <v>129</v>
      </c>
      <c r="BB10" s="85"/>
      <c r="BC10" s="110"/>
      <c r="BD10" s="85"/>
      <c r="BF10" s="85"/>
      <c r="BG10" s="110"/>
      <c r="BH10" s="85"/>
    </row>
    <row r="11" spans="3:61" x14ac:dyDescent="0.25">
      <c r="AB11" s="110" t="s">
        <v>136</v>
      </c>
      <c r="AC11" s="85">
        <v>80</v>
      </c>
      <c r="AE11" s="110" t="s">
        <v>136</v>
      </c>
      <c r="AF11" s="85">
        <v>25</v>
      </c>
      <c r="AG11" s="85">
        <v>8</v>
      </c>
      <c r="AK11" s="85"/>
      <c r="AL11" s="110" t="s">
        <v>136</v>
      </c>
      <c r="AM11" s="85">
        <v>80</v>
      </c>
      <c r="AO11" s="58"/>
      <c r="AP11" s="58"/>
      <c r="AQ11" s="58"/>
      <c r="AR11" s="80">
        <v>8</v>
      </c>
      <c r="AS11" s="32" t="s">
        <v>134</v>
      </c>
      <c r="AT11" s="32"/>
      <c r="AU11" s="32"/>
      <c r="AV11" s="85"/>
      <c r="AW11" s="110"/>
      <c r="AX11" s="85"/>
      <c r="BB11" s="85"/>
      <c r="BC11" s="110"/>
      <c r="BD11" s="85"/>
      <c r="BF11" s="85"/>
      <c r="BG11" s="110"/>
      <c r="BH11" s="85"/>
    </row>
    <row r="12" spans="3:61" x14ac:dyDescent="0.25">
      <c r="AB12" s="110" t="s">
        <v>138</v>
      </c>
      <c r="AC12" s="85">
        <v>100</v>
      </c>
      <c r="AE12" s="110" t="s">
        <v>138</v>
      </c>
      <c r="AF12" s="85">
        <v>25</v>
      </c>
      <c r="AG12" s="85">
        <v>10</v>
      </c>
      <c r="AK12" s="85"/>
      <c r="AL12" s="110" t="s">
        <v>138</v>
      </c>
      <c r="AM12" s="85">
        <v>100</v>
      </c>
      <c r="AO12" s="58"/>
      <c r="AP12" s="58"/>
      <c r="AQ12" s="58"/>
      <c r="AR12" s="32"/>
      <c r="AS12" s="58"/>
      <c r="AT12" s="58"/>
      <c r="AU12" s="58"/>
      <c r="AV12" s="85"/>
      <c r="AW12" s="110"/>
      <c r="AX12" s="85"/>
      <c r="BB12" s="85"/>
      <c r="BC12" s="110"/>
      <c r="BD12" s="85"/>
      <c r="BF12" s="85"/>
      <c r="BG12" s="110"/>
      <c r="BH12" s="85"/>
    </row>
    <row r="13" spans="3:61" x14ac:dyDescent="0.25">
      <c r="AB13" s="110" t="s">
        <v>140</v>
      </c>
      <c r="AC13" s="85">
        <v>125</v>
      </c>
      <c r="AE13" s="110" t="s">
        <v>140</v>
      </c>
      <c r="AF13" s="85">
        <v>32</v>
      </c>
      <c r="AG13" s="85">
        <v>12.5</v>
      </c>
      <c r="AK13" s="85"/>
      <c r="AL13" s="110" t="s">
        <v>140</v>
      </c>
      <c r="AM13" s="85">
        <v>125</v>
      </c>
      <c r="AR13" s="15"/>
      <c r="AV13" s="85"/>
      <c r="AW13" s="110"/>
      <c r="AX13" s="85"/>
      <c r="BB13" s="85"/>
      <c r="BC13" s="110"/>
      <c r="BD13" s="85"/>
      <c r="BF13" s="85"/>
      <c r="BG13" s="110"/>
      <c r="BH13" s="85"/>
    </row>
    <row r="14" spans="3:61" x14ac:dyDescent="0.25">
      <c r="AB14" s="110" t="s">
        <v>141</v>
      </c>
      <c r="AC14" s="85">
        <v>150</v>
      </c>
      <c r="AE14" s="110" t="s">
        <v>141</v>
      </c>
      <c r="AF14" s="85">
        <v>32</v>
      </c>
      <c r="AG14" s="85">
        <v>16</v>
      </c>
      <c r="AK14" s="85"/>
      <c r="AL14" s="110" t="s">
        <v>141</v>
      </c>
      <c r="AM14" s="85">
        <v>150</v>
      </c>
      <c r="AR14" s="15"/>
      <c r="AV14" s="85"/>
      <c r="AW14" s="110"/>
      <c r="AX14" s="85"/>
      <c r="BB14" s="85"/>
      <c r="BC14" s="110"/>
      <c r="BD14" s="85"/>
      <c r="BF14" s="85"/>
      <c r="BG14" s="110"/>
      <c r="BH14" s="85"/>
    </row>
    <row r="15" spans="3:61" x14ac:dyDescent="0.25">
      <c r="AB15" s="110" t="s">
        <v>142</v>
      </c>
      <c r="AC15" s="85">
        <v>200</v>
      </c>
      <c r="AE15" s="110" t="s">
        <v>142</v>
      </c>
      <c r="AF15" s="85">
        <v>40</v>
      </c>
      <c r="AG15" s="85">
        <v>20</v>
      </c>
      <c r="AK15" s="85"/>
      <c r="AL15" s="110" t="s">
        <v>142</v>
      </c>
      <c r="AM15" s="85">
        <v>200</v>
      </c>
      <c r="AR15" s="15"/>
      <c r="AV15" s="85"/>
      <c r="AW15" s="110"/>
      <c r="AX15" s="85"/>
      <c r="BB15" s="85"/>
      <c r="BC15" s="110"/>
      <c r="BD15" s="85"/>
      <c r="BF15" s="85"/>
      <c r="BG15" s="110"/>
      <c r="BH15" s="85"/>
    </row>
    <row r="16" spans="3:61" x14ac:dyDescent="0.25">
      <c r="AE16" s="110" t="s">
        <v>145</v>
      </c>
      <c r="AF16" s="85">
        <v>40</v>
      </c>
      <c r="AG16" s="85">
        <v>25</v>
      </c>
    </row>
    <row r="17" spans="31:33" x14ac:dyDescent="0.25">
      <c r="AE17" s="110" t="s">
        <v>146</v>
      </c>
      <c r="AF17" s="85">
        <v>50</v>
      </c>
      <c r="AG17" s="85">
        <v>31.5</v>
      </c>
    </row>
    <row r="18" spans="31:33" x14ac:dyDescent="0.25">
      <c r="AE18" s="110" t="s">
        <v>148</v>
      </c>
      <c r="AF18" s="85">
        <v>50</v>
      </c>
      <c r="AG18" s="85">
        <v>40</v>
      </c>
    </row>
    <row r="19" spans="31:33" x14ac:dyDescent="0.25">
      <c r="AE19" s="110" t="s">
        <v>149</v>
      </c>
      <c r="AF19" s="85">
        <v>65</v>
      </c>
      <c r="AG19" s="85">
        <v>50</v>
      </c>
    </row>
    <row r="20" spans="31:33" x14ac:dyDescent="0.25">
      <c r="AE20" s="110" t="s">
        <v>151</v>
      </c>
      <c r="AF20" s="85">
        <v>65</v>
      </c>
      <c r="AG20" s="85">
        <v>63</v>
      </c>
    </row>
    <row r="21" spans="31:33" x14ac:dyDescent="0.25">
      <c r="AE21" s="110" t="s">
        <v>153</v>
      </c>
      <c r="AF21" s="85">
        <v>80</v>
      </c>
      <c r="AG21" s="85">
        <v>80</v>
      </c>
    </row>
    <row r="22" spans="31:33" x14ac:dyDescent="0.25">
      <c r="AE22" s="110" t="s">
        <v>154</v>
      </c>
      <c r="AF22" s="85">
        <v>80</v>
      </c>
      <c r="AG22" s="85">
        <v>100</v>
      </c>
    </row>
    <row r="23" spans="31:33" x14ac:dyDescent="0.25">
      <c r="AE23" s="110" t="s">
        <v>155</v>
      </c>
      <c r="AF23" s="85">
        <v>100</v>
      </c>
      <c r="AG23" s="85">
        <v>125</v>
      </c>
    </row>
    <row r="24" spans="31:33" x14ac:dyDescent="0.25">
      <c r="AE24" s="110" t="s">
        <v>156</v>
      </c>
      <c r="AF24" s="85">
        <v>100</v>
      </c>
      <c r="AG24" s="85">
        <v>160</v>
      </c>
    </row>
    <row r="25" spans="31:33" x14ac:dyDescent="0.25">
      <c r="AE25" s="110" t="s">
        <v>157</v>
      </c>
      <c r="AF25" s="85">
        <v>125</v>
      </c>
      <c r="AG25" s="85">
        <v>250</v>
      </c>
    </row>
    <row r="26" spans="31:33" x14ac:dyDescent="0.25">
      <c r="AE26" s="110" t="s">
        <v>158</v>
      </c>
      <c r="AF26" s="85">
        <v>150</v>
      </c>
      <c r="AG26" s="85">
        <v>315</v>
      </c>
    </row>
  </sheetData>
  <mergeCells count="11">
    <mergeCell ref="BG2:BH2"/>
    <mergeCell ref="AO2:AP2"/>
    <mergeCell ref="AR2:AU2"/>
    <mergeCell ref="AW2:AX2"/>
    <mergeCell ref="AZ2:BA2"/>
    <mergeCell ref="BC2:BD2"/>
    <mergeCell ref="Y2:Z2"/>
    <mergeCell ref="AB2:AC2"/>
    <mergeCell ref="AE2:AG2"/>
    <mergeCell ref="AI2:AJ2"/>
    <mergeCell ref="AL2:AM2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E26"/>
  <sheetViews>
    <sheetView zoomScaleNormal="100" workbookViewId="0">
      <selection activeCell="P17" sqref="P4:Q17"/>
    </sheetView>
  </sheetViews>
  <sheetFormatPr defaultRowHeight="15" x14ac:dyDescent="0.25"/>
  <cols>
    <col min="1" max="1" width="8.5703125" customWidth="1"/>
    <col min="2" max="2" width="8.42578125" customWidth="1"/>
    <col min="3" max="4" width="8.7109375" customWidth="1"/>
    <col min="5" max="5" width="4.85546875" customWidth="1"/>
    <col min="6" max="6" width="19.5703125" customWidth="1"/>
    <col min="7" max="8" width="8.7109375" customWidth="1"/>
    <col min="9" max="9" width="4.140625" customWidth="1"/>
    <col min="10" max="10" width="6" customWidth="1"/>
    <col min="11" max="12" width="8" customWidth="1"/>
    <col min="13" max="13" width="4.7109375" customWidth="1"/>
    <col min="14" max="14" width="4" customWidth="1"/>
    <col min="15" max="15" width="5.5703125" customWidth="1"/>
    <col min="16" max="17" width="9.140625" customWidth="1"/>
    <col min="18" max="18" width="3.5703125" customWidth="1"/>
    <col min="19" max="19" width="5.85546875" customWidth="1"/>
    <col min="20" max="21" width="9.140625" customWidth="1"/>
    <col min="22" max="22" width="9.42578125" customWidth="1"/>
    <col min="23" max="34" width="9.140625" customWidth="1"/>
    <col min="35" max="35" width="8.7109375" customWidth="1"/>
    <col min="36" max="36" width="9.140625" customWidth="1"/>
    <col min="37" max="37" width="9.85546875" customWidth="1"/>
    <col min="38" max="38" width="15.7109375" customWidth="1"/>
    <col min="39" max="39" width="11.5703125" customWidth="1"/>
    <col min="40" max="40" width="23.7109375" customWidth="1"/>
    <col min="41" max="41" width="8.7109375" customWidth="1"/>
    <col min="42" max="42" width="9.140625" customWidth="1"/>
    <col min="43" max="43" width="6.28515625" customWidth="1"/>
    <col min="44" max="44" width="15.28515625" customWidth="1"/>
    <col min="45" max="47" width="8.7109375" customWidth="1"/>
    <col min="48" max="48" width="10.5703125" customWidth="1"/>
    <col min="49" max="50" width="8.7109375" customWidth="1"/>
    <col min="51" max="51" width="4.85546875" customWidth="1"/>
    <col min="52" max="52" width="13.85546875" customWidth="1"/>
    <col min="53" max="53" width="3.28515625" customWidth="1"/>
    <col min="54" max="54" width="11.28515625" customWidth="1"/>
    <col min="55" max="56" width="6.28515625" customWidth="1"/>
    <col min="57" max="57" width="3.5703125" customWidth="1"/>
    <col min="58" max="58" width="8.28515625" customWidth="1"/>
    <col min="59" max="61" width="6.140625" customWidth="1"/>
    <col min="62" max="62" width="3.28515625" customWidth="1"/>
    <col min="63" max="63" width="9.5703125" customWidth="1"/>
    <col min="64" max="64" width="6.140625" customWidth="1"/>
    <col min="65" max="65" width="15.28515625" customWidth="1"/>
    <col min="66" max="66" width="3.28515625" customWidth="1"/>
    <col min="67" max="69" width="8.7109375" customWidth="1"/>
    <col min="70" max="70" width="3.28515625" customWidth="1"/>
    <col min="71" max="73" width="8.7109375" customWidth="1"/>
    <col min="74" max="74" width="3.28515625" customWidth="1"/>
    <col min="75" max="75" width="8.7109375" customWidth="1"/>
    <col min="76" max="77" width="6.28515625" customWidth="1"/>
    <col min="78" max="78" width="3.28515625" customWidth="1"/>
    <col min="79" max="79" width="8.7109375" customWidth="1"/>
    <col min="80" max="81" width="6.28515625" customWidth="1"/>
    <col min="82" max="82" width="3.28515625" customWidth="1"/>
    <col min="83" max="83" width="8.7109375" customWidth="1"/>
    <col min="84" max="84" width="6.28515625" customWidth="1"/>
    <col min="85" max="85" width="15" customWidth="1"/>
    <col min="86" max="86" width="3.28515625" customWidth="1"/>
    <col min="87" max="87" width="9.5703125" customWidth="1"/>
    <col min="88" max="88" width="6.140625" customWidth="1"/>
    <col min="89" max="89" width="16.85546875" customWidth="1"/>
    <col min="90" max="90" width="8.5703125" customWidth="1"/>
    <col min="91" max="91" width="7" customWidth="1"/>
    <col min="92" max="92" width="25.140625" customWidth="1"/>
    <col min="93" max="93" width="3.5703125" customWidth="1"/>
    <col min="94" max="94" width="8.5703125" customWidth="1"/>
    <col min="95" max="95" width="5.85546875" customWidth="1"/>
    <col min="96" max="96" width="16.140625" customWidth="1"/>
    <col min="97" max="97" width="3.7109375" customWidth="1"/>
    <col min="98" max="98" width="3.28515625" customWidth="1"/>
    <col min="99" max="99" width="8.5703125" customWidth="1"/>
    <col min="100" max="100" width="6.28515625" customWidth="1"/>
    <col min="101" max="101" width="11.42578125"/>
    <col min="102" max="102" width="3.5703125" customWidth="1"/>
    <col min="103" max="103" width="8.7109375" customWidth="1"/>
    <col min="104" max="104" width="6.28515625" customWidth="1"/>
    <col min="105" max="105" width="11.42578125"/>
    <col min="106" max="106" width="3.5703125" customWidth="1"/>
    <col min="107" max="107" width="8.5703125" customWidth="1"/>
    <col min="108" max="108" width="6.28515625" customWidth="1"/>
    <col min="109" max="109" width="13.7109375" customWidth="1"/>
    <col min="110" max="1025" width="8.7109375" customWidth="1"/>
  </cols>
  <sheetData>
    <row r="1" spans="1:109" x14ac:dyDescent="0.25">
      <c r="A1" s="187"/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AM1" s="96"/>
      <c r="AN1" s="96"/>
    </row>
    <row r="2" spans="1:109" x14ac:dyDescent="0.25">
      <c r="A2" s="187"/>
      <c r="B2" s="187" t="s">
        <v>3</v>
      </c>
      <c r="C2" s="187"/>
      <c r="D2" s="187"/>
      <c r="E2" s="187"/>
      <c r="F2" s="187"/>
      <c r="G2" s="187"/>
      <c r="H2" s="187"/>
      <c r="I2" s="188" t="s">
        <v>30</v>
      </c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W2" s="7" t="s">
        <v>31</v>
      </c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J2" s="152" t="s">
        <v>168</v>
      </c>
      <c r="AK2" s="152"/>
      <c r="AL2" s="152"/>
      <c r="AM2" s="48"/>
      <c r="AN2" s="49"/>
      <c r="AP2" s="7" t="s">
        <v>169</v>
      </c>
      <c r="AQ2" s="7"/>
      <c r="AR2" s="7"/>
      <c r="AT2" s="7" t="s">
        <v>36</v>
      </c>
      <c r="AU2" s="7"/>
      <c r="AV2" s="7"/>
      <c r="AY2" s="13" t="s">
        <v>37</v>
      </c>
      <c r="AZ2" s="13"/>
      <c r="BA2" s="18"/>
      <c r="BB2" s="38"/>
      <c r="BC2" s="5" t="s">
        <v>38</v>
      </c>
      <c r="BD2" s="5"/>
      <c r="BE2" s="39"/>
      <c r="BF2" s="40"/>
      <c r="BG2" s="4" t="s">
        <v>39</v>
      </c>
      <c r="BH2" s="4"/>
      <c r="BI2" s="4"/>
      <c r="BJ2" s="18"/>
      <c r="BK2" s="38"/>
      <c r="BL2" s="5" t="s">
        <v>40</v>
      </c>
      <c r="BM2" s="5"/>
      <c r="BN2" s="18"/>
      <c r="BO2" s="38"/>
      <c r="BP2" s="38" t="s">
        <v>41</v>
      </c>
      <c r="BQ2" s="112"/>
      <c r="BR2" s="18"/>
      <c r="BS2" s="38"/>
      <c r="BT2" s="38" t="s">
        <v>42</v>
      </c>
      <c r="BU2" s="112"/>
      <c r="BV2" s="18"/>
      <c r="BW2" s="38"/>
      <c r="BX2" s="5" t="s">
        <v>43</v>
      </c>
      <c r="BY2" s="5"/>
      <c r="BZ2" s="18"/>
      <c r="CA2" s="38"/>
      <c r="CB2" s="5" t="s">
        <v>44</v>
      </c>
      <c r="CC2" s="5"/>
      <c r="CD2" s="18"/>
      <c r="CE2" s="38"/>
      <c r="CF2" s="5" t="s">
        <v>45</v>
      </c>
      <c r="CG2" s="5"/>
      <c r="CH2" s="18"/>
      <c r="CI2" s="38"/>
      <c r="CJ2" s="3" t="s">
        <v>46</v>
      </c>
      <c r="CK2" s="3"/>
      <c r="CL2" s="3"/>
      <c r="CM2" s="3"/>
      <c r="CN2" s="3"/>
      <c r="CO2" s="39"/>
      <c r="CP2" s="14" t="s">
        <v>47</v>
      </c>
      <c r="CQ2" s="14"/>
      <c r="CR2" s="14"/>
      <c r="CS2" s="41"/>
      <c r="CT2" s="18"/>
      <c r="CU2" s="14" t="s">
        <v>170</v>
      </c>
      <c r="CV2" s="14"/>
      <c r="CW2" s="14"/>
      <c r="CX2" s="39"/>
      <c r="CY2" s="14" t="s">
        <v>171</v>
      </c>
      <c r="CZ2" s="14"/>
      <c r="DA2" s="14"/>
      <c r="DB2" s="39"/>
      <c r="DC2" s="14" t="s">
        <v>172</v>
      </c>
      <c r="DD2" s="14"/>
      <c r="DE2" s="14"/>
    </row>
    <row r="3" spans="1:109" x14ac:dyDescent="0.25">
      <c r="A3" s="187"/>
      <c r="B3" s="187"/>
      <c r="C3" s="187"/>
      <c r="D3" s="187"/>
      <c r="E3" s="187"/>
      <c r="F3" s="187"/>
      <c r="G3" s="187"/>
      <c r="H3" s="187"/>
      <c r="I3" s="189"/>
      <c r="J3" s="190" t="s">
        <v>48</v>
      </c>
      <c r="K3" s="191" t="s">
        <v>49</v>
      </c>
      <c r="L3" s="190" t="s">
        <v>50</v>
      </c>
      <c r="M3" s="192"/>
      <c r="N3" s="189"/>
      <c r="O3" s="190" t="s">
        <v>173</v>
      </c>
      <c r="P3" s="191" t="s">
        <v>49</v>
      </c>
      <c r="Q3" s="192" t="s">
        <v>50</v>
      </c>
      <c r="R3" s="190"/>
      <c r="S3" s="190" t="s">
        <v>174</v>
      </c>
      <c r="T3" s="191" t="s">
        <v>49</v>
      </c>
      <c r="U3" s="192" t="s">
        <v>50</v>
      </c>
      <c r="W3" s="43" t="s">
        <v>53</v>
      </c>
      <c r="X3" s="44" t="s">
        <v>54</v>
      </c>
      <c r="Y3" s="46" t="s">
        <v>55</v>
      </c>
      <c r="Z3" s="7" t="s">
        <v>53</v>
      </c>
      <c r="AA3" s="7"/>
      <c r="AB3" s="7"/>
      <c r="AC3" s="7" t="s">
        <v>54</v>
      </c>
      <c r="AD3" s="7"/>
      <c r="AE3" s="7"/>
      <c r="AF3" s="7" t="s">
        <v>55</v>
      </c>
      <c r="AG3" s="7"/>
      <c r="AH3" s="7"/>
      <c r="AJ3" s="69" t="s">
        <v>56</v>
      </c>
      <c r="AK3" s="35"/>
      <c r="AL3" s="113"/>
      <c r="AM3" s="35"/>
      <c r="AN3" s="62"/>
      <c r="AP3" s="55">
        <f t="shared" ref="AP3:AP8" si="0">IF($F$11&lt;AQ3,1,0)</f>
        <v>0</v>
      </c>
      <c r="AQ3" s="58">
        <v>2</v>
      </c>
      <c r="AR3" s="62" t="s">
        <v>175</v>
      </c>
      <c r="AT3" s="64">
        <v>6.6000000000000003E-2</v>
      </c>
      <c r="AU3" s="72">
        <f>IF($B$4&lt;AT3,1,0)</f>
        <v>0</v>
      </c>
      <c r="AV3" s="66" t="s">
        <v>176</v>
      </c>
      <c r="AY3" s="51" t="s">
        <v>61</v>
      </c>
      <c r="AZ3" s="35" t="s">
        <v>62</v>
      </c>
      <c r="BA3" s="52"/>
      <c r="BB3" s="35" t="s">
        <v>85</v>
      </c>
      <c r="BC3" s="53" t="s">
        <v>61</v>
      </c>
      <c r="BD3" s="32" t="s">
        <v>63</v>
      </c>
      <c r="BE3" s="54"/>
      <c r="BF3" s="55" t="s">
        <v>31</v>
      </c>
      <c r="BG3" s="53" t="s">
        <v>61</v>
      </c>
      <c r="BH3" s="32" t="s">
        <v>63</v>
      </c>
      <c r="BI3" s="56" t="s">
        <v>64</v>
      </c>
      <c r="BJ3" s="52"/>
      <c r="BK3" s="35" t="s">
        <v>31</v>
      </c>
      <c r="BL3" s="57" t="s">
        <v>61</v>
      </c>
      <c r="BM3" s="35" t="s">
        <v>65</v>
      </c>
      <c r="BN3" s="52"/>
      <c r="BO3" s="68" t="s">
        <v>177</v>
      </c>
      <c r="BP3" s="114" t="s">
        <v>61</v>
      </c>
      <c r="BQ3" s="17" t="s">
        <v>63</v>
      </c>
      <c r="BR3" s="52"/>
      <c r="BS3" s="68" t="s">
        <v>98</v>
      </c>
      <c r="BT3" s="114" t="s">
        <v>61</v>
      </c>
      <c r="BU3" s="17" t="s">
        <v>63</v>
      </c>
      <c r="BV3" s="52"/>
      <c r="BW3" s="35" t="s">
        <v>178</v>
      </c>
      <c r="BX3" s="53" t="s">
        <v>61</v>
      </c>
      <c r="BY3" s="32" t="s">
        <v>63</v>
      </c>
      <c r="BZ3" s="52"/>
      <c r="CA3" s="35" t="s">
        <v>179</v>
      </c>
      <c r="CB3" s="53" t="s">
        <v>61</v>
      </c>
      <c r="CC3" s="32" t="s">
        <v>63</v>
      </c>
      <c r="CD3" s="52"/>
      <c r="CE3" s="35" t="s">
        <v>180</v>
      </c>
      <c r="CF3" s="53" t="s">
        <v>61</v>
      </c>
      <c r="CG3" s="32" t="s">
        <v>63</v>
      </c>
      <c r="CH3" s="52"/>
      <c r="CI3" s="35"/>
      <c r="CJ3" s="53" t="s">
        <v>61</v>
      </c>
      <c r="CK3" s="35" t="s">
        <v>66</v>
      </c>
      <c r="CL3" s="35"/>
      <c r="CM3" s="35"/>
      <c r="CN3" s="35" t="s">
        <v>66</v>
      </c>
      <c r="CO3" s="54"/>
      <c r="CP3" s="58"/>
      <c r="CQ3" s="57" t="s">
        <v>61</v>
      </c>
      <c r="CR3" s="35" t="s">
        <v>66</v>
      </c>
      <c r="CS3" s="54"/>
      <c r="CT3" s="52"/>
      <c r="CU3" s="35"/>
      <c r="CV3" s="53" t="s">
        <v>61</v>
      </c>
      <c r="CW3" s="32" t="s">
        <v>67</v>
      </c>
      <c r="CX3" s="54"/>
      <c r="CY3" s="35"/>
      <c r="CZ3" s="53" t="s">
        <v>61</v>
      </c>
      <c r="DA3" s="32" t="s">
        <v>68</v>
      </c>
      <c r="DB3" s="54"/>
      <c r="DC3" s="35"/>
      <c r="DD3" s="53" t="s">
        <v>61</v>
      </c>
      <c r="DE3" s="31" t="s">
        <v>69</v>
      </c>
    </row>
    <row r="4" spans="1:109" x14ac:dyDescent="0.25">
      <c r="A4" s="193" t="s">
        <v>70</v>
      </c>
      <c r="B4" s="194">
        <f>IF('ol4'!D37=1,'ol4'!C17,0)</f>
        <v>0.4</v>
      </c>
      <c r="C4" s="187" t="s">
        <v>71</v>
      </c>
      <c r="D4" s="187"/>
      <c r="E4" s="187" t="s">
        <v>72</v>
      </c>
      <c r="F4" s="187">
        <f>B4*1000/(B5-B6)</f>
        <v>10</v>
      </c>
      <c r="G4" s="187"/>
      <c r="H4" s="187"/>
      <c r="I4" s="195">
        <f t="shared" ref="I4:I17" si="1">IF($B$11&lt;12,(IF((L4&gt;4)*AND(L4&lt;16),2,0)),IF((L4&gt;4)*AND(L4&lt;20),2,0))</f>
        <v>0</v>
      </c>
      <c r="J4" s="196">
        <v>15</v>
      </c>
      <c r="K4" s="196"/>
      <c r="L4" s="196"/>
      <c r="M4" s="197"/>
      <c r="N4" s="195">
        <f t="shared" ref="N4:N17" si="2">IF((Q4&gt;4)*AND(Q4&lt;16),1,0)</f>
        <v>0</v>
      </c>
      <c r="O4" s="196">
        <v>15</v>
      </c>
      <c r="P4" s="196"/>
      <c r="Q4" s="197"/>
      <c r="R4" s="196">
        <f t="shared" ref="R4:R17" si="3">N4</f>
        <v>0</v>
      </c>
      <c r="S4" s="196">
        <v>15</v>
      </c>
      <c r="T4" s="196"/>
      <c r="U4" s="197"/>
      <c r="W4" s="63" t="s">
        <v>73</v>
      </c>
      <c r="X4" s="58">
        <f>IF(B11&gt;12,3,1.8)</f>
        <v>3</v>
      </c>
      <c r="Y4" s="58"/>
      <c r="Z4" s="64">
        <f t="shared" ref="Z4:Z21" si="4">IF(AB4&gt;$X$5,1,0)</f>
        <v>0</v>
      </c>
      <c r="AA4" s="65">
        <v>15</v>
      </c>
      <c r="AB4" s="66">
        <v>1.6</v>
      </c>
      <c r="AC4" s="64">
        <f t="shared" ref="AC4:AC22" si="5">IF(AE4&gt;$X$5,1,0)</f>
        <v>0</v>
      </c>
      <c r="AD4" s="65">
        <v>15</v>
      </c>
      <c r="AE4" s="66">
        <v>1.6</v>
      </c>
      <c r="AF4" s="58">
        <f t="shared" ref="AF4:AF16" si="6">IF(AH4&gt;$X$5,1,0)</f>
        <v>0</v>
      </c>
      <c r="AG4" s="67">
        <v>15</v>
      </c>
      <c r="AH4" s="62">
        <v>1.6</v>
      </c>
      <c r="AJ4" s="54">
        <v>1.5</v>
      </c>
      <c r="AK4" s="58">
        <f>IF($F$17&lt;AJ4,1,0)</f>
        <v>0</v>
      </c>
      <c r="AL4" s="62" t="s">
        <v>181</v>
      </c>
      <c r="AM4" s="58">
        <f>IF($F$17&lt;AJ4,1,0)</f>
        <v>0</v>
      </c>
      <c r="AN4" s="116" t="s">
        <v>182</v>
      </c>
      <c r="AP4" s="55">
        <f t="shared" si="0"/>
        <v>0</v>
      </c>
      <c r="AQ4" s="58">
        <v>3</v>
      </c>
      <c r="AR4" s="62" t="s">
        <v>183</v>
      </c>
      <c r="AT4" s="55">
        <v>0.375</v>
      </c>
      <c r="AU4" s="58">
        <f>IF($B$4&lt;AT4,1,0)</f>
        <v>0</v>
      </c>
      <c r="AV4" s="62" t="s">
        <v>184</v>
      </c>
      <c r="AY4" s="51" t="s">
        <v>78</v>
      </c>
      <c r="AZ4" s="35" t="s">
        <v>185</v>
      </c>
      <c r="BA4" s="52"/>
      <c r="BB4" s="35" t="e">
        <f t="shared" ref="BB4:BB15" si="7">IF($F$5=BD4,1,0)</f>
        <v>#N/A</v>
      </c>
      <c r="BC4" s="57" t="s">
        <v>80</v>
      </c>
      <c r="BD4" s="35">
        <v>15</v>
      </c>
      <c r="BE4" s="54"/>
      <c r="BF4" s="73">
        <f t="shared" ref="BF4:BF26" si="8">IF($F$7=BI4,1,0)</f>
        <v>0</v>
      </c>
      <c r="BG4" s="57" t="s">
        <v>80</v>
      </c>
      <c r="BH4" s="35">
        <v>15</v>
      </c>
      <c r="BI4" s="56">
        <v>0.63</v>
      </c>
      <c r="BJ4" s="52"/>
      <c r="BK4" s="35">
        <f>IF($B$14=BM4,1,0)</f>
        <v>0</v>
      </c>
      <c r="BL4" s="57" t="s">
        <v>78</v>
      </c>
      <c r="BM4" s="35" t="s">
        <v>53</v>
      </c>
      <c r="BN4" s="52"/>
      <c r="BO4" s="73" t="e">
        <f t="shared" ref="BO4:BO15" si="9">IF($F$5=BQ4,1,0)</f>
        <v>#N/A</v>
      </c>
      <c r="BP4" s="57" t="s">
        <v>81</v>
      </c>
      <c r="BQ4" s="56">
        <v>15</v>
      </c>
      <c r="BR4" s="52"/>
      <c r="BS4" s="73" t="e">
        <f t="shared" ref="BS4:BS15" si="10">IF($F$5=BU4,1,0)</f>
        <v>#N/A</v>
      </c>
      <c r="BT4" s="57" t="s">
        <v>81</v>
      </c>
      <c r="BU4" s="56">
        <v>15</v>
      </c>
      <c r="BV4" s="52"/>
      <c r="BW4" s="35" t="e">
        <f t="shared" ref="BW4:BW15" si="11">IF($F$12=BY4,1,0)</f>
        <v>#N/A</v>
      </c>
      <c r="BX4" s="57" t="s">
        <v>80</v>
      </c>
      <c r="BY4" s="35">
        <v>15</v>
      </c>
      <c r="BZ4" s="52"/>
      <c r="CA4" s="35" t="e">
        <f t="shared" ref="CA4:CA15" si="12">IF($F$16=CC4,1,0)</f>
        <v>#N/A</v>
      </c>
      <c r="CB4" s="57" t="s">
        <v>80</v>
      </c>
      <c r="CC4" s="35">
        <v>15</v>
      </c>
      <c r="CD4" s="52"/>
      <c r="CE4" s="35" t="e">
        <f t="shared" ref="CE4:CE9" si="13">IF($E$13=CG4,1,0)</f>
        <v>#N/A</v>
      </c>
      <c r="CF4" s="57" t="s">
        <v>78</v>
      </c>
      <c r="CG4" s="62" t="s">
        <v>175</v>
      </c>
      <c r="CH4" s="52"/>
      <c r="CI4" s="35" t="e">
        <f>IF($E$18=CK4,1,0)</f>
        <v>#N/A</v>
      </c>
      <c r="CJ4" s="32">
        <v>1</v>
      </c>
      <c r="CK4" s="58" t="s">
        <v>181</v>
      </c>
      <c r="CL4" s="32" t="e">
        <f>IF($E$18=CN4,1,0)</f>
        <v>#N/A</v>
      </c>
      <c r="CM4" s="32">
        <v>1</v>
      </c>
      <c r="CN4" s="116" t="s">
        <v>182</v>
      </c>
      <c r="CO4" s="54"/>
      <c r="CQ4" s="15"/>
      <c r="CS4" s="54"/>
      <c r="CT4" s="52"/>
      <c r="CU4" s="35"/>
      <c r="CV4" s="57"/>
      <c r="CX4" s="54"/>
      <c r="CY4" s="35">
        <f>IF($B$16=DA4,1,0)</f>
        <v>0</v>
      </c>
      <c r="CZ4" s="57" t="s">
        <v>78</v>
      </c>
      <c r="DA4" s="35" t="s">
        <v>83</v>
      </c>
      <c r="DB4" s="54"/>
      <c r="DC4" s="35">
        <f>IF($B$17=DE4,1,0)</f>
        <v>0</v>
      </c>
      <c r="DD4" s="57" t="s">
        <v>78</v>
      </c>
      <c r="DE4" s="62" t="s">
        <v>84</v>
      </c>
    </row>
    <row r="5" spans="1:109" x14ac:dyDescent="0.25">
      <c r="A5" s="193" t="s">
        <v>85</v>
      </c>
      <c r="B5" s="194">
        <v>70</v>
      </c>
      <c r="C5" s="198" t="s">
        <v>86</v>
      </c>
      <c r="D5" s="187"/>
      <c r="E5" s="187" t="s">
        <v>48</v>
      </c>
      <c r="F5" s="187" t="e">
        <f>VLOOKUP(2,I4:L17,2,0)</f>
        <v>#N/A</v>
      </c>
      <c r="G5" s="187"/>
      <c r="H5" s="187"/>
      <c r="I5" s="195">
        <f t="shared" si="1"/>
        <v>0</v>
      </c>
      <c r="J5" s="196">
        <v>20</v>
      </c>
      <c r="K5" s="196"/>
      <c r="L5" s="196"/>
      <c r="M5" s="197"/>
      <c r="N5" s="195">
        <f t="shared" si="2"/>
        <v>0</v>
      </c>
      <c r="O5" s="196">
        <v>20</v>
      </c>
      <c r="P5" s="196"/>
      <c r="Q5" s="197"/>
      <c r="R5" s="196">
        <f t="shared" si="3"/>
        <v>0</v>
      </c>
      <c r="S5" s="196">
        <v>15</v>
      </c>
      <c r="T5" s="196"/>
      <c r="U5" s="197"/>
      <c r="W5" s="63" t="s">
        <v>87</v>
      </c>
      <c r="X5" s="78">
        <f>F4/SQRT(0.1*X4)</f>
        <v>18.257418583505533</v>
      </c>
      <c r="Y5" s="78"/>
      <c r="Z5" s="55">
        <f t="shared" si="4"/>
        <v>0</v>
      </c>
      <c r="AA5" s="67">
        <v>15</v>
      </c>
      <c r="AB5" s="62">
        <v>2.5</v>
      </c>
      <c r="AC5" s="55">
        <f t="shared" si="5"/>
        <v>0</v>
      </c>
      <c r="AD5" s="67">
        <v>15</v>
      </c>
      <c r="AE5" s="62">
        <v>2.5</v>
      </c>
      <c r="AF5" s="58">
        <f t="shared" si="6"/>
        <v>0</v>
      </c>
      <c r="AG5" s="67">
        <v>15</v>
      </c>
      <c r="AH5" s="62">
        <v>2.5</v>
      </c>
      <c r="AJ5" s="54">
        <v>4</v>
      </c>
      <c r="AK5" s="58">
        <f>IF($F$17&lt;AJ5,1,0)</f>
        <v>1</v>
      </c>
      <c r="AL5" s="62" t="s">
        <v>186</v>
      </c>
      <c r="AM5" s="58">
        <f>IF($F$17&lt;AJ5,1,0)</f>
        <v>1</v>
      </c>
      <c r="AN5" s="116" t="s">
        <v>187</v>
      </c>
      <c r="AP5" s="55">
        <f t="shared" si="0"/>
        <v>0</v>
      </c>
      <c r="AQ5" s="58">
        <v>5</v>
      </c>
      <c r="AR5" s="62" t="s">
        <v>188</v>
      </c>
      <c r="AT5" s="55">
        <v>0.61</v>
      </c>
      <c r="AU5" s="58">
        <f>IF($B$4&lt;AT5,1,0)</f>
        <v>1</v>
      </c>
      <c r="AV5" s="62" t="s">
        <v>189</v>
      </c>
      <c r="AY5" s="51" t="s">
        <v>94</v>
      </c>
      <c r="AZ5" s="35" t="s">
        <v>190</v>
      </c>
      <c r="BA5" s="52"/>
      <c r="BB5" s="35" t="e">
        <f t="shared" si="7"/>
        <v>#N/A</v>
      </c>
      <c r="BC5" s="57" t="s">
        <v>96</v>
      </c>
      <c r="BD5" s="35">
        <v>20</v>
      </c>
      <c r="BE5" s="54"/>
      <c r="BF5" s="73">
        <f t="shared" si="8"/>
        <v>0</v>
      </c>
      <c r="BG5" s="57" t="s">
        <v>96</v>
      </c>
      <c r="BH5" s="35">
        <v>15</v>
      </c>
      <c r="BI5" s="56">
        <v>1.25</v>
      </c>
      <c r="BJ5" s="52"/>
      <c r="BK5" s="35">
        <f>IF($B$14=BM5,1,0)</f>
        <v>0</v>
      </c>
      <c r="BL5" s="57" t="s">
        <v>94</v>
      </c>
      <c r="BM5" s="35" t="s">
        <v>55</v>
      </c>
      <c r="BN5" s="52"/>
      <c r="BO5" s="73" t="e">
        <f t="shared" si="9"/>
        <v>#N/A</v>
      </c>
      <c r="BP5" s="57" t="s">
        <v>81</v>
      </c>
      <c r="BQ5" s="56">
        <v>20</v>
      </c>
      <c r="BR5" s="52"/>
      <c r="BS5" s="73" t="e">
        <f t="shared" si="10"/>
        <v>#N/A</v>
      </c>
      <c r="BT5" s="57" t="s">
        <v>81</v>
      </c>
      <c r="BU5" s="56">
        <v>20</v>
      </c>
      <c r="BV5" s="52"/>
      <c r="BW5" s="35" t="e">
        <f t="shared" si="11"/>
        <v>#N/A</v>
      </c>
      <c r="BX5" s="57" t="s">
        <v>96</v>
      </c>
      <c r="BY5" s="35">
        <v>20</v>
      </c>
      <c r="BZ5" s="52"/>
      <c r="CA5" s="35" t="e">
        <f t="shared" si="12"/>
        <v>#N/A</v>
      </c>
      <c r="CB5" s="57" t="s">
        <v>96</v>
      </c>
      <c r="CC5" s="35">
        <v>20</v>
      </c>
      <c r="CD5" s="52"/>
      <c r="CE5" s="35" t="e">
        <f t="shared" si="13"/>
        <v>#N/A</v>
      </c>
      <c r="CF5" s="57" t="s">
        <v>94</v>
      </c>
      <c r="CG5" s="62" t="s">
        <v>183</v>
      </c>
      <c r="CH5" s="52"/>
      <c r="CI5" s="35" t="e">
        <f>IF($E$18=CK5,1,0)</f>
        <v>#N/A</v>
      </c>
      <c r="CJ5" s="32"/>
      <c r="CK5" s="58"/>
      <c r="CL5" s="32" t="e">
        <f>IF($E$18=CN5,1,0)</f>
        <v>#N/A</v>
      </c>
      <c r="CM5" s="32">
        <v>2</v>
      </c>
      <c r="CN5" s="116" t="s">
        <v>187</v>
      </c>
      <c r="CO5" s="54"/>
      <c r="CP5" s="58">
        <f>IF($B$15=CR5,1,0)</f>
        <v>0</v>
      </c>
      <c r="CQ5" s="32">
        <v>1</v>
      </c>
      <c r="CR5" s="32" t="s">
        <v>191</v>
      </c>
      <c r="CS5" s="54"/>
      <c r="CT5" s="52"/>
      <c r="CU5" s="35">
        <f t="shared" ref="CU5:CU19" si="14">IF($E$9=CW5,1,0)</f>
        <v>0</v>
      </c>
      <c r="CV5" s="57" t="s">
        <v>80</v>
      </c>
      <c r="CW5" s="62" t="s">
        <v>176</v>
      </c>
      <c r="CX5" s="54"/>
      <c r="CY5" s="35">
        <f>IF($B$16=DA5,1,0)</f>
        <v>0</v>
      </c>
      <c r="CZ5" s="57" t="s">
        <v>94</v>
      </c>
      <c r="DA5" s="35" t="s">
        <v>55</v>
      </c>
      <c r="DB5" s="54"/>
      <c r="DC5" s="35">
        <f>IF($B$17=DE5,1,0)</f>
        <v>0</v>
      </c>
      <c r="DD5" s="57" t="s">
        <v>81</v>
      </c>
      <c r="DE5" s="56" t="s">
        <v>97</v>
      </c>
    </row>
    <row r="6" spans="1:109" x14ac:dyDescent="0.25">
      <c r="A6" s="193" t="s">
        <v>98</v>
      </c>
      <c r="B6" s="194">
        <v>30</v>
      </c>
      <c r="C6" s="198" t="s">
        <v>86</v>
      </c>
      <c r="D6" s="187"/>
      <c r="E6" s="187" t="s">
        <v>99</v>
      </c>
      <c r="F6" s="187">
        <f>VLOOKUP(1,IF(B14="IMI Hydronic",Z4:AB21,IF(B14="Siemens",AC4:AE22,AF4:AH16)),2,0)</f>
        <v>40</v>
      </c>
      <c r="G6" s="187"/>
      <c r="H6" s="187"/>
      <c r="I6" s="195">
        <f t="shared" si="1"/>
        <v>0</v>
      </c>
      <c r="J6" s="196">
        <v>25</v>
      </c>
      <c r="K6" s="196"/>
      <c r="L6" s="196"/>
      <c r="M6" s="197"/>
      <c r="N6" s="195">
        <f t="shared" si="2"/>
        <v>0</v>
      </c>
      <c r="O6" s="196">
        <v>25</v>
      </c>
      <c r="P6" s="196"/>
      <c r="Q6" s="197"/>
      <c r="R6" s="196">
        <f t="shared" si="3"/>
        <v>0</v>
      </c>
      <c r="S6" s="196">
        <v>20</v>
      </c>
      <c r="T6" s="196"/>
      <c r="U6" s="197"/>
      <c r="W6" s="55"/>
      <c r="X6" s="58"/>
      <c r="Y6" s="58"/>
      <c r="Z6" s="55">
        <f t="shared" si="4"/>
        <v>0</v>
      </c>
      <c r="AA6" s="67">
        <v>15</v>
      </c>
      <c r="AB6" s="62">
        <v>4</v>
      </c>
      <c r="AC6" s="55">
        <f t="shared" si="5"/>
        <v>0</v>
      </c>
      <c r="AD6" s="67">
        <v>15</v>
      </c>
      <c r="AE6" s="62">
        <v>4</v>
      </c>
      <c r="AF6" s="58">
        <f t="shared" si="6"/>
        <v>0</v>
      </c>
      <c r="AG6" s="67">
        <v>15</v>
      </c>
      <c r="AH6" s="62">
        <v>4</v>
      </c>
      <c r="AJ6" s="54">
        <v>6</v>
      </c>
      <c r="AK6" s="58">
        <f>IF($F$17&lt;AJ6,1,0)</f>
        <v>1</v>
      </c>
      <c r="AL6" s="62" t="s">
        <v>186</v>
      </c>
      <c r="AM6" s="58">
        <f>IF($F$17&lt;AJ6,1,0)</f>
        <v>1</v>
      </c>
      <c r="AN6" s="116" t="s">
        <v>192</v>
      </c>
      <c r="AP6" s="55">
        <f t="shared" si="0"/>
        <v>0</v>
      </c>
      <c r="AQ6" s="58">
        <v>8</v>
      </c>
      <c r="AR6" s="62" t="s">
        <v>193</v>
      </c>
      <c r="AT6" s="55">
        <v>0.83499999999999996</v>
      </c>
      <c r="AU6" s="58">
        <f>IF($B$4&lt;AT6,1,0)</f>
        <v>1</v>
      </c>
      <c r="AV6" s="62" t="s">
        <v>194</v>
      </c>
      <c r="AY6" s="51"/>
      <c r="AZ6" s="35"/>
      <c r="BA6" s="52"/>
      <c r="BB6" s="35" t="e">
        <f t="shared" si="7"/>
        <v>#N/A</v>
      </c>
      <c r="BC6" s="57" t="s">
        <v>103</v>
      </c>
      <c r="BD6" s="35">
        <v>25</v>
      </c>
      <c r="BE6" s="54"/>
      <c r="BF6" s="73">
        <f t="shared" si="8"/>
        <v>0</v>
      </c>
      <c r="BG6" s="57" t="s">
        <v>103</v>
      </c>
      <c r="BH6" s="35">
        <v>15</v>
      </c>
      <c r="BI6" s="56">
        <v>1.6</v>
      </c>
      <c r="BJ6" s="52"/>
      <c r="BK6" s="35">
        <f>IF($B$14=BM6,1,0)</f>
        <v>0</v>
      </c>
      <c r="BL6" s="57" t="s">
        <v>104</v>
      </c>
      <c r="BM6" s="35" t="s">
        <v>54</v>
      </c>
      <c r="BN6" s="52"/>
      <c r="BO6" s="73" t="e">
        <f t="shared" si="9"/>
        <v>#N/A</v>
      </c>
      <c r="BP6" s="57" t="s">
        <v>81</v>
      </c>
      <c r="BQ6" s="56">
        <v>25</v>
      </c>
      <c r="BR6" s="52"/>
      <c r="BS6" s="73" t="e">
        <f t="shared" si="10"/>
        <v>#N/A</v>
      </c>
      <c r="BT6" s="57" t="s">
        <v>81</v>
      </c>
      <c r="BU6" s="56">
        <v>25</v>
      </c>
      <c r="BV6" s="52"/>
      <c r="BW6" s="35" t="e">
        <f t="shared" si="11"/>
        <v>#N/A</v>
      </c>
      <c r="BX6" s="57" t="s">
        <v>103</v>
      </c>
      <c r="BY6" s="35">
        <v>25</v>
      </c>
      <c r="BZ6" s="52"/>
      <c r="CA6" s="35" t="e">
        <f t="shared" si="12"/>
        <v>#N/A</v>
      </c>
      <c r="CB6" s="57" t="s">
        <v>103</v>
      </c>
      <c r="CC6" s="35">
        <v>25</v>
      </c>
      <c r="CD6" s="52"/>
      <c r="CE6" s="35" t="e">
        <f t="shared" si="13"/>
        <v>#N/A</v>
      </c>
      <c r="CF6" s="57" t="s">
        <v>104</v>
      </c>
      <c r="CG6" s="62" t="s">
        <v>188</v>
      </c>
      <c r="CH6" s="52"/>
      <c r="CI6" s="35" t="e">
        <f>IF($E$18=CK6,1,0)</f>
        <v>#N/A</v>
      </c>
      <c r="CJ6" s="32">
        <v>3</v>
      </c>
      <c r="CK6" s="58" t="s">
        <v>186</v>
      </c>
      <c r="CL6" s="32" t="e">
        <f>IF($E$18=CN6,1,0)</f>
        <v>#N/A</v>
      </c>
      <c r="CM6" s="32">
        <v>3</v>
      </c>
      <c r="CN6" s="116" t="s">
        <v>192</v>
      </c>
      <c r="CO6" s="54"/>
      <c r="CP6" s="58">
        <f>IF($B$15=CR6,1,0)</f>
        <v>0</v>
      </c>
      <c r="CQ6" s="32">
        <v>2</v>
      </c>
      <c r="CR6" s="80" t="s">
        <v>195</v>
      </c>
      <c r="CS6" s="54"/>
      <c r="CT6" s="52"/>
      <c r="CU6" s="35">
        <f t="shared" si="14"/>
        <v>0</v>
      </c>
      <c r="CV6" s="57" t="s">
        <v>96</v>
      </c>
      <c r="CW6" s="62" t="s">
        <v>196</v>
      </c>
      <c r="CX6" s="54"/>
      <c r="CY6" s="35">
        <f>IF($B$16=DA6,1,0)</f>
        <v>0</v>
      </c>
      <c r="CZ6" s="57" t="s">
        <v>104</v>
      </c>
      <c r="DA6" s="80" t="s">
        <v>54</v>
      </c>
      <c r="DB6" s="54"/>
      <c r="DC6" s="35"/>
      <c r="DD6" s="57"/>
      <c r="DE6" s="56"/>
    </row>
    <row r="7" spans="1:109" x14ac:dyDescent="0.25">
      <c r="A7" s="193" t="s">
        <v>178</v>
      </c>
      <c r="B7" s="194">
        <f>IF(('ol4'!N17-B8)&lt;5,B8+5,'ol4'!N17)</f>
        <v>5</v>
      </c>
      <c r="C7" s="198" t="s">
        <v>86</v>
      </c>
      <c r="D7" s="187"/>
      <c r="E7" s="187" t="s">
        <v>106</v>
      </c>
      <c r="F7" s="187">
        <f>VLOOKUP(1,IF(B14="IMI Hydronic",Z4:AB21,IF(B14="Siemens",AC4:AE22,AF4:AH16)),3,0)</f>
        <v>25</v>
      </c>
      <c r="G7" s="187"/>
      <c r="H7" s="187"/>
      <c r="I7" s="195">
        <f t="shared" si="1"/>
        <v>0</v>
      </c>
      <c r="J7" s="196">
        <v>32</v>
      </c>
      <c r="K7" s="196"/>
      <c r="L7" s="196"/>
      <c r="M7" s="197"/>
      <c r="N7" s="195">
        <f t="shared" si="2"/>
        <v>0</v>
      </c>
      <c r="O7" s="196">
        <v>32</v>
      </c>
      <c r="P7" s="196"/>
      <c r="Q7" s="197"/>
      <c r="R7" s="196">
        <f t="shared" si="3"/>
        <v>0</v>
      </c>
      <c r="S7" s="196">
        <v>25</v>
      </c>
      <c r="T7" s="196"/>
      <c r="U7" s="197"/>
      <c r="W7" s="55"/>
      <c r="X7" s="58"/>
      <c r="Y7" s="58"/>
      <c r="Z7" s="55">
        <f t="shared" si="4"/>
        <v>0</v>
      </c>
      <c r="AA7" s="67">
        <v>20</v>
      </c>
      <c r="AB7" s="62">
        <v>6.3</v>
      </c>
      <c r="AC7" s="55">
        <f t="shared" si="5"/>
        <v>0</v>
      </c>
      <c r="AD7" s="67">
        <v>20</v>
      </c>
      <c r="AE7" s="62">
        <v>6.3</v>
      </c>
      <c r="AF7" s="58">
        <f t="shared" si="6"/>
        <v>0</v>
      </c>
      <c r="AG7" s="67">
        <v>20</v>
      </c>
      <c r="AH7" s="62">
        <v>6.3</v>
      </c>
      <c r="AJ7" s="54">
        <v>12</v>
      </c>
      <c r="AK7" s="58">
        <f>IF($F$17&lt;AJ7,1,0)</f>
        <v>1</v>
      </c>
      <c r="AL7" s="62" t="s">
        <v>197</v>
      </c>
      <c r="AM7" s="58">
        <f>IF($F$17&lt;AJ7,1,0)</f>
        <v>1</v>
      </c>
      <c r="AN7" s="116" t="s">
        <v>198</v>
      </c>
      <c r="AP7" s="55">
        <f t="shared" si="0"/>
        <v>0</v>
      </c>
      <c r="AQ7" s="58">
        <v>14</v>
      </c>
      <c r="AR7" s="62" t="s">
        <v>199</v>
      </c>
      <c r="AT7" s="55">
        <v>1.0009999999999999</v>
      </c>
      <c r="AU7" s="58">
        <f>IF($B$4&lt;AT7,1,0)</f>
        <v>1</v>
      </c>
      <c r="AV7" s="62" t="s">
        <v>200</v>
      </c>
      <c r="AY7" s="51"/>
      <c r="AZ7" s="35"/>
      <c r="BA7" s="52"/>
      <c r="BB7" s="35" t="e">
        <f t="shared" si="7"/>
        <v>#N/A</v>
      </c>
      <c r="BC7" s="57" t="s">
        <v>110</v>
      </c>
      <c r="BD7" s="35">
        <v>32</v>
      </c>
      <c r="BE7" s="54"/>
      <c r="BF7" s="73">
        <f t="shared" si="8"/>
        <v>0</v>
      </c>
      <c r="BG7" s="57" t="s">
        <v>110</v>
      </c>
      <c r="BH7" s="35">
        <v>15</v>
      </c>
      <c r="BI7" s="56">
        <v>2.5</v>
      </c>
      <c r="BJ7" s="52"/>
      <c r="BK7" s="35"/>
      <c r="BL7" s="57"/>
      <c r="BM7" s="35"/>
      <c r="BN7" s="52"/>
      <c r="BO7" s="73" t="e">
        <f t="shared" si="9"/>
        <v>#N/A</v>
      </c>
      <c r="BP7" s="57" t="s">
        <v>81</v>
      </c>
      <c r="BQ7" s="56">
        <v>32</v>
      </c>
      <c r="BR7" s="52"/>
      <c r="BS7" s="73" t="e">
        <f t="shared" si="10"/>
        <v>#N/A</v>
      </c>
      <c r="BT7" s="57" t="s">
        <v>81</v>
      </c>
      <c r="BU7" s="56">
        <v>32</v>
      </c>
      <c r="BV7" s="52"/>
      <c r="BW7" s="35" t="e">
        <f t="shared" si="11"/>
        <v>#N/A</v>
      </c>
      <c r="BX7" s="57" t="s">
        <v>110</v>
      </c>
      <c r="BY7" s="35">
        <v>32</v>
      </c>
      <c r="BZ7" s="52"/>
      <c r="CA7" s="35" t="e">
        <f t="shared" si="12"/>
        <v>#N/A</v>
      </c>
      <c r="CB7" s="57" t="s">
        <v>110</v>
      </c>
      <c r="CC7" s="35">
        <v>32</v>
      </c>
      <c r="CD7" s="52"/>
      <c r="CE7" s="35" t="e">
        <f t="shared" si="13"/>
        <v>#N/A</v>
      </c>
      <c r="CF7" s="57" t="s">
        <v>116</v>
      </c>
      <c r="CG7" s="62" t="s">
        <v>193</v>
      </c>
      <c r="CH7" s="52"/>
      <c r="CI7" s="35" t="e">
        <f>IF($E$18=CK7,1,0)</f>
        <v>#N/A</v>
      </c>
      <c r="CJ7" s="80">
        <v>4</v>
      </c>
      <c r="CK7" s="58" t="s">
        <v>197</v>
      </c>
      <c r="CL7" s="32" t="e">
        <f>IF($E$18=CN7,1,0)</f>
        <v>#N/A</v>
      </c>
      <c r="CM7" s="80">
        <v>4</v>
      </c>
      <c r="CN7" s="116" t="s">
        <v>198</v>
      </c>
      <c r="CO7" s="54"/>
      <c r="CP7" s="58"/>
      <c r="CQ7" s="32"/>
      <c r="CS7" s="54"/>
      <c r="CT7" s="52"/>
      <c r="CU7" s="35">
        <f t="shared" si="14"/>
        <v>0</v>
      </c>
      <c r="CV7" s="57" t="s">
        <v>103</v>
      </c>
      <c r="CW7" s="62" t="s">
        <v>201</v>
      </c>
      <c r="CX7" s="54"/>
      <c r="CY7" s="35"/>
      <c r="CZ7" s="58"/>
      <c r="DA7" s="58"/>
      <c r="DB7" s="54"/>
      <c r="DC7" s="35"/>
      <c r="DD7" s="57"/>
      <c r="DE7" s="83"/>
    </row>
    <row r="8" spans="1:109" x14ac:dyDescent="0.25">
      <c r="A8" s="193" t="s">
        <v>202</v>
      </c>
      <c r="B8" s="194">
        <f>'ol4'!R17</f>
        <v>0</v>
      </c>
      <c r="C8" s="198" t="s">
        <v>86</v>
      </c>
      <c r="D8" s="187"/>
      <c r="E8" s="199" t="s">
        <v>73</v>
      </c>
      <c r="F8" s="187">
        <f>(F4^2/F7^2)*10</f>
        <v>1.6</v>
      </c>
      <c r="G8" s="187"/>
      <c r="H8" s="187"/>
      <c r="I8" s="195">
        <f t="shared" si="1"/>
        <v>0</v>
      </c>
      <c r="J8" s="196">
        <v>40</v>
      </c>
      <c r="K8" s="196"/>
      <c r="L8" s="196"/>
      <c r="M8" s="197"/>
      <c r="N8" s="195">
        <f t="shared" si="2"/>
        <v>0</v>
      </c>
      <c r="O8" s="196">
        <v>40</v>
      </c>
      <c r="P8" s="196"/>
      <c r="Q8" s="197"/>
      <c r="R8" s="196">
        <f t="shared" si="3"/>
        <v>0</v>
      </c>
      <c r="S8" s="196">
        <v>32</v>
      </c>
      <c r="T8" s="196"/>
      <c r="U8" s="197"/>
      <c r="W8" s="63"/>
      <c r="X8" s="58"/>
      <c r="Y8" s="78"/>
      <c r="Z8" s="55">
        <f t="shared" si="4"/>
        <v>0</v>
      </c>
      <c r="AA8" s="67">
        <v>25</v>
      </c>
      <c r="AB8" s="62">
        <v>10</v>
      </c>
      <c r="AC8" s="55">
        <f t="shared" si="5"/>
        <v>0</v>
      </c>
      <c r="AD8" s="67">
        <v>25</v>
      </c>
      <c r="AE8" s="62">
        <v>10</v>
      </c>
      <c r="AF8" s="58">
        <f t="shared" si="6"/>
        <v>0</v>
      </c>
      <c r="AG8" s="67">
        <v>25</v>
      </c>
      <c r="AH8" s="62">
        <v>10</v>
      </c>
      <c r="AJ8" s="54"/>
      <c r="AK8" s="35"/>
      <c r="AL8" s="62"/>
      <c r="AM8" s="58"/>
      <c r="AN8" s="62"/>
      <c r="AP8" s="55">
        <f t="shared" si="0"/>
        <v>0</v>
      </c>
      <c r="AQ8" s="58">
        <v>20</v>
      </c>
      <c r="AR8" s="62" t="s">
        <v>203</v>
      </c>
      <c r="AT8" s="55"/>
      <c r="AU8" s="58"/>
      <c r="AV8" s="62"/>
      <c r="AY8" s="51"/>
      <c r="AZ8" s="35"/>
      <c r="BA8" s="52"/>
      <c r="BB8" s="35" t="e">
        <f t="shared" si="7"/>
        <v>#N/A</v>
      </c>
      <c r="BC8" s="57" t="s">
        <v>115</v>
      </c>
      <c r="BD8" s="35">
        <v>40</v>
      </c>
      <c r="BE8" s="54"/>
      <c r="BF8" s="73">
        <f t="shared" si="8"/>
        <v>0</v>
      </c>
      <c r="BG8" s="57" t="s">
        <v>115</v>
      </c>
      <c r="BH8" s="35">
        <v>15</v>
      </c>
      <c r="BI8" s="56">
        <v>4</v>
      </c>
      <c r="BJ8" s="52"/>
      <c r="BK8" s="35"/>
      <c r="BL8" s="57"/>
      <c r="BM8" s="35"/>
      <c r="BN8" s="52"/>
      <c r="BO8" s="73" t="e">
        <f t="shared" si="9"/>
        <v>#N/A</v>
      </c>
      <c r="BP8" s="57" t="s">
        <v>81</v>
      </c>
      <c r="BQ8" s="56">
        <v>40</v>
      </c>
      <c r="BR8" s="52"/>
      <c r="BS8" s="73" t="e">
        <f t="shared" si="10"/>
        <v>#N/A</v>
      </c>
      <c r="BT8" s="57" t="s">
        <v>81</v>
      </c>
      <c r="BU8" s="56">
        <v>40</v>
      </c>
      <c r="BV8" s="52"/>
      <c r="BW8" s="35" t="e">
        <f t="shared" si="11"/>
        <v>#N/A</v>
      </c>
      <c r="BX8" s="57" t="s">
        <v>115</v>
      </c>
      <c r="BY8" s="35">
        <v>40</v>
      </c>
      <c r="BZ8" s="52"/>
      <c r="CA8" s="35" t="e">
        <f t="shared" si="12"/>
        <v>#N/A</v>
      </c>
      <c r="CB8" s="57" t="s">
        <v>115</v>
      </c>
      <c r="CC8" s="35">
        <v>40</v>
      </c>
      <c r="CD8" s="52"/>
      <c r="CE8" s="35" t="e">
        <f t="shared" si="13"/>
        <v>#N/A</v>
      </c>
      <c r="CF8" s="57" t="s">
        <v>124</v>
      </c>
      <c r="CG8" s="62" t="s">
        <v>199</v>
      </c>
      <c r="CH8" s="52"/>
      <c r="CI8" s="35"/>
      <c r="CJ8" s="80"/>
      <c r="CK8" s="32"/>
      <c r="CL8" s="32"/>
      <c r="CM8" s="80"/>
      <c r="CN8" s="32"/>
      <c r="CO8" s="54"/>
      <c r="CS8" s="54"/>
      <c r="CT8" s="52"/>
      <c r="CU8" s="35">
        <f t="shared" si="14"/>
        <v>0</v>
      </c>
      <c r="CV8" s="57" t="s">
        <v>110</v>
      </c>
      <c r="CW8" s="62" t="s">
        <v>204</v>
      </c>
      <c r="CX8" s="54"/>
      <c r="CY8" s="35"/>
      <c r="CZ8" s="57"/>
      <c r="DA8" s="35"/>
      <c r="DB8" s="54"/>
      <c r="DC8" s="35"/>
      <c r="DD8" s="57"/>
      <c r="DE8" s="56"/>
    </row>
    <row r="9" spans="1:109" x14ac:dyDescent="0.25">
      <c r="A9" s="193" t="s">
        <v>117</v>
      </c>
      <c r="B9" s="194">
        <f>'ol4'!W13*100</f>
        <v>60</v>
      </c>
      <c r="C9" s="198" t="s">
        <v>118</v>
      </c>
      <c r="D9" s="187"/>
      <c r="E9" s="200" t="str">
        <f>VLOOKUP(1,AU3:AV7,2,0)</f>
        <v>НН19-16/2</v>
      </c>
      <c r="F9" s="200"/>
      <c r="G9" s="187"/>
      <c r="H9" s="187"/>
      <c r="I9" s="195">
        <f t="shared" si="1"/>
        <v>0</v>
      </c>
      <c r="J9" s="196">
        <v>50</v>
      </c>
      <c r="K9" s="196"/>
      <c r="L9" s="196"/>
      <c r="M9" s="197"/>
      <c r="N9" s="195">
        <f t="shared" si="2"/>
        <v>0</v>
      </c>
      <c r="O9" s="196">
        <v>50</v>
      </c>
      <c r="P9" s="196"/>
      <c r="Q9" s="197"/>
      <c r="R9" s="196">
        <f t="shared" si="3"/>
        <v>0</v>
      </c>
      <c r="S9" s="196">
        <v>40</v>
      </c>
      <c r="T9" s="196"/>
      <c r="U9" s="197"/>
      <c r="W9" s="63"/>
      <c r="X9" s="78"/>
      <c r="Y9" s="58"/>
      <c r="Z9" s="55">
        <f t="shared" si="4"/>
        <v>0</v>
      </c>
      <c r="AA9" s="67">
        <v>32</v>
      </c>
      <c r="AB9" s="62">
        <v>16</v>
      </c>
      <c r="AC9" s="55">
        <f t="shared" si="5"/>
        <v>0</v>
      </c>
      <c r="AD9" s="67">
        <v>32</v>
      </c>
      <c r="AE9" s="62">
        <v>16</v>
      </c>
      <c r="AF9" s="58">
        <f t="shared" si="6"/>
        <v>0</v>
      </c>
      <c r="AG9" s="67">
        <v>32</v>
      </c>
      <c r="AH9" s="62">
        <v>16</v>
      </c>
      <c r="AJ9" s="54"/>
      <c r="AK9" s="35"/>
      <c r="AL9" s="62"/>
      <c r="AM9" s="58"/>
      <c r="AN9" s="62"/>
      <c r="AP9" s="95"/>
      <c r="AQ9" s="96"/>
      <c r="AR9" s="98"/>
      <c r="AT9" s="95"/>
      <c r="AU9" s="96"/>
      <c r="AV9" s="98"/>
      <c r="AY9" s="51"/>
      <c r="AZ9" s="35"/>
      <c r="BA9" s="52"/>
      <c r="BB9" s="35" t="e">
        <f t="shared" si="7"/>
        <v>#N/A</v>
      </c>
      <c r="BC9" s="57" t="s">
        <v>123</v>
      </c>
      <c r="BD9" s="35">
        <v>50</v>
      </c>
      <c r="BE9" s="54"/>
      <c r="BF9" s="73">
        <f t="shared" si="8"/>
        <v>0</v>
      </c>
      <c r="BG9" s="57" t="s">
        <v>123</v>
      </c>
      <c r="BH9" s="35">
        <v>20</v>
      </c>
      <c r="BI9" s="56">
        <v>5</v>
      </c>
      <c r="BJ9" s="52"/>
      <c r="BK9" s="35"/>
      <c r="BL9" s="57"/>
      <c r="BM9" s="35"/>
      <c r="BN9" s="52"/>
      <c r="BO9" s="73" t="e">
        <f t="shared" si="9"/>
        <v>#N/A</v>
      </c>
      <c r="BP9" s="57" t="s">
        <v>81</v>
      </c>
      <c r="BQ9" s="56">
        <v>50</v>
      </c>
      <c r="BR9" s="52"/>
      <c r="BS9" s="73" t="e">
        <f t="shared" si="10"/>
        <v>#N/A</v>
      </c>
      <c r="BT9" s="57" t="s">
        <v>81</v>
      </c>
      <c r="BU9" s="56">
        <v>50</v>
      </c>
      <c r="BV9" s="52"/>
      <c r="BW9" s="35" t="e">
        <f t="shared" si="11"/>
        <v>#N/A</v>
      </c>
      <c r="BX9" s="57" t="s">
        <v>123</v>
      </c>
      <c r="BY9" s="35">
        <v>50</v>
      </c>
      <c r="BZ9" s="52"/>
      <c r="CA9" s="35" t="e">
        <f t="shared" si="12"/>
        <v>#N/A</v>
      </c>
      <c r="CB9" s="57" t="s">
        <v>123</v>
      </c>
      <c r="CC9" s="35">
        <v>50</v>
      </c>
      <c r="CD9" s="52"/>
      <c r="CE9" s="35" t="e">
        <f t="shared" si="13"/>
        <v>#N/A</v>
      </c>
      <c r="CF9" s="57" t="s">
        <v>131</v>
      </c>
      <c r="CG9" s="62" t="s">
        <v>203</v>
      </c>
      <c r="CH9" s="52"/>
      <c r="CI9" s="35"/>
      <c r="CJ9" s="80"/>
      <c r="CK9" s="32"/>
      <c r="CL9" s="32"/>
      <c r="CM9" s="80"/>
      <c r="CN9" s="32"/>
      <c r="CO9" s="54"/>
      <c r="CP9" s="58"/>
      <c r="CQ9" s="58"/>
      <c r="CR9" s="58"/>
      <c r="CS9" s="54"/>
      <c r="CT9" s="52"/>
      <c r="CU9" s="35">
        <f t="shared" si="14"/>
        <v>0</v>
      </c>
      <c r="CV9" s="57" t="s">
        <v>115</v>
      </c>
      <c r="CW9" s="62" t="s">
        <v>184</v>
      </c>
      <c r="CX9" s="54"/>
      <c r="CY9" s="35"/>
      <c r="CZ9" s="57"/>
      <c r="DA9" s="35"/>
      <c r="DB9" s="54"/>
      <c r="DC9" s="35"/>
      <c r="DD9" s="57"/>
      <c r="DE9" s="56"/>
    </row>
    <row r="10" spans="1:109" x14ac:dyDescent="0.25">
      <c r="A10" s="193" t="s">
        <v>125</v>
      </c>
      <c r="B10" s="194">
        <f>'ol4'!AC13*100</f>
        <v>40</v>
      </c>
      <c r="C10" s="198" t="s">
        <v>118</v>
      </c>
      <c r="D10" s="187"/>
      <c r="E10" s="187"/>
      <c r="F10" s="187"/>
      <c r="G10" s="187"/>
      <c r="H10" s="187"/>
      <c r="I10" s="195">
        <f t="shared" si="1"/>
        <v>0</v>
      </c>
      <c r="J10" s="196">
        <v>65</v>
      </c>
      <c r="K10" s="196"/>
      <c r="L10" s="196"/>
      <c r="M10" s="197"/>
      <c r="N10" s="195">
        <f t="shared" si="2"/>
        <v>0</v>
      </c>
      <c r="O10" s="196">
        <v>65</v>
      </c>
      <c r="P10" s="196"/>
      <c r="Q10" s="197"/>
      <c r="R10" s="196">
        <f t="shared" si="3"/>
        <v>0</v>
      </c>
      <c r="S10" s="196">
        <v>50</v>
      </c>
      <c r="T10" s="196"/>
      <c r="U10" s="197"/>
      <c r="W10" s="55"/>
      <c r="X10" s="58"/>
      <c r="Y10" s="58"/>
      <c r="Z10" s="55">
        <f t="shared" si="4"/>
        <v>1</v>
      </c>
      <c r="AA10" s="67">
        <v>40</v>
      </c>
      <c r="AB10" s="62">
        <v>20</v>
      </c>
      <c r="AC10" s="55">
        <f t="shared" si="5"/>
        <v>1</v>
      </c>
      <c r="AD10" s="67">
        <v>40</v>
      </c>
      <c r="AE10" s="62">
        <v>25</v>
      </c>
      <c r="AF10" s="58">
        <f t="shared" si="6"/>
        <v>1</v>
      </c>
      <c r="AG10" s="67">
        <v>40</v>
      </c>
      <c r="AH10" s="62">
        <v>25</v>
      </c>
      <c r="AJ10" s="54"/>
      <c r="AK10" s="35"/>
      <c r="AL10" s="62"/>
      <c r="AM10" s="58"/>
      <c r="AN10" s="62"/>
      <c r="AY10" s="51"/>
      <c r="AZ10" s="35"/>
      <c r="BA10" s="52"/>
      <c r="BB10" s="35" t="e">
        <f t="shared" si="7"/>
        <v>#N/A</v>
      </c>
      <c r="BC10" s="57" t="s">
        <v>130</v>
      </c>
      <c r="BD10" s="35">
        <v>65</v>
      </c>
      <c r="BE10" s="54"/>
      <c r="BF10" s="73">
        <f t="shared" si="8"/>
        <v>0</v>
      </c>
      <c r="BG10" s="57" t="s">
        <v>130</v>
      </c>
      <c r="BH10" s="35">
        <v>20</v>
      </c>
      <c r="BI10" s="56">
        <v>6.3</v>
      </c>
      <c r="BJ10" s="52"/>
      <c r="BK10" s="35"/>
      <c r="BL10" s="57"/>
      <c r="BM10" s="35"/>
      <c r="BN10" s="52"/>
      <c r="BO10" s="73" t="e">
        <f t="shared" si="9"/>
        <v>#N/A</v>
      </c>
      <c r="BP10" s="57" t="s">
        <v>81</v>
      </c>
      <c r="BQ10" s="56">
        <v>65</v>
      </c>
      <c r="BR10" s="52"/>
      <c r="BS10" s="73" t="e">
        <f t="shared" si="10"/>
        <v>#N/A</v>
      </c>
      <c r="BT10" s="57" t="s">
        <v>81</v>
      </c>
      <c r="BU10" s="56">
        <v>65</v>
      </c>
      <c r="BV10" s="52"/>
      <c r="BW10" s="35" t="e">
        <f t="shared" si="11"/>
        <v>#N/A</v>
      </c>
      <c r="BX10" s="57" t="s">
        <v>130</v>
      </c>
      <c r="BY10" s="35">
        <v>65</v>
      </c>
      <c r="BZ10" s="52"/>
      <c r="CA10" s="35" t="e">
        <f t="shared" si="12"/>
        <v>#N/A</v>
      </c>
      <c r="CB10" s="57" t="s">
        <v>130</v>
      </c>
      <c r="CC10" s="35">
        <v>65</v>
      </c>
      <c r="CD10" s="52"/>
      <c r="CE10" s="35"/>
      <c r="CF10" s="57"/>
      <c r="CG10" s="35"/>
      <c r="CH10" s="52"/>
      <c r="CI10" s="35"/>
      <c r="CJ10" s="80"/>
      <c r="CK10" s="32"/>
      <c r="CL10" s="32"/>
      <c r="CM10" s="80"/>
      <c r="CN10" s="32"/>
      <c r="CO10" s="54"/>
      <c r="CS10" s="54"/>
      <c r="CT10" s="52"/>
      <c r="CU10" s="35">
        <f t="shared" si="14"/>
        <v>1</v>
      </c>
      <c r="CV10" s="57" t="s">
        <v>123</v>
      </c>
      <c r="CW10" s="62" t="s">
        <v>189</v>
      </c>
      <c r="CX10" s="54"/>
      <c r="CY10" s="35"/>
      <c r="CZ10" s="57"/>
      <c r="DA10" s="35"/>
      <c r="DB10" s="54"/>
      <c r="DC10" s="35"/>
      <c r="DD10" s="57"/>
      <c r="DE10" s="56"/>
    </row>
    <row r="11" spans="1:109" x14ac:dyDescent="0.25">
      <c r="A11" s="201" t="s">
        <v>137</v>
      </c>
      <c r="B11" s="187">
        <f>B9-B10</f>
        <v>20</v>
      </c>
      <c r="C11" s="198" t="s">
        <v>118</v>
      </c>
      <c r="D11" s="187"/>
      <c r="E11" s="187" t="s">
        <v>205</v>
      </c>
      <c r="F11" s="187">
        <f>B4*1000/(B7-B8)</f>
        <v>80</v>
      </c>
      <c r="G11" s="187"/>
      <c r="H11" s="187"/>
      <c r="I11" s="195">
        <f t="shared" si="1"/>
        <v>0</v>
      </c>
      <c r="J11" s="196">
        <v>80</v>
      </c>
      <c r="K11" s="196"/>
      <c r="L11" s="196"/>
      <c r="M11" s="197"/>
      <c r="N11" s="195">
        <f t="shared" si="2"/>
        <v>0</v>
      </c>
      <c r="O11" s="196">
        <v>80</v>
      </c>
      <c r="P11" s="196"/>
      <c r="Q11" s="197"/>
      <c r="R11" s="196">
        <f t="shared" si="3"/>
        <v>0</v>
      </c>
      <c r="S11" s="196">
        <v>65</v>
      </c>
      <c r="T11" s="196"/>
      <c r="U11" s="197"/>
      <c r="W11" s="55"/>
      <c r="X11" s="58"/>
      <c r="Y11" s="78"/>
      <c r="Z11" s="55">
        <f t="shared" si="4"/>
        <v>1</v>
      </c>
      <c r="AA11" s="67">
        <v>40</v>
      </c>
      <c r="AB11" s="62">
        <v>25</v>
      </c>
      <c r="AC11" s="55">
        <f t="shared" si="5"/>
        <v>1</v>
      </c>
      <c r="AD11" s="67">
        <v>50</v>
      </c>
      <c r="AE11" s="87">
        <v>31.5</v>
      </c>
      <c r="AF11" s="58">
        <f t="shared" si="6"/>
        <v>1</v>
      </c>
      <c r="AG11" s="67">
        <v>50</v>
      </c>
      <c r="AH11" s="62">
        <v>40</v>
      </c>
      <c r="AJ11" s="107"/>
      <c r="AK11" s="104"/>
      <c r="AL11" s="98"/>
      <c r="AM11" s="96"/>
      <c r="AN11" s="98"/>
      <c r="AY11" s="51"/>
      <c r="AZ11" s="35"/>
      <c r="BA11" s="52"/>
      <c r="BB11" s="35" t="e">
        <f t="shared" si="7"/>
        <v>#N/A</v>
      </c>
      <c r="BC11" s="57" t="s">
        <v>136</v>
      </c>
      <c r="BD11" s="35">
        <v>80</v>
      </c>
      <c r="BE11" s="54"/>
      <c r="BF11" s="73">
        <f t="shared" si="8"/>
        <v>0</v>
      </c>
      <c r="BG11" s="57" t="s">
        <v>136</v>
      </c>
      <c r="BH11" s="35">
        <v>25</v>
      </c>
      <c r="BI11" s="56">
        <v>8</v>
      </c>
      <c r="BJ11" s="52"/>
      <c r="BK11" s="35"/>
      <c r="BL11" s="57"/>
      <c r="BM11" s="35"/>
      <c r="BN11" s="52"/>
      <c r="BO11" s="73" t="e">
        <f t="shared" si="9"/>
        <v>#N/A</v>
      </c>
      <c r="BP11" s="57" t="s">
        <v>81</v>
      </c>
      <c r="BQ11" s="56">
        <v>80</v>
      </c>
      <c r="BR11" s="52"/>
      <c r="BS11" s="73" t="e">
        <f t="shared" si="10"/>
        <v>#N/A</v>
      </c>
      <c r="BT11" s="57" t="s">
        <v>81</v>
      </c>
      <c r="BU11" s="56">
        <v>80</v>
      </c>
      <c r="BV11" s="52"/>
      <c r="BW11" s="35" t="e">
        <f t="shared" si="11"/>
        <v>#N/A</v>
      </c>
      <c r="BX11" s="57" t="s">
        <v>136</v>
      </c>
      <c r="BY11" s="35">
        <v>80</v>
      </c>
      <c r="BZ11" s="52"/>
      <c r="CA11" s="35" t="e">
        <f t="shared" si="12"/>
        <v>#N/A</v>
      </c>
      <c r="CB11" s="57" t="s">
        <v>136</v>
      </c>
      <c r="CC11" s="35">
        <v>80</v>
      </c>
      <c r="CD11" s="52"/>
      <c r="CE11" s="35"/>
      <c r="CF11" s="57"/>
      <c r="CG11" s="35"/>
      <c r="CH11" s="52"/>
      <c r="CI11" s="35"/>
      <c r="CJ11" s="80"/>
      <c r="CK11" s="32"/>
      <c r="CL11" s="32"/>
      <c r="CM11" s="32"/>
      <c r="CN11" s="32"/>
      <c r="CO11" s="54"/>
      <c r="CS11" s="54"/>
      <c r="CT11" s="52"/>
      <c r="CU11" s="35">
        <f t="shared" si="14"/>
        <v>0</v>
      </c>
      <c r="CV11" s="57" t="s">
        <v>130</v>
      </c>
      <c r="CW11" s="62" t="s">
        <v>194</v>
      </c>
      <c r="CX11" s="54"/>
      <c r="CY11" s="35"/>
      <c r="CZ11" s="57"/>
      <c r="DA11" s="35"/>
      <c r="DB11" s="54"/>
      <c r="DC11" s="35"/>
      <c r="DD11" s="57"/>
      <c r="DE11" s="56"/>
    </row>
    <row r="12" spans="1:109" x14ac:dyDescent="0.25">
      <c r="A12" s="187"/>
      <c r="B12" s="187"/>
      <c r="C12" s="187"/>
      <c r="D12" s="187"/>
      <c r="E12" s="187" t="s">
        <v>173</v>
      </c>
      <c r="F12" s="187" t="e">
        <f>VLOOKUP(1,N4:Q17,2,0)</f>
        <v>#N/A</v>
      </c>
      <c r="G12" s="187"/>
      <c r="H12" s="187"/>
      <c r="I12" s="195">
        <f t="shared" si="1"/>
        <v>0</v>
      </c>
      <c r="J12" s="196">
        <v>100</v>
      </c>
      <c r="K12" s="196"/>
      <c r="L12" s="196"/>
      <c r="M12" s="197"/>
      <c r="N12" s="195">
        <f t="shared" si="2"/>
        <v>0</v>
      </c>
      <c r="O12" s="196">
        <v>100</v>
      </c>
      <c r="P12" s="196"/>
      <c r="Q12" s="197"/>
      <c r="R12" s="196">
        <f t="shared" si="3"/>
        <v>0</v>
      </c>
      <c r="S12" s="196">
        <v>80</v>
      </c>
      <c r="T12" s="196"/>
      <c r="U12" s="197"/>
      <c r="W12" s="63"/>
      <c r="X12" s="58"/>
      <c r="Y12" s="58"/>
      <c r="Z12" s="55">
        <f t="shared" si="4"/>
        <v>1</v>
      </c>
      <c r="AA12" s="67">
        <v>50</v>
      </c>
      <c r="AB12" s="62">
        <v>31.5</v>
      </c>
      <c r="AC12" s="55">
        <f t="shared" si="5"/>
        <v>1</v>
      </c>
      <c r="AD12" s="67">
        <v>50</v>
      </c>
      <c r="AE12" s="87">
        <v>40</v>
      </c>
      <c r="AF12" s="58">
        <f t="shared" si="6"/>
        <v>1</v>
      </c>
      <c r="AG12" s="67">
        <v>65</v>
      </c>
      <c r="AH12" s="62">
        <v>63</v>
      </c>
      <c r="AY12" s="51"/>
      <c r="AZ12" s="35"/>
      <c r="BA12" s="52"/>
      <c r="BB12" s="35" t="e">
        <f t="shared" si="7"/>
        <v>#N/A</v>
      </c>
      <c r="BC12" s="57" t="s">
        <v>138</v>
      </c>
      <c r="BD12" s="35">
        <v>100</v>
      </c>
      <c r="BE12" s="54"/>
      <c r="BF12" s="73">
        <f t="shared" si="8"/>
        <v>0</v>
      </c>
      <c r="BG12" s="57" t="s">
        <v>138</v>
      </c>
      <c r="BH12" s="35">
        <v>25</v>
      </c>
      <c r="BI12" s="56">
        <v>10</v>
      </c>
      <c r="BJ12" s="52"/>
      <c r="BK12" s="35"/>
      <c r="BL12" s="57"/>
      <c r="BM12" s="35"/>
      <c r="BN12" s="52"/>
      <c r="BO12" s="73" t="e">
        <f t="shared" si="9"/>
        <v>#N/A</v>
      </c>
      <c r="BP12" s="57" t="s">
        <v>81</v>
      </c>
      <c r="BQ12" s="56">
        <v>100</v>
      </c>
      <c r="BR12" s="52"/>
      <c r="BS12" s="73" t="e">
        <f t="shared" si="10"/>
        <v>#N/A</v>
      </c>
      <c r="BT12" s="57" t="s">
        <v>81</v>
      </c>
      <c r="BU12" s="56">
        <v>100</v>
      </c>
      <c r="BV12" s="52"/>
      <c r="BW12" s="35" t="e">
        <f t="shared" si="11"/>
        <v>#N/A</v>
      </c>
      <c r="BX12" s="57" t="s">
        <v>138</v>
      </c>
      <c r="BY12" s="35">
        <v>100</v>
      </c>
      <c r="BZ12" s="52"/>
      <c r="CA12" s="35" t="e">
        <f t="shared" si="12"/>
        <v>#N/A</v>
      </c>
      <c r="CB12" s="57" t="s">
        <v>138</v>
      </c>
      <c r="CC12" s="35">
        <v>100</v>
      </c>
      <c r="CD12" s="52"/>
      <c r="CE12" s="35"/>
      <c r="CF12" s="57"/>
      <c r="CG12" s="35"/>
      <c r="CH12" s="52"/>
      <c r="CI12" s="35"/>
      <c r="CJ12" s="32"/>
      <c r="CK12" s="58"/>
      <c r="CL12" s="58"/>
      <c r="CM12" s="58"/>
      <c r="CN12" s="58"/>
      <c r="CO12" s="54"/>
      <c r="CS12" s="54"/>
      <c r="CT12" s="52"/>
      <c r="CU12" s="35">
        <f t="shared" si="14"/>
        <v>0</v>
      </c>
      <c r="CV12" s="57" t="s">
        <v>136</v>
      </c>
      <c r="CW12" s="62" t="s">
        <v>200</v>
      </c>
      <c r="CX12" s="54"/>
      <c r="CY12" s="35"/>
      <c r="CZ12" s="57"/>
      <c r="DA12" s="35"/>
      <c r="DB12" s="54"/>
      <c r="DC12" s="35"/>
      <c r="DD12" s="57"/>
      <c r="DE12" s="56"/>
    </row>
    <row r="13" spans="1:109" x14ac:dyDescent="0.25">
      <c r="A13" s="193"/>
      <c r="B13" s="187"/>
      <c r="C13" s="198"/>
      <c r="D13" s="187"/>
      <c r="E13" s="200" t="e">
        <f>VLOOKUP(1,AP3:AR9,3,0)</f>
        <v>#N/A</v>
      </c>
      <c r="F13" s="200"/>
      <c r="G13" s="187"/>
      <c r="H13" s="187"/>
      <c r="I13" s="195">
        <f t="shared" si="1"/>
        <v>0</v>
      </c>
      <c r="J13" s="196">
        <v>125</v>
      </c>
      <c r="K13" s="196"/>
      <c r="L13" s="196"/>
      <c r="M13" s="197"/>
      <c r="N13" s="195">
        <f t="shared" si="2"/>
        <v>0</v>
      </c>
      <c r="O13" s="196">
        <v>125</v>
      </c>
      <c r="P13" s="196"/>
      <c r="Q13" s="197"/>
      <c r="R13" s="196">
        <f t="shared" si="3"/>
        <v>0</v>
      </c>
      <c r="S13" s="196">
        <v>100</v>
      </c>
      <c r="T13" s="196"/>
      <c r="U13" s="197"/>
      <c r="W13" s="63"/>
      <c r="X13" s="78"/>
      <c r="Y13" s="58"/>
      <c r="Z13" s="55">
        <f t="shared" si="4"/>
        <v>1</v>
      </c>
      <c r="AA13" s="67">
        <v>50</v>
      </c>
      <c r="AB13" s="62">
        <v>40</v>
      </c>
      <c r="AC13" s="55">
        <f t="shared" si="5"/>
        <v>1</v>
      </c>
      <c r="AD13" s="67">
        <v>65</v>
      </c>
      <c r="AE13" s="87">
        <v>50</v>
      </c>
      <c r="AF13" s="58">
        <f t="shared" si="6"/>
        <v>1</v>
      </c>
      <c r="AG13" s="67">
        <v>80</v>
      </c>
      <c r="AH13" s="62">
        <v>100</v>
      </c>
      <c r="AY13" s="51"/>
      <c r="AZ13" s="35"/>
      <c r="BA13" s="52"/>
      <c r="BB13" s="35" t="e">
        <f t="shared" si="7"/>
        <v>#N/A</v>
      </c>
      <c r="BC13" s="57" t="s">
        <v>140</v>
      </c>
      <c r="BD13" s="35">
        <v>125</v>
      </c>
      <c r="BE13" s="54"/>
      <c r="BF13" s="73">
        <f t="shared" si="8"/>
        <v>0</v>
      </c>
      <c r="BG13" s="57" t="s">
        <v>140</v>
      </c>
      <c r="BH13" s="35">
        <v>32</v>
      </c>
      <c r="BI13" s="56">
        <v>12.5</v>
      </c>
      <c r="BJ13" s="52"/>
      <c r="BK13" s="35"/>
      <c r="BL13" s="57"/>
      <c r="BM13" s="35"/>
      <c r="BN13" s="52"/>
      <c r="BO13" s="73" t="e">
        <f t="shared" si="9"/>
        <v>#N/A</v>
      </c>
      <c r="BP13" s="57" t="s">
        <v>81</v>
      </c>
      <c r="BQ13" s="56">
        <v>125</v>
      </c>
      <c r="BR13" s="52"/>
      <c r="BS13" s="73" t="e">
        <f t="shared" si="10"/>
        <v>#N/A</v>
      </c>
      <c r="BT13" s="57" t="s">
        <v>81</v>
      </c>
      <c r="BU13" s="56">
        <v>125</v>
      </c>
      <c r="BV13" s="52"/>
      <c r="BW13" s="35" t="e">
        <f t="shared" si="11"/>
        <v>#N/A</v>
      </c>
      <c r="BX13" s="57" t="s">
        <v>140</v>
      </c>
      <c r="BY13" s="35">
        <v>125</v>
      </c>
      <c r="BZ13" s="52"/>
      <c r="CA13" s="35" t="e">
        <f t="shared" si="12"/>
        <v>#N/A</v>
      </c>
      <c r="CB13" s="57" t="s">
        <v>140</v>
      </c>
      <c r="CC13" s="35">
        <v>125</v>
      </c>
      <c r="CD13" s="52"/>
      <c r="CE13" s="35"/>
      <c r="CF13" s="57"/>
      <c r="CG13" s="35"/>
      <c r="CH13" s="52"/>
      <c r="CI13" s="35"/>
      <c r="CJ13" s="32"/>
      <c r="CK13" s="80"/>
      <c r="CL13" s="35"/>
      <c r="CM13" s="32"/>
      <c r="CN13" s="80"/>
      <c r="CO13" s="54"/>
      <c r="CP13" s="58"/>
      <c r="CQ13" s="80"/>
      <c r="CR13" s="58"/>
      <c r="CS13" s="54"/>
      <c r="CT13" s="52"/>
      <c r="CU13" s="35">
        <f t="shared" si="14"/>
        <v>0</v>
      </c>
      <c r="CV13" s="57" t="s">
        <v>138</v>
      </c>
      <c r="CW13" s="62" t="s">
        <v>206</v>
      </c>
      <c r="CX13" s="54"/>
      <c r="CY13" s="35"/>
      <c r="CZ13" s="57"/>
      <c r="DA13" s="35"/>
      <c r="DB13" s="54"/>
      <c r="DC13" s="35"/>
      <c r="DD13" s="57"/>
      <c r="DE13" s="56"/>
    </row>
    <row r="14" spans="1:109" x14ac:dyDescent="0.25">
      <c r="A14" s="193" t="s">
        <v>31</v>
      </c>
      <c r="B14" s="200">
        <f>'ol4'!O36</f>
        <v>0</v>
      </c>
      <c r="C14" s="200"/>
      <c r="D14" s="187"/>
      <c r="E14" s="187"/>
      <c r="F14" s="187"/>
      <c r="G14" s="187"/>
      <c r="H14" s="187"/>
      <c r="I14" s="195">
        <f t="shared" si="1"/>
        <v>0</v>
      </c>
      <c r="J14" s="196">
        <v>150</v>
      </c>
      <c r="K14" s="196"/>
      <c r="L14" s="196"/>
      <c r="M14" s="197"/>
      <c r="N14" s="195">
        <f t="shared" si="2"/>
        <v>0</v>
      </c>
      <c r="O14" s="196">
        <v>150</v>
      </c>
      <c r="P14" s="196"/>
      <c r="Q14" s="197"/>
      <c r="R14" s="196">
        <f t="shared" si="3"/>
        <v>0</v>
      </c>
      <c r="S14" s="196">
        <v>125</v>
      </c>
      <c r="T14" s="196"/>
      <c r="U14" s="197"/>
      <c r="W14" s="55"/>
      <c r="X14" s="58"/>
      <c r="Y14" s="58"/>
      <c r="Z14" s="55">
        <f t="shared" si="4"/>
        <v>1</v>
      </c>
      <c r="AA14" s="67">
        <v>65</v>
      </c>
      <c r="AB14" s="62">
        <v>50</v>
      </c>
      <c r="AC14" s="55">
        <f t="shared" si="5"/>
        <v>1</v>
      </c>
      <c r="AD14" s="67">
        <v>65</v>
      </c>
      <c r="AE14" s="87">
        <v>63</v>
      </c>
      <c r="AF14" s="58">
        <f t="shared" si="6"/>
        <v>1</v>
      </c>
      <c r="AG14" s="67">
        <v>100</v>
      </c>
      <c r="AH14" s="62">
        <v>160</v>
      </c>
      <c r="AY14" s="51"/>
      <c r="AZ14" s="35"/>
      <c r="BA14" s="52"/>
      <c r="BB14" s="35" t="e">
        <f t="shared" si="7"/>
        <v>#N/A</v>
      </c>
      <c r="BC14" s="57" t="s">
        <v>141</v>
      </c>
      <c r="BD14" s="35">
        <v>150</v>
      </c>
      <c r="BE14" s="54"/>
      <c r="BF14" s="73">
        <f t="shared" si="8"/>
        <v>0</v>
      </c>
      <c r="BG14" s="57" t="s">
        <v>141</v>
      </c>
      <c r="BH14" s="35">
        <v>32</v>
      </c>
      <c r="BI14" s="56">
        <v>16</v>
      </c>
      <c r="BJ14" s="52"/>
      <c r="BK14" s="35"/>
      <c r="BL14" s="57"/>
      <c r="BM14" s="35"/>
      <c r="BN14" s="52"/>
      <c r="BO14" s="73" t="e">
        <f t="shared" si="9"/>
        <v>#N/A</v>
      </c>
      <c r="BP14" s="57" t="s">
        <v>81</v>
      </c>
      <c r="BQ14" s="56">
        <v>150</v>
      </c>
      <c r="BR14" s="52"/>
      <c r="BS14" s="73" t="e">
        <f t="shared" si="10"/>
        <v>#N/A</v>
      </c>
      <c r="BT14" s="57" t="s">
        <v>81</v>
      </c>
      <c r="BU14" s="56">
        <v>150</v>
      </c>
      <c r="BV14" s="52"/>
      <c r="BW14" s="35" t="e">
        <f t="shared" si="11"/>
        <v>#N/A</v>
      </c>
      <c r="BX14" s="57" t="s">
        <v>141</v>
      </c>
      <c r="BY14" s="35">
        <v>150</v>
      </c>
      <c r="BZ14" s="52"/>
      <c r="CA14" s="35" t="e">
        <f t="shared" si="12"/>
        <v>#N/A</v>
      </c>
      <c r="CB14" s="57" t="s">
        <v>141</v>
      </c>
      <c r="CC14" s="35">
        <v>150</v>
      </c>
      <c r="CD14" s="52"/>
      <c r="CE14" s="35"/>
      <c r="CF14" s="57"/>
      <c r="CG14" s="35"/>
      <c r="CH14" s="52"/>
      <c r="CI14" s="35"/>
      <c r="CJ14" s="32"/>
      <c r="CK14" s="80"/>
      <c r="CL14" s="35"/>
      <c r="CM14" s="32"/>
      <c r="CN14" s="80"/>
      <c r="CO14" s="54"/>
      <c r="CP14" s="58"/>
      <c r="CQ14" s="80"/>
      <c r="CR14" s="58"/>
      <c r="CS14" s="54"/>
      <c r="CT14" s="52"/>
      <c r="CU14" s="35">
        <f t="shared" si="14"/>
        <v>0</v>
      </c>
      <c r="CV14" s="57" t="s">
        <v>140</v>
      </c>
      <c r="CW14" s="62" t="s">
        <v>207</v>
      </c>
      <c r="CX14" s="54"/>
      <c r="CY14" s="35"/>
      <c r="CZ14" s="57"/>
      <c r="DA14" s="35"/>
      <c r="DB14" s="54"/>
      <c r="DC14" s="35"/>
      <c r="DD14" s="57"/>
      <c r="DE14" s="56"/>
    </row>
    <row r="15" spans="1:109" x14ac:dyDescent="0.25">
      <c r="A15" s="193" t="s">
        <v>32</v>
      </c>
      <c r="B15" s="200">
        <f>'ol4'!I36</f>
        <v>0</v>
      </c>
      <c r="C15" s="200"/>
      <c r="D15" s="187"/>
      <c r="E15" s="187" t="s">
        <v>208</v>
      </c>
      <c r="F15" s="187">
        <f>3.6*B4*1.163/0.42</f>
        <v>3.987428571428572</v>
      </c>
      <c r="G15" s="187"/>
      <c r="H15" s="187"/>
      <c r="I15" s="195">
        <f t="shared" si="1"/>
        <v>0</v>
      </c>
      <c r="J15" s="196">
        <v>200</v>
      </c>
      <c r="K15" s="196"/>
      <c r="L15" s="196"/>
      <c r="M15" s="197"/>
      <c r="N15" s="195">
        <f t="shared" si="2"/>
        <v>0</v>
      </c>
      <c r="O15" s="196">
        <v>200</v>
      </c>
      <c r="P15" s="196"/>
      <c r="Q15" s="197"/>
      <c r="R15" s="196">
        <f t="shared" si="3"/>
        <v>0</v>
      </c>
      <c r="S15" s="196">
        <v>150</v>
      </c>
      <c r="T15" s="196"/>
      <c r="U15" s="197"/>
      <c r="W15" s="55"/>
      <c r="X15" s="58"/>
      <c r="Y15" s="58"/>
      <c r="Z15" s="55">
        <f t="shared" si="4"/>
        <v>1</v>
      </c>
      <c r="AA15" s="67">
        <v>65</v>
      </c>
      <c r="AB15" s="62">
        <v>63</v>
      </c>
      <c r="AC15" s="55">
        <f t="shared" si="5"/>
        <v>1</v>
      </c>
      <c r="AD15" s="67">
        <v>80</v>
      </c>
      <c r="AE15" s="87">
        <v>80</v>
      </c>
      <c r="AF15" s="58">
        <f t="shared" si="6"/>
        <v>1</v>
      </c>
      <c r="AG15" s="67">
        <v>125</v>
      </c>
      <c r="AH15" s="62">
        <v>250</v>
      </c>
      <c r="AY15" s="51"/>
      <c r="AZ15" s="35"/>
      <c r="BA15" s="52"/>
      <c r="BB15" s="35" t="e">
        <f t="shared" si="7"/>
        <v>#N/A</v>
      </c>
      <c r="BC15" s="57" t="s">
        <v>142</v>
      </c>
      <c r="BD15" s="35">
        <v>200</v>
      </c>
      <c r="BE15" s="54"/>
      <c r="BF15" s="73">
        <f t="shared" si="8"/>
        <v>0</v>
      </c>
      <c r="BG15" s="57" t="s">
        <v>142</v>
      </c>
      <c r="BH15" s="35">
        <v>40</v>
      </c>
      <c r="BI15" s="56">
        <v>20</v>
      </c>
      <c r="BJ15" s="52"/>
      <c r="BK15" s="35"/>
      <c r="BL15" s="57"/>
      <c r="BM15" s="35"/>
      <c r="BN15" s="52"/>
      <c r="BO15" s="73" t="e">
        <f t="shared" si="9"/>
        <v>#N/A</v>
      </c>
      <c r="BP15" s="57" t="s">
        <v>81</v>
      </c>
      <c r="BQ15" s="56">
        <v>200</v>
      </c>
      <c r="BR15" s="52"/>
      <c r="BS15" s="73" t="e">
        <f t="shared" si="10"/>
        <v>#N/A</v>
      </c>
      <c r="BT15" s="57" t="s">
        <v>81</v>
      </c>
      <c r="BU15" s="56">
        <v>200</v>
      </c>
      <c r="BV15" s="52"/>
      <c r="BW15" s="35" t="e">
        <f t="shared" si="11"/>
        <v>#N/A</v>
      </c>
      <c r="BX15" s="57" t="s">
        <v>142</v>
      </c>
      <c r="BY15" s="35">
        <v>200</v>
      </c>
      <c r="BZ15" s="52"/>
      <c r="CA15" s="35" t="e">
        <f t="shared" si="12"/>
        <v>#N/A</v>
      </c>
      <c r="CB15" s="57" t="s">
        <v>142</v>
      </c>
      <c r="CC15" s="35">
        <v>200</v>
      </c>
      <c r="CD15" s="52"/>
      <c r="CE15" s="35"/>
      <c r="CF15" s="57"/>
      <c r="CG15" s="35"/>
      <c r="CH15" s="52"/>
      <c r="CI15" s="35"/>
      <c r="CJ15" s="32"/>
      <c r="CK15" s="58"/>
      <c r="CL15" s="58"/>
      <c r="CM15" s="58"/>
      <c r="CN15" s="58"/>
      <c r="CO15" s="54"/>
      <c r="CP15" s="58"/>
      <c r="CQ15" s="58"/>
      <c r="CR15" s="58"/>
      <c r="CS15" s="54"/>
      <c r="CT15" s="52"/>
      <c r="CU15" s="35">
        <f t="shared" si="14"/>
        <v>0</v>
      </c>
      <c r="CV15" s="57" t="s">
        <v>141</v>
      </c>
      <c r="CW15" s="62" t="s">
        <v>209</v>
      </c>
      <c r="CX15" s="54"/>
      <c r="CY15" s="35"/>
      <c r="CZ15" s="57"/>
      <c r="DA15" s="35"/>
      <c r="DB15" s="54"/>
      <c r="DC15" s="35"/>
      <c r="DD15" s="57"/>
      <c r="DE15" s="56"/>
    </row>
    <row r="16" spans="1:109" x14ac:dyDescent="0.25">
      <c r="A16" s="193" t="s">
        <v>143</v>
      </c>
      <c r="B16" s="200">
        <f>'ol4'!U36</f>
        <v>0</v>
      </c>
      <c r="C16" s="200"/>
      <c r="D16" s="187"/>
      <c r="E16" s="187" t="s">
        <v>174</v>
      </c>
      <c r="F16" s="187" t="e">
        <f>VLOOKUP(1,R4:U17,2,0)</f>
        <v>#N/A</v>
      </c>
      <c r="G16" s="187"/>
      <c r="H16" s="187"/>
      <c r="I16" s="195">
        <f t="shared" si="1"/>
        <v>0</v>
      </c>
      <c r="J16" s="196">
        <v>250</v>
      </c>
      <c r="K16" s="196"/>
      <c r="L16" s="196"/>
      <c r="M16" s="197"/>
      <c r="N16" s="195">
        <f t="shared" si="2"/>
        <v>0</v>
      </c>
      <c r="O16" s="196">
        <v>250</v>
      </c>
      <c r="P16" s="196"/>
      <c r="Q16" s="197"/>
      <c r="R16" s="196">
        <f t="shared" si="3"/>
        <v>0</v>
      </c>
      <c r="S16" s="196">
        <v>200</v>
      </c>
      <c r="T16" s="196"/>
      <c r="U16" s="197"/>
      <c r="W16" s="55"/>
      <c r="X16" s="58"/>
      <c r="Y16" s="58"/>
      <c r="Z16" s="55">
        <f t="shared" si="4"/>
        <v>1</v>
      </c>
      <c r="AA16" s="67">
        <v>80</v>
      </c>
      <c r="AB16" s="62">
        <v>80</v>
      </c>
      <c r="AC16" s="55">
        <f t="shared" si="5"/>
        <v>1</v>
      </c>
      <c r="AD16" s="67">
        <v>80</v>
      </c>
      <c r="AE16" s="87">
        <v>100</v>
      </c>
      <c r="AF16" s="58">
        <f t="shared" si="6"/>
        <v>1</v>
      </c>
      <c r="AG16" s="67">
        <v>150</v>
      </c>
      <c r="AH16" s="62">
        <v>400</v>
      </c>
      <c r="AY16" s="51"/>
      <c r="AZ16" s="35"/>
      <c r="BA16" s="52"/>
      <c r="BB16" s="35"/>
      <c r="BC16" s="57"/>
      <c r="BD16" s="35"/>
      <c r="BE16" s="54"/>
      <c r="BF16" s="73">
        <f t="shared" si="8"/>
        <v>1</v>
      </c>
      <c r="BG16" s="57" t="s">
        <v>145</v>
      </c>
      <c r="BH16" s="35">
        <v>40</v>
      </c>
      <c r="BI16" s="56">
        <v>25</v>
      </c>
      <c r="BJ16" s="52"/>
      <c r="BK16" s="35"/>
      <c r="BL16" s="57"/>
      <c r="BM16" s="35"/>
      <c r="BN16" s="54"/>
      <c r="BO16" s="55"/>
      <c r="BP16" s="58"/>
      <c r="BQ16" s="62"/>
      <c r="BR16" s="54"/>
      <c r="BS16" s="58"/>
      <c r="BT16" s="58"/>
      <c r="BU16" s="62"/>
      <c r="BV16" s="54"/>
      <c r="BW16" s="58"/>
      <c r="BX16" s="58"/>
      <c r="BY16" s="58"/>
      <c r="BZ16" s="54"/>
      <c r="CA16" s="58"/>
      <c r="CB16" s="58"/>
      <c r="CC16" s="58"/>
      <c r="CD16" s="54"/>
      <c r="CE16" s="58"/>
      <c r="CF16" s="58"/>
      <c r="CG16" s="58"/>
      <c r="CH16" s="54"/>
      <c r="CI16" s="35"/>
      <c r="CJ16" s="58"/>
      <c r="CK16" s="58"/>
      <c r="CL16" s="58"/>
      <c r="CM16" s="58"/>
      <c r="CN16" s="58"/>
      <c r="CO16" s="54"/>
      <c r="CP16" s="58"/>
      <c r="CQ16" s="58"/>
      <c r="CR16" s="58"/>
      <c r="CS16" s="54"/>
      <c r="CT16" s="54"/>
      <c r="CU16" s="35">
        <f t="shared" si="14"/>
        <v>0</v>
      </c>
      <c r="CV16" s="57" t="s">
        <v>142</v>
      </c>
      <c r="CW16" s="62" t="s">
        <v>210</v>
      </c>
      <c r="CX16" s="54"/>
      <c r="CY16" s="58"/>
      <c r="CZ16" s="58"/>
      <c r="DA16" s="58"/>
      <c r="DB16" s="54"/>
      <c r="DC16" s="58"/>
      <c r="DD16" s="58"/>
      <c r="DE16" s="62"/>
    </row>
    <row r="17" spans="1:109" x14ac:dyDescent="0.25">
      <c r="A17" s="193" t="s">
        <v>69</v>
      </c>
      <c r="B17" s="200">
        <f>'ol4'!AA36</f>
        <v>0</v>
      </c>
      <c r="C17" s="200"/>
      <c r="D17" s="187"/>
      <c r="E17" s="187" t="s">
        <v>56</v>
      </c>
      <c r="F17" s="187">
        <f>F15</f>
        <v>3.987428571428572</v>
      </c>
      <c r="G17" s="187"/>
      <c r="H17" s="187"/>
      <c r="I17" s="195">
        <f t="shared" si="1"/>
        <v>0</v>
      </c>
      <c r="J17" s="196">
        <v>300</v>
      </c>
      <c r="K17" s="196"/>
      <c r="L17" s="196"/>
      <c r="M17" s="197"/>
      <c r="N17" s="195">
        <f t="shared" si="2"/>
        <v>0</v>
      </c>
      <c r="O17" s="196">
        <v>300</v>
      </c>
      <c r="P17" s="196"/>
      <c r="Q17" s="197"/>
      <c r="R17" s="196">
        <f t="shared" si="3"/>
        <v>0</v>
      </c>
      <c r="S17" s="196">
        <v>250</v>
      </c>
      <c r="T17" s="196"/>
      <c r="U17" s="197"/>
      <c r="W17" s="55"/>
      <c r="X17" s="58"/>
      <c r="Y17" s="58"/>
      <c r="Z17" s="55">
        <f t="shared" si="4"/>
        <v>1</v>
      </c>
      <c r="AA17" s="67">
        <v>80</v>
      </c>
      <c r="AB17" s="62">
        <v>100</v>
      </c>
      <c r="AC17" s="81">
        <f t="shared" si="5"/>
        <v>1</v>
      </c>
      <c r="AD17" s="67">
        <v>100</v>
      </c>
      <c r="AE17" s="87">
        <v>125</v>
      </c>
      <c r="AF17" s="58"/>
      <c r="AG17" s="58"/>
      <c r="AH17" s="62"/>
      <c r="AY17" s="51"/>
      <c r="AZ17" s="35"/>
      <c r="BA17" s="52"/>
      <c r="BB17" s="35"/>
      <c r="BC17" s="57"/>
      <c r="BD17" s="35"/>
      <c r="BE17" s="54"/>
      <c r="BF17" s="73">
        <f t="shared" si="8"/>
        <v>0</v>
      </c>
      <c r="BG17" s="57" t="s">
        <v>146</v>
      </c>
      <c r="BH17" s="35">
        <v>50</v>
      </c>
      <c r="BI17" s="56">
        <v>31.5</v>
      </c>
      <c r="BJ17" s="52"/>
      <c r="BK17" s="35"/>
      <c r="BL17" s="57"/>
      <c r="BM17" s="35"/>
      <c r="BN17" s="54"/>
      <c r="BO17" s="55"/>
      <c r="BP17" s="58"/>
      <c r="BQ17" s="62"/>
      <c r="BR17" s="54"/>
      <c r="BS17" s="58"/>
      <c r="BT17" s="58"/>
      <c r="BU17" s="62"/>
      <c r="BV17" s="54"/>
      <c r="BW17" s="58"/>
      <c r="BX17" s="58"/>
      <c r="BY17" s="58"/>
      <c r="BZ17" s="54"/>
      <c r="CA17" s="58"/>
      <c r="CB17" s="58"/>
      <c r="CC17" s="58"/>
      <c r="CD17" s="54"/>
      <c r="CE17" s="58"/>
      <c r="CF17" s="58"/>
      <c r="CG17" s="58"/>
      <c r="CH17" s="54"/>
      <c r="CI17" s="35"/>
      <c r="CJ17" s="58"/>
      <c r="CK17" s="58"/>
      <c r="CL17" s="58"/>
      <c r="CM17" s="58"/>
      <c r="CN17" s="58"/>
      <c r="CO17" s="54"/>
      <c r="CP17" s="58"/>
      <c r="CQ17" s="58"/>
      <c r="CR17" s="58"/>
      <c r="CS17" s="54"/>
      <c r="CT17" s="54"/>
      <c r="CU17" s="35">
        <f t="shared" si="14"/>
        <v>0</v>
      </c>
      <c r="CV17" s="57" t="s">
        <v>145</v>
      </c>
      <c r="CW17" s="62" t="s">
        <v>211</v>
      </c>
      <c r="CX17" s="54"/>
      <c r="CY17" s="58"/>
      <c r="CZ17" s="58"/>
      <c r="DA17" s="58"/>
      <c r="DB17" s="54"/>
      <c r="DC17" s="58"/>
      <c r="DD17" s="58"/>
      <c r="DE17" s="62"/>
    </row>
    <row r="18" spans="1:109" x14ac:dyDescent="0.25">
      <c r="A18" s="193"/>
      <c r="B18" s="187"/>
      <c r="C18" s="198"/>
      <c r="D18" s="187"/>
      <c r="E18" s="200" t="e">
        <f>VLOOKUP(1,IF(B15="Stratos-Z",AK4:AL8,IF(B15="Yonos MAXO-Z",AM4:AN8,0)),2,0)</f>
        <v>#N/A</v>
      </c>
      <c r="F18" s="200"/>
      <c r="G18" s="187"/>
      <c r="H18" s="187"/>
      <c r="I18" s="195"/>
      <c r="J18" s="196"/>
      <c r="K18" s="196"/>
      <c r="L18" s="196"/>
      <c r="M18" s="197"/>
      <c r="N18" s="195"/>
      <c r="O18" s="196"/>
      <c r="P18" s="196"/>
      <c r="Q18" s="197"/>
      <c r="R18" s="196"/>
      <c r="S18" s="196"/>
      <c r="T18" s="196"/>
      <c r="U18" s="197"/>
      <c r="W18" s="55"/>
      <c r="X18" s="58"/>
      <c r="Y18" s="58"/>
      <c r="Z18" s="81">
        <f t="shared" si="4"/>
        <v>1</v>
      </c>
      <c r="AA18" s="67">
        <v>100</v>
      </c>
      <c r="AB18" s="62">
        <v>125</v>
      </c>
      <c r="AC18" s="81">
        <f t="shared" si="5"/>
        <v>1</v>
      </c>
      <c r="AD18" s="67">
        <v>100</v>
      </c>
      <c r="AE18" s="87">
        <v>160</v>
      </c>
      <c r="AF18" s="58"/>
      <c r="AG18" s="58"/>
      <c r="AH18" s="62"/>
      <c r="AY18" s="51"/>
      <c r="AZ18" s="35"/>
      <c r="BA18" s="52"/>
      <c r="BB18" s="35"/>
      <c r="BC18" s="57"/>
      <c r="BD18" s="35"/>
      <c r="BE18" s="54"/>
      <c r="BF18" s="73">
        <f t="shared" si="8"/>
        <v>0</v>
      </c>
      <c r="BG18" s="57" t="s">
        <v>148</v>
      </c>
      <c r="BH18" s="35">
        <v>50</v>
      </c>
      <c r="BI18" s="56">
        <v>40</v>
      </c>
      <c r="BJ18" s="52"/>
      <c r="BK18" s="35"/>
      <c r="BL18" s="57"/>
      <c r="BM18" s="35"/>
      <c r="BN18" s="54"/>
      <c r="BO18" s="55"/>
      <c r="BP18" s="58"/>
      <c r="BQ18" s="62"/>
      <c r="BR18" s="54"/>
      <c r="BS18" s="58"/>
      <c r="BT18" s="58"/>
      <c r="BU18" s="62"/>
      <c r="BV18" s="54"/>
      <c r="BW18" s="58"/>
      <c r="BX18" s="58"/>
      <c r="BY18" s="58"/>
      <c r="BZ18" s="54"/>
      <c r="CA18" s="58"/>
      <c r="CB18" s="58"/>
      <c r="CC18" s="58"/>
      <c r="CD18" s="54"/>
      <c r="CE18" s="58"/>
      <c r="CF18" s="58"/>
      <c r="CG18" s="58"/>
      <c r="CH18" s="54"/>
      <c r="CI18" s="35"/>
      <c r="CJ18" s="58"/>
      <c r="CK18" s="58"/>
      <c r="CL18" s="58"/>
      <c r="CM18" s="58"/>
      <c r="CN18" s="58"/>
      <c r="CO18" s="54"/>
      <c r="CP18" s="58"/>
      <c r="CQ18" s="58"/>
      <c r="CR18" s="58"/>
      <c r="CS18" s="54"/>
      <c r="CT18" s="54"/>
      <c r="CU18" s="35">
        <f t="shared" si="14"/>
        <v>0</v>
      </c>
      <c r="CV18" s="57" t="s">
        <v>146</v>
      </c>
      <c r="CW18" s="62" t="s">
        <v>212</v>
      </c>
      <c r="CX18" s="54"/>
      <c r="CY18" s="58"/>
      <c r="CZ18" s="58"/>
      <c r="DA18" s="58"/>
      <c r="DB18" s="54"/>
      <c r="DC18" s="58"/>
      <c r="DD18" s="58"/>
      <c r="DE18" s="62"/>
    </row>
    <row r="19" spans="1:109" x14ac:dyDescent="0.25">
      <c r="A19" s="193"/>
      <c r="B19" s="187"/>
      <c r="C19" s="198"/>
      <c r="D19" s="187"/>
      <c r="E19" s="187"/>
      <c r="F19" s="187"/>
      <c r="G19" s="187"/>
      <c r="H19" s="187"/>
      <c r="I19" s="195"/>
      <c r="J19" s="202"/>
      <c r="K19" s="196"/>
      <c r="L19" s="196"/>
      <c r="M19" s="197"/>
      <c r="N19" s="195"/>
      <c r="O19" s="196"/>
      <c r="P19" s="196"/>
      <c r="Q19" s="197"/>
      <c r="R19" s="196"/>
      <c r="S19" s="196"/>
      <c r="T19" s="196"/>
      <c r="U19" s="197"/>
      <c r="W19" s="55"/>
      <c r="X19" s="58"/>
      <c r="Y19" s="58"/>
      <c r="Z19" s="81">
        <f t="shared" si="4"/>
        <v>1</v>
      </c>
      <c r="AA19" s="58">
        <v>100</v>
      </c>
      <c r="AB19" s="62">
        <v>160</v>
      </c>
      <c r="AC19" s="81">
        <f t="shared" si="5"/>
        <v>1</v>
      </c>
      <c r="AD19" s="67">
        <v>125</v>
      </c>
      <c r="AE19" s="87">
        <v>200</v>
      </c>
      <c r="AF19" s="58"/>
      <c r="AG19" s="58"/>
      <c r="AH19" s="62"/>
      <c r="AY19" s="51"/>
      <c r="AZ19" s="35"/>
      <c r="BA19" s="52"/>
      <c r="BB19" s="35"/>
      <c r="BC19" s="57"/>
      <c r="BD19" s="35"/>
      <c r="BE19" s="54"/>
      <c r="BF19" s="73">
        <f t="shared" si="8"/>
        <v>0</v>
      </c>
      <c r="BG19" s="57" t="s">
        <v>149</v>
      </c>
      <c r="BH19" s="35">
        <v>65</v>
      </c>
      <c r="BI19" s="56">
        <v>50</v>
      </c>
      <c r="BJ19" s="52"/>
      <c r="BK19" s="35"/>
      <c r="BL19" s="57"/>
      <c r="BM19" s="35"/>
      <c r="BN19" s="54"/>
      <c r="BO19" s="55"/>
      <c r="BP19" s="58"/>
      <c r="BQ19" s="62"/>
      <c r="BR19" s="54"/>
      <c r="BS19" s="58"/>
      <c r="BT19" s="58"/>
      <c r="BU19" s="62"/>
      <c r="BV19" s="54"/>
      <c r="BW19" s="58"/>
      <c r="BX19" s="58"/>
      <c r="BY19" s="58"/>
      <c r="BZ19" s="54"/>
      <c r="CA19" s="58"/>
      <c r="CB19" s="58"/>
      <c r="CC19" s="58"/>
      <c r="CD19" s="54"/>
      <c r="CE19" s="58"/>
      <c r="CF19" s="58"/>
      <c r="CG19" s="58"/>
      <c r="CH19" s="54"/>
      <c r="CI19" s="58"/>
      <c r="CJ19" s="58"/>
      <c r="CK19" s="58"/>
      <c r="CL19" s="58"/>
      <c r="CM19" s="58"/>
      <c r="CN19" s="58"/>
      <c r="CO19" s="54"/>
      <c r="CP19" s="58"/>
      <c r="CQ19" s="58"/>
      <c r="CR19" s="58"/>
      <c r="CS19" s="54"/>
      <c r="CT19" s="54"/>
      <c r="CU19" s="35">
        <f t="shared" si="14"/>
        <v>0</v>
      </c>
      <c r="CV19" s="57" t="s">
        <v>148</v>
      </c>
      <c r="CW19" s="62" t="s">
        <v>213</v>
      </c>
      <c r="CX19" s="54"/>
      <c r="CY19" s="58"/>
      <c r="CZ19" s="58"/>
      <c r="DA19" s="58"/>
      <c r="DB19" s="54"/>
      <c r="DC19" s="58"/>
      <c r="DD19" s="58"/>
      <c r="DE19" s="62"/>
    </row>
    <row r="20" spans="1:109" x14ac:dyDescent="0.25">
      <c r="A20" s="193"/>
      <c r="B20" s="187"/>
      <c r="C20" s="198"/>
      <c r="D20" s="187"/>
      <c r="E20" s="187"/>
      <c r="F20" s="187"/>
      <c r="G20" s="187"/>
      <c r="H20" s="187"/>
      <c r="I20" s="195"/>
      <c r="J20" s="202" t="s">
        <v>150</v>
      </c>
      <c r="K20" s="196">
        <v>958.4</v>
      </c>
      <c r="L20" s="196"/>
      <c r="M20" s="197"/>
      <c r="N20" s="195"/>
      <c r="O20" s="196"/>
      <c r="P20" s="196"/>
      <c r="Q20" s="197"/>
      <c r="R20" s="196"/>
      <c r="S20" s="196"/>
      <c r="T20" s="196"/>
      <c r="U20" s="197"/>
      <c r="W20" s="55"/>
      <c r="X20" s="58"/>
      <c r="Y20" s="58"/>
      <c r="Z20" s="81">
        <f t="shared" si="4"/>
        <v>1</v>
      </c>
      <c r="AA20" s="58">
        <v>125</v>
      </c>
      <c r="AB20" s="62">
        <v>250</v>
      </c>
      <c r="AC20" s="81">
        <f t="shared" si="5"/>
        <v>1</v>
      </c>
      <c r="AD20" s="67">
        <v>125</v>
      </c>
      <c r="AE20" s="87">
        <v>250</v>
      </c>
      <c r="AF20" s="58"/>
      <c r="AG20" s="58"/>
      <c r="AH20" s="62"/>
      <c r="AY20" s="51"/>
      <c r="AZ20" s="35"/>
      <c r="BA20" s="52"/>
      <c r="BB20" s="35"/>
      <c r="BC20" s="57"/>
      <c r="BD20" s="35"/>
      <c r="BE20" s="54"/>
      <c r="BF20" s="73">
        <f t="shared" si="8"/>
        <v>0</v>
      </c>
      <c r="BG20" s="57" t="s">
        <v>151</v>
      </c>
      <c r="BH20" s="35">
        <v>65</v>
      </c>
      <c r="BI20" s="56">
        <v>63</v>
      </c>
      <c r="BJ20" s="52"/>
      <c r="BK20" s="35"/>
      <c r="BL20" s="57"/>
      <c r="BM20" s="35"/>
      <c r="BN20" s="54"/>
      <c r="BO20" s="55"/>
      <c r="BP20" s="58"/>
      <c r="BQ20" s="62"/>
      <c r="BR20" s="54"/>
      <c r="BS20" s="58"/>
      <c r="BT20" s="58"/>
      <c r="BU20" s="62"/>
      <c r="BV20" s="54"/>
      <c r="BW20" s="58"/>
      <c r="BX20" s="58"/>
      <c r="BY20" s="58"/>
      <c r="BZ20" s="54"/>
      <c r="CA20" s="58"/>
      <c r="CB20" s="58"/>
      <c r="CC20" s="58"/>
      <c r="CD20" s="54"/>
      <c r="CE20" s="58"/>
      <c r="CF20" s="58"/>
      <c r="CG20" s="58"/>
      <c r="CH20" s="54"/>
      <c r="CI20" s="58"/>
      <c r="CJ20" s="58"/>
      <c r="CK20" s="58"/>
      <c r="CL20" s="58"/>
      <c r="CM20" s="58"/>
      <c r="CN20" s="58"/>
      <c r="CO20" s="54"/>
      <c r="CP20" s="58"/>
      <c r="CQ20" s="58"/>
      <c r="CR20" s="58"/>
      <c r="CS20" s="54"/>
      <c r="CT20" s="54"/>
      <c r="CU20" s="58"/>
      <c r="CV20" s="58"/>
      <c r="CW20" s="58"/>
      <c r="CX20" s="54"/>
      <c r="CY20" s="58"/>
      <c r="CZ20" s="58"/>
      <c r="DA20" s="58"/>
      <c r="DB20" s="54"/>
      <c r="DC20" s="58"/>
      <c r="DD20" s="58"/>
      <c r="DE20" s="62"/>
    </row>
    <row r="21" spans="1:109" x14ac:dyDescent="0.25">
      <c r="A21" s="187"/>
      <c r="B21" s="187"/>
      <c r="C21" s="187"/>
      <c r="D21" s="187"/>
      <c r="E21" s="187"/>
      <c r="F21" s="187"/>
      <c r="G21" s="187"/>
      <c r="H21" s="187"/>
      <c r="I21" s="203"/>
      <c r="J21" s="204" t="s">
        <v>152</v>
      </c>
      <c r="K21" s="205">
        <v>0.5</v>
      </c>
      <c r="L21" s="205"/>
      <c r="M21" s="206"/>
      <c r="N21" s="203"/>
      <c r="O21" s="205"/>
      <c r="P21" s="205"/>
      <c r="Q21" s="206"/>
      <c r="R21" s="205"/>
      <c r="S21" s="205"/>
      <c r="T21" s="205"/>
      <c r="U21" s="206"/>
      <c r="W21" s="55"/>
      <c r="X21" s="58"/>
      <c r="Y21" s="58"/>
      <c r="Z21" s="81">
        <f t="shared" si="4"/>
        <v>1</v>
      </c>
      <c r="AA21" s="58">
        <v>150</v>
      </c>
      <c r="AB21" s="62">
        <v>315</v>
      </c>
      <c r="AC21" s="81">
        <f t="shared" si="5"/>
        <v>1</v>
      </c>
      <c r="AD21" s="67">
        <v>150</v>
      </c>
      <c r="AE21" s="87">
        <v>315</v>
      </c>
      <c r="AF21" s="58"/>
      <c r="AG21" s="58"/>
      <c r="AH21" s="62"/>
      <c r="AY21" s="51"/>
      <c r="AZ21" s="35"/>
      <c r="BA21" s="52"/>
      <c r="BB21" s="35"/>
      <c r="BC21" s="57"/>
      <c r="BD21" s="35"/>
      <c r="BE21" s="54"/>
      <c r="BF21" s="73">
        <f t="shared" si="8"/>
        <v>0</v>
      </c>
      <c r="BG21" s="57" t="s">
        <v>153</v>
      </c>
      <c r="BH21" s="35">
        <v>80</v>
      </c>
      <c r="BI21" s="56">
        <v>80</v>
      </c>
      <c r="BJ21" s="52"/>
      <c r="BK21" s="35"/>
      <c r="BL21" s="57"/>
      <c r="BM21" s="35"/>
      <c r="BN21" s="54"/>
      <c r="BO21" s="55"/>
      <c r="BP21" s="58"/>
      <c r="BQ21" s="62"/>
      <c r="BR21" s="54"/>
      <c r="BS21" s="58"/>
      <c r="BT21" s="58"/>
      <c r="BU21" s="62"/>
      <c r="BV21" s="54"/>
      <c r="BW21" s="58"/>
      <c r="BX21" s="58"/>
      <c r="BY21" s="58"/>
      <c r="BZ21" s="54"/>
      <c r="CA21" s="58"/>
      <c r="CB21" s="58"/>
      <c r="CC21" s="58"/>
      <c r="CD21" s="54"/>
      <c r="CE21" s="58"/>
      <c r="CF21" s="58"/>
      <c r="CG21" s="58"/>
      <c r="CH21" s="54"/>
      <c r="CI21" s="58"/>
      <c r="CJ21" s="58"/>
      <c r="CK21" s="58"/>
      <c r="CL21" s="58"/>
      <c r="CM21" s="58"/>
      <c r="CN21" s="58"/>
      <c r="CO21" s="54"/>
      <c r="CP21" s="58"/>
      <c r="CQ21" s="58"/>
      <c r="CR21" s="58"/>
      <c r="CS21" s="54"/>
      <c r="CT21" s="54"/>
      <c r="CU21" s="58"/>
      <c r="CV21" s="58"/>
      <c r="CW21" s="58"/>
      <c r="CX21" s="54"/>
      <c r="CY21" s="58"/>
      <c r="CZ21" s="58"/>
      <c r="DA21" s="58"/>
      <c r="DB21" s="54"/>
      <c r="DC21" s="58"/>
      <c r="DD21" s="58"/>
      <c r="DE21" s="62"/>
    </row>
    <row r="22" spans="1:109" x14ac:dyDescent="0.25">
      <c r="A22" s="187"/>
      <c r="B22" s="187"/>
      <c r="C22" s="187"/>
      <c r="D22" s="187"/>
      <c r="E22" s="187"/>
      <c r="F22" s="187"/>
      <c r="G22" s="187"/>
      <c r="H22" s="187"/>
      <c r="I22" s="196"/>
      <c r="J22" s="202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W22" s="95"/>
      <c r="X22" s="96"/>
      <c r="Y22" s="96"/>
      <c r="Z22" s="95"/>
      <c r="AA22" s="96"/>
      <c r="AB22" s="98"/>
      <c r="AC22" s="91">
        <f t="shared" si="5"/>
        <v>1</v>
      </c>
      <c r="AD22" s="101">
        <v>150</v>
      </c>
      <c r="AE22" s="102">
        <v>400</v>
      </c>
      <c r="AF22" s="96"/>
      <c r="AG22" s="96"/>
      <c r="AH22" s="98"/>
      <c r="AY22" s="51"/>
      <c r="AZ22" s="35"/>
      <c r="BA22" s="52"/>
      <c r="BB22" s="35"/>
      <c r="BC22" s="57"/>
      <c r="BD22" s="35"/>
      <c r="BE22" s="54"/>
      <c r="BF22" s="73">
        <f t="shared" si="8"/>
        <v>0</v>
      </c>
      <c r="BG22" s="57" t="s">
        <v>154</v>
      </c>
      <c r="BH22" s="35">
        <v>80</v>
      </c>
      <c r="BI22" s="56">
        <v>100</v>
      </c>
      <c r="BJ22" s="52"/>
      <c r="BK22" s="35"/>
      <c r="BL22" s="57"/>
      <c r="BM22" s="35"/>
      <c r="BN22" s="54"/>
      <c r="BO22" s="55"/>
      <c r="BP22" s="58"/>
      <c r="BQ22" s="62"/>
      <c r="BR22" s="54"/>
      <c r="BS22" s="58"/>
      <c r="BT22" s="58"/>
      <c r="BU22" s="62"/>
      <c r="BV22" s="54"/>
      <c r="BW22" s="58"/>
      <c r="BX22" s="58"/>
      <c r="BY22" s="58"/>
      <c r="BZ22" s="54"/>
      <c r="CA22" s="58"/>
      <c r="CB22" s="58"/>
      <c r="CC22" s="58"/>
      <c r="CD22" s="54"/>
      <c r="CE22" s="58"/>
      <c r="CF22" s="58"/>
      <c r="CG22" s="58"/>
      <c r="CH22" s="54"/>
      <c r="CI22" s="58"/>
      <c r="CJ22" s="58"/>
      <c r="CK22" s="58"/>
      <c r="CL22" s="58"/>
      <c r="CM22" s="58"/>
      <c r="CN22" s="58"/>
      <c r="CO22" s="54"/>
      <c r="CP22" s="58"/>
      <c r="CQ22" s="58"/>
      <c r="CR22" s="58"/>
      <c r="CS22" s="54"/>
      <c r="CT22" s="54"/>
      <c r="CU22" s="58"/>
      <c r="CV22" s="58"/>
      <c r="CW22" s="58"/>
      <c r="CX22" s="54"/>
      <c r="CY22" s="58"/>
      <c r="CZ22" s="58"/>
      <c r="DA22" s="58"/>
      <c r="DB22" s="54"/>
      <c r="DC22" s="58"/>
      <c r="DD22" s="58"/>
      <c r="DE22" s="62"/>
    </row>
    <row r="23" spans="1:109" x14ac:dyDescent="0.25">
      <c r="A23" s="187"/>
      <c r="B23" s="187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AY23" s="51"/>
      <c r="AZ23" s="35"/>
      <c r="BA23" s="52"/>
      <c r="BB23" s="35"/>
      <c r="BC23" s="57"/>
      <c r="BD23" s="35"/>
      <c r="BE23" s="54"/>
      <c r="BF23" s="73">
        <f t="shared" si="8"/>
        <v>0</v>
      </c>
      <c r="BG23" s="57" t="s">
        <v>155</v>
      </c>
      <c r="BH23" s="35">
        <v>100</v>
      </c>
      <c r="BI23" s="56">
        <v>125</v>
      </c>
      <c r="BJ23" s="52"/>
      <c r="BK23" s="35"/>
      <c r="BL23" s="57"/>
      <c r="BM23" s="35"/>
      <c r="BN23" s="54"/>
      <c r="BO23" s="55"/>
      <c r="BP23" s="58"/>
      <c r="BQ23" s="62"/>
      <c r="BR23" s="54"/>
      <c r="BS23" s="58"/>
      <c r="BT23" s="58"/>
      <c r="BU23" s="62"/>
      <c r="BV23" s="54"/>
      <c r="BW23" s="58"/>
      <c r="BX23" s="58"/>
      <c r="BY23" s="58"/>
      <c r="BZ23" s="54"/>
      <c r="CA23" s="58"/>
      <c r="CB23" s="58"/>
      <c r="CC23" s="58"/>
      <c r="CD23" s="54"/>
      <c r="CE23" s="58"/>
      <c r="CF23" s="58"/>
      <c r="CG23" s="58"/>
      <c r="CH23" s="54"/>
      <c r="CI23" s="58"/>
      <c r="CJ23" s="58"/>
      <c r="CK23" s="58"/>
      <c r="CL23" s="58"/>
      <c r="CM23" s="58"/>
      <c r="CN23" s="58"/>
      <c r="CO23" s="54"/>
      <c r="CP23" s="58"/>
      <c r="CQ23" s="58"/>
      <c r="CR23" s="58"/>
      <c r="CS23" s="54"/>
      <c r="CT23" s="54"/>
      <c r="CU23" s="58"/>
      <c r="CV23" s="58"/>
      <c r="CW23" s="58"/>
      <c r="CX23" s="54"/>
      <c r="CY23" s="58"/>
      <c r="CZ23" s="58"/>
      <c r="DA23" s="58"/>
      <c r="DB23" s="54"/>
      <c r="DC23" s="58"/>
      <c r="DD23" s="58"/>
      <c r="DE23" s="62"/>
    </row>
    <row r="24" spans="1:109" x14ac:dyDescent="0.25">
      <c r="A24" s="187"/>
      <c r="B24" s="187"/>
      <c r="C24" s="187"/>
      <c r="D24" s="187"/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87"/>
      <c r="R24" s="187"/>
      <c r="S24" s="187"/>
      <c r="T24" s="187"/>
      <c r="U24" s="187"/>
      <c r="AY24" s="51"/>
      <c r="AZ24" s="35"/>
      <c r="BA24" s="52"/>
      <c r="BB24" s="35"/>
      <c r="BC24" s="57"/>
      <c r="BD24" s="35"/>
      <c r="BE24" s="54"/>
      <c r="BF24" s="73">
        <f t="shared" si="8"/>
        <v>0</v>
      </c>
      <c r="BG24" s="57" t="s">
        <v>156</v>
      </c>
      <c r="BH24" s="35">
        <v>100</v>
      </c>
      <c r="BI24" s="56">
        <v>160</v>
      </c>
      <c r="BJ24" s="52"/>
      <c r="BK24" s="35"/>
      <c r="BL24" s="57"/>
      <c r="BM24" s="35"/>
      <c r="BN24" s="54"/>
      <c r="BO24" s="55"/>
      <c r="BP24" s="58"/>
      <c r="BQ24" s="62"/>
      <c r="BR24" s="54"/>
      <c r="BS24" s="58"/>
      <c r="BT24" s="58"/>
      <c r="BU24" s="62"/>
      <c r="BV24" s="54"/>
      <c r="BW24" s="58"/>
      <c r="BX24" s="58"/>
      <c r="BY24" s="58"/>
      <c r="BZ24" s="54"/>
      <c r="CA24" s="58"/>
      <c r="CB24" s="58"/>
      <c r="CC24" s="58"/>
      <c r="CD24" s="54"/>
      <c r="CE24" s="58"/>
      <c r="CF24" s="58"/>
      <c r="CG24" s="58"/>
      <c r="CH24" s="54"/>
      <c r="CI24" s="58"/>
      <c r="CJ24" s="58"/>
      <c r="CK24" s="58"/>
      <c r="CL24" s="58"/>
      <c r="CM24" s="58"/>
      <c r="CN24" s="58"/>
      <c r="CO24" s="54"/>
      <c r="CP24" s="58"/>
      <c r="CQ24" s="58"/>
      <c r="CR24" s="58"/>
      <c r="CS24" s="54"/>
      <c r="CT24" s="54"/>
      <c r="CU24" s="58"/>
      <c r="CV24" s="58"/>
      <c r="CW24" s="58"/>
      <c r="CX24" s="54"/>
      <c r="CY24" s="58"/>
      <c r="CZ24" s="58"/>
      <c r="DA24" s="58"/>
      <c r="DB24" s="54"/>
      <c r="DC24" s="58"/>
      <c r="DD24" s="58"/>
      <c r="DE24" s="62"/>
    </row>
    <row r="25" spans="1:109" x14ac:dyDescent="0.25">
      <c r="A25" s="187"/>
      <c r="B25" s="187"/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7"/>
      <c r="R25" s="187"/>
      <c r="S25" s="187"/>
      <c r="T25" s="187"/>
      <c r="U25" s="187"/>
      <c r="AY25" s="51"/>
      <c r="AZ25" s="35"/>
      <c r="BA25" s="52"/>
      <c r="BB25" s="35"/>
      <c r="BC25" s="57"/>
      <c r="BD25" s="35"/>
      <c r="BE25" s="54"/>
      <c r="BF25" s="73">
        <f t="shared" si="8"/>
        <v>0</v>
      </c>
      <c r="BG25" s="57" t="s">
        <v>157</v>
      </c>
      <c r="BH25" s="35">
        <v>125</v>
      </c>
      <c r="BI25" s="56">
        <v>250</v>
      </c>
      <c r="BJ25" s="52"/>
      <c r="BK25" s="35"/>
      <c r="BL25" s="57"/>
      <c r="BM25" s="35"/>
      <c r="BN25" s="54"/>
      <c r="BO25" s="55"/>
      <c r="BP25" s="58"/>
      <c r="BQ25" s="62"/>
      <c r="BR25" s="54"/>
      <c r="BS25" s="58"/>
      <c r="BT25" s="58"/>
      <c r="BU25" s="62"/>
      <c r="BV25" s="54"/>
      <c r="BW25" s="58"/>
      <c r="BX25" s="58"/>
      <c r="BY25" s="58"/>
      <c r="BZ25" s="54"/>
      <c r="CA25" s="58"/>
      <c r="CB25" s="58"/>
      <c r="CC25" s="58"/>
      <c r="CD25" s="54"/>
      <c r="CE25" s="58"/>
      <c r="CF25" s="58"/>
      <c r="CG25" s="58"/>
      <c r="CH25" s="54"/>
      <c r="CI25" s="58"/>
      <c r="CJ25" s="58"/>
      <c r="CK25" s="58"/>
      <c r="CL25" s="58"/>
      <c r="CM25" s="58"/>
      <c r="CN25" s="58"/>
      <c r="CO25" s="54"/>
      <c r="CP25" s="58"/>
      <c r="CQ25" s="58"/>
      <c r="CR25" s="58"/>
      <c r="CS25" s="54"/>
      <c r="CT25" s="54"/>
      <c r="CU25" s="58"/>
      <c r="CV25" s="58"/>
      <c r="CW25" s="58"/>
      <c r="CX25" s="54"/>
      <c r="CY25" s="58"/>
      <c r="CZ25" s="58"/>
      <c r="DA25" s="58"/>
      <c r="DB25" s="54"/>
      <c r="DC25" s="58"/>
      <c r="DD25" s="58"/>
      <c r="DE25" s="62"/>
    </row>
    <row r="26" spans="1:109" x14ac:dyDescent="0.25">
      <c r="AY26" s="103"/>
      <c r="AZ26" s="104"/>
      <c r="BA26" s="105"/>
      <c r="BB26" s="104"/>
      <c r="BC26" s="106"/>
      <c r="BD26" s="104"/>
      <c r="BE26" s="107"/>
      <c r="BF26" s="108">
        <f t="shared" si="8"/>
        <v>0</v>
      </c>
      <c r="BG26" s="106" t="s">
        <v>158</v>
      </c>
      <c r="BH26" s="104">
        <v>150</v>
      </c>
      <c r="BI26" s="109">
        <v>315</v>
      </c>
      <c r="BJ26" s="105"/>
      <c r="BK26" s="104"/>
      <c r="BL26" s="106"/>
      <c r="BM26" s="104"/>
      <c r="BN26" s="107"/>
      <c r="BO26" s="95"/>
      <c r="BP26" s="96"/>
      <c r="BQ26" s="98"/>
      <c r="BR26" s="107"/>
      <c r="BS26" s="96"/>
      <c r="BT26" s="96"/>
      <c r="BU26" s="98"/>
      <c r="BV26" s="107"/>
      <c r="BW26" s="96"/>
      <c r="BX26" s="96"/>
      <c r="BY26" s="96"/>
      <c r="BZ26" s="107"/>
      <c r="CA26" s="96"/>
      <c r="CB26" s="96"/>
      <c r="CC26" s="96"/>
      <c r="CD26" s="107"/>
      <c r="CE26" s="96"/>
      <c r="CF26" s="96"/>
      <c r="CG26" s="96"/>
      <c r="CH26" s="107"/>
      <c r="CI26" s="96"/>
      <c r="CJ26" s="96"/>
      <c r="CK26" s="96"/>
      <c r="CL26" s="96"/>
      <c r="CM26" s="96"/>
      <c r="CN26" s="96"/>
      <c r="CO26" s="107"/>
      <c r="CP26" s="96"/>
      <c r="CQ26" s="96"/>
      <c r="CR26" s="96"/>
      <c r="CS26" s="107"/>
      <c r="CT26" s="107"/>
      <c r="CU26" s="96"/>
      <c r="CV26" s="96"/>
      <c r="CW26" s="96"/>
      <c r="CX26" s="107"/>
      <c r="CY26" s="96"/>
      <c r="CZ26" s="96"/>
      <c r="DA26" s="96"/>
      <c r="DB26" s="107"/>
      <c r="DC26" s="96"/>
      <c r="DD26" s="96"/>
      <c r="DE26" s="98"/>
    </row>
  </sheetData>
  <mergeCells count="27">
    <mergeCell ref="B17:C17"/>
    <mergeCell ref="E18:F18"/>
    <mergeCell ref="E9:F9"/>
    <mergeCell ref="E13:F13"/>
    <mergeCell ref="B14:C14"/>
    <mergeCell ref="B15:C15"/>
    <mergeCell ref="B16:C16"/>
    <mergeCell ref="CY2:DA2"/>
    <mergeCell ref="DC2:DE2"/>
    <mergeCell ref="Z3:AB3"/>
    <mergeCell ref="AC3:AE3"/>
    <mergeCell ref="AF3:AH3"/>
    <mergeCell ref="CB2:CC2"/>
    <mergeCell ref="CF2:CG2"/>
    <mergeCell ref="CJ2:CN2"/>
    <mergeCell ref="CP2:CR2"/>
    <mergeCell ref="CU2:CW2"/>
    <mergeCell ref="AY2:AZ2"/>
    <mergeCell ref="BC2:BD2"/>
    <mergeCell ref="BG2:BI2"/>
    <mergeCell ref="BL2:BM2"/>
    <mergeCell ref="BX2:BY2"/>
    <mergeCell ref="I2:U2"/>
    <mergeCell ref="W2:AH2"/>
    <mergeCell ref="AJ2:AL2"/>
    <mergeCell ref="AP2:AR2"/>
    <mergeCell ref="AT2:AV2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P93"/>
  <sheetViews>
    <sheetView zoomScale="85" zoomScaleNormal="85" workbookViewId="0">
      <selection activeCell="K23" sqref="K23"/>
    </sheetView>
  </sheetViews>
  <sheetFormatPr defaultRowHeight="15" x14ac:dyDescent="0.25"/>
  <cols>
    <col min="1" max="1" width="6.7109375" customWidth="1"/>
    <col min="2" max="2" width="6.42578125" customWidth="1"/>
    <col min="3" max="4" width="8.7109375" customWidth="1"/>
    <col min="5" max="5" width="4.85546875" customWidth="1"/>
    <col min="6" max="6" width="11.85546875" customWidth="1"/>
    <col min="7" max="8" width="8.7109375" customWidth="1"/>
    <col min="9" max="9" width="4.140625" customWidth="1"/>
    <col min="10" max="10" width="6" customWidth="1"/>
    <col min="11" max="12" width="8" customWidth="1"/>
    <col min="13" max="13" width="4.7109375" customWidth="1"/>
    <col min="14" max="14" width="2.7109375" customWidth="1"/>
    <col min="15" max="15" width="5.5703125" customWidth="1"/>
    <col min="16" max="17" width="9.140625" customWidth="1"/>
    <col min="18" max="18" width="3.5703125" customWidth="1"/>
    <col min="19" max="19" width="5.85546875" customWidth="1"/>
    <col min="20" max="21" width="9.140625" customWidth="1"/>
    <col min="22" max="22" width="4.85546875" customWidth="1"/>
    <col min="23" max="23" width="6" customWidth="1"/>
    <col min="24" max="25" width="9.140625" customWidth="1"/>
    <col min="26" max="26" width="4.140625" customWidth="1"/>
    <col min="27" max="27" width="6.140625" customWidth="1"/>
    <col min="28" max="29" width="9.140625" customWidth="1"/>
    <col min="30" max="30" width="9.42578125" customWidth="1"/>
    <col min="31" max="42" width="9.140625" customWidth="1"/>
    <col min="43" max="43" width="8.7109375" customWidth="1"/>
    <col min="44" max="44" width="9.140625" customWidth="1"/>
    <col min="45" max="45" width="9.85546875" customWidth="1"/>
    <col min="46" max="46" width="15.7109375" customWidth="1"/>
    <col min="47" max="47" width="11.5703125" customWidth="1"/>
    <col min="48" max="48" width="23.7109375" customWidth="1"/>
    <col min="49" max="49" width="8.7109375" customWidth="1"/>
    <col min="50" max="50" width="9.140625" customWidth="1"/>
    <col min="51" max="51" width="6.28515625" customWidth="1"/>
    <col min="52" max="52" width="15.28515625" customWidth="1"/>
    <col min="53" max="58" width="8.7109375" customWidth="1"/>
    <col min="59" max="59" width="10.5703125" customWidth="1"/>
    <col min="60" max="61" width="8.7109375" customWidth="1"/>
    <col min="62" max="62" width="4.85546875" customWidth="1"/>
    <col min="63" max="63" width="13.85546875" customWidth="1"/>
    <col min="64" max="64" width="3.28515625" customWidth="1"/>
    <col min="65" max="65" width="11.28515625" customWidth="1"/>
    <col min="66" max="67" width="6.28515625" customWidth="1"/>
    <col min="68" max="68" width="3.5703125" customWidth="1"/>
    <col min="69" max="69" width="8.28515625" customWidth="1"/>
    <col min="70" max="72" width="6.140625" customWidth="1"/>
    <col min="73" max="73" width="3.28515625" customWidth="1"/>
    <col min="74" max="74" width="9.5703125" customWidth="1"/>
    <col min="75" max="75" width="6.140625" customWidth="1"/>
    <col min="76" max="76" width="15.28515625" customWidth="1"/>
    <col min="77" max="77" width="3.28515625" customWidth="1"/>
    <col min="78" max="80" width="8.7109375" customWidth="1"/>
    <col min="81" max="81" width="3.28515625" customWidth="1"/>
    <col min="82" max="84" width="8.7109375" customWidth="1"/>
    <col min="85" max="85" width="3.28515625" customWidth="1"/>
    <col min="86" max="86" width="8.7109375" customWidth="1"/>
    <col min="87" max="88" width="6.28515625" customWidth="1"/>
    <col min="89" max="89" width="3.28515625" customWidth="1"/>
    <col min="90" max="90" width="8.7109375" customWidth="1"/>
    <col min="91" max="92" width="6.28515625" customWidth="1"/>
    <col min="93" max="93" width="3.28515625" customWidth="1"/>
    <col min="94" max="94" width="8.7109375" customWidth="1"/>
    <col min="95" max="95" width="6.28515625" customWidth="1"/>
    <col min="96" max="96" width="15" customWidth="1"/>
    <col min="97" max="97" width="3.28515625" customWidth="1"/>
    <col min="98" max="98" width="9.5703125" customWidth="1"/>
    <col min="99" max="99" width="6.140625" customWidth="1"/>
    <col min="100" max="100" width="16.85546875" customWidth="1"/>
    <col min="101" max="101" width="8.5703125" customWidth="1"/>
    <col min="102" max="102" width="7" customWidth="1"/>
    <col min="103" max="103" width="25.140625" customWidth="1"/>
    <col min="104" max="104" width="3.5703125" customWidth="1"/>
    <col min="105" max="105" width="8.5703125" customWidth="1"/>
    <col min="106" max="106" width="5.85546875" customWidth="1"/>
    <col min="107" max="107" width="16.140625" customWidth="1"/>
    <col min="108" max="108" width="3.7109375" customWidth="1"/>
    <col min="109" max="109" width="3.28515625" customWidth="1"/>
    <col min="110" max="110" width="8.5703125" customWidth="1"/>
    <col min="111" max="111" width="6.28515625" customWidth="1"/>
    <col min="112" max="112" width="11.42578125"/>
    <col min="113" max="113" width="3.5703125" customWidth="1"/>
    <col min="114" max="114" width="8.7109375" customWidth="1"/>
    <col min="115" max="115" width="6.28515625" customWidth="1"/>
    <col min="116" max="116" width="11.42578125"/>
    <col min="117" max="117" width="3.5703125" customWidth="1"/>
    <col min="118" max="118" width="8.5703125" customWidth="1"/>
    <col min="119" max="119" width="6.28515625" customWidth="1"/>
    <col min="120" max="120" width="13.7109375" customWidth="1"/>
    <col min="121" max="1025" width="8.7109375" customWidth="1"/>
  </cols>
  <sheetData>
    <row r="1" spans="1:120" x14ac:dyDescent="0.25">
      <c r="AU1" s="96"/>
      <c r="AV1" s="96"/>
    </row>
    <row r="2" spans="1:120" x14ac:dyDescent="0.25">
      <c r="B2" t="s">
        <v>214</v>
      </c>
      <c r="I2" s="7" t="s">
        <v>30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E2" s="7" t="s">
        <v>31</v>
      </c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R2" s="152" t="s">
        <v>168</v>
      </c>
      <c r="AS2" s="152"/>
      <c r="AT2" s="152"/>
      <c r="AU2" s="48"/>
      <c r="AV2" s="49"/>
      <c r="AX2" s="7" t="s">
        <v>169</v>
      </c>
      <c r="AY2" s="7"/>
      <c r="AZ2" s="7"/>
      <c r="BB2" s="7" t="s">
        <v>36</v>
      </c>
      <c r="BC2" s="7"/>
      <c r="BD2" s="7"/>
      <c r="BE2" s="7"/>
      <c r="BF2" s="7"/>
      <c r="BG2" s="7"/>
      <c r="BJ2" s="13" t="s">
        <v>37</v>
      </c>
      <c r="BK2" s="13"/>
      <c r="BL2" s="18"/>
      <c r="BM2" s="38"/>
      <c r="BN2" s="5" t="s">
        <v>38</v>
      </c>
      <c r="BO2" s="5"/>
      <c r="BP2" s="39"/>
      <c r="BQ2" s="40"/>
      <c r="BR2" s="4" t="s">
        <v>39</v>
      </c>
      <c r="BS2" s="4"/>
      <c r="BT2" s="4"/>
      <c r="BU2" s="18"/>
      <c r="BV2" s="38"/>
      <c r="BW2" s="5" t="s">
        <v>40</v>
      </c>
      <c r="BX2" s="5"/>
      <c r="BY2" s="18"/>
      <c r="BZ2" s="38"/>
      <c r="CA2" s="38" t="s">
        <v>41</v>
      </c>
      <c r="CB2" s="112"/>
      <c r="CC2" s="18"/>
      <c r="CD2" s="38"/>
      <c r="CE2" s="38" t="s">
        <v>42</v>
      </c>
      <c r="CF2" s="112"/>
      <c r="CG2" s="18"/>
      <c r="CH2" s="38"/>
      <c r="CI2" s="5" t="s">
        <v>43</v>
      </c>
      <c r="CJ2" s="5"/>
      <c r="CK2" s="18"/>
      <c r="CL2" s="38"/>
      <c r="CM2" s="5" t="s">
        <v>44</v>
      </c>
      <c r="CN2" s="5"/>
      <c r="CO2" s="18"/>
      <c r="CP2" s="38"/>
      <c r="CQ2" s="5" t="s">
        <v>45</v>
      </c>
      <c r="CR2" s="5"/>
      <c r="CS2" s="18"/>
      <c r="CT2" s="38"/>
      <c r="CU2" s="3" t="s">
        <v>46</v>
      </c>
      <c r="CV2" s="3"/>
      <c r="CW2" s="3"/>
      <c r="CX2" s="3"/>
      <c r="CY2" s="3"/>
      <c r="CZ2" s="39"/>
      <c r="DA2" s="14" t="s">
        <v>47</v>
      </c>
      <c r="DB2" s="14"/>
      <c r="DC2" s="14"/>
      <c r="DD2" s="41"/>
      <c r="DE2" s="18"/>
      <c r="DF2" s="14" t="s">
        <v>170</v>
      </c>
      <c r="DG2" s="14"/>
      <c r="DH2" s="14"/>
      <c r="DI2" s="39"/>
      <c r="DJ2" s="14" t="s">
        <v>171</v>
      </c>
      <c r="DK2" s="14"/>
      <c r="DL2" s="14"/>
      <c r="DM2" s="39"/>
      <c r="DN2" s="14" t="s">
        <v>172</v>
      </c>
      <c r="DO2" s="14"/>
      <c r="DP2" s="14"/>
    </row>
    <row r="3" spans="1:120" x14ac:dyDescent="0.25">
      <c r="I3" s="43"/>
      <c r="J3" s="44" t="s">
        <v>48</v>
      </c>
      <c r="K3" s="45" t="s">
        <v>49</v>
      </c>
      <c r="L3" s="44" t="s">
        <v>50</v>
      </c>
      <c r="M3" s="46"/>
      <c r="N3" s="43"/>
      <c r="O3" s="44" t="s">
        <v>215</v>
      </c>
      <c r="P3" s="45" t="s">
        <v>49</v>
      </c>
      <c r="Q3" s="46" t="s">
        <v>50</v>
      </c>
      <c r="R3" s="44"/>
      <c r="S3" s="44" t="s">
        <v>51</v>
      </c>
      <c r="T3" s="45" t="s">
        <v>49</v>
      </c>
      <c r="U3" s="46" t="s">
        <v>50</v>
      </c>
      <c r="V3" s="44"/>
      <c r="W3" s="44" t="s">
        <v>173</v>
      </c>
      <c r="X3" s="45" t="s">
        <v>49</v>
      </c>
      <c r="Y3" s="46" t="s">
        <v>50</v>
      </c>
      <c r="Z3" s="44"/>
      <c r="AA3" s="44" t="s">
        <v>174</v>
      </c>
      <c r="AB3" s="45"/>
      <c r="AC3" s="46"/>
      <c r="AE3" s="43" t="s">
        <v>53</v>
      </c>
      <c r="AF3" s="44" t="s">
        <v>54</v>
      </c>
      <c r="AG3" s="46" t="s">
        <v>55</v>
      </c>
      <c r="AH3" s="7" t="s">
        <v>53</v>
      </c>
      <c r="AI3" s="7"/>
      <c r="AJ3" s="7"/>
      <c r="AK3" s="7" t="s">
        <v>54</v>
      </c>
      <c r="AL3" s="7"/>
      <c r="AM3" s="7"/>
      <c r="AN3" s="7" t="s">
        <v>55</v>
      </c>
      <c r="AO3" s="7"/>
      <c r="AP3" s="7"/>
      <c r="AR3" s="69" t="s">
        <v>56</v>
      </c>
      <c r="AS3" s="35"/>
      <c r="AT3" s="113"/>
      <c r="AU3" s="35"/>
      <c r="AV3" s="62"/>
      <c r="AX3" s="55">
        <f t="shared" ref="AX3:AX8" si="0">IF($F$17&lt;AY3,1,0)</f>
        <v>1</v>
      </c>
      <c r="AY3" s="58">
        <v>2</v>
      </c>
      <c r="AZ3" s="62" t="s">
        <v>175</v>
      </c>
      <c r="BA3" s="54"/>
      <c r="BB3" s="68"/>
      <c r="BC3" s="117"/>
      <c r="BD3" s="117" t="s">
        <v>216</v>
      </c>
      <c r="BE3" s="117"/>
      <c r="BF3" s="117" t="s">
        <v>217</v>
      </c>
      <c r="BG3" s="113" t="s">
        <v>218</v>
      </c>
      <c r="BJ3" s="51" t="s">
        <v>61</v>
      </c>
      <c r="BK3" s="35" t="s">
        <v>62</v>
      </c>
      <c r="BL3" s="52"/>
      <c r="BM3" s="35" t="s">
        <v>85</v>
      </c>
      <c r="BN3" s="53" t="s">
        <v>61</v>
      </c>
      <c r="BO3" s="32" t="s">
        <v>63</v>
      </c>
      <c r="BP3" s="54"/>
      <c r="BQ3" s="55" t="s">
        <v>31</v>
      </c>
      <c r="BR3" s="53" t="s">
        <v>61</v>
      </c>
      <c r="BS3" s="32" t="s">
        <v>63</v>
      </c>
      <c r="BT3" s="56" t="s">
        <v>64</v>
      </c>
      <c r="BU3" s="52"/>
      <c r="BV3" s="35" t="s">
        <v>31</v>
      </c>
      <c r="BW3" s="57" t="s">
        <v>61</v>
      </c>
      <c r="BX3" s="35" t="s">
        <v>65</v>
      </c>
      <c r="BY3" s="52"/>
      <c r="BZ3" s="68" t="s">
        <v>177</v>
      </c>
      <c r="CA3" s="114" t="s">
        <v>61</v>
      </c>
      <c r="CB3" s="17" t="s">
        <v>63</v>
      </c>
      <c r="CC3" s="52"/>
      <c r="CD3" s="68" t="s">
        <v>98</v>
      </c>
      <c r="CE3" s="114" t="s">
        <v>61</v>
      </c>
      <c r="CF3" s="17" t="s">
        <v>63</v>
      </c>
      <c r="CG3" s="52"/>
      <c r="CH3" s="35" t="s">
        <v>178</v>
      </c>
      <c r="CI3" s="53" t="s">
        <v>61</v>
      </c>
      <c r="CJ3" s="32" t="s">
        <v>63</v>
      </c>
      <c r="CK3" s="52"/>
      <c r="CL3" s="35" t="s">
        <v>179</v>
      </c>
      <c r="CM3" s="53" t="s">
        <v>61</v>
      </c>
      <c r="CN3" s="32" t="s">
        <v>63</v>
      </c>
      <c r="CO3" s="52"/>
      <c r="CP3" s="35" t="s">
        <v>180</v>
      </c>
      <c r="CQ3" s="53" t="s">
        <v>61</v>
      </c>
      <c r="CR3" s="32" t="s">
        <v>63</v>
      </c>
      <c r="CS3" s="52"/>
      <c r="CT3" s="35"/>
      <c r="CU3" s="53" t="s">
        <v>61</v>
      </c>
      <c r="CV3" s="35" t="s">
        <v>66</v>
      </c>
      <c r="CW3" s="35"/>
      <c r="CX3" s="35"/>
      <c r="CY3" s="35" t="s">
        <v>66</v>
      </c>
      <c r="CZ3" s="54"/>
      <c r="DA3" s="58"/>
      <c r="DB3" s="57" t="s">
        <v>61</v>
      </c>
      <c r="DC3" s="35" t="s">
        <v>66</v>
      </c>
      <c r="DD3" s="54"/>
      <c r="DE3" s="52"/>
      <c r="DF3" s="35"/>
      <c r="DG3" s="53" t="s">
        <v>61</v>
      </c>
      <c r="DH3" s="32" t="s">
        <v>67</v>
      </c>
      <c r="DI3" s="54"/>
      <c r="DJ3" s="35"/>
      <c r="DK3" s="53" t="s">
        <v>61</v>
      </c>
      <c r="DL3" s="32" t="s">
        <v>68</v>
      </c>
      <c r="DM3" s="54"/>
      <c r="DN3" s="35"/>
      <c r="DO3" s="53" t="s">
        <v>61</v>
      </c>
      <c r="DP3" s="31" t="s">
        <v>69</v>
      </c>
    </row>
    <row r="4" spans="1:120" x14ac:dyDescent="0.25">
      <c r="A4" s="59" t="s">
        <v>70</v>
      </c>
      <c r="B4" s="75">
        <f>IF('ol4'!D37=2,'ol4'!C17,0)</f>
        <v>0</v>
      </c>
      <c r="C4" t="s">
        <v>71</v>
      </c>
      <c r="E4" t="s">
        <v>72</v>
      </c>
      <c r="F4" s="115">
        <f>F17*1.2</f>
        <v>0</v>
      </c>
      <c r="I4" s="55">
        <f t="shared" ref="I4:I17" si="1">IF($B$11&lt;12,(IF((L4&gt;4)*AND(L4&lt;16),2,0)),IF((L4&gt;4)*AND(L4&lt;20),2,0))</f>
        <v>0</v>
      </c>
      <c r="J4" s="58">
        <v>15</v>
      </c>
      <c r="K4" s="58">
        <f>1/POWER(1.14+2*LOG10((J4/1000)/($K$21/1000)),2)</f>
        <v>5.9655827422120798E-2</v>
      </c>
      <c r="L4" s="58">
        <f t="shared" ref="L4:L17" si="2">0.00638*K4*POWER($F$4,2)/(POWER(J4/1000,5)*$K$20)</f>
        <v>0</v>
      </c>
      <c r="M4" s="62"/>
      <c r="N4" s="55">
        <f t="shared" ref="N4:N17" si="3">IF((Q4&gt;4)*AND(Q4&lt;18),1,0)</f>
        <v>0</v>
      </c>
      <c r="O4" s="58">
        <v>15</v>
      </c>
      <c r="P4" s="58">
        <f>1/POWER(1.14+2*LOG10((O4/1000)/($K$21/1000)),2)</f>
        <v>5.9655827422120798E-2</v>
      </c>
      <c r="Q4" s="62">
        <f t="shared" ref="Q4:Q17" si="4">0.00638*P4*POWER($F$11,2)/(POWER(O4/1000,5)*$K$20)</f>
        <v>5810.693160344681</v>
      </c>
      <c r="R4" s="58">
        <f t="shared" ref="R4:R17" si="5">IF((U4&gt;4)*AND(U4&lt;16),1,0)</f>
        <v>0</v>
      </c>
      <c r="S4" s="58">
        <v>15</v>
      </c>
      <c r="T4" s="58">
        <f t="shared" ref="T4:T17" si="6">1/POWER(1.14+2*LOG10((S4/1000)/($K$21/1000)),2)</f>
        <v>5.9655827422120798E-2</v>
      </c>
      <c r="U4" s="62">
        <f t="shared" ref="U4:U17" si="7">0.00638*T4*POWER($F$14,2)/(POWER(S4/1000,5)*$K$20)</f>
        <v>5810.693160344681</v>
      </c>
      <c r="V4" s="58">
        <f t="shared" ref="V4:V17" si="8">IF((Y4&gt;4)*AND(Y4&lt;16),1,0)</f>
        <v>0</v>
      </c>
      <c r="W4" s="58">
        <v>15</v>
      </c>
      <c r="X4" s="58">
        <f t="shared" ref="X4:X17" si="9">1/POWER(1.14+2*LOG10((W4/1000)/($K$21/1000)),2)</f>
        <v>5.9655827422120798E-2</v>
      </c>
      <c r="Y4" s="62">
        <f t="shared" ref="Y4:Y17" si="10">0.00638*X4*POWER($F$17,2)/(POWER(W4/1000,5)*$K$20)</f>
        <v>0</v>
      </c>
      <c r="Z4" s="58">
        <f t="shared" ref="Z4:Z17" si="11">V4</f>
        <v>0</v>
      </c>
      <c r="AA4" s="58">
        <v>15</v>
      </c>
      <c r="AB4" s="58"/>
      <c r="AC4" s="62"/>
      <c r="AE4" s="63" t="s">
        <v>73</v>
      </c>
      <c r="AF4" s="58">
        <f>IF(B11&gt;12,3,1.8)</f>
        <v>3</v>
      </c>
      <c r="AG4" s="58"/>
      <c r="AH4" s="64">
        <f t="shared" ref="AH4:AH21" si="12">IF(AJ4&gt;$AF$5,1,0)</f>
        <v>1</v>
      </c>
      <c r="AI4" s="65">
        <v>15</v>
      </c>
      <c r="AJ4" s="66">
        <v>1.6</v>
      </c>
      <c r="AK4" s="64">
        <f t="shared" ref="AK4:AK22" si="13">IF(AM4&gt;$AF$5,1,0)</f>
        <v>1</v>
      </c>
      <c r="AL4" s="65">
        <v>15</v>
      </c>
      <c r="AM4" s="66">
        <v>1.6</v>
      </c>
      <c r="AN4" s="58">
        <f t="shared" ref="AN4:AN16" si="14">IF(AP4&gt;$AF$5,1,0)</f>
        <v>1</v>
      </c>
      <c r="AO4" s="67">
        <v>15</v>
      </c>
      <c r="AP4" s="62">
        <v>1.6</v>
      </c>
      <c r="AR4" s="54">
        <v>1.5</v>
      </c>
      <c r="AS4" s="58">
        <f>IF($F$23&lt;AR4,1,0)</f>
        <v>1</v>
      </c>
      <c r="AT4" s="62" t="s">
        <v>181</v>
      </c>
      <c r="AU4" s="58">
        <f>IF($F$23&lt;AR4,1,0)</f>
        <v>1</v>
      </c>
      <c r="AV4" s="116" t="s">
        <v>182</v>
      </c>
      <c r="AX4" s="55">
        <f t="shared" si="0"/>
        <v>1</v>
      </c>
      <c r="AY4" s="58">
        <v>3</v>
      </c>
      <c r="AZ4" s="62" t="s">
        <v>183</v>
      </c>
      <c r="BA4" s="54"/>
      <c r="BB4" s="58">
        <f t="shared" ref="BB4:BB35" si="15">IF(AND(BC4=1,BE4=1),1,0)</f>
        <v>0</v>
      </c>
      <c r="BC4" s="58">
        <f t="shared" ref="BC4:BC35" si="16">IF(BD4&gt;$B$4,1,0)</f>
        <v>1</v>
      </c>
      <c r="BD4" s="58">
        <v>0.01</v>
      </c>
      <c r="BE4" s="58">
        <f t="shared" ref="BE4:BE35" si="17">IF(BF4&gt;$F$11,1,0)</f>
        <v>0</v>
      </c>
      <c r="BF4">
        <v>2</v>
      </c>
      <c r="BG4" s="62" t="s">
        <v>176</v>
      </c>
      <c r="BJ4" s="51" t="s">
        <v>78</v>
      </c>
      <c r="BK4" s="35" t="s">
        <v>185</v>
      </c>
      <c r="BL4" s="52"/>
      <c r="BM4" s="35" t="e">
        <f t="shared" ref="BM4:BM15" si="18">IF($F$5=BO4,1,0)</f>
        <v>#N/A</v>
      </c>
      <c r="BN4" s="57" t="s">
        <v>80</v>
      </c>
      <c r="BO4" s="35">
        <v>15</v>
      </c>
      <c r="BP4" s="54"/>
      <c r="BQ4" s="73">
        <f t="shared" ref="BQ4:BQ26" si="19">IF($F$7=BT4,1,0)</f>
        <v>0</v>
      </c>
      <c r="BR4" s="57" t="s">
        <v>80</v>
      </c>
      <c r="BS4" s="35">
        <v>15</v>
      </c>
      <c r="BT4" s="56">
        <v>0.63</v>
      </c>
      <c r="BU4" s="52"/>
      <c r="BV4" s="35">
        <f>IF($B$14=BX4,1,0)</f>
        <v>0</v>
      </c>
      <c r="BW4" s="57" t="s">
        <v>78</v>
      </c>
      <c r="BX4" s="35" t="s">
        <v>53</v>
      </c>
      <c r="BY4" s="52"/>
      <c r="BZ4" s="73">
        <f t="shared" ref="BZ4:BZ15" si="20">IF($F$12=CB4,1,0)</f>
        <v>0</v>
      </c>
      <c r="CA4" s="57" t="s">
        <v>80</v>
      </c>
      <c r="CB4" s="56">
        <v>15</v>
      </c>
      <c r="CC4" s="52"/>
      <c r="CD4" s="73" t="e">
        <f t="shared" ref="CD4:CD15" si="21">IF($F$15=CF4,1,0)</f>
        <v>#N/A</v>
      </c>
      <c r="CE4" s="57" t="s">
        <v>80</v>
      </c>
      <c r="CF4" s="56">
        <v>15</v>
      </c>
      <c r="CG4" s="52"/>
      <c r="CH4" s="35" t="e">
        <f t="shared" ref="CH4:CH15" si="22">IF($F$18=CJ4,1,0)</f>
        <v>#N/A</v>
      </c>
      <c r="CI4" s="57" t="s">
        <v>80</v>
      </c>
      <c r="CJ4" s="35">
        <v>15</v>
      </c>
      <c r="CK4" s="52"/>
      <c r="CL4" s="35" t="e">
        <f t="shared" ref="CL4:CL15" si="23">IF($F$22=CN4,1,0)</f>
        <v>#N/A</v>
      </c>
      <c r="CM4" s="57" t="s">
        <v>80</v>
      </c>
      <c r="CN4" s="35">
        <v>15</v>
      </c>
      <c r="CO4" s="52"/>
      <c r="CP4" s="35">
        <f t="shared" ref="CP4:CP9" si="24">IF($E$19=CR4,1,0)</f>
        <v>1</v>
      </c>
      <c r="CQ4" s="57" t="s">
        <v>78</v>
      </c>
      <c r="CR4" s="62" t="s">
        <v>175</v>
      </c>
      <c r="CS4" s="52"/>
      <c r="CT4" s="35" t="e">
        <f>IF($E$24=CV4,1,0)</f>
        <v>#N/A</v>
      </c>
      <c r="CU4" s="32">
        <v>1</v>
      </c>
      <c r="CV4" s="58" t="s">
        <v>181</v>
      </c>
      <c r="CW4" s="32" t="e">
        <f>IF($E$24=CY4,1,0)</f>
        <v>#N/A</v>
      </c>
      <c r="CX4" s="32">
        <v>1</v>
      </c>
      <c r="CY4" s="116" t="s">
        <v>182</v>
      </c>
      <c r="CZ4" s="54"/>
      <c r="DB4" s="15"/>
      <c r="DD4" s="54"/>
      <c r="DE4" s="52"/>
      <c r="DF4" s="35"/>
      <c r="DG4" s="57"/>
      <c r="DI4" s="54"/>
      <c r="DJ4" s="35">
        <f>IF($B$16=DL4,1,0)</f>
        <v>0</v>
      </c>
      <c r="DK4" s="57" t="s">
        <v>78</v>
      </c>
      <c r="DL4" s="35" t="s">
        <v>83</v>
      </c>
      <c r="DM4" s="54"/>
      <c r="DN4" s="35">
        <f>IF($B$17=DP4,1,0)</f>
        <v>0</v>
      </c>
      <c r="DO4" s="57" t="s">
        <v>78</v>
      </c>
      <c r="DP4" s="62" t="s">
        <v>84</v>
      </c>
    </row>
    <row r="5" spans="1:120" x14ac:dyDescent="0.25">
      <c r="A5" s="59"/>
      <c r="B5" s="75"/>
      <c r="C5" s="76"/>
      <c r="E5" t="s">
        <v>48</v>
      </c>
      <c r="F5" t="e">
        <f>VLOOKUP(2,I4:L17,2,0)</f>
        <v>#N/A</v>
      </c>
      <c r="I5" s="55">
        <f t="shared" si="1"/>
        <v>0</v>
      </c>
      <c r="J5" s="58">
        <v>20</v>
      </c>
      <c r="K5" s="58"/>
      <c r="L5" s="58"/>
      <c r="M5" s="62"/>
      <c r="N5" s="55">
        <f t="shared" si="3"/>
        <v>0</v>
      </c>
      <c r="O5" s="58">
        <v>20</v>
      </c>
      <c r="P5" s="58"/>
      <c r="Q5" s="62"/>
      <c r="R5" s="58">
        <f t="shared" si="5"/>
        <v>0</v>
      </c>
      <c r="S5" s="58">
        <v>20</v>
      </c>
      <c r="T5" s="58"/>
      <c r="U5" s="62"/>
      <c r="V5" s="58">
        <f t="shared" si="8"/>
        <v>0</v>
      </c>
      <c r="W5" s="58">
        <v>20</v>
      </c>
      <c r="X5" s="58"/>
      <c r="Y5" s="62"/>
      <c r="Z5" s="58">
        <f t="shared" si="11"/>
        <v>0</v>
      </c>
      <c r="AA5" s="58">
        <v>15</v>
      </c>
      <c r="AB5" s="58"/>
      <c r="AC5" s="62"/>
      <c r="AE5" s="63" t="s">
        <v>87</v>
      </c>
      <c r="AF5" s="78">
        <f>F4/SQRT(0.1*AF4)</f>
        <v>0</v>
      </c>
      <c r="AG5" s="78"/>
      <c r="AH5" s="55">
        <f t="shared" si="12"/>
        <v>1</v>
      </c>
      <c r="AI5" s="67">
        <v>15</v>
      </c>
      <c r="AJ5" s="62">
        <v>2.5</v>
      </c>
      <c r="AK5" s="55">
        <f t="shared" si="13"/>
        <v>1</v>
      </c>
      <c r="AL5" s="67">
        <v>15</v>
      </c>
      <c r="AM5" s="62">
        <v>2.5</v>
      </c>
      <c r="AN5" s="58">
        <f t="shared" si="14"/>
        <v>1</v>
      </c>
      <c r="AO5" s="67">
        <v>15</v>
      </c>
      <c r="AP5" s="62">
        <v>2.5</v>
      </c>
      <c r="AR5" s="54">
        <v>4</v>
      </c>
      <c r="AS5" s="58">
        <f>IF($F$23&lt;AR5,1,0)</f>
        <v>1</v>
      </c>
      <c r="AT5" s="62" t="s">
        <v>186</v>
      </c>
      <c r="AU5" s="58">
        <f>IF($F$23&lt;AR5,1,0)</f>
        <v>1</v>
      </c>
      <c r="AV5" s="116" t="s">
        <v>187</v>
      </c>
      <c r="AX5" s="55">
        <f t="shared" si="0"/>
        <v>1</v>
      </c>
      <c r="AY5" s="58">
        <v>5</v>
      </c>
      <c r="AZ5" s="62" t="s">
        <v>188</v>
      </c>
      <c r="BA5" s="54"/>
      <c r="BB5" s="58">
        <f t="shared" si="15"/>
        <v>0</v>
      </c>
      <c r="BC5" s="58">
        <f t="shared" si="16"/>
        <v>1</v>
      </c>
      <c r="BD5" s="58">
        <v>0.02</v>
      </c>
      <c r="BE5" s="58">
        <f t="shared" si="17"/>
        <v>0</v>
      </c>
      <c r="BF5">
        <v>2</v>
      </c>
      <c r="BG5" s="62" t="s">
        <v>176</v>
      </c>
      <c r="BJ5" s="51" t="s">
        <v>94</v>
      </c>
      <c r="BK5" s="35" t="s">
        <v>190</v>
      </c>
      <c r="BL5" s="52"/>
      <c r="BM5" s="35" t="e">
        <f t="shared" si="18"/>
        <v>#N/A</v>
      </c>
      <c r="BN5" s="57" t="s">
        <v>96</v>
      </c>
      <c r="BO5" s="35">
        <v>20</v>
      </c>
      <c r="BP5" s="54"/>
      <c r="BQ5" s="73">
        <f t="shared" si="19"/>
        <v>0</v>
      </c>
      <c r="BR5" s="57" t="s">
        <v>96</v>
      </c>
      <c r="BS5" s="35">
        <v>15</v>
      </c>
      <c r="BT5" s="56">
        <v>1.25</v>
      </c>
      <c r="BU5" s="52"/>
      <c r="BV5" s="35">
        <f>IF($B$14=BX5,1,0)</f>
        <v>0</v>
      </c>
      <c r="BW5" s="57" t="s">
        <v>94</v>
      </c>
      <c r="BX5" s="35" t="s">
        <v>55</v>
      </c>
      <c r="BY5" s="52"/>
      <c r="BZ5" s="73">
        <f t="shared" si="20"/>
        <v>0</v>
      </c>
      <c r="CA5" s="57" t="s">
        <v>96</v>
      </c>
      <c r="CB5" s="56">
        <v>20</v>
      </c>
      <c r="CC5" s="52"/>
      <c r="CD5" s="73" t="e">
        <f t="shared" si="21"/>
        <v>#N/A</v>
      </c>
      <c r="CE5" s="57" t="s">
        <v>96</v>
      </c>
      <c r="CF5" s="56">
        <v>20</v>
      </c>
      <c r="CG5" s="52"/>
      <c r="CH5" s="35" t="e">
        <f t="shared" si="22"/>
        <v>#N/A</v>
      </c>
      <c r="CI5" s="57" t="s">
        <v>96</v>
      </c>
      <c r="CJ5" s="35">
        <v>20</v>
      </c>
      <c r="CK5" s="52"/>
      <c r="CL5" s="35" t="e">
        <f t="shared" si="23"/>
        <v>#N/A</v>
      </c>
      <c r="CM5" s="57" t="s">
        <v>96</v>
      </c>
      <c r="CN5" s="35">
        <v>20</v>
      </c>
      <c r="CO5" s="52"/>
      <c r="CP5" s="35">
        <f t="shared" si="24"/>
        <v>0</v>
      </c>
      <c r="CQ5" s="57" t="s">
        <v>94</v>
      </c>
      <c r="CR5" s="62" t="s">
        <v>183</v>
      </c>
      <c r="CS5" s="52"/>
      <c r="CT5" s="35" t="e">
        <f>IF($E$24=CV5,1,0)</f>
        <v>#N/A</v>
      </c>
      <c r="CU5" s="32"/>
      <c r="CV5" s="58"/>
      <c r="CW5" s="32" t="e">
        <f>IF($E$24=CY5,1,0)</f>
        <v>#N/A</v>
      </c>
      <c r="CX5" s="32">
        <v>2</v>
      </c>
      <c r="CY5" s="116" t="s">
        <v>187</v>
      </c>
      <c r="CZ5" s="54"/>
      <c r="DA5" s="58">
        <f>IF($B$15=DC5,1,0)</f>
        <v>0</v>
      </c>
      <c r="DB5" s="32">
        <v>1</v>
      </c>
      <c r="DC5" s="32" t="s">
        <v>191</v>
      </c>
      <c r="DD5" s="54"/>
      <c r="DE5" s="52"/>
      <c r="DF5" s="35">
        <f t="shared" ref="DF5:DF19" si="25">IF($E$9=DH5,1,0)</f>
        <v>0</v>
      </c>
      <c r="DG5" s="57" t="s">
        <v>80</v>
      </c>
      <c r="DH5" s="62" t="s">
        <v>176</v>
      </c>
      <c r="DI5" s="54"/>
      <c r="DJ5" s="35">
        <f>IF($B$16=DL5,1,0)</f>
        <v>0</v>
      </c>
      <c r="DK5" s="57" t="s">
        <v>94</v>
      </c>
      <c r="DL5" s="35" t="s">
        <v>55</v>
      </c>
      <c r="DM5" s="54"/>
      <c r="DN5" s="35">
        <f>IF($B$17=DP5,1,0)</f>
        <v>0</v>
      </c>
      <c r="DO5" s="57" t="s">
        <v>81</v>
      </c>
      <c r="DP5" s="56" t="s">
        <v>97</v>
      </c>
    </row>
    <row r="6" spans="1:120" x14ac:dyDescent="0.25">
      <c r="A6" s="59"/>
      <c r="B6" s="75"/>
      <c r="C6" s="76"/>
      <c r="E6" t="s">
        <v>99</v>
      </c>
      <c r="F6">
        <f>VLOOKUP(1,IF(B14="IMI Hydronic",AH4:AJ21,IF(B14="Siemens",AK4:AM22,AN4:AP16)),2,0)</f>
        <v>15</v>
      </c>
      <c r="I6" s="55">
        <f t="shared" si="1"/>
        <v>0</v>
      </c>
      <c r="J6" s="58">
        <v>25</v>
      </c>
      <c r="K6" s="58"/>
      <c r="L6" s="58"/>
      <c r="M6" s="62"/>
      <c r="N6" s="55">
        <f t="shared" si="3"/>
        <v>0</v>
      </c>
      <c r="O6" s="58">
        <v>25</v>
      </c>
      <c r="P6" s="58"/>
      <c r="Q6" s="62"/>
      <c r="R6" s="58">
        <f t="shared" si="5"/>
        <v>0</v>
      </c>
      <c r="S6" s="58">
        <v>25</v>
      </c>
      <c r="T6" s="58"/>
      <c r="U6" s="62"/>
      <c r="V6" s="58">
        <f t="shared" si="8"/>
        <v>0</v>
      </c>
      <c r="W6" s="58">
        <v>25</v>
      </c>
      <c r="X6" s="58"/>
      <c r="Y6" s="62"/>
      <c r="Z6" s="58">
        <f t="shared" si="11"/>
        <v>0</v>
      </c>
      <c r="AA6" s="58">
        <v>20</v>
      </c>
      <c r="AB6" s="58"/>
      <c r="AC6" s="62"/>
      <c r="AE6" s="55"/>
      <c r="AF6" s="58"/>
      <c r="AG6" s="58"/>
      <c r="AH6" s="55">
        <f t="shared" si="12"/>
        <v>1</v>
      </c>
      <c r="AI6" s="67">
        <v>15</v>
      </c>
      <c r="AJ6" s="62">
        <v>4</v>
      </c>
      <c r="AK6" s="55">
        <f t="shared" si="13"/>
        <v>1</v>
      </c>
      <c r="AL6" s="67">
        <v>15</v>
      </c>
      <c r="AM6" s="62">
        <v>4</v>
      </c>
      <c r="AN6" s="58">
        <f t="shared" si="14"/>
        <v>1</v>
      </c>
      <c r="AO6" s="67">
        <v>15</v>
      </c>
      <c r="AP6" s="62">
        <v>4</v>
      </c>
      <c r="AR6" s="54">
        <v>6</v>
      </c>
      <c r="AS6" s="58">
        <f>IF($F$23&lt;AR6,1,0)</f>
        <v>1</v>
      </c>
      <c r="AT6" s="62" t="s">
        <v>186</v>
      </c>
      <c r="AU6" s="58">
        <f>IF($F$23&lt;AR6,1,0)</f>
        <v>1</v>
      </c>
      <c r="AV6" s="116" t="s">
        <v>192</v>
      </c>
      <c r="AX6" s="55">
        <f t="shared" si="0"/>
        <v>1</v>
      </c>
      <c r="AY6" s="58">
        <v>8</v>
      </c>
      <c r="AZ6" s="62" t="s">
        <v>193</v>
      </c>
      <c r="BA6" s="54"/>
      <c r="BB6" s="58">
        <f t="shared" si="15"/>
        <v>1</v>
      </c>
      <c r="BC6" s="58">
        <f t="shared" si="16"/>
        <v>1</v>
      </c>
      <c r="BD6" s="58">
        <v>0.02</v>
      </c>
      <c r="BE6" s="58">
        <f t="shared" si="17"/>
        <v>1</v>
      </c>
      <c r="BF6">
        <v>4</v>
      </c>
      <c r="BG6" s="62" t="s">
        <v>201</v>
      </c>
      <c r="BJ6" s="51"/>
      <c r="BK6" s="35"/>
      <c r="BL6" s="52"/>
      <c r="BM6" s="35" t="e">
        <f t="shared" si="18"/>
        <v>#N/A</v>
      </c>
      <c r="BN6" s="57" t="s">
        <v>103</v>
      </c>
      <c r="BO6" s="35">
        <v>25</v>
      </c>
      <c r="BP6" s="54"/>
      <c r="BQ6" s="73">
        <f t="shared" si="19"/>
        <v>1</v>
      </c>
      <c r="BR6" s="57" t="s">
        <v>103</v>
      </c>
      <c r="BS6" s="35">
        <v>15</v>
      </c>
      <c r="BT6" s="56">
        <v>1.6</v>
      </c>
      <c r="BU6" s="52"/>
      <c r="BV6" s="35">
        <f>IF($B$14=BX6,1,0)</f>
        <v>0</v>
      </c>
      <c r="BW6" s="57" t="s">
        <v>104</v>
      </c>
      <c r="BX6" s="35" t="s">
        <v>54</v>
      </c>
      <c r="BY6" s="52"/>
      <c r="BZ6" s="73">
        <f t="shared" si="20"/>
        <v>0</v>
      </c>
      <c r="CA6" s="57" t="s">
        <v>103</v>
      </c>
      <c r="CB6" s="56">
        <v>25</v>
      </c>
      <c r="CC6" s="52"/>
      <c r="CD6" s="73" t="e">
        <f t="shared" si="21"/>
        <v>#N/A</v>
      </c>
      <c r="CE6" s="57" t="s">
        <v>103</v>
      </c>
      <c r="CF6" s="56">
        <v>25</v>
      </c>
      <c r="CG6" s="52"/>
      <c r="CH6" s="35" t="e">
        <f t="shared" si="22"/>
        <v>#N/A</v>
      </c>
      <c r="CI6" s="57" t="s">
        <v>103</v>
      </c>
      <c r="CJ6" s="35">
        <v>25</v>
      </c>
      <c r="CK6" s="52"/>
      <c r="CL6" s="35" t="e">
        <f t="shared" si="23"/>
        <v>#N/A</v>
      </c>
      <c r="CM6" s="57" t="s">
        <v>103</v>
      </c>
      <c r="CN6" s="35">
        <v>25</v>
      </c>
      <c r="CO6" s="52"/>
      <c r="CP6" s="35">
        <f t="shared" si="24"/>
        <v>0</v>
      </c>
      <c r="CQ6" s="57" t="s">
        <v>104</v>
      </c>
      <c r="CR6" s="62" t="s">
        <v>188</v>
      </c>
      <c r="CS6" s="52"/>
      <c r="CT6" s="35" t="e">
        <f>IF($E$24=CV6,1,0)</f>
        <v>#N/A</v>
      </c>
      <c r="CU6" s="32">
        <v>3</v>
      </c>
      <c r="CV6" s="58" t="s">
        <v>186</v>
      </c>
      <c r="CW6" s="32" t="e">
        <f>IF($E$24=CY6,1,0)</f>
        <v>#N/A</v>
      </c>
      <c r="CX6" s="32">
        <v>3</v>
      </c>
      <c r="CY6" s="116" t="s">
        <v>192</v>
      </c>
      <c r="CZ6" s="54"/>
      <c r="DA6" s="58">
        <f>IF($B$15=DC6,1,0)</f>
        <v>0</v>
      </c>
      <c r="DB6" s="32">
        <v>2</v>
      </c>
      <c r="DC6" s="80" t="s">
        <v>195</v>
      </c>
      <c r="DD6" s="54"/>
      <c r="DE6" s="52"/>
      <c r="DF6" s="35">
        <f t="shared" si="25"/>
        <v>0</v>
      </c>
      <c r="DG6" s="57" t="s">
        <v>96</v>
      </c>
      <c r="DH6" s="62" t="s">
        <v>196</v>
      </c>
      <c r="DI6" s="54"/>
      <c r="DJ6" s="35">
        <f>IF($B$16=DL6,1,0)</f>
        <v>0</v>
      </c>
      <c r="DK6" s="57" t="s">
        <v>104</v>
      </c>
      <c r="DL6" s="80" t="s">
        <v>54</v>
      </c>
      <c r="DM6" s="54"/>
      <c r="DN6" s="35"/>
      <c r="DO6" s="57"/>
      <c r="DP6" s="56"/>
    </row>
    <row r="7" spans="1:120" x14ac:dyDescent="0.25">
      <c r="A7" s="59" t="s">
        <v>178</v>
      </c>
      <c r="B7" s="75">
        <f>IF(('ol4'!N17-B8)&lt;5,B8+5,'ol4'!N17)</f>
        <v>5</v>
      </c>
      <c r="C7" s="76" t="s">
        <v>86</v>
      </c>
      <c r="E7" t="s">
        <v>106</v>
      </c>
      <c r="F7">
        <f>VLOOKUP(1,IF(B14="IMI Hydronic",AH4:AJ21,IF(B14="Siemens",AK4:AM22,AN4:AP16)),3,0)</f>
        <v>1.6</v>
      </c>
      <c r="I7" s="55">
        <f t="shared" si="1"/>
        <v>0</v>
      </c>
      <c r="J7" s="58">
        <v>32</v>
      </c>
      <c r="K7" s="58"/>
      <c r="L7" s="58"/>
      <c r="M7" s="62"/>
      <c r="N7" s="55">
        <f t="shared" si="3"/>
        <v>0</v>
      </c>
      <c r="O7" s="58">
        <v>32</v>
      </c>
      <c r="P7" s="58"/>
      <c r="Q7" s="62"/>
      <c r="R7" s="58">
        <f t="shared" si="5"/>
        <v>0</v>
      </c>
      <c r="S7" s="58">
        <v>32</v>
      </c>
      <c r="T7" s="58"/>
      <c r="U7" s="62"/>
      <c r="V7" s="58">
        <f t="shared" si="8"/>
        <v>0</v>
      </c>
      <c r="W7" s="58">
        <v>32</v>
      </c>
      <c r="X7" s="58"/>
      <c r="Y7" s="62"/>
      <c r="Z7" s="58">
        <f t="shared" si="11"/>
        <v>0</v>
      </c>
      <c r="AA7" s="58">
        <v>25</v>
      </c>
      <c r="AB7" s="58"/>
      <c r="AC7" s="62"/>
      <c r="AE7" s="55"/>
      <c r="AF7" s="58"/>
      <c r="AG7" s="58"/>
      <c r="AH7" s="55">
        <f t="shared" si="12"/>
        <v>1</v>
      </c>
      <c r="AI7" s="67">
        <v>20</v>
      </c>
      <c r="AJ7" s="62">
        <v>6.3</v>
      </c>
      <c r="AK7" s="55">
        <f t="shared" si="13"/>
        <v>1</v>
      </c>
      <c r="AL7" s="67">
        <v>20</v>
      </c>
      <c r="AM7" s="62">
        <v>6.3</v>
      </c>
      <c r="AN7" s="58">
        <f t="shared" si="14"/>
        <v>1</v>
      </c>
      <c r="AO7" s="67">
        <v>20</v>
      </c>
      <c r="AP7" s="62">
        <v>6.3</v>
      </c>
      <c r="AR7" s="54">
        <v>12</v>
      </c>
      <c r="AS7" s="58">
        <f>IF($F$23&lt;AR7,1,0)</f>
        <v>1</v>
      </c>
      <c r="AT7" s="62" t="s">
        <v>197</v>
      </c>
      <c r="AU7" s="58">
        <f>IF($F$23&lt;AR7,1,0)</f>
        <v>1</v>
      </c>
      <c r="AV7" s="116" t="s">
        <v>198</v>
      </c>
      <c r="AX7" s="55">
        <f t="shared" si="0"/>
        <v>1</v>
      </c>
      <c r="AY7" s="58">
        <v>14</v>
      </c>
      <c r="AZ7" s="62" t="s">
        <v>199</v>
      </c>
      <c r="BA7" s="54"/>
      <c r="BB7" s="58">
        <f t="shared" si="15"/>
        <v>0</v>
      </c>
      <c r="BC7" s="58">
        <f t="shared" si="16"/>
        <v>1</v>
      </c>
      <c r="BD7" s="67">
        <v>0.03</v>
      </c>
      <c r="BE7" s="58">
        <f t="shared" si="17"/>
        <v>0</v>
      </c>
      <c r="BF7">
        <v>2</v>
      </c>
      <c r="BG7" s="62" t="s">
        <v>176</v>
      </c>
      <c r="BJ7" s="51"/>
      <c r="BK7" s="35"/>
      <c r="BL7" s="52"/>
      <c r="BM7" s="35" t="e">
        <f t="shared" si="18"/>
        <v>#N/A</v>
      </c>
      <c r="BN7" s="57" t="s">
        <v>110</v>
      </c>
      <c r="BO7" s="35">
        <v>32</v>
      </c>
      <c r="BP7" s="54"/>
      <c r="BQ7" s="73">
        <f t="shared" si="19"/>
        <v>0</v>
      </c>
      <c r="BR7" s="57" t="s">
        <v>110</v>
      </c>
      <c r="BS7" s="35">
        <v>15</v>
      </c>
      <c r="BT7" s="56">
        <v>2.5</v>
      </c>
      <c r="BU7" s="52"/>
      <c r="BV7" s="35"/>
      <c r="BW7" s="57"/>
      <c r="BX7" s="35"/>
      <c r="BY7" s="52"/>
      <c r="BZ7" s="73">
        <f t="shared" si="20"/>
        <v>0</v>
      </c>
      <c r="CA7" s="57" t="s">
        <v>110</v>
      </c>
      <c r="CB7" s="56">
        <v>32</v>
      </c>
      <c r="CC7" s="52"/>
      <c r="CD7" s="73" t="e">
        <f t="shared" si="21"/>
        <v>#N/A</v>
      </c>
      <c r="CE7" s="57" t="s">
        <v>110</v>
      </c>
      <c r="CF7" s="56">
        <v>32</v>
      </c>
      <c r="CG7" s="52"/>
      <c r="CH7" s="35" t="e">
        <f t="shared" si="22"/>
        <v>#N/A</v>
      </c>
      <c r="CI7" s="57" t="s">
        <v>110</v>
      </c>
      <c r="CJ7" s="35">
        <v>32</v>
      </c>
      <c r="CK7" s="52"/>
      <c r="CL7" s="35" t="e">
        <f t="shared" si="23"/>
        <v>#N/A</v>
      </c>
      <c r="CM7" s="57" t="s">
        <v>110</v>
      </c>
      <c r="CN7" s="35">
        <v>32</v>
      </c>
      <c r="CO7" s="52"/>
      <c r="CP7" s="35">
        <f t="shared" si="24"/>
        <v>0</v>
      </c>
      <c r="CQ7" s="57" t="s">
        <v>116</v>
      </c>
      <c r="CR7" s="62" t="s">
        <v>193</v>
      </c>
      <c r="CS7" s="52"/>
      <c r="CT7" s="35" t="e">
        <f>IF($E$24=CV7,1,0)</f>
        <v>#N/A</v>
      </c>
      <c r="CU7" s="80">
        <v>4</v>
      </c>
      <c r="CV7" s="58" t="s">
        <v>197</v>
      </c>
      <c r="CW7" s="32" t="e">
        <f>IF($E$24=CY7,1,0)</f>
        <v>#N/A</v>
      </c>
      <c r="CX7" s="80">
        <v>4</v>
      </c>
      <c r="CY7" s="116" t="s">
        <v>198</v>
      </c>
      <c r="CZ7" s="54"/>
      <c r="DA7" s="58"/>
      <c r="DB7" s="32"/>
      <c r="DD7" s="54"/>
      <c r="DE7" s="52"/>
      <c r="DF7" s="35">
        <f t="shared" si="25"/>
        <v>1</v>
      </c>
      <c r="DG7" s="57" t="s">
        <v>103</v>
      </c>
      <c r="DH7" s="62" t="s">
        <v>201</v>
      </c>
      <c r="DI7" s="54"/>
      <c r="DJ7" s="35"/>
      <c r="DK7" s="58"/>
      <c r="DL7" s="58"/>
      <c r="DM7" s="54"/>
      <c r="DN7" s="35"/>
      <c r="DO7" s="57"/>
      <c r="DP7" s="83"/>
    </row>
    <row r="8" spans="1:120" x14ac:dyDescent="0.25">
      <c r="A8" s="59" t="s">
        <v>202</v>
      </c>
      <c r="B8" s="75">
        <f>'ol4'!R17</f>
        <v>0</v>
      </c>
      <c r="C8" s="76" t="s">
        <v>86</v>
      </c>
      <c r="E8" s="84" t="s">
        <v>73</v>
      </c>
      <c r="F8" s="115">
        <f>(F4^2/F7^2)*10</f>
        <v>0</v>
      </c>
      <c r="I8" s="55">
        <f t="shared" si="1"/>
        <v>0</v>
      </c>
      <c r="J8" s="58">
        <v>40</v>
      </c>
      <c r="K8" s="58"/>
      <c r="L8" s="58"/>
      <c r="M8" s="62"/>
      <c r="N8" s="55">
        <f t="shared" si="3"/>
        <v>0</v>
      </c>
      <c r="O8" s="58">
        <v>40</v>
      </c>
      <c r="P8" s="58"/>
      <c r="Q8" s="62"/>
      <c r="R8" s="58">
        <f t="shared" si="5"/>
        <v>0</v>
      </c>
      <c r="S8" s="58">
        <v>40</v>
      </c>
      <c r="T8" s="58"/>
      <c r="U8" s="62"/>
      <c r="V8" s="58">
        <f t="shared" si="8"/>
        <v>0</v>
      </c>
      <c r="W8" s="58">
        <v>40</v>
      </c>
      <c r="X8" s="58"/>
      <c r="Y8" s="62"/>
      <c r="Z8" s="58">
        <f t="shared" si="11"/>
        <v>0</v>
      </c>
      <c r="AA8" s="58">
        <v>32</v>
      </c>
      <c r="AB8" s="58"/>
      <c r="AC8" s="62"/>
      <c r="AE8" s="63"/>
      <c r="AF8" s="58"/>
      <c r="AG8" s="78"/>
      <c r="AH8" s="55">
        <f t="shared" si="12"/>
        <v>1</v>
      </c>
      <c r="AI8" s="67">
        <v>25</v>
      </c>
      <c r="AJ8" s="62">
        <v>10</v>
      </c>
      <c r="AK8" s="55">
        <f t="shared" si="13"/>
        <v>1</v>
      </c>
      <c r="AL8" s="67">
        <v>25</v>
      </c>
      <c r="AM8" s="62">
        <v>10</v>
      </c>
      <c r="AN8" s="58">
        <f t="shared" si="14"/>
        <v>1</v>
      </c>
      <c r="AO8" s="67">
        <v>25</v>
      </c>
      <c r="AP8" s="62">
        <v>10</v>
      </c>
      <c r="AR8" s="54"/>
      <c r="AS8" s="35"/>
      <c r="AT8" s="62"/>
      <c r="AU8" s="58"/>
      <c r="AV8" s="62"/>
      <c r="AX8" s="55">
        <f t="shared" si="0"/>
        <v>1</v>
      </c>
      <c r="AY8" s="58">
        <v>20</v>
      </c>
      <c r="AZ8" s="62" t="s">
        <v>203</v>
      </c>
      <c r="BA8" s="54"/>
      <c r="BB8" s="58">
        <f t="shared" si="15"/>
        <v>1</v>
      </c>
      <c r="BC8" s="58">
        <f t="shared" si="16"/>
        <v>1</v>
      </c>
      <c r="BD8" s="67">
        <v>0.03</v>
      </c>
      <c r="BE8" s="58">
        <f t="shared" si="17"/>
        <v>1</v>
      </c>
      <c r="BF8">
        <v>6</v>
      </c>
      <c r="BG8" s="62" t="s">
        <v>201</v>
      </c>
      <c r="BJ8" s="51"/>
      <c r="BK8" s="35"/>
      <c r="BL8" s="52"/>
      <c r="BM8" s="35" t="e">
        <f t="shared" si="18"/>
        <v>#N/A</v>
      </c>
      <c r="BN8" s="57" t="s">
        <v>115</v>
      </c>
      <c r="BO8" s="35">
        <v>40</v>
      </c>
      <c r="BP8" s="54"/>
      <c r="BQ8" s="73">
        <f t="shared" si="19"/>
        <v>0</v>
      </c>
      <c r="BR8" s="57" t="s">
        <v>115</v>
      </c>
      <c r="BS8" s="35">
        <v>15</v>
      </c>
      <c r="BT8" s="56">
        <v>4</v>
      </c>
      <c r="BU8" s="52"/>
      <c r="BV8" s="35"/>
      <c r="BW8" s="57"/>
      <c r="BX8" s="35"/>
      <c r="BY8" s="52"/>
      <c r="BZ8" s="73">
        <f t="shared" si="20"/>
        <v>0</v>
      </c>
      <c r="CA8" s="57" t="s">
        <v>115</v>
      </c>
      <c r="CB8" s="56">
        <v>40</v>
      </c>
      <c r="CC8" s="52"/>
      <c r="CD8" s="73" t="e">
        <f t="shared" si="21"/>
        <v>#N/A</v>
      </c>
      <c r="CE8" s="57" t="s">
        <v>115</v>
      </c>
      <c r="CF8" s="56">
        <v>40</v>
      </c>
      <c r="CG8" s="52"/>
      <c r="CH8" s="35" t="e">
        <f t="shared" si="22"/>
        <v>#N/A</v>
      </c>
      <c r="CI8" s="57" t="s">
        <v>115</v>
      </c>
      <c r="CJ8" s="35">
        <v>40</v>
      </c>
      <c r="CK8" s="52"/>
      <c r="CL8" s="35" t="e">
        <f t="shared" si="23"/>
        <v>#N/A</v>
      </c>
      <c r="CM8" s="57" t="s">
        <v>115</v>
      </c>
      <c r="CN8" s="35">
        <v>40</v>
      </c>
      <c r="CO8" s="52"/>
      <c r="CP8" s="35">
        <f t="shared" si="24"/>
        <v>0</v>
      </c>
      <c r="CQ8" s="57" t="s">
        <v>124</v>
      </c>
      <c r="CR8" s="62" t="s">
        <v>199</v>
      </c>
      <c r="CS8" s="52"/>
      <c r="CT8" s="35"/>
      <c r="CU8" s="80"/>
      <c r="CV8" s="32"/>
      <c r="CW8" s="32"/>
      <c r="CX8" s="80"/>
      <c r="CY8" s="32"/>
      <c r="CZ8" s="54"/>
      <c r="DD8" s="54"/>
      <c r="DE8" s="52"/>
      <c r="DF8" s="35">
        <f t="shared" si="25"/>
        <v>0</v>
      </c>
      <c r="DG8" s="57" t="s">
        <v>110</v>
      </c>
      <c r="DH8" s="62" t="s">
        <v>204</v>
      </c>
      <c r="DI8" s="54"/>
      <c r="DJ8" s="35"/>
      <c r="DK8" s="57"/>
      <c r="DL8" s="35"/>
      <c r="DM8" s="54"/>
      <c r="DN8" s="35"/>
      <c r="DO8" s="57"/>
      <c r="DP8" s="56"/>
    </row>
    <row r="9" spans="1:120" x14ac:dyDescent="0.25">
      <c r="A9" s="59" t="s">
        <v>117</v>
      </c>
      <c r="B9" s="75">
        <f>'ol4'!W13*100</f>
        <v>60</v>
      </c>
      <c r="C9" s="76" t="s">
        <v>118</v>
      </c>
      <c r="E9" s="1" t="str">
        <f>VLOOKUP(1,BB4:BG93,6,0)</f>
        <v>НН14-16/1</v>
      </c>
      <c r="F9" s="1"/>
      <c r="I9" s="55">
        <f t="shared" si="1"/>
        <v>0</v>
      </c>
      <c r="J9" s="58">
        <v>50</v>
      </c>
      <c r="K9" s="58"/>
      <c r="L9" s="58"/>
      <c r="M9" s="62"/>
      <c r="N9" s="55">
        <f t="shared" si="3"/>
        <v>1</v>
      </c>
      <c r="O9" s="58">
        <v>50</v>
      </c>
      <c r="P9" s="58">
        <f>1/POWER(1.14+2*LOG10((O9/1000)/($K$21/1000)),2)</f>
        <v>3.7850686611455138E-2</v>
      </c>
      <c r="Q9" s="62">
        <f>0.00638*P9*POWER($F$11,2)/(POWER(O9/1000,5)*$K$20)</f>
        <v>8.9589085728467328</v>
      </c>
      <c r="R9" s="58">
        <f t="shared" si="5"/>
        <v>0</v>
      </c>
      <c r="S9" s="58">
        <v>50</v>
      </c>
      <c r="T9" s="58"/>
      <c r="U9" s="62"/>
      <c r="V9" s="58">
        <f t="shared" si="8"/>
        <v>0</v>
      </c>
      <c r="W9" s="58">
        <v>50</v>
      </c>
      <c r="X9" s="58"/>
      <c r="Y9" s="62"/>
      <c r="Z9" s="58">
        <f t="shared" si="11"/>
        <v>0</v>
      </c>
      <c r="AA9" s="58">
        <v>40</v>
      </c>
      <c r="AB9" s="58"/>
      <c r="AC9" s="62"/>
      <c r="AE9" s="63"/>
      <c r="AF9" s="78"/>
      <c r="AG9" s="58"/>
      <c r="AH9" s="55">
        <f t="shared" si="12"/>
        <v>1</v>
      </c>
      <c r="AI9" s="67">
        <v>32</v>
      </c>
      <c r="AJ9" s="62">
        <v>16</v>
      </c>
      <c r="AK9" s="55">
        <f t="shared" si="13"/>
        <v>1</v>
      </c>
      <c r="AL9" s="67">
        <v>32</v>
      </c>
      <c r="AM9" s="62">
        <v>16</v>
      </c>
      <c r="AN9" s="58">
        <f t="shared" si="14"/>
        <v>1</v>
      </c>
      <c r="AO9" s="67">
        <v>32</v>
      </c>
      <c r="AP9" s="62">
        <v>16</v>
      </c>
      <c r="AR9" s="54"/>
      <c r="AS9" s="35"/>
      <c r="AT9" s="62"/>
      <c r="AU9" s="58"/>
      <c r="AV9" s="62"/>
      <c r="AX9" s="95"/>
      <c r="AY9" s="96"/>
      <c r="AZ9" s="98"/>
      <c r="BB9" s="58">
        <f t="shared" si="15"/>
        <v>0</v>
      </c>
      <c r="BC9" s="58">
        <f t="shared" si="16"/>
        <v>1</v>
      </c>
      <c r="BD9" s="67">
        <v>0.04</v>
      </c>
      <c r="BE9" s="58">
        <f t="shared" si="17"/>
        <v>0</v>
      </c>
      <c r="BF9" s="58">
        <v>1.88</v>
      </c>
      <c r="BG9" s="62" t="s">
        <v>176</v>
      </c>
      <c r="BJ9" s="51"/>
      <c r="BK9" s="35"/>
      <c r="BL9" s="52"/>
      <c r="BM9" s="35" t="e">
        <f t="shared" si="18"/>
        <v>#N/A</v>
      </c>
      <c r="BN9" s="57" t="s">
        <v>123</v>
      </c>
      <c r="BO9" s="35">
        <v>50</v>
      </c>
      <c r="BP9" s="54"/>
      <c r="BQ9" s="73">
        <f t="shared" si="19"/>
        <v>0</v>
      </c>
      <c r="BR9" s="57" t="s">
        <v>123</v>
      </c>
      <c r="BS9" s="35">
        <v>20</v>
      </c>
      <c r="BT9" s="56">
        <v>5</v>
      </c>
      <c r="BU9" s="52"/>
      <c r="BV9" s="35"/>
      <c r="BW9" s="57"/>
      <c r="BX9" s="35"/>
      <c r="BY9" s="52"/>
      <c r="BZ9" s="73">
        <f t="shared" si="20"/>
        <v>1</v>
      </c>
      <c r="CA9" s="57" t="s">
        <v>123</v>
      </c>
      <c r="CB9" s="56">
        <v>50</v>
      </c>
      <c r="CC9" s="52"/>
      <c r="CD9" s="73" t="e">
        <f t="shared" si="21"/>
        <v>#N/A</v>
      </c>
      <c r="CE9" s="57" t="s">
        <v>123</v>
      </c>
      <c r="CF9" s="56">
        <v>50</v>
      </c>
      <c r="CG9" s="52"/>
      <c r="CH9" s="35" t="e">
        <f t="shared" si="22"/>
        <v>#N/A</v>
      </c>
      <c r="CI9" s="57" t="s">
        <v>123</v>
      </c>
      <c r="CJ9" s="35">
        <v>50</v>
      </c>
      <c r="CK9" s="52"/>
      <c r="CL9" s="35" t="e">
        <f t="shared" si="23"/>
        <v>#N/A</v>
      </c>
      <c r="CM9" s="57" t="s">
        <v>123</v>
      </c>
      <c r="CN9" s="35">
        <v>50</v>
      </c>
      <c r="CO9" s="52"/>
      <c r="CP9" s="35">
        <f t="shared" si="24"/>
        <v>0</v>
      </c>
      <c r="CQ9" s="57" t="s">
        <v>131</v>
      </c>
      <c r="CR9" s="62" t="s">
        <v>203</v>
      </c>
      <c r="CS9" s="52"/>
      <c r="CT9" s="35"/>
      <c r="CU9" s="80"/>
      <c r="CV9" s="32"/>
      <c r="CW9" s="32"/>
      <c r="CX9" s="80"/>
      <c r="CY9" s="32"/>
      <c r="CZ9" s="54"/>
      <c r="DA9" s="58"/>
      <c r="DB9" s="58"/>
      <c r="DC9" s="58"/>
      <c r="DD9" s="54"/>
      <c r="DE9" s="52"/>
      <c r="DF9" s="35">
        <f t="shared" si="25"/>
        <v>0</v>
      </c>
      <c r="DG9" s="57" t="s">
        <v>115</v>
      </c>
      <c r="DH9" s="62" t="s">
        <v>184</v>
      </c>
      <c r="DI9" s="54"/>
      <c r="DJ9" s="35"/>
      <c r="DK9" s="57"/>
      <c r="DL9" s="35"/>
      <c r="DM9" s="54"/>
      <c r="DN9" s="35"/>
      <c r="DO9" s="57"/>
      <c r="DP9" s="56"/>
    </row>
    <row r="10" spans="1:120" x14ac:dyDescent="0.25">
      <c r="A10" s="59" t="s">
        <v>125</v>
      </c>
      <c r="B10" s="75">
        <f>'ol4'!AC13*100</f>
        <v>40</v>
      </c>
      <c r="C10" s="76" t="s">
        <v>118</v>
      </c>
      <c r="I10" s="55">
        <f t="shared" si="1"/>
        <v>0</v>
      </c>
      <c r="J10" s="58">
        <v>65</v>
      </c>
      <c r="K10" s="58"/>
      <c r="L10" s="58"/>
      <c r="M10" s="62"/>
      <c r="N10" s="55">
        <f t="shared" si="3"/>
        <v>0</v>
      </c>
      <c r="O10" s="58">
        <v>65</v>
      </c>
      <c r="P10" s="58"/>
      <c r="Q10" s="62"/>
      <c r="R10" s="58">
        <f t="shared" si="5"/>
        <v>0</v>
      </c>
      <c r="S10" s="58">
        <v>65</v>
      </c>
      <c r="T10" s="58"/>
      <c r="U10" s="62"/>
      <c r="V10" s="58">
        <f t="shared" si="8"/>
        <v>0</v>
      </c>
      <c r="W10" s="58">
        <v>65</v>
      </c>
      <c r="X10" s="58"/>
      <c r="Y10" s="62"/>
      <c r="Z10" s="58">
        <f t="shared" si="11"/>
        <v>0</v>
      </c>
      <c r="AA10" s="58">
        <v>50</v>
      </c>
      <c r="AB10" s="58"/>
      <c r="AC10" s="62"/>
      <c r="AE10" s="55"/>
      <c r="AF10" s="58"/>
      <c r="AG10" s="58"/>
      <c r="AH10" s="55">
        <f t="shared" si="12"/>
        <v>1</v>
      </c>
      <c r="AI10" s="67">
        <v>40</v>
      </c>
      <c r="AJ10" s="62">
        <v>20</v>
      </c>
      <c r="AK10" s="55">
        <f t="shared" si="13"/>
        <v>1</v>
      </c>
      <c r="AL10" s="67">
        <v>40</v>
      </c>
      <c r="AM10" s="62">
        <v>25</v>
      </c>
      <c r="AN10" s="58">
        <f t="shared" si="14"/>
        <v>1</v>
      </c>
      <c r="AO10" s="67">
        <v>40</v>
      </c>
      <c r="AP10" s="62">
        <v>25</v>
      </c>
      <c r="AR10" s="54"/>
      <c r="AS10" s="35"/>
      <c r="AT10" s="62"/>
      <c r="AU10" s="58"/>
      <c r="AV10" s="62"/>
      <c r="BA10" s="62"/>
      <c r="BB10" s="58">
        <f t="shared" si="15"/>
        <v>1</v>
      </c>
      <c r="BC10" s="58">
        <f t="shared" si="16"/>
        <v>1</v>
      </c>
      <c r="BD10" s="67">
        <v>0.04</v>
      </c>
      <c r="BE10" s="58">
        <f t="shared" si="17"/>
        <v>1</v>
      </c>
      <c r="BF10" s="67">
        <v>8</v>
      </c>
      <c r="BG10" s="62" t="s">
        <v>201</v>
      </c>
      <c r="BJ10" s="51"/>
      <c r="BK10" s="35"/>
      <c r="BL10" s="52"/>
      <c r="BM10" s="35" t="e">
        <f t="shared" si="18"/>
        <v>#N/A</v>
      </c>
      <c r="BN10" s="57" t="s">
        <v>130</v>
      </c>
      <c r="BO10" s="35">
        <v>65</v>
      </c>
      <c r="BP10" s="54"/>
      <c r="BQ10" s="73">
        <f t="shared" si="19"/>
        <v>0</v>
      </c>
      <c r="BR10" s="57" t="s">
        <v>130</v>
      </c>
      <c r="BS10" s="35">
        <v>20</v>
      </c>
      <c r="BT10" s="56">
        <v>6.3</v>
      </c>
      <c r="BU10" s="52"/>
      <c r="BV10" s="35"/>
      <c r="BW10" s="57"/>
      <c r="BX10" s="35"/>
      <c r="BY10" s="52"/>
      <c r="BZ10" s="73">
        <f t="shared" si="20"/>
        <v>0</v>
      </c>
      <c r="CA10" s="57" t="s">
        <v>130</v>
      </c>
      <c r="CB10" s="56">
        <v>65</v>
      </c>
      <c r="CC10" s="52"/>
      <c r="CD10" s="73" t="e">
        <f t="shared" si="21"/>
        <v>#N/A</v>
      </c>
      <c r="CE10" s="57" t="s">
        <v>130</v>
      </c>
      <c r="CF10" s="56">
        <v>65</v>
      </c>
      <c r="CG10" s="52"/>
      <c r="CH10" s="35" t="e">
        <f t="shared" si="22"/>
        <v>#N/A</v>
      </c>
      <c r="CI10" s="57" t="s">
        <v>130</v>
      </c>
      <c r="CJ10" s="35">
        <v>65</v>
      </c>
      <c r="CK10" s="52"/>
      <c r="CL10" s="35" t="e">
        <f t="shared" si="23"/>
        <v>#N/A</v>
      </c>
      <c r="CM10" s="57" t="s">
        <v>130</v>
      </c>
      <c r="CN10" s="35">
        <v>65</v>
      </c>
      <c r="CO10" s="52"/>
      <c r="CP10" s="35"/>
      <c r="CQ10" s="57"/>
      <c r="CR10" s="35"/>
      <c r="CS10" s="52"/>
      <c r="CT10" s="35"/>
      <c r="CU10" s="80"/>
      <c r="CV10" s="32"/>
      <c r="CW10" s="32"/>
      <c r="CX10" s="80"/>
      <c r="CY10" s="32"/>
      <c r="CZ10" s="54"/>
      <c r="DD10" s="54"/>
      <c r="DE10" s="52"/>
      <c r="DF10" s="35">
        <f t="shared" si="25"/>
        <v>0</v>
      </c>
      <c r="DG10" s="57" t="s">
        <v>123</v>
      </c>
      <c r="DH10" s="62" t="s">
        <v>189</v>
      </c>
      <c r="DI10" s="54"/>
      <c r="DJ10" s="35"/>
      <c r="DK10" s="57"/>
      <c r="DL10" s="35"/>
      <c r="DM10" s="54"/>
      <c r="DN10" s="35"/>
      <c r="DO10" s="57"/>
      <c r="DP10" s="56"/>
    </row>
    <row r="11" spans="1:120" x14ac:dyDescent="0.25">
      <c r="A11" s="86" t="s">
        <v>137</v>
      </c>
      <c r="B11">
        <f>B9-B10</f>
        <v>20</v>
      </c>
      <c r="C11" s="76" t="s">
        <v>118</v>
      </c>
      <c r="E11" t="s">
        <v>219</v>
      </c>
      <c r="F11" s="115">
        <f>'bov1'!F4+'bov2'!F4+'bov3'!F4</f>
        <v>3.3333333333333335</v>
      </c>
      <c r="I11" s="55">
        <f t="shared" si="1"/>
        <v>0</v>
      </c>
      <c r="J11" s="58">
        <v>80</v>
      </c>
      <c r="K11" s="58"/>
      <c r="L11" s="58"/>
      <c r="M11" s="62"/>
      <c r="N11" s="55">
        <f t="shared" si="3"/>
        <v>0</v>
      </c>
      <c r="O11" s="58">
        <v>80</v>
      </c>
      <c r="P11" s="58"/>
      <c r="Q11" s="62"/>
      <c r="R11" s="58">
        <f t="shared" si="5"/>
        <v>0</v>
      </c>
      <c r="S11" s="58">
        <v>80</v>
      </c>
      <c r="T11" s="58"/>
      <c r="U11" s="62"/>
      <c r="V11" s="58">
        <f t="shared" si="8"/>
        <v>0</v>
      </c>
      <c r="W11" s="58">
        <v>80</v>
      </c>
      <c r="X11" s="58"/>
      <c r="Y11" s="62"/>
      <c r="Z11" s="58">
        <f t="shared" si="11"/>
        <v>0</v>
      </c>
      <c r="AA11" s="58">
        <v>65</v>
      </c>
      <c r="AB11" s="58"/>
      <c r="AC11" s="62"/>
      <c r="AE11" s="55"/>
      <c r="AF11" s="58"/>
      <c r="AG11" s="78"/>
      <c r="AH11" s="55">
        <f t="shared" si="12"/>
        <v>1</v>
      </c>
      <c r="AI11" s="67">
        <v>40</v>
      </c>
      <c r="AJ11" s="62">
        <v>25</v>
      </c>
      <c r="AK11" s="55">
        <f t="shared" si="13"/>
        <v>1</v>
      </c>
      <c r="AL11" s="67">
        <v>50</v>
      </c>
      <c r="AM11" s="87">
        <v>31.5</v>
      </c>
      <c r="AN11" s="58">
        <f t="shared" si="14"/>
        <v>1</v>
      </c>
      <c r="AO11" s="67">
        <v>50</v>
      </c>
      <c r="AP11" s="62">
        <v>40</v>
      </c>
      <c r="AR11" s="107"/>
      <c r="AS11" s="104"/>
      <c r="AT11" s="98"/>
      <c r="AU11" s="96"/>
      <c r="AV11" s="98"/>
      <c r="BA11" s="62"/>
      <c r="BB11" s="58">
        <f t="shared" si="15"/>
        <v>0</v>
      </c>
      <c r="BC11" s="58">
        <f t="shared" si="16"/>
        <v>1</v>
      </c>
      <c r="BD11" s="67">
        <v>0.05</v>
      </c>
      <c r="BE11" s="58">
        <f t="shared" si="17"/>
        <v>0</v>
      </c>
      <c r="BF11" s="67">
        <v>2</v>
      </c>
      <c r="BG11" s="62" t="s">
        <v>176</v>
      </c>
      <c r="BJ11" s="51"/>
      <c r="BK11" s="35"/>
      <c r="BL11" s="52"/>
      <c r="BM11" s="35" t="e">
        <f t="shared" si="18"/>
        <v>#N/A</v>
      </c>
      <c r="BN11" s="57" t="s">
        <v>136</v>
      </c>
      <c r="BO11" s="35">
        <v>80</v>
      </c>
      <c r="BP11" s="54"/>
      <c r="BQ11" s="73">
        <f t="shared" si="19"/>
        <v>0</v>
      </c>
      <c r="BR11" s="57" t="s">
        <v>136</v>
      </c>
      <c r="BS11" s="35">
        <v>25</v>
      </c>
      <c r="BT11" s="56">
        <v>8</v>
      </c>
      <c r="BU11" s="52"/>
      <c r="BV11" s="35"/>
      <c r="BW11" s="57"/>
      <c r="BX11" s="35"/>
      <c r="BY11" s="52"/>
      <c r="BZ11" s="73">
        <f t="shared" si="20"/>
        <v>0</v>
      </c>
      <c r="CA11" s="57" t="s">
        <v>136</v>
      </c>
      <c r="CB11" s="56">
        <v>80</v>
      </c>
      <c r="CC11" s="52"/>
      <c r="CD11" s="73" t="e">
        <f t="shared" si="21"/>
        <v>#N/A</v>
      </c>
      <c r="CE11" s="57" t="s">
        <v>136</v>
      </c>
      <c r="CF11" s="56">
        <v>80</v>
      </c>
      <c r="CG11" s="52"/>
      <c r="CH11" s="35" t="e">
        <f t="shared" si="22"/>
        <v>#N/A</v>
      </c>
      <c r="CI11" s="57" t="s">
        <v>136</v>
      </c>
      <c r="CJ11" s="35">
        <v>80</v>
      </c>
      <c r="CK11" s="52"/>
      <c r="CL11" s="35" t="e">
        <f t="shared" si="23"/>
        <v>#N/A</v>
      </c>
      <c r="CM11" s="57" t="s">
        <v>136</v>
      </c>
      <c r="CN11" s="35">
        <v>80</v>
      </c>
      <c r="CO11" s="52"/>
      <c r="CP11" s="35"/>
      <c r="CQ11" s="57"/>
      <c r="CR11" s="35"/>
      <c r="CS11" s="52"/>
      <c r="CT11" s="35"/>
      <c r="CU11" s="80"/>
      <c r="CV11" s="32"/>
      <c r="CW11" s="32"/>
      <c r="CX11" s="32"/>
      <c r="CY11" s="32"/>
      <c r="CZ11" s="54"/>
      <c r="DD11" s="54"/>
      <c r="DE11" s="52"/>
      <c r="DF11" s="35">
        <f t="shared" si="25"/>
        <v>0</v>
      </c>
      <c r="DG11" s="57" t="s">
        <v>130</v>
      </c>
      <c r="DH11" s="62" t="s">
        <v>194</v>
      </c>
      <c r="DI11" s="54"/>
      <c r="DJ11" s="35"/>
      <c r="DK11" s="57"/>
      <c r="DL11" s="35"/>
      <c r="DM11" s="54"/>
      <c r="DN11" s="35"/>
      <c r="DO11" s="57"/>
      <c r="DP11" s="56"/>
    </row>
    <row r="12" spans="1:120" x14ac:dyDescent="0.25">
      <c r="E12" t="s">
        <v>215</v>
      </c>
      <c r="F12">
        <f>VLOOKUP(1,N4:Q17,2,0)</f>
        <v>50</v>
      </c>
      <c r="I12" s="55">
        <f t="shared" si="1"/>
        <v>0</v>
      </c>
      <c r="J12" s="58">
        <v>100</v>
      </c>
      <c r="K12" s="58"/>
      <c r="L12" s="58"/>
      <c r="M12" s="62"/>
      <c r="N12" s="55">
        <f t="shared" si="3"/>
        <v>0</v>
      </c>
      <c r="O12" s="58">
        <v>100</v>
      </c>
      <c r="P12" s="58"/>
      <c r="Q12" s="62"/>
      <c r="R12" s="58">
        <f t="shared" si="5"/>
        <v>0</v>
      </c>
      <c r="S12" s="58">
        <v>100</v>
      </c>
      <c r="T12" s="58"/>
      <c r="U12" s="62"/>
      <c r="V12" s="58">
        <f t="shared" si="8"/>
        <v>0</v>
      </c>
      <c r="W12" s="58">
        <v>100</v>
      </c>
      <c r="X12" s="58"/>
      <c r="Y12" s="62"/>
      <c r="Z12" s="58">
        <f t="shared" si="11"/>
        <v>0</v>
      </c>
      <c r="AA12" s="58">
        <v>80</v>
      </c>
      <c r="AB12" s="58"/>
      <c r="AC12" s="62"/>
      <c r="AE12" s="63"/>
      <c r="AF12" s="58"/>
      <c r="AG12" s="58"/>
      <c r="AH12" s="55">
        <f t="shared" si="12"/>
        <v>1</v>
      </c>
      <c r="AI12" s="67">
        <v>50</v>
      </c>
      <c r="AJ12" s="62">
        <v>31.5</v>
      </c>
      <c r="AK12" s="55">
        <f t="shared" si="13"/>
        <v>1</v>
      </c>
      <c r="AL12" s="67">
        <v>50</v>
      </c>
      <c r="AM12" s="87">
        <v>40</v>
      </c>
      <c r="AN12" s="58">
        <f t="shared" si="14"/>
        <v>1</v>
      </c>
      <c r="AO12" s="67">
        <v>65</v>
      </c>
      <c r="AP12" s="62">
        <v>63</v>
      </c>
      <c r="BA12" s="62"/>
      <c r="BB12" s="58">
        <f t="shared" si="15"/>
        <v>1</v>
      </c>
      <c r="BC12" s="58">
        <f t="shared" si="16"/>
        <v>1</v>
      </c>
      <c r="BD12" s="67">
        <v>0.05</v>
      </c>
      <c r="BE12" s="58">
        <f t="shared" si="17"/>
        <v>1</v>
      </c>
      <c r="BF12" s="67">
        <v>10</v>
      </c>
      <c r="BG12" s="62" t="s">
        <v>201</v>
      </c>
      <c r="BJ12" s="51"/>
      <c r="BK12" s="35"/>
      <c r="BL12" s="52"/>
      <c r="BM12" s="35" t="e">
        <f t="shared" si="18"/>
        <v>#N/A</v>
      </c>
      <c r="BN12" s="57" t="s">
        <v>138</v>
      </c>
      <c r="BO12" s="35">
        <v>100</v>
      </c>
      <c r="BP12" s="54"/>
      <c r="BQ12" s="73">
        <f t="shared" si="19"/>
        <v>0</v>
      </c>
      <c r="BR12" s="57" t="s">
        <v>138</v>
      </c>
      <c r="BS12" s="35">
        <v>25</v>
      </c>
      <c r="BT12" s="56">
        <v>10</v>
      </c>
      <c r="BU12" s="52"/>
      <c r="BV12" s="35"/>
      <c r="BW12" s="57"/>
      <c r="BX12" s="35"/>
      <c r="BY12" s="52"/>
      <c r="BZ12" s="73">
        <f t="shared" si="20"/>
        <v>0</v>
      </c>
      <c r="CA12" s="57" t="s">
        <v>138</v>
      </c>
      <c r="CB12" s="56">
        <v>100</v>
      </c>
      <c r="CC12" s="52"/>
      <c r="CD12" s="73" t="e">
        <f t="shared" si="21"/>
        <v>#N/A</v>
      </c>
      <c r="CE12" s="57" t="s">
        <v>138</v>
      </c>
      <c r="CF12" s="56">
        <v>100</v>
      </c>
      <c r="CG12" s="52"/>
      <c r="CH12" s="35" t="e">
        <f t="shared" si="22"/>
        <v>#N/A</v>
      </c>
      <c r="CI12" s="57" t="s">
        <v>138</v>
      </c>
      <c r="CJ12" s="35">
        <v>100</v>
      </c>
      <c r="CK12" s="52"/>
      <c r="CL12" s="35" t="e">
        <f t="shared" si="23"/>
        <v>#N/A</v>
      </c>
      <c r="CM12" s="57" t="s">
        <v>138</v>
      </c>
      <c r="CN12" s="35">
        <v>100</v>
      </c>
      <c r="CO12" s="52"/>
      <c r="CP12" s="35"/>
      <c r="CQ12" s="57"/>
      <c r="CR12" s="35"/>
      <c r="CS12" s="52"/>
      <c r="CT12" s="35"/>
      <c r="CU12" s="32"/>
      <c r="CV12" s="58"/>
      <c r="CW12" s="58"/>
      <c r="CX12" s="58"/>
      <c r="CY12" s="58"/>
      <c r="CZ12" s="54"/>
      <c r="DD12" s="54"/>
      <c r="DE12" s="52"/>
      <c r="DF12" s="35">
        <f t="shared" si="25"/>
        <v>0</v>
      </c>
      <c r="DG12" s="57" t="s">
        <v>136</v>
      </c>
      <c r="DH12" s="62" t="s">
        <v>200</v>
      </c>
      <c r="DI12" s="54"/>
      <c r="DJ12" s="35"/>
      <c r="DK12" s="57"/>
      <c r="DL12" s="35"/>
      <c r="DM12" s="54"/>
      <c r="DN12" s="35"/>
      <c r="DO12" s="57"/>
      <c r="DP12" s="56"/>
    </row>
    <row r="13" spans="1:120" x14ac:dyDescent="0.25">
      <c r="A13" s="59"/>
      <c r="C13" s="76"/>
      <c r="I13" s="55">
        <f t="shared" si="1"/>
        <v>0</v>
      </c>
      <c r="J13" s="58">
        <v>125</v>
      </c>
      <c r="K13" s="58"/>
      <c r="L13" s="58"/>
      <c r="M13" s="62"/>
      <c r="N13" s="55">
        <f t="shared" si="3"/>
        <v>0</v>
      </c>
      <c r="O13" s="58">
        <v>125</v>
      </c>
      <c r="P13" s="58"/>
      <c r="Q13" s="62"/>
      <c r="R13" s="58">
        <f t="shared" si="5"/>
        <v>0</v>
      </c>
      <c r="S13" s="58">
        <v>125</v>
      </c>
      <c r="T13" s="58"/>
      <c r="U13" s="62"/>
      <c r="V13" s="58">
        <f t="shared" si="8"/>
        <v>0</v>
      </c>
      <c r="W13" s="58">
        <v>125</v>
      </c>
      <c r="X13" s="58"/>
      <c r="Y13" s="62"/>
      <c r="Z13" s="58">
        <f t="shared" si="11"/>
        <v>0</v>
      </c>
      <c r="AA13" s="58">
        <v>100</v>
      </c>
      <c r="AB13" s="58"/>
      <c r="AC13" s="62"/>
      <c r="AE13" s="63"/>
      <c r="AF13" s="78"/>
      <c r="AG13" s="58"/>
      <c r="AH13" s="55">
        <f t="shared" si="12"/>
        <v>1</v>
      </c>
      <c r="AI13" s="67">
        <v>50</v>
      </c>
      <c r="AJ13" s="62">
        <v>40</v>
      </c>
      <c r="AK13" s="55">
        <f t="shared" si="13"/>
        <v>1</v>
      </c>
      <c r="AL13" s="67">
        <v>65</v>
      </c>
      <c r="AM13" s="87">
        <v>50</v>
      </c>
      <c r="AN13" s="58">
        <f t="shared" si="14"/>
        <v>1</v>
      </c>
      <c r="AO13" s="67">
        <v>80</v>
      </c>
      <c r="AP13" s="62">
        <v>100</v>
      </c>
      <c r="BA13" s="62"/>
      <c r="BB13" s="58">
        <f t="shared" si="15"/>
        <v>0</v>
      </c>
      <c r="BC13" s="58">
        <f t="shared" si="16"/>
        <v>1</v>
      </c>
      <c r="BD13" s="67">
        <v>0.06</v>
      </c>
      <c r="BE13" s="58">
        <f t="shared" si="17"/>
        <v>0</v>
      </c>
      <c r="BF13" s="67">
        <v>1.78</v>
      </c>
      <c r="BG13" s="62" t="s">
        <v>176</v>
      </c>
      <c r="BJ13" s="51"/>
      <c r="BK13" s="35"/>
      <c r="BL13" s="52"/>
      <c r="BM13" s="35" t="e">
        <f t="shared" si="18"/>
        <v>#N/A</v>
      </c>
      <c r="BN13" s="57" t="s">
        <v>140</v>
      </c>
      <c r="BO13" s="35">
        <v>125</v>
      </c>
      <c r="BP13" s="54"/>
      <c r="BQ13" s="73">
        <f t="shared" si="19"/>
        <v>0</v>
      </c>
      <c r="BR13" s="57" t="s">
        <v>140</v>
      </c>
      <c r="BS13" s="35">
        <v>32</v>
      </c>
      <c r="BT13" s="56">
        <v>12.5</v>
      </c>
      <c r="BU13" s="52"/>
      <c r="BV13" s="35"/>
      <c r="BW13" s="57"/>
      <c r="BX13" s="35"/>
      <c r="BY13" s="52"/>
      <c r="BZ13" s="73">
        <f t="shared" si="20"/>
        <v>0</v>
      </c>
      <c r="CA13" s="57" t="s">
        <v>140</v>
      </c>
      <c r="CB13" s="56">
        <v>125</v>
      </c>
      <c r="CC13" s="52"/>
      <c r="CD13" s="73" t="e">
        <f t="shared" si="21"/>
        <v>#N/A</v>
      </c>
      <c r="CE13" s="57" t="s">
        <v>140</v>
      </c>
      <c r="CF13" s="56">
        <v>125</v>
      </c>
      <c r="CG13" s="52"/>
      <c r="CH13" s="35" t="e">
        <f t="shared" si="22"/>
        <v>#N/A</v>
      </c>
      <c r="CI13" s="57" t="s">
        <v>140</v>
      </c>
      <c r="CJ13" s="35">
        <v>125</v>
      </c>
      <c r="CK13" s="52"/>
      <c r="CL13" s="35" t="e">
        <f t="shared" si="23"/>
        <v>#N/A</v>
      </c>
      <c r="CM13" s="57" t="s">
        <v>140</v>
      </c>
      <c r="CN13" s="35">
        <v>125</v>
      </c>
      <c r="CO13" s="52"/>
      <c r="CP13" s="35"/>
      <c r="CQ13" s="57"/>
      <c r="CR13" s="35"/>
      <c r="CS13" s="52"/>
      <c r="CT13" s="35"/>
      <c r="CU13" s="32"/>
      <c r="CV13" s="80"/>
      <c r="CW13" s="35"/>
      <c r="CX13" s="32"/>
      <c r="CY13" s="80"/>
      <c r="CZ13" s="54"/>
      <c r="DA13" s="58"/>
      <c r="DB13" s="80"/>
      <c r="DC13" s="58"/>
      <c r="DD13" s="54"/>
      <c r="DE13" s="52"/>
      <c r="DF13" s="35">
        <f t="shared" si="25"/>
        <v>0</v>
      </c>
      <c r="DG13" s="57" t="s">
        <v>138</v>
      </c>
      <c r="DH13" s="62" t="s">
        <v>206</v>
      </c>
      <c r="DI13" s="54"/>
      <c r="DJ13" s="35"/>
      <c r="DK13" s="57"/>
      <c r="DL13" s="35"/>
      <c r="DM13" s="54"/>
      <c r="DN13" s="35"/>
      <c r="DO13" s="57"/>
      <c r="DP13" s="56"/>
    </row>
    <row r="14" spans="1:120" x14ac:dyDescent="0.25">
      <c r="A14" s="59" t="s">
        <v>31</v>
      </c>
      <c r="B14" s="1">
        <f>'ol4'!O36</f>
        <v>0</v>
      </c>
      <c r="C14" s="1"/>
      <c r="E14" t="s">
        <v>133</v>
      </c>
      <c r="F14" s="115">
        <f>F4+F11</f>
        <v>3.3333333333333335</v>
      </c>
      <c r="I14" s="55">
        <f t="shared" si="1"/>
        <v>0</v>
      </c>
      <c r="J14" s="58">
        <v>150</v>
      </c>
      <c r="K14" s="58"/>
      <c r="L14" s="58"/>
      <c r="M14" s="62"/>
      <c r="N14" s="55">
        <f t="shared" si="3"/>
        <v>0</v>
      </c>
      <c r="O14" s="58">
        <v>150</v>
      </c>
      <c r="P14" s="58"/>
      <c r="Q14" s="62"/>
      <c r="R14" s="58">
        <f t="shared" si="5"/>
        <v>0</v>
      </c>
      <c r="S14" s="58">
        <v>150</v>
      </c>
      <c r="T14" s="58"/>
      <c r="U14" s="62"/>
      <c r="V14" s="58">
        <f t="shared" si="8"/>
        <v>0</v>
      </c>
      <c r="W14" s="58">
        <v>150</v>
      </c>
      <c r="X14" s="58"/>
      <c r="Y14" s="62"/>
      <c r="Z14" s="58">
        <f t="shared" si="11"/>
        <v>0</v>
      </c>
      <c r="AA14" s="58">
        <v>125</v>
      </c>
      <c r="AB14" s="58"/>
      <c r="AC14" s="62"/>
      <c r="AE14" s="55"/>
      <c r="AF14" s="58"/>
      <c r="AG14" s="58"/>
      <c r="AH14" s="55">
        <f t="shared" si="12"/>
        <v>1</v>
      </c>
      <c r="AI14" s="67">
        <v>65</v>
      </c>
      <c r="AJ14" s="62">
        <v>50</v>
      </c>
      <c r="AK14" s="55">
        <f t="shared" si="13"/>
        <v>1</v>
      </c>
      <c r="AL14" s="67">
        <v>65</v>
      </c>
      <c r="AM14" s="87">
        <v>63</v>
      </c>
      <c r="AN14" s="58">
        <f t="shared" si="14"/>
        <v>1</v>
      </c>
      <c r="AO14" s="67">
        <v>100</v>
      </c>
      <c r="AP14" s="62">
        <v>160</v>
      </c>
      <c r="BA14" s="62"/>
      <c r="BB14" s="58">
        <f t="shared" si="15"/>
        <v>1</v>
      </c>
      <c r="BC14" s="58">
        <f t="shared" si="16"/>
        <v>1</v>
      </c>
      <c r="BD14" s="67">
        <v>0.06</v>
      </c>
      <c r="BE14" s="58">
        <f t="shared" si="17"/>
        <v>1</v>
      </c>
      <c r="BF14" s="67">
        <v>12</v>
      </c>
      <c r="BG14" s="62" t="s">
        <v>201</v>
      </c>
      <c r="BJ14" s="51"/>
      <c r="BK14" s="35"/>
      <c r="BL14" s="52"/>
      <c r="BM14" s="35" t="e">
        <f t="shared" si="18"/>
        <v>#N/A</v>
      </c>
      <c r="BN14" s="57" t="s">
        <v>141</v>
      </c>
      <c r="BO14" s="35">
        <v>150</v>
      </c>
      <c r="BP14" s="54"/>
      <c r="BQ14" s="73">
        <f t="shared" si="19"/>
        <v>0</v>
      </c>
      <c r="BR14" s="57" t="s">
        <v>141</v>
      </c>
      <c r="BS14" s="35">
        <v>32</v>
      </c>
      <c r="BT14" s="56">
        <v>16</v>
      </c>
      <c r="BU14" s="52"/>
      <c r="BV14" s="35"/>
      <c r="BW14" s="57"/>
      <c r="BX14" s="35"/>
      <c r="BY14" s="52"/>
      <c r="BZ14" s="73">
        <f t="shared" si="20"/>
        <v>0</v>
      </c>
      <c r="CA14" s="57" t="s">
        <v>141</v>
      </c>
      <c r="CB14" s="56">
        <v>150</v>
      </c>
      <c r="CC14" s="52"/>
      <c r="CD14" s="73" t="e">
        <f t="shared" si="21"/>
        <v>#N/A</v>
      </c>
      <c r="CE14" s="57" t="s">
        <v>141</v>
      </c>
      <c r="CF14" s="56">
        <v>150</v>
      </c>
      <c r="CG14" s="52"/>
      <c r="CH14" s="35" t="e">
        <f t="shared" si="22"/>
        <v>#N/A</v>
      </c>
      <c r="CI14" s="57" t="s">
        <v>141</v>
      </c>
      <c r="CJ14" s="35">
        <v>150</v>
      </c>
      <c r="CK14" s="52"/>
      <c r="CL14" s="35" t="e">
        <f t="shared" si="23"/>
        <v>#N/A</v>
      </c>
      <c r="CM14" s="57" t="s">
        <v>141</v>
      </c>
      <c r="CN14" s="35">
        <v>150</v>
      </c>
      <c r="CO14" s="52"/>
      <c r="CP14" s="35"/>
      <c r="CQ14" s="57"/>
      <c r="CR14" s="35"/>
      <c r="CS14" s="52"/>
      <c r="CT14" s="35"/>
      <c r="CU14" s="32"/>
      <c r="CV14" s="80"/>
      <c r="CW14" s="35"/>
      <c r="CX14" s="32"/>
      <c r="CY14" s="80"/>
      <c r="CZ14" s="54"/>
      <c r="DA14" s="58"/>
      <c r="DB14" s="80"/>
      <c r="DC14" s="58"/>
      <c r="DD14" s="54"/>
      <c r="DE14" s="52"/>
      <c r="DF14" s="35">
        <f t="shared" si="25"/>
        <v>0</v>
      </c>
      <c r="DG14" s="57" t="s">
        <v>140</v>
      </c>
      <c r="DH14" s="62" t="s">
        <v>207</v>
      </c>
      <c r="DI14" s="54"/>
      <c r="DJ14" s="35"/>
      <c r="DK14" s="57"/>
      <c r="DL14" s="35"/>
      <c r="DM14" s="54"/>
      <c r="DN14" s="35"/>
      <c r="DO14" s="57"/>
      <c r="DP14" s="56"/>
    </row>
    <row r="15" spans="1:120" x14ac:dyDescent="0.25">
      <c r="A15" s="59" t="s">
        <v>32</v>
      </c>
      <c r="B15" s="1">
        <f>'ol4'!I36</f>
        <v>0</v>
      </c>
      <c r="C15" s="1"/>
      <c r="E15" t="s">
        <v>51</v>
      </c>
      <c r="F15" t="e">
        <f>VLOOKUP(1,R4:U17,2,0)</f>
        <v>#N/A</v>
      </c>
      <c r="I15" s="55">
        <f t="shared" si="1"/>
        <v>0</v>
      </c>
      <c r="J15" s="58">
        <v>200</v>
      </c>
      <c r="K15" s="58"/>
      <c r="L15" s="58"/>
      <c r="M15" s="62"/>
      <c r="N15" s="55">
        <f t="shared" si="3"/>
        <v>0</v>
      </c>
      <c r="O15" s="58">
        <v>200</v>
      </c>
      <c r="P15" s="58"/>
      <c r="Q15" s="62"/>
      <c r="R15" s="58">
        <f t="shared" si="5"/>
        <v>0</v>
      </c>
      <c r="S15" s="58">
        <v>200</v>
      </c>
      <c r="T15" s="58"/>
      <c r="U15" s="62"/>
      <c r="V15" s="58">
        <f t="shared" si="8"/>
        <v>0</v>
      </c>
      <c r="W15" s="58">
        <v>200</v>
      </c>
      <c r="X15" s="58"/>
      <c r="Y15" s="62"/>
      <c r="Z15" s="58">
        <f t="shared" si="11"/>
        <v>0</v>
      </c>
      <c r="AA15" s="58">
        <v>150</v>
      </c>
      <c r="AB15" s="58"/>
      <c r="AC15" s="62"/>
      <c r="AE15" s="55"/>
      <c r="AF15" s="58"/>
      <c r="AG15" s="58"/>
      <c r="AH15" s="55">
        <f t="shared" si="12"/>
        <v>1</v>
      </c>
      <c r="AI15" s="67">
        <v>65</v>
      </c>
      <c r="AJ15" s="62">
        <v>63</v>
      </c>
      <c r="AK15" s="55">
        <f t="shared" si="13"/>
        <v>1</v>
      </c>
      <c r="AL15" s="67">
        <v>80</v>
      </c>
      <c r="AM15" s="87">
        <v>80</v>
      </c>
      <c r="AN15" s="58">
        <f t="shared" si="14"/>
        <v>1</v>
      </c>
      <c r="AO15" s="67">
        <v>125</v>
      </c>
      <c r="AP15" s="62">
        <v>250</v>
      </c>
      <c r="BA15" s="62"/>
      <c r="BB15" s="58">
        <f t="shared" si="15"/>
        <v>0</v>
      </c>
      <c r="BC15" s="58">
        <f t="shared" si="16"/>
        <v>1</v>
      </c>
      <c r="BD15" s="67">
        <v>7.0000000000000007E-2</v>
      </c>
      <c r="BE15" s="58">
        <f t="shared" si="17"/>
        <v>0</v>
      </c>
      <c r="BF15" s="67">
        <v>1.5</v>
      </c>
      <c r="BG15" s="62" t="s">
        <v>176</v>
      </c>
      <c r="BJ15" s="51"/>
      <c r="BK15" s="35"/>
      <c r="BL15" s="52"/>
      <c r="BM15" s="35" t="e">
        <f t="shared" si="18"/>
        <v>#N/A</v>
      </c>
      <c r="BN15" s="57" t="s">
        <v>142</v>
      </c>
      <c r="BO15" s="35">
        <v>200</v>
      </c>
      <c r="BP15" s="54"/>
      <c r="BQ15" s="73">
        <f t="shared" si="19"/>
        <v>0</v>
      </c>
      <c r="BR15" s="57" t="s">
        <v>142</v>
      </c>
      <c r="BS15" s="35">
        <v>40</v>
      </c>
      <c r="BT15" s="56">
        <v>20</v>
      </c>
      <c r="BU15" s="52"/>
      <c r="BV15" s="35"/>
      <c r="BW15" s="57"/>
      <c r="BX15" s="35"/>
      <c r="BY15" s="52"/>
      <c r="BZ15" s="73">
        <f t="shared" si="20"/>
        <v>0</v>
      </c>
      <c r="CA15" s="57" t="s">
        <v>142</v>
      </c>
      <c r="CB15" s="56">
        <v>200</v>
      </c>
      <c r="CC15" s="52"/>
      <c r="CD15" s="73" t="e">
        <f t="shared" si="21"/>
        <v>#N/A</v>
      </c>
      <c r="CE15" s="57" t="s">
        <v>142</v>
      </c>
      <c r="CF15" s="56">
        <v>200</v>
      </c>
      <c r="CG15" s="52"/>
      <c r="CH15" s="35" t="e">
        <f t="shared" si="22"/>
        <v>#N/A</v>
      </c>
      <c r="CI15" s="57" t="s">
        <v>142</v>
      </c>
      <c r="CJ15" s="35">
        <v>200</v>
      </c>
      <c r="CK15" s="52"/>
      <c r="CL15" s="35" t="e">
        <f t="shared" si="23"/>
        <v>#N/A</v>
      </c>
      <c r="CM15" s="57" t="s">
        <v>142</v>
      </c>
      <c r="CN15" s="35">
        <v>200</v>
      </c>
      <c r="CO15" s="52"/>
      <c r="CP15" s="35"/>
      <c r="CQ15" s="57"/>
      <c r="CR15" s="35"/>
      <c r="CS15" s="52"/>
      <c r="CT15" s="35"/>
      <c r="CU15" s="32"/>
      <c r="CV15" s="58"/>
      <c r="CW15" s="58"/>
      <c r="CX15" s="58"/>
      <c r="CY15" s="58"/>
      <c r="CZ15" s="54"/>
      <c r="DA15" s="58"/>
      <c r="DB15" s="58"/>
      <c r="DC15" s="58"/>
      <c r="DD15" s="54"/>
      <c r="DE15" s="52"/>
      <c r="DF15" s="35">
        <f t="shared" si="25"/>
        <v>0</v>
      </c>
      <c r="DG15" s="57" t="s">
        <v>141</v>
      </c>
      <c r="DH15" s="62" t="s">
        <v>209</v>
      </c>
      <c r="DI15" s="54"/>
      <c r="DJ15" s="35"/>
      <c r="DK15" s="57"/>
      <c r="DL15" s="35"/>
      <c r="DM15" s="54"/>
      <c r="DN15" s="35"/>
      <c r="DO15" s="57"/>
      <c r="DP15" s="56"/>
    </row>
    <row r="16" spans="1:120" x14ac:dyDescent="0.25">
      <c r="A16" s="59" t="s">
        <v>143</v>
      </c>
      <c r="B16" s="1">
        <f>'ol4'!U36</f>
        <v>0</v>
      </c>
      <c r="C16" s="1"/>
      <c r="I16" s="55">
        <f t="shared" si="1"/>
        <v>0</v>
      </c>
      <c r="J16" s="58">
        <v>250</v>
      </c>
      <c r="K16" s="58"/>
      <c r="L16" s="58"/>
      <c r="M16" s="62"/>
      <c r="N16" s="55">
        <f t="shared" si="3"/>
        <v>0</v>
      </c>
      <c r="O16" s="58">
        <v>250</v>
      </c>
      <c r="P16" s="58"/>
      <c r="Q16" s="62"/>
      <c r="R16" s="58">
        <f t="shared" si="5"/>
        <v>0</v>
      </c>
      <c r="S16" s="58">
        <v>250</v>
      </c>
      <c r="T16" s="58"/>
      <c r="U16" s="62"/>
      <c r="V16" s="58">
        <f t="shared" si="8"/>
        <v>0</v>
      </c>
      <c r="W16" s="58">
        <v>250</v>
      </c>
      <c r="X16" s="58"/>
      <c r="Y16" s="62"/>
      <c r="Z16" s="58">
        <f t="shared" si="11"/>
        <v>0</v>
      </c>
      <c r="AA16" s="58">
        <v>200</v>
      </c>
      <c r="AB16" s="58"/>
      <c r="AC16" s="62"/>
      <c r="AE16" s="55"/>
      <c r="AF16" s="58"/>
      <c r="AG16" s="58"/>
      <c r="AH16" s="55">
        <f t="shared" si="12"/>
        <v>1</v>
      </c>
      <c r="AI16" s="67">
        <v>80</v>
      </c>
      <c r="AJ16" s="62">
        <v>80</v>
      </c>
      <c r="AK16" s="55">
        <f t="shared" si="13"/>
        <v>1</v>
      </c>
      <c r="AL16" s="67">
        <v>80</v>
      </c>
      <c r="AM16" s="87">
        <v>100</v>
      </c>
      <c r="AN16" s="58">
        <f t="shared" si="14"/>
        <v>1</v>
      </c>
      <c r="AO16" s="67">
        <v>150</v>
      </c>
      <c r="AP16" s="62">
        <v>400</v>
      </c>
      <c r="BA16" s="62"/>
      <c r="BB16" s="58">
        <f t="shared" si="15"/>
        <v>0</v>
      </c>
      <c r="BC16" s="58">
        <f t="shared" si="16"/>
        <v>1</v>
      </c>
      <c r="BD16" s="67">
        <v>7.0000000000000007E-2</v>
      </c>
      <c r="BE16" s="58">
        <f t="shared" si="17"/>
        <v>0</v>
      </c>
      <c r="BF16" s="67">
        <v>1.7</v>
      </c>
      <c r="BG16" s="62" t="s">
        <v>196</v>
      </c>
      <c r="BJ16" s="51"/>
      <c r="BK16" s="35"/>
      <c r="BL16" s="52"/>
      <c r="BM16" s="35"/>
      <c r="BN16" s="57"/>
      <c r="BO16" s="35"/>
      <c r="BP16" s="54"/>
      <c r="BQ16" s="73">
        <f t="shared" si="19"/>
        <v>0</v>
      </c>
      <c r="BR16" s="57" t="s">
        <v>145</v>
      </c>
      <c r="BS16" s="35">
        <v>40</v>
      </c>
      <c r="BT16" s="56">
        <v>25</v>
      </c>
      <c r="BU16" s="52"/>
      <c r="BV16" s="35"/>
      <c r="BW16" s="57"/>
      <c r="BX16" s="35"/>
      <c r="BY16" s="54"/>
      <c r="BZ16" s="55"/>
      <c r="CA16" s="58"/>
      <c r="CB16" s="62"/>
      <c r="CC16" s="54"/>
      <c r="CD16" s="58"/>
      <c r="CE16" s="58"/>
      <c r="CF16" s="62"/>
      <c r="CG16" s="54"/>
      <c r="CH16" s="58"/>
      <c r="CI16" s="58"/>
      <c r="CJ16" s="58"/>
      <c r="CK16" s="54"/>
      <c r="CL16" s="58"/>
      <c r="CM16" s="58"/>
      <c r="CN16" s="58"/>
      <c r="CO16" s="54"/>
      <c r="CP16" s="58"/>
      <c r="CQ16" s="58"/>
      <c r="CR16" s="58"/>
      <c r="CS16" s="54"/>
      <c r="CT16" s="35"/>
      <c r="CU16" s="58"/>
      <c r="CV16" s="58"/>
      <c r="CW16" s="58"/>
      <c r="CX16" s="58"/>
      <c r="CY16" s="58"/>
      <c r="CZ16" s="54"/>
      <c r="DA16" s="58"/>
      <c r="DB16" s="58"/>
      <c r="DC16" s="58"/>
      <c r="DD16" s="54"/>
      <c r="DE16" s="54"/>
      <c r="DF16" s="35">
        <f t="shared" si="25"/>
        <v>0</v>
      </c>
      <c r="DG16" s="57" t="s">
        <v>142</v>
      </c>
      <c r="DH16" s="62" t="s">
        <v>210</v>
      </c>
      <c r="DI16" s="54"/>
      <c r="DJ16" s="58"/>
      <c r="DK16" s="58"/>
      <c r="DL16" s="58"/>
      <c r="DM16" s="54"/>
      <c r="DN16" s="58"/>
      <c r="DO16" s="58"/>
      <c r="DP16" s="62"/>
    </row>
    <row r="17" spans="1:120" x14ac:dyDescent="0.25">
      <c r="A17" s="59" t="s">
        <v>69</v>
      </c>
      <c r="B17" s="1">
        <f>'ol4'!AA36</f>
        <v>0</v>
      </c>
      <c r="C17" s="1"/>
      <c r="E17" t="s">
        <v>205</v>
      </c>
      <c r="F17" s="115">
        <f>B4*1000/(B7-B8)</f>
        <v>0</v>
      </c>
      <c r="I17" s="55">
        <f t="shared" si="1"/>
        <v>0</v>
      </c>
      <c r="J17" s="58">
        <v>300</v>
      </c>
      <c r="K17" s="58"/>
      <c r="L17" s="58"/>
      <c r="M17" s="62"/>
      <c r="N17" s="55">
        <f t="shared" si="3"/>
        <v>0</v>
      </c>
      <c r="O17" s="58">
        <v>300</v>
      </c>
      <c r="P17" s="58"/>
      <c r="Q17" s="62"/>
      <c r="R17" s="58">
        <f t="shared" si="5"/>
        <v>0</v>
      </c>
      <c r="S17" s="58">
        <v>300</v>
      </c>
      <c r="T17" s="58"/>
      <c r="U17" s="62"/>
      <c r="V17" s="58">
        <f t="shared" si="8"/>
        <v>0</v>
      </c>
      <c r="W17" s="58">
        <v>300</v>
      </c>
      <c r="X17" s="58"/>
      <c r="Y17" s="62"/>
      <c r="Z17" s="58">
        <f t="shared" si="11"/>
        <v>0</v>
      </c>
      <c r="AA17" s="58">
        <v>250</v>
      </c>
      <c r="AB17" s="58"/>
      <c r="AC17" s="62"/>
      <c r="AE17" s="55"/>
      <c r="AF17" s="58"/>
      <c r="AG17" s="58"/>
      <c r="AH17" s="55">
        <f t="shared" si="12"/>
        <v>1</v>
      </c>
      <c r="AI17" s="67">
        <v>80</v>
      </c>
      <c r="AJ17" s="62">
        <v>100</v>
      </c>
      <c r="AK17" s="81">
        <f t="shared" si="13"/>
        <v>1</v>
      </c>
      <c r="AL17" s="67">
        <v>100</v>
      </c>
      <c r="AM17" s="87">
        <v>125</v>
      </c>
      <c r="AN17" s="58"/>
      <c r="AO17" s="58"/>
      <c r="AP17" s="62"/>
      <c r="BA17" s="62"/>
      <c r="BB17" s="58">
        <f t="shared" si="15"/>
        <v>1</v>
      </c>
      <c r="BC17" s="58">
        <f t="shared" si="16"/>
        <v>1</v>
      </c>
      <c r="BD17" s="67">
        <v>7.0000000000000007E-2</v>
      </c>
      <c r="BE17" s="58">
        <f t="shared" si="17"/>
        <v>1</v>
      </c>
      <c r="BF17" s="67">
        <v>14</v>
      </c>
      <c r="BG17" s="62" t="s">
        <v>201</v>
      </c>
      <c r="BJ17" s="51"/>
      <c r="BK17" s="35"/>
      <c r="BL17" s="52"/>
      <c r="BM17" s="35"/>
      <c r="BN17" s="57"/>
      <c r="BO17" s="35"/>
      <c r="BP17" s="54"/>
      <c r="BQ17" s="73">
        <f t="shared" si="19"/>
        <v>0</v>
      </c>
      <c r="BR17" s="57" t="s">
        <v>146</v>
      </c>
      <c r="BS17" s="35">
        <v>50</v>
      </c>
      <c r="BT17" s="56">
        <v>31.5</v>
      </c>
      <c r="BU17" s="52"/>
      <c r="BV17" s="35"/>
      <c r="BW17" s="57"/>
      <c r="BX17" s="35"/>
      <c r="BY17" s="54"/>
      <c r="BZ17" s="55"/>
      <c r="CA17" s="58"/>
      <c r="CB17" s="62"/>
      <c r="CC17" s="54"/>
      <c r="CD17" s="58"/>
      <c r="CE17" s="58"/>
      <c r="CF17" s="62"/>
      <c r="CG17" s="54"/>
      <c r="CH17" s="58"/>
      <c r="CI17" s="58"/>
      <c r="CJ17" s="58"/>
      <c r="CK17" s="54"/>
      <c r="CL17" s="58"/>
      <c r="CM17" s="58"/>
      <c r="CN17" s="58"/>
      <c r="CO17" s="54"/>
      <c r="CP17" s="58"/>
      <c r="CQ17" s="58"/>
      <c r="CR17" s="58"/>
      <c r="CS17" s="54"/>
      <c r="CT17" s="35"/>
      <c r="CU17" s="58"/>
      <c r="CV17" s="58"/>
      <c r="CW17" s="58"/>
      <c r="CX17" s="58"/>
      <c r="CY17" s="58"/>
      <c r="CZ17" s="54"/>
      <c r="DA17" s="58"/>
      <c r="DB17" s="58"/>
      <c r="DC17" s="58"/>
      <c r="DD17" s="54"/>
      <c r="DE17" s="54"/>
      <c r="DF17" s="35">
        <f t="shared" si="25"/>
        <v>0</v>
      </c>
      <c r="DG17" s="57" t="s">
        <v>145</v>
      </c>
      <c r="DH17" s="62" t="s">
        <v>211</v>
      </c>
      <c r="DI17" s="54"/>
      <c r="DJ17" s="58"/>
      <c r="DK17" s="58"/>
      <c r="DL17" s="58"/>
      <c r="DM17" s="54"/>
      <c r="DN17" s="58"/>
      <c r="DO17" s="58"/>
      <c r="DP17" s="62"/>
    </row>
    <row r="18" spans="1:120" x14ac:dyDescent="0.25">
      <c r="A18" s="59"/>
      <c r="C18" s="76"/>
      <c r="E18" t="s">
        <v>173</v>
      </c>
      <c r="F18" t="e">
        <f>VLOOKUP(1,V4:Y17,2,0)</f>
        <v>#N/A</v>
      </c>
      <c r="I18" s="55"/>
      <c r="J18" s="58"/>
      <c r="K18" s="58"/>
      <c r="L18" s="58"/>
      <c r="M18" s="62"/>
      <c r="N18" s="55"/>
      <c r="O18" s="58"/>
      <c r="P18" s="58"/>
      <c r="Q18" s="62"/>
      <c r="R18" s="58"/>
      <c r="S18" s="58"/>
      <c r="T18" s="58"/>
      <c r="U18" s="62"/>
      <c r="V18" s="58"/>
      <c r="W18" s="58"/>
      <c r="X18" s="58"/>
      <c r="Y18" s="62"/>
      <c r="Z18" s="58"/>
      <c r="AA18" s="58"/>
      <c r="AB18" s="58"/>
      <c r="AC18" s="62"/>
      <c r="AE18" s="55"/>
      <c r="AF18" s="58"/>
      <c r="AG18" s="58"/>
      <c r="AH18" s="81">
        <f t="shared" si="12"/>
        <v>1</v>
      </c>
      <c r="AI18" s="67">
        <v>100</v>
      </c>
      <c r="AJ18" s="62">
        <v>125</v>
      </c>
      <c r="AK18" s="81">
        <f t="shared" si="13"/>
        <v>1</v>
      </c>
      <c r="AL18" s="67">
        <v>100</v>
      </c>
      <c r="AM18" s="87">
        <v>160</v>
      </c>
      <c r="AN18" s="58"/>
      <c r="AO18" s="58"/>
      <c r="AP18" s="62"/>
      <c r="BA18" s="62"/>
      <c r="BB18" s="58">
        <f t="shared" si="15"/>
        <v>0</v>
      </c>
      <c r="BC18" s="58">
        <f t="shared" si="16"/>
        <v>1</v>
      </c>
      <c r="BD18" s="67">
        <v>0.08</v>
      </c>
      <c r="BE18" s="58">
        <f t="shared" si="17"/>
        <v>0</v>
      </c>
      <c r="BF18" s="67">
        <v>1.2</v>
      </c>
      <c r="BG18" s="62" t="s">
        <v>196</v>
      </c>
      <c r="BJ18" s="51"/>
      <c r="BK18" s="35"/>
      <c r="BL18" s="52"/>
      <c r="BM18" s="35"/>
      <c r="BN18" s="57"/>
      <c r="BO18" s="35"/>
      <c r="BP18" s="54"/>
      <c r="BQ18" s="73">
        <f t="shared" si="19"/>
        <v>0</v>
      </c>
      <c r="BR18" s="57" t="s">
        <v>148</v>
      </c>
      <c r="BS18" s="35">
        <v>50</v>
      </c>
      <c r="BT18" s="56">
        <v>40</v>
      </c>
      <c r="BU18" s="52"/>
      <c r="BV18" s="35"/>
      <c r="BW18" s="57"/>
      <c r="BX18" s="35"/>
      <c r="BY18" s="54"/>
      <c r="BZ18" s="55"/>
      <c r="CA18" s="58"/>
      <c r="CB18" s="62"/>
      <c r="CC18" s="54"/>
      <c r="CD18" s="58"/>
      <c r="CE18" s="58"/>
      <c r="CF18" s="62"/>
      <c r="CG18" s="54"/>
      <c r="CH18" s="58"/>
      <c r="CI18" s="58"/>
      <c r="CJ18" s="58"/>
      <c r="CK18" s="54"/>
      <c r="CL18" s="58"/>
      <c r="CM18" s="58"/>
      <c r="CN18" s="58"/>
      <c r="CO18" s="54"/>
      <c r="CP18" s="58"/>
      <c r="CQ18" s="58"/>
      <c r="CR18" s="58"/>
      <c r="CS18" s="54"/>
      <c r="CT18" s="35"/>
      <c r="CU18" s="58"/>
      <c r="CV18" s="58"/>
      <c r="CW18" s="58"/>
      <c r="CX18" s="58"/>
      <c r="CY18" s="58"/>
      <c r="CZ18" s="54"/>
      <c r="DA18" s="58"/>
      <c r="DB18" s="58"/>
      <c r="DC18" s="58"/>
      <c r="DD18" s="54"/>
      <c r="DE18" s="54"/>
      <c r="DF18" s="35">
        <f t="shared" si="25"/>
        <v>0</v>
      </c>
      <c r="DG18" s="57" t="s">
        <v>146</v>
      </c>
      <c r="DH18" s="62" t="s">
        <v>212</v>
      </c>
      <c r="DI18" s="54"/>
      <c r="DJ18" s="58"/>
      <c r="DK18" s="58"/>
      <c r="DL18" s="58"/>
      <c r="DM18" s="54"/>
      <c r="DN18" s="58"/>
      <c r="DO18" s="58"/>
      <c r="DP18" s="62"/>
    </row>
    <row r="19" spans="1:120" x14ac:dyDescent="0.25">
      <c r="A19" s="59"/>
      <c r="C19" s="76"/>
      <c r="E19" s="1" t="str">
        <f>VLOOKUP(1,AX3:AZ9,3,0)</f>
        <v>"Пульсар" 15</v>
      </c>
      <c r="F19" s="1"/>
      <c r="I19" s="55"/>
      <c r="J19" s="99"/>
      <c r="K19" s="58"/>
      <c r="L19" s="58"/>
      <c r="M19" s="62"/>
      <c r="N19" s="55"/>
      <c r="O19" s="58"/>
      <c r="P19" s="58"/>
      <c r="Q19" s="62"/>
      <c r="R19" s="58"/>
      <c r="S19" s="58"/>
      <c r="T19" s="58"/>
      <c r="U19" s="62"/>
      <c r="V19" s="58"/>
      <c r="W19" s="58"/>
      <c r="X19" s="58"/>
      <c r="Y19" s="62"/>
      <c r="Z19" s="58"/>
      <c r="AA19" s="58"/>
      <c r="AB19" s="58"/>
      <c r="AC19" s="62"/>
      <c r="AE19" s="55"/>
      <c r="AF19" s="58"/>
      <c r="AG19" s="58"/>
      <c r="AH19" s="81">
        <f t="shared" si="12"/>
        <v>1</v>
      </c>
      <c r="AI19" s="58">
        <v>100</v>
      </c>
      <c r="AJ19" s="62">
        <v>160</v>
      </c>
      <c r="AK19" s="81">
        <f t="shared" si="13"/>
        <v>1</v>
      </c>
      <c r="AL19" s="67">
        <v>125</v>
      </c>
      <c r="AM19" s="87">
        <v>200</v>
      </c>
      <c r="AN19" s="58"/>
      <c r="AO19" s="58"/>
      <c r="AP19" s="62"/>
      <c r="BA19" s="62"/>
      <c r="BB19" s="58">
        <f t="shared" si="15"/>
        <v>1</v>
      </c>
      <c r="BC19" s="58">
        <f t="shared" si="16"/>
        <v>1</v>
      </c>
      <c r="BD19" s="67">
        <v>0.08</v>
      </c>
      <c r="BE19" s="58">
        <f t="shared" si="17"/>
        <v>1</v>
      </c>
      <c r="BF19" s="67">
        <v>16</v>
      </c>
      <c r="BG19" s="62" t="s">
        <v>201</v>
      </c>
      <c r="BJ19" s="51"/>
      <c r="BK19" s="35"/>
      <c r="BL19" s="52"/>
      <c r="BM19" s="35"/>
      <c r="BN19" s="57"/>
      <c r="BO19" s="35"/>
      <c r="BP19" s="54"/>
      <c r="BQ19" s="73">
        <f t="shared" si="19"/>
        <v>0</v>
      </c>
      <c r="BR19" s="57" t="s">
        <v>149</v>
      </c>
      <c r="BS19" s="35">
        <v>65</v>
      </c>
      <c r="BT19" s="56">
        <v>50</v>
      </c>
      <c r="BU19" s="52"/>
      <c r="BV19" s="35"/>
      <c r="BW19" s="57"/>
      <c r="BX19" s="35"/>
      <c r="BY19" s="54"/>
      <c r="BZ19" s="55"/>
      <c r="CA19" s="58"/>
      <c r="CB19" s="62"/>
      <c r="CC19" s="54"/>
      <c r="CD19" s="58"/>
      <c r="CE19" s="58"/>
      <c r="CF19" s="62"/>
      <c r="CG19" s="54"/>
      <c r="CH19" s="58"/>
      <c r="CI19" s="58"/>
      <c r="CJ19" s="58"/>
      <c r="CK19" s="54"/>
      <c r="CL19" s="58"/>
      <c r="CM19" s="58"/>
      <c r="CN19" s="58"/>
      <c r="CO19" s="54"/>
      <c r="CP19" s="58"/>
      <c r="CQ19" s="58"/>
      <c r="CR19" s="58"/>
      <c r="CS19" s="54"/>
      <c r="CT19" s="58"/>
      <c r="CU19" s="58"/>
      <c r="CV19" s="58"/>
      <c r="CW19" s="58"/>
      <c r="CX19" s="58"/>
      <c r="CY19" s="58"/>
      <c r="CZ19" s="54"/>
      <c r="DA19" s="58"/>
      <c r="DB19" s="58"/>
      <c r="DC19" s="58"/>
      <c r="DD19" s="54"/>
      <c r="DE19" s="54"/>
      <c r="DF19" s="35">
        <f t="shared" si="25"/>
        <v>0</v>
      </c>
      <c r="DG19" s="57" t="s">
        <v>148</v>
      </c>
      <c r="DH19" s="62" t="s">
        <v>213</v>
      </c>
      <c r="DI19" s="54"/>
      <c r="DJ19" s="58"/>
      <c r="DK19" s="58"/>
      <c r="DL19" s="58"/>
      <c r="DM19" s="54"/>
      <c r="DN19" s="58"/>
      <c r="DO19" s="58"/>
      <c r="DP19" s="62"/>
    </row>
    <row r="20" spans="1:120" x14ac:dyDescent="0.25">
      <c r="A20" s="59"/>
      <c r="C20" s="76"/>
      <c r="I20" s="55"/>
      <c r="J20" s="99" t="s">
        <v>150</v>
      </c>
      <c r="K20" s="58">
        <v>958.4</v>
      </c>
      <c r="L20" s="58"/>
      <c r="M20" s="62"/>
      <c r="N20" s="55"/>
      <c r="O20" s="58"/>
      <c r="P20" s="58"/>
      <c r="Q20" s="62"/>
      <c r="R20" s="58"/>
      <c r="S20" s="58"/>
      <c r="T20" s="58"/>
      <c r="U20" s="62"/>
      <c r="V20" s="58"/>
      <c r="W20" s="58"/>
      <c r="X20" s="58"/>
      <c r="Y20" s="62"/>
      <c r="Z20" s="58"/>
      <c r="AA20" s="58"/>
      <c r="AB20" s="58"/>
      <c r="AC20" s="62"/>
      <c r="AE20" s="55"/>
      <c r="AF20" s="58"/>
      <c r="AG20" s="58"/>
      <c r="AH20" s="81">
        <f t="shared" si="12"/>
        <v>1</v>
      </c>
      <c r="AI20" s="58">
        <v>125</v>
      </c>
      <c r="AJ20" s="62">
        <v>250</v>
      </c>
      <c r="AK20" s="81">
        <f t="shared" si="13"/>
        <v>1</v>
      </c>
      <c r="AL20" s="67">
        <v>125</v>
      </c>
      <c r="AM20" s="87">
        <v>250</v>
      </c>
      <c r="AN20" s="58"/>
      <c r="AO20" s="58"/>
      <c r="AP20" s="62"/>
      <c r="BA20" s="62"/>
      <c r="BB20" s="58">
        <f t="shared" si="15"/>
        <v>1</v>
      </c>
      <c r="BC20" s="58">
        <f t="shared" si="16"/>
        <v>1</v>
      </c>
      <c r="BD20" s="67">
        <v>0.09</v>
      </c>
      <c r="BE20" s="58">
        <f t="shared" si="17"/>
        <v>1</v>
      </c>
      <c r="BF20" s="67">
        <v>17</v>
      </c>
      <c r="BG20" s="62" t="s">
        <v>201</v>
      </c>
      <c r="BJ20" s="51"/>
      <c r="BK20" s="35"/>
      <c r="BL20" s="52"/>
      <c r="BM20" s="35"/>
      <c r="BN20" s="57"/>
      <c r="BO20" s="35"/>
      <c r="BP20" s="54"/>
      <c r="BQ20" s="73">
        <f t="shared" si="19"/>
        <v>0</v>
      </c>
      <c r="BR20" s="57" t="s">
        <v>151</v>
      </c>
      <c r="BS20" s="35">
        <v>65</v>
      </c>
      <c r="BT20" s="56">
        <v>63</v>
      </c>
      <c r="BU20" s="52"/>
      <c r="BV20" s="35"/>
      <c r="BW20" s="57"/>
      <c r="BX20" s="35"/>
      <c r="BY20" s="54"/>
      <c r="BZ20" s="55"/>
      <c r="CA20" s="58"/>
      <c r="CB20" s="62"/>
      <c r="CC20" s="54"/>
      <c r="CD20" s="58"/>
      <c r="CE20" s="58"/>
      <c r="CF20" s="62"/>
      <c r="CG20" s="54"/>
      <c r="CH20" s="58"/>
      <c r="CI20" s="58"/>
      <c r="CJ20" s="58"/>
      <c r="CK20" s="54"/>
      <c r="CL20" s="58"/>
      <c r="CM20" s="58"/>
      <c r="CN20" s="58"/>
      <c r="CO20" s="54"/>
      <c r="CP20" s="58"/>
      <c r="CQ20" s="58"/>
      <c r="CR20" s="58"/>
      <c r="CS20" s="54"/>
      <c r="CT20" s="58"/>
      <c r="CU20" s="58"/>
      <c r="CV20" s="58"/>
      <c r="CW20" s="58"/>
      <c r="CX20" s="58"/>
      <c r="CY20" s="58"/>
      <c r="CZ20" s="54"/>
      <c r="DA20" s="58"/>
      <c r="DB20" s="58"/>
      <c r="DC20" s="58"/>
      <c r="DD20" s="54"/>
      <c r="DE20" s="54"/>
      <c r="DF20" s="35"/>
      <c r="DG20" s="57"/>
      <c r="DH20" s="58"/>
      <c r="DI20" s="54"/>
      <c r="DJ20" s="58"/>
      <c r="DK20" s="58"/>
      <c r="DL20" s="58"/>
      <c r="DM20" s="54"/>
      <c r="DN20" s="58"/>
      <c r="DO20" s="58"/>
      <c r="DP20" s="62"/>
    </row>
    <row r="21" spans="1:120" x14ac:dyDescent="0.25">
      <c r="E21" t="s">
        <v>208</v>
      </c>
      <c r="F21" s="115">
        <f>3.6*B4*1.163/0.42</f>
        <v>0</v>
      </c>
      <c r="I21" s="95"/>
      <c r="J21" s="100" t="s">
        <v>152</v>
      </c>
      <c r="K21" s="96">
        <v>0.5</v>
      </c>
      <c r="L21" s="96"/>
      <c r="M21" s="98"/>
      <c r="N21" s="95"/>
      <c r="O21" s="96"/>
      <c r="P21" s="96"/>
      <c r="Q21" s="98"/>
      <c r="R21" s="96"/>
      <c r="S21" s="96"/>
      <c r="T21" s="96"/>
      <c r="U21" s="98"/>
      <c r="V21" s="96"/>
      <c r="W21" s="96"/>
      <c r="X21" s="96"/>
      <c r="Y21" s="98"/>
      <c r="Z21" s="96"/>
      <c r="AA21" s="96"/>
      <c r="AB21" s="96"/>
      <c r="AC21" s="98"/>
      <c r="AE21" s="55"/>
      <c r="AF21" s="58"/>
      <c r="AG21" s="58"/>
      <c r="AH21" s="81">
        <f t="shared" si="12"/>
        <v>1</v>
      </c>
      <c r="AI21" s="58">
        <v>150</v>
      </c>
      <c r="AJ21" s="62">
        <v>315</v>
      </c>
      <c r="AK21" s="81">
        <f t="shared" si="13"/>
        <v>1</v>
      </c>
      <c r="AL21" s="67">
        <v>150</v>
      </c>
      <c r="AM21" s="87">
        <v>315</v>
      </c>
      <c r="AN21" s="58"/>
      <c r="AO21" s="58"/>
      <c r="AP21" s="62"/>
      <c r="BA21" s="62"/>
      <c r="BB21" s="58">
        <f t="shared" si="15"/>
        <v>1</v>
      </c>
      <c r="BC21" s="58">
        <f t="shared" si="16"/>
        <v>1</v>
      </c>
      <c r="BD21" s="67">
        <v>0.09</v>
      </c>
      <c r="BE21" s="58">
        <f t="shared" si="17"/>
        <v>1</v>
      </c>
      <c r="BF21" s="67">
        <v>18</v>
      </c>
      <c r="BG21" s="62" t="s">
        <v>204</v>
      </c>
      <c r="BJ21" s="51"/>
      <c r="BK21" s="35"/>
      <c r="BL21" s="52"/>
      <c r="BM21" s="35"/>
      <c r="BN21" s="57"/>
      <c r="BO21" s="35"/>
      <c r="BP21" s="54"/>
      <c r="BQ21" s="73">
        <f t="shared" si="19"/>
        <v>0</v>
      </c>
      <c r="BR21" s="57" t="s">
        <v>153</v>
      </c>
      <c r="BS21" s="35">
        <v>80</v>
      </c>
      <c r="BT21" s="56">
        <v>80</v>
      </c>
      <c r="BU21" s="52"/>
      <c r="BV21" s="35"/>
      <c r="BW21" s="57"/>
      <c r="BX21" s="35"/>
      <c r="BY21" s="54"/>
      <c r="BZ21" s="55"/>
      <c r="CA21" s="58"/>
      <c r="CB21" s="62"/>
      <c r="CC21" s="54"/>
      <c r="CD21" s="58"/>
      <c r="CE21" s="58"/>
      <c r="CF21" s="62"/>
      <c r="CG21" s="54"/>
      <c r="CH21" s="58"/>
      <c r="CI21" s="58"/>
      <c r="CJ21" s="58"/>
      <c r="CK21" s="54"/>
      <c r="CL21" s="58"/>
      <c r="CM21" s="58"/>
      <c r="CN21" s="58"/>
      <c r="CO21" s="54"/>
      <c r="CP21" s="58"/>
      <c r="CQ21" s="58"/>
      <c r="CR21" s="58"/>
      <c r="CS21" s="54"/>
      <c r="CT21" s="58"/>
      <c r="CU21" s="58"/>
      <c r="CV21" s="58"/>
      <c r="CW21" s="58"/>
      <c r="CX21" s="58"/>
      <c r="CY21" s="58"/>
      <c r="CZ21" s="54"/>
      <c r="DA21" s="58"/>
      <c r="DB21" s="58"/>
      <c r="DC21" s="58"/>
      <c r="DD21" s="54"/>
      <c r="DE21" s="54"/>
      <c r="DF21" s="35"/>
      <c r="DG21" s="57"/>
      <c r="DH21" s="58"/>
      <c r="DI21" s="54"/>
      <c r="DJ21" s="58"/>
      <c r="DK21" s="58"/>
      <c r="DL21" s="58"/>
      <c r="DM21" s="54"/>
      <c r="DN21" s="58"/>
      <c r="DO21" s="58"/>
      <c r="DP21" s="62"/>
    </row>
    <row r="22" spans="1:120" x14ac:dyDescent="0.25">
      <c r="E22" t="s">
        <v>174</v>
      </c>
      <c r="F22" t="e">
        <f>VLOOKUP(1,Z4:AC17,2,0)</f>
        <v>#N/A</v>
      </c>
      <c r="I22" s="58"/>
      <c r="J22" s="99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E22" s="95"/>
      <c r="AF22" s="96"/>
      <c r="AG22" s="96"/>
      <c r="AH22" s="95"/>
      <c r="AI22" s="96"/>
      <c r="AJ22" s="98"/>
      <c r="AK22" s="91">
        <f t="shared" si="13"/>
        <v>1</v>
      </c>
      <c r="AL22" s="101">
        <v>150</v>
      </c>
      <c r="AM22" s="102">
        <v>400</v>
      </c>
      <c r="AN22" s="96"/>
      <c r="AO22" s="96"/>
      <c r="AP22" s="98"/>
      <c r="BB22" s="58">
        <f t="shared" si="15"/>
        <v>1</v>
      </c>
      <c r="BC22" s="58">
        <f t="shared" si="16"/>
        <v>1</v>
      </c>
      <c r="BD22" s="67">
        <v>0.1</v>
      </c>
      <c r="BE22" s="58">
        <f t="shared" si="17"/>
        <v>1</v>
      </c>
      <c r="BF22" s="67">
        <v>16</v>
      </c>
      <c r="BG22" s="62" t="s">
        <v>201</v>
      </c>
      <c r="BJ22" s="51"/>
      <c r="BK22" s="35"/>
      <c r="BL22" s="52"/>
      <c r="BM22" s="35"/>
      <c r="BN22" s="57"/>
      <c r="BO22" s="35"/>
      <c r="BP22" s="54"/>
      <c r="BQ22" s="73">
        <f t="shared" si="19"/>
        <v>0</v>
      </c>
      <c r="BR22" s="57" t="s">
        <v>154</v>
      </c>
      <c r="BS22" s="35">
        <v>80</v>
      </c>
      <c r="BT22" s="56">
        <v>100</v>
      </c>
      <c r="BU22" s="52"/>
      <c r="BV22" s="35"/>
      <c r="BW22" s="57"/>
      <c r="BX22" s="35"/>
      <c r="BY22" s="54"/>
      <c r="BZ22" s="55"/>
      <c r="CA22" s="58"/>
      <c r="CB22" s="62"/>
      <c r="CC22" s="54"/>
      <c r="CD22" s="58"/>
      <c r="CE22" s="58"/>
      <c r="CF22" s="62"/>
      <c r="CG22" s="54"/>
      <c r="CH22" s="58"/>
      <c r="CI22" s="58"/>
      <c r="CJ22" s="58"/>
      <c r="CK22" s="54"/>
      <c r="CL22" s="58"/>
      <c r="CM22" s="58"/>
      <c r="CN22" s="58"/>
      <c r="CO22" s="54"/>
      <c r="CP22" s="58"/>
      <c r="CQ22" s="58"/>
      <c r="CR22" s="58"/>
      <c r="CS22" s="54"/>
      <c r="CT22" s="58"/>
      <c r="CU22" s="58"/>
      <c r="CV22" s="58"/>
      <c r="CW22" s="58"/>
      <c r="CX22" s="58"/>
      <c r="CY22" s="58"/>
      <c r="CZ22" s="54"/>
      <c r="DA22" s="58"/>
      <c r="DB22" s="58"/>
      <c r="DC22" s="58"/>
      <c r="DD22" s="54"/>
      <c r="DE22" s="54"/>
      <c r="DF22" s="35"/>
      <c r="DG22" s="57"/>
      <c r="DH22" s="58"/>
      <c r="DI22" s="54"/>
      <c r="DJ22" s="58"/>
      <c r="DK22" s="58"/>
      <c r="DL22" s="58"/>
      <c r="DM22" s="54"/>
      <c r="DN22" s="58"/>
      <c r="DO22" s="58"/>
      <c r="DP22" s="62"/>
    </row>
    <row r="23" spans="1:120" x14ac:dyDescent="0.25">
      <c r="E23" t="s">
        <v>56</v>
      </c>
      <c r="F23" s="115">
        <f>F21</f>
        <v>0</v>
      </c>
      <c r="BB23" s="58">
        <f t="shared" si="15"/>
        <v>1</v>
      </c>
      <c r="BC23" s="58">
        <f t="shared" si="16"/>
        <v>1</v>
      </c>
      <c r="BD23" s="67">
        <v>0.1</v>
      </c>
      <c r="BE23" s="58">
        <f t="shared" si="17"/>
        <v>1</v>
      </c>
      <c r="BF23" s="67">
        <v>20</v>
      </c>
      <c r="BG23" s="62" t="s">
        <v>204</v>
      </c>
      <c r="BJ23" s="51"/>
      <c r="BK23" s="35"/>
      <c r="BL23" s="52"/>
      <c r="BM23" s="35"/>
      <c r="BN23" s="57"/>
      <c r="BO23" s="35"/>
      <c r="BP23" s="54"/>
      <c r="BQ23" s="73">
        <f t="shared" si="19"/>
        <v>0</v>
      </c>
      <c r="BR23" s="57" t="s">
        <v>155</v>
      </c>
      <c r="BS23" s="35">
        <v>100</v>
      </c>
      <c r="BT23" s="56">
        <v>125</v>
      </c>
      <c r="BU23" s="52"/>
      <c r="BV23" s="35"/>
      <c r="BW23" s="57"/>
      <c r="BX23" s="35"/>
      <c r="BY23" s="54"/>
      <c r="BZ23" s="55"/>
      <c r="CA23" s="58"/>
      <c r="CB23" s="62"/>
      <c r="CC23" s="54"/>
      <c r="CD23" s="58"/>
      <c r="CE23" s="58"/>
      <c r="CF23" s="62"/>
      <c r="CG23" s="54"/>
      <c r="CH23" s="58"/>
      <c r="CI23" s="58"/>
      <c r="CJ23" s="58"/>
      <c r="CK23" s="54"/>
      <c r="CL23" s="58"/>
      <c r="CM23" s="58"/>
      <c r="CN23" s="58"/>
      <c r="CO23" s="54"/>
      <c r="CP23" s="58"/>
      <c r="CQ23" s="58"/>
      <c r="CR23" s="58"/>
      <c r="CS23" s="54"/>
      <c r="CT23" s="58"/>
      <c r="CU23" s="58"/>
      <c r="CV23" s="58"/>
      <c r="CW23" s="58"/>
      <c r="CX23" s="58"/>
      <c r="CY23" s="58"/>
      <c r="CZ23" s="54"/>
      <c r="DA23" s="58"/>
      <c r="DB23" s="58"/>
      <c r="DC23" s="58"/>
      <c r="DD23" s="54"/>
      <c r="DE23" s="54"/>
      <c r="DF23" s="35"/>
      <c r="DG23" s="57"/>
      <c r="DH23" s="58"/>
      <c r="DI23" s="54"/>
      <c r="DJ23" s="58"/>
      <c r="DK23" s="58"/>
      <c r="DL23" s="58"/>
      <c r="DM23" s="54"/>
      <c r="DN23" s="58"/>
      <c r="DO23" s="58"/>
      <c r="DP23" s="62"/>
    </row>
    <row r="24" spans="1:120" x14ac:dyDescent="0.25">
      <c r="E24" s="1" t="e">
        <f>VLOOKUP(1,IF(B15="Stratos-Z",AS4:AT8,IF(B15="Yonos MAXO-Z",AU4:AV8,0)),2,0)</f>
        <v>#N/A</v>
      </c>
      <c r="F24" s="1"/>
      <c r="BB24" s="58">
        <f t="shared" si="15"/>
        <v>1</v>
      </c>
      <c r="BC24" s="58">
        <f t="shared" si="16"/>
        <v>1</v>
      </c>
      <c r="BD24" s="67">
        <v>0.15</v>
      </c>
      <c r="BE24" s="58">
        <f t="shared" si="17"/>
        <v>1</v>
      </c>
      <c r="BF24" s="67">
        <v>15</v>
      </c>
      <c r="BG24" s="62" t="s">
        <v>184</v>
      </c>
      <c r="BJ24" s="51"/>
      <c r="BK24" s="35"/>
      <c r="BL24" s="52"/>
      <c r="BM24" s="35"/>
      <c r="BN24" s="57"/>
      <c r="BO24" s="35"/>
      <c r="BP24" s="54"/>
      <c r="BQ24" s="73">
        <f t="shared" si="19"/>
        <v>0</v>
      </c>
      <c r="BR24" s="57" t="s">
        <v>156</v>
      </c>
      <c r="BS24" s="35">
        <v>100</v>
      </c>
      <c r="BT24" s="56">
        <v>160</v>
      </c>
      <c r="BU24" s="52"/>
      <c r="BV24" s="35"/>
      <c r="BW24" s="57"/>
      <c r="BX24" s="35"/>
      <c r="BY24" s="54"/>
      <c r="BZ24" s="55"/>
      <c r="CA24" s="58"/>
      <c r="CB24" s="62"/>
      <c r="CC24" s="54"/>
      <c r="CD24" s="58"/>
      <c r="CE24" s="58"/>
      <c r="CF24" s="62"/>
      <c r="CG24" s="54"/>
      <c r="CH24" s="58"/>
      <c r="CI24" s="58"/>
      <c r="CJ24" s="58"/>
      <c r="CK24" s="54"/>
      <c r="CL24" s="58"/>
      <c r="CM24" s="58"/>
      <c r="CN24" s="58"/>
      <c r="CO24" s="54"/>
      <c r="CP24" s="58"/>
      <c r="CQ24" s="58"/>
      <c r="CR24" s="58"/>
      <c r="CS24" s="54"/>
      <c r="CT24" s="58"/>
      <c r="CU24" s="58"/>
      <c r="CV24" s="58"/>
      <c r="CW24" s="58"/>
      <c r="CX24" s="58"/>
      <c r="CY24" s="58"/>
      <c r="CZ24" s="54"/>
      <c r="DA24" s="58"/>
      <c r="DB24" s="58"/>
      <c r="DC24" s="58"/>
      <c r="DD24" s="54"/>
      <c r="DE24" s="54"/>
      <c r="DF24" s="58"/>
      <c r="DG24" s="58"/>
      <c r="DH24" s="58"/>
      <c r="DI24" s="54"/>
      <c r="DJ24" s="58"/>
      <c r="DK24" s="58"/>
      <c r="DL24" s="58"/>
      <c r="DM24" s="54"/>
      <c r="DN24" s="58"/>
      <c r="DO24" s="58"/>
      <c r="DP24" s="62"/>
    </row>
    <row r="25" spans="1:120" x14ac:dyDescent="0.25">
      <c r="BB25" s="58">
        <f t="shared" si="15"/>
        <v>1</v>
      </c>
      <c r="BC25" s="58">
        <f t="shared" si="16"/>
        <v>1</v>
      </c>
      <c r="BD25" s="67">
        <v>0.15</v>
      </c>
      <c r="BE25" s="58">
        <f t="shared" si="17"/>
        <v>1</v>
      </c>
      <c r="BF25" s="67">
        <v>29.3</v>
      </c>
      <c r="BG25" s="62" t="s">
        <v>189</v>
      </c>
      <c r="BJ25" s="51"/>
      <c r="BK25" s="35"/>
      <c r="BL25" s="52"/>
      <c r="BM25" s="35"/>
      <c r="BN25" s="57"/>
      <c r="BO25" s="35"/>
      <c r="BP25" s="54"/>
      <c r="BQ25" s="73">
        <f t="shared" si="19"/>
        <v>0</v>
      </c>
      <c r="BR25" s="57" t="s">
        <v>157</v>
      </c>
      <c r="BS25" s="35">
        <v>125</v>
      </c>
      <c r="BT25" s="56">
        <v>250</v>
      </c>
      <c r="BU25" s="52"/>
      <c r="BV25" s="35"/>
      <c r="BW25" s="57"/>
      <c r="BX25" s="35"/>
      <c r="BY25" s="54"/>
      <c r="BZ25" s="55"/>
      <c r="CA25" s="58"/>
      <c r="CB25" s="62"/>
      <c r="CC25" s="54"/>
      <c r="CD25" s="58"/>
      <c r="CE25" s="58"/>
      <c r="CF25" s="62"/>
      <c r="CG25" s="54"/>
      <c r="CH25" s="58"/>
      <c r="CI25" s="58"/>
      <c r="CJ25" s="58"/>
      <c r="CK25" s="54"/>
      <c r="CL25" s="58"/>
      <c r="CM25" s="58"/>
      <c r="CN25" s="58"/>
      <c r="CO25" s="54"/>
      <c r="CP25" s="58"/>
      <c r="CQ25" s="58"/>
      <c r="CR25" s="58"/>
      <c r="CS25" s="54"/>
      <c r="CT25" s="58"/>
      <c r="CU25" s="58"/>
      <c r="CV25" s="58"/>
      <c r="CW25" s="58"/>
      <c r="CX25" s="58"/>
      <c r="CY25" s="58"/>
      <c r="CZ25" s="54"/>
      <c r="DA25" s="58"/>
      <c r="DB25" s="58"/>
      <c r="DC25" s="58"/>
      <c r="DD25" s="54"/>
      <c r="DE25" s="54"/>
      <c r="DF25" s="58"/>
      <c r="DG25" s="58"/>
      <c r="DH25" s="58"/>
      <c r="DI25" s="54"/>
      <c r="DJ25" s="58"/>
      <c r="DK25" s="58"/>
      <c r="DL25" s="58"/>
      <c r="DM25" s="54"/>
      <c r="DN25" s="58"/>
      <c r="DO25" s="58"/>
      <c r="DP25" s="62"/>
    </row>
    <row r="26" spans="1:120" x14ac:dyDescent="0.25">
      <c r="BB26" s="58">
        <f t="shared" si="15"/>
        <v>1</v>
      </c>
      <c r="BC26" s="58">
        <f t="shared" si="16"/>
        <v>1</v>
      </c>
      <c r="BD26" s="67">
        <v>0.15</v>
      </c>
      <c r="BE26" s="58">
        <f t="shared" si="17"/>
        <v>1</v>
      </c>
      <c r="BF26" s="67">
        <v>30</v>
      </c>
      <c r="BG26" s="62" t="s">
        <v>194</v>
      </c>
      <c r="BJ26" s="103"/>
      <c r="BK26" s="104"/>
      <c r="BL26" s="105"/>
      <c r="BM26" s="104"/>
      <c r="BN26" s="106"/>
      <c r="BO26" s="104"/>
      <c r="BP26" s="107"/>
      <c r="BQ26" s="108">
        <f t="shared" si="19"/>
        <v>0</v>
      </c>
      <c r="BR26" s="106" t="s">
        <v>158</v>
      </c>
      <c r="BS26" s="104">
        <v>150</v>
      </c>
      <c r="BT26" s="109">
        <v>315</v>
      </c>
      <c r="BU26" s="105"/>
      <c r="BV26" s="104"/>
      <c r="BW26" s="106"/>
      <c r="BX26" s="104"/>
      <c r="BY26" s="107"/>
      <c r="BZ26" s="95"/>
      <c r="CA26" s="96"/>
      <c r="CB26" s="98"/>
      <c r="CC26" s="107"/>
      <c r="CD26" s="96"/>
      <c r="CE26" s="96"/>
      <c r="CF26" s="98"/>
      <c r="CG26" s="107"/>
      <c r="CH26" s="96"/>
      <c r="CI26" s="96"/>
      <c r="CJ26" s="96"/>
      <c r="CK26" s="107"/>
      <c r="CL26" s="96"/>
      <c r="CM26" s="96"/>
      <c r="CN26" s="96"/>
      <c r="CO26" s="107"/>
      <c r="CP26" s="96"/>
      <c r="CQ26" s="96"/>
      <c r="CR26" s="96"/>
      <c r="CS26" s="107"/>
      <c r="CT26" s="96"/>
      <c r="CU26" s="96"/>
      <c r="CV26" s="96"/>
      <c r="CW26" s="96"/>
      <c r="CX26" s="96"/>
      <c r="CY26" s="96"/>
      <c r="CZ26" s="107"/>
      <c r="DA26" s="96"/>
      <c r="DB26" s="96"/>
      <c r="DC26" s="96"/>
      <c r="DD26" s="107"/>
      <c r="DE26" s="107"/>
      <c r="DF26" s="96"/>
      <c r="DG26" s="96"/>
      <c r="DH26" s="96"/>
      <c r="DI26" s="107"/>
      <c r="DJ26" s="96"/>
      <c r="DK26" s="96"/>
      <c r="DL26" s="96"/>
      <c r="DM26" s="107"/>
      <c r="DN26" s="96"/>
      <c r="DO26" s="96"/>
      <c r="DP26" s="98"/>
    </row>
    <row r="27" spans="1:120" x14ac:dyDescent="0.25">
      <c r="BB27" s="58">
        <f t="shared" si="15"/>
        <v>1</v>
      </c>
      <c r="BC27" s="58">
        <f t="shared" si="16"/>
        <v>1</v>
      </c>
      <c r="BD27" s="67">
        <v>0.2</v>
      </c>
      <c r="BE27" s="58">
        <f t="shared" si="17"/>
        <v>1</v>
      </c>
      <c r="BF27" s="67">
        <v>11</v>
      </c>
      <c r="BG27" s="62" t="s">
        <v>184</v>
      </c>
    </row>
    <row r="28" spans="1:120" x14ac:dyDescent="0.25">
      <c r="BB28" s="58">
        <f t="shared" si="15"/>
        <v>1</v>
      </c>
      <c r="BC28" s="58">
        <f t="shared" si="16"/>
        <v>1</v>
      </c>
      <c r="BD28" s="67">
        <v>0.2</v>
      </c>
      <c r="BE28" s="58">
        <f t="shared" si="17"/>
        <v>1</v>
      </c>
      <c r="BF28" s="67">
        <v>26</v>
      </c>
      <c r="BG28" s="62" t="s">
        <v>189</v>
      </c>
    </row>
    <row r="29" spans="1:120" x14ac:dyDescent="0.25">
      <c r="BB29" s="58">
        <f t="shared" si="15"/>
        <v>1</v>
      </c>
      <c r="BC29" s="58">
        <f t="shared" si="16"/>
        <v>1</v>
      </c>
      <c r="BD29" s="67">
        <v>0.2</v>
      </c>
      <c r="BE29" s="58">
        <f t="shared" si="17"/>
        <v>1</v>
      </c>
      <c r="BF29" s="67">
        <v>38</v>
      </c>
      <c r="BG29" s="62" t="s">
        <v>194</v>
      </c>
    </row>
    <row r="30" spans="1:120" x14ac:dyDescent="0.25">
      <c r="BB30" s="58">
        <f t="shared" si="15"/>
        <v>1</v>
      </c>
      <c r="BC30" s="58">
        <f t="shared" si="16"/>
        <v>1</v>
      </c>
      <c r="BD30" s="67">
        <v>0.2</v>
      </c>
      <c r="BE30" s="58">
        <f t="shared" si="17"/>
        <v>1</v>
      </c>
      <c r="BF30" s="67">
        <v>40</v>
      </c>
      <c r="BG30" s="62" t="s">
        <v>200</v>
      </c>
    </row>
    <row r="31" spans="1:120" x14ac:dyDescent="0.25">
      <c r="BB31" s="58">
        <f t="shared" si="15"/>
        <v>1</v>
      </c>
      <c r="BC31" s="58">
        <f t="shared" si="16"/>
        <v>1</v>
      </c>
      <c r="BD31" s="67">
        <v>0.25</v>
      </c>
      <c r="BE31" s="58">
        <f t="shared" si="17"/>
        <v>1</v>
      </c>
      <c r="BF31" s="67">
        <v>23</v>
      </c>
      <c r="BG31" s="62" t="s">
        <v>189</v>
      </c>
    </row>
    <row r="32" spans="1:120" x14ac:dyDescent="0.25">
      <c r="BB32" s="58">
        <f t="shared" si="15"/>
        <v>1</v>
      </c>
      <c r="BC32" s="58">
        <f t="shared" si="16"/>
        <v>1</v>
      </c>
      <c r="BD32" s="67">
        <v>0.25</v>
      </c>
      <c r="BE32" s="58">
        <f t="shared" si="17"/>
        <v>1</v>
      </c>
      <c r="BF32" s="67">
        <v>36</v>
      </c>
      <c r="BG32" s="62" t="s">
        <v>194</v>
      </c>
    </row>
    <row r="33" spans="54:59" x14ac:dyDescent="0.25">
      <c r="BB33" s="58">
        <f t="shared" si="15"/>
        <v>1</v>
      </c>
      <c r="BC33" s="58">
        <f t="shared" si="16"/>
        <v>1</v>
      </c>
      <c r="BD33" s="67">
        <v>0.25</v>
      </c>
      <c r="BE33" s="58">
        <f t="shared" si="17"/>
        <v>1</v>
      </c>
      <c r="BF33" s="67">
        <v>45</v>
      </c>
      <c r="BG33" s="62" t="s">
        <v>200</v>
      </c>
    </row>
    <row r="34" spans="54:59" x14ac:dyDescent="0.25">
      <c r="BB34" s="58">
        <f t="shared" si="15"/>
        <v>1</v>
      </c>
      <c r="BC34" s="58">
        <f t="shared" si="16"/>
        <v>1</v>
      </c>
      <c r="BD34" s="67">
        <v>0.25</v>
      </c>
      <c r="BE34" s="58">
        <f t="shared" si="17"/>
        <v>1</v>
      </c>
      <c r="BF34" s="67">
        <v>50</v>
      </c>
      <c r="BG34" s="87" t="s">
        <v>207</v>
      </c>
    </row>
    <row r="35" spans="54:59" x14ac:dyDescent="0.25">
      <c r="BB35" s="58">
        <f t="shared" si="15"/>
        <v>1</v>
      </c>
      <c r="BC35" s="58">
        <f t="shared" si="16"/>
        <v>1</v>
      </c>
      <c r="BD35" s="67">
        <v>0.3</v>
      </c>
      <c r="BE35" s="58">
        <f t="shared" si="17"/>
        <v>1</v>
      </c>
      <c r="BF35" s="67">
        <v>21</v>
      </c>
      <c r="BG35" s="62" t="s">
        <v>189</v>
      </c>
    </row>
    <row r="36" spans="54:59" x14ac:dyDescent="0.25">
      <c r="BB36" s="58">
        <f t="shared" ref="BB36:BB67" si="26">IF(AND(BC36=1,BE36=1),1,0)</f>
        <v>1</v>
      </c>
      <c r="BC36" s="58">
        <f t="shared" ref="BC36:BC67" si="27">IF(BD36&gt;$B$4,1,0)</f>
        <v>1</v>
      </c>
      <c r="BD36" s="67">
        <v>0.3</v>
      </c>
      <c r="BE36" s="58">
        <f t="shared" ref="BE36:BE67" si="28">IF(BF36&gt;$F$11,1,0)</f>
        <v>1</v>
      </c>
      <c r="BF36" s="67">
        <v>33</v>
      </c>
      <c r="BG36" s="62" t="s">
        <v>194</v>
      </c>
    </row>
    <row r="37" spans="54:59" x14ac:dyDescent="0.25">
      <c r="BB37" s="58">
        <f t="shared" si="26"/>
        <v>1</v>
      </c>
      <c r="BC37" s="58">
        <f t="shared" si="27"/>
        <v>1</v>
      </c>
      <c r="BD37" s="67">
        <v>0.3</v>
      </c>
      <c r="BE37" s="58">
        <f t="shared" si="28"/>
        <v>1</v>
      </c>
      <c r="BF37" s="67">
        <v>45</v>
      </c>
      <c r="BG37" s="62" t="s">
        <v>200</v>
      </c>
    </row>
    <row r="38" spans="54:59" x14ac:dyDescent="0.25">
      <c r="BB38" s="58">
        <f t="shared" si="26"/>
        <v>1</v>
      </c>
      <c r="BC38" s="58">
        <f t="shared" si="27"/>
        <v>1</v>
      </c>
      <c r="BD38" s="67">
        <v>0.3</v>
      </c>
      <c r="BE38" s="58">
        <f t="shared" si="28"/>
        <v>1</v>
      </c>
      <c r="BF38" s="67">
        <v>46</v>
      </c>
      <c r="BG38" s="62" t="s">
        <v>206</v>
      </c>
    </row>
    <row r="39" spans="54:59" x14ac:dyDescent="0.25">
      <c r="BB39" s="58">
        <f t="shared" si="26"/>
        <v>1</v>
      </c>
      <c r="BC39" s="58">
        <f t="shared" si="27"/>
        <v>1</v>
      </c>
      <c r="BD39" s="67">
        <v>0.3</v>
      </c>
      <c r="BE39" s="58">
        <f t="shared" si="28"/>
        <v>1</v>
      </c>
      <c r="BF39" s="67">
        <v>60</v>
      </c>
      <c r="BG39" s="87" t="s">
        <v>207</v>
      </c>
    </row>
    <row r="40" spans="54:59" x14ac:dyDescent="0.25">
      <c r="BB40" s="58">
        <f t="shared" si="26"/>
        <v>1</v>
      </c>
      <c r="BC40" s="58">
        <f t="shared" si="27"/>
        <v>1</v>
      </c>
      <c r="BD40" s="67">
        <v>0.35</v>
      </c>
      <c r="BE40" s="58">
        <f t="shared" si="28"/>
        <v>1</v>
      </c>
      <c r="BF40" s="67">
        <v>17</v>
      </c>
      <c r="BG40" s="62" t="s">
        <v>189</v>
      </c>
    </row>
    <row r="41" spans="54:59" x14ac:dyDescent="0.25">
      <c r="BB41" s="58">
        <f t="shared" si="26"/>
        <v>1</v>
      </c>
      <c r="BC41" s="58">
        <f t="shared" si="27"/>
        <v>1</v>
      </c>
      <c r="BD41" s="67">
        <v>0.35</v>
      </c>
      <c r="BE41" s="58">
        <f t="shared" si="28"/>
        <v>1</v>
      </c>
      <c r="BF41" s="67">
        <v>31</v>
      </c>
      <c r="BG41" s="62" t="s">
        <v>194</v>
      </c>
    </row>
    <row r="42" spans="54:59" x14ac:dyDescent="0.25">
      <c r="BB42" s="58">
        <f t="shared" si="26"/>
        <v>1</v>
      </c>
      <c r="BC42" s="58">
        <f t="shared" si="27"/>
        <v>1</v>
      </c>
      <c r="BD42" s="67">
        <v>0.35</v>
      </c>
      <c r="BE42" s="58">
        <f t="shared" si="28"/>
        <v>1</v>
      </c>
      <c r="BF42" s="67">
        <v>43</v>
      </c>
      <c r="BG42" s="62" t="s">
        <v>200</v>
      </c>
    </row>
    <row r="43" spans="54:59" x14ac:dyDescent="0.25">
      <c r="BB43" s="58">
        <f t="shared" si="26"/>
        <v>1</v>
      </c>
      <c r="BC43" s="58">
        <f t="shared" si="27"/>
        <v>1</v>
      </c>
      <c r="BD43" s="67">
        <v>0.35</v>
      </c>
      <c r="BE43" s="58">
        <f t="shared" si="28"/>
        <v>1</v>
      </c>
      <c r="BF43" s="67">
        <v>46</v>
      </c>
      <c r="BG43" s="62" t="s">
        <v>206</v>
      </c>
    </row>
    <row r="44" spans="54:59" x14ac:dyDescent="0.25">
      <c r="BB44" s="58">
        <f t="shared" si="26"/>
        <v>1</v>
      </c>
      <c r="BC44" s="58">
        <f t="shared" si="27"/>
        <v>1</v>
      </c>
      <c r="BD44" s="67">
        <v>0.35</v>
      </c>
      <c r="BE44" s="58">
        <f t="shared" si="28"/>
        <v>1</v>
      </c>
      <c r="BF44" s="67">
        <v>65</v>
      </c>
      <c r="BG44" s="87" t="s">
        <v>207</v>
      </c>
    </row>
    <row r="45" spans="54:59" x14ac:dyDescent="0.25">
      <c r="BB45" s="58">
        <f t="shared" si="26"/>
        <v>1</v>
      </c>
      <c r="BC45" s="58">
        <f t="shared" si="27"/>
        <v>1</v>
      </c>
      <c r="BD45" s="67">
        <v>0.35</v>
      </c>
      <c r="BE45" s="58">
        <f t="shared" si="28"/>
        <v>1</v>
      </c>
      <c r="BF45" s="67">
        <v>70</v>
      </c>
      <c r="BG45" s="87" t="s">
        <v>209</v>
      </c>
    </row>
    <row r="46" spans="54:59" x14ac:dyDescent="0.25">
      <c r="BB46" s="58">
        <f t="shared" si="26"/>
        <v>1</v>
      </c>
      <c r="BC46" s="58">
        <f t="shared" si="27"/>
        <v>1</v>
      </c>
      <c r="BD46" s="67">
        <v>0.4</v>
      </c>
      <c r="BE46" s="58">
        <f t="shared" si="28"/>
        <v>1</v>
      </c>
      <c r="BF46" s="67">
        <v>27</v>
      </c>
      <c r="BG46" s="62" t="s">
        <v>194</v>
      </c>
    </row>
    <row r="47" spans="54:59" x14ac:dyDescent="0.25">
      <c r="BB47" s="58">
        <f t="shared" si="26"/>
        <v>1</v>
      </c>
      <c r="BC47" s="58">
        <f t="shared" si="27"/>
        <v>1</v>
      </c>
      <c r="BD47" s="67">
        <v>0.4</v>
      </c>
      <c r="BE47" s="58">
        <f t="shared" si="28"/>
        <v>1</v>
      </c>
      <c r="BF47" s="67">
        <v>41</v>
      </c>
      <c r="BG47" s="62" t="s">
        <v>200</v>
      </c>
    </row>
    <row r="48" spans="54:59" x14ac:dyDescent="0.25">
      <c r="BB48" s="58">
        <f t="shared" si="26"/>
        <v>1</v>
      </c>
      <c r="BC48" s="58">
        <f t="shared" si="27"/>
        <v>1</v>
      </c>
      <c r="BD48" s="67">
        <v>0.4</v>
      </c>
      <c r="BE48" s="58">
        <f t="shared" si="28"/>
        <v>1</v>
      </c>
      <c r="BF48" s="67">
        <v>47</v>
      </c>
      <c r="BG48" s="62" t="s">
        <v>206</v>
      </c>
    </row>
    <row r="49" spans="54:59" x14ac:dyDescent="0.25">
      <c r="BB49" s="58">
        <f t="shared" si="26"/>
        <v>1</v>
      </c>
      <c r="BC49" s="58">
        <f t="shared" si="27"/>
        <v>1</v>
      </c>
      <c r="BD49" s="67">
        <v>0.4</v>
      </c>
      <c r="BE49" s="58">
        <f t="shared" si="28"/>
        <v>1</v>
      </c>
      <c r="BF49" s="67">
        <v>57</v>
      </c>
      <c r="BG49" s="87" t="s">
        <v>207</v>
      </c>
    </row>
    <row r="50" spans="54:59" x14ac:dyDescent="0.25">
      <c r="BB50" s="58">
        <f t="shared" si="26"/>
        <v>1</v>
      </c>
      <c r="BC50" s="58">
        <f t="shared" si="27"/>
        <v>1</v>
      </c>
      <c r="BD50" s="67">
        <v>0.4</v>
      </c>
      <c r="BE50" s="58">
        <f t="shared" si="28"/>
        <v>1</v>
      </c>
      <c r="BF50" s="67">
        <v>80</v>
      </c>
      <c r="BG50" s="87" t="s">
        <v>209</v>
      </c>
    </row>
    <row r="51" spans="54:59" x14ac:dyDescent="0.25">
      <c r="BB51" s="58">
        <f t="shared" si="26"/>
        <v>1</v>
      </c>
      <c r="BC51" s="58">
        <f t="shared" si="27"/>
        <v>1</v>
      </c>
      <c r="BD51" s="67">
        <v>0.45</v>
      </c>
      <c r="BE51" s="58">
        <f t="shared" si="28"/>
        <v>1</v>
      </c>
      <c r="BF51" s="67">
        <v>24</v>
      </c>
      <c r="BG51" s="62" t="s">
        <v>194</v>
      </c>
    </row>
    <row r="52" spans="54:59" x14ac:dyDescent="0.25">
      <c r="BB52" s="58">
        <f t="shared" si="26"/>
        <v>1</v>
      </c>
      <c r="BC52" s="58">
        <f t="shared" si="27"/>
        <v>1</v>
      </c>
      <c r="BD52" s="67">
        <v>0.45</v>
      </c>
      <c r="BE52" s="58">
        <f t="shared" si="28"/>
        <v>1</v>
      </c>
      <c r="BF52" s="67">
        <v>39</v>
      </c>
      <c r="BG52" s="62" t="s">
        <v>200</v>
      </c>
    </row>
    <row r="53" spans="54:59" x14ac:dyDescent="0.25">
      <c r="BB53" s="58">
        <f t="shared" si="26"/>
        <v>1</v>
      </c>
      <c r="BC53" s="58">
        <f t="shared" si="27"/>
        <v>1</v>
      </c>
      <c r="BD53" s="67">
        <v>0.45</v>
      </c>
      <c r="BE53" s="58">
        <f t="shared" si="28"/>
        <v>1</v>
      </c>
      <c r="BF53" s="67">
        <v>45</v>
      </c>
      <c r="BG53" s="62" t="s">
        <v>206</v>
      </c>
    </row>
    <row r="54" spans="54:59" x14ac:dyDescent="0.25">
      <c r="BB54" s="58">
        <f t="shared" si="26"/>
        <v>1</v>
      </c>
      <c r="BC54" s="58">
        <f t="shared" si="27"/>
        <v>1</v>
      </c>
      <c r="BD54" s="67">
        <v>0.45</v>
      </c>
      <c r="BE54" s="58">
        <f t="shared" si="28"/>
        <v>1</v>
      </c>
      <c r="BF54" s="67">
        <v>70</v>
      </c>
      <c r="BG54" s="87" t="s">
        <v>211</v>
      </c>
    </row>
    <row r="55" spans="54:59" x14ac:dyDescent="0.25">
      <c r="BB55" s="58">
        <f t="shared" si="26"/>
        <v>1</v>
      </c>
      <c r="BC55" s="58">
        <f t="shared" si="27"/>
        <v>1</v>
      </c>
      <c r="BD55" s="67">
        <v>0.45</v>
      </c>
      <c r="BE55" s="58">
        <f t="shared" si="28"/>
        <v>1</v>
      </c>
      <c r="BF55" s="67">
        <v>90</v>
      </c>
      <c r="BG55" s="87" t="s">
        <v>212</v>
      </c>
    </row>
    <row r="56" spans="54:59" x14ac:dyDescent="0.25">
      <c r="BB56" s="58">
        <f t="shared" si="26"/>
        <v>1</v>
      </c>
      <c r="BC56" s="58">
        <f t="shared" si="27"/>
        <v>1</v>
      </c>
      <c r="BD56" s="67">
        <v>0.5</v>
      </c>
      <c r="BE56" s="58">
        <f t="shared" si="28"/>
        <v>1</v>
      </c>
      <c r="BF56" s="67">
        <v>22</v>
      </c>
      <c r="BG56" s="62" t="s">
        <v>194</v>
      </c>
    </row>
    <row r="57" spans="54:59" x14ac:dyDescent="0.25">
      <c r="BB57" s="58">
        <f t="shared" si="26"/>
        <v>1</v>
      </c>
      <c r="BC57" s="58">
        <f t="shared" si="27"/>
        <v>1</v>
      </c>
      <c r="BD57" s="67">
        <v>0.5</v>
      </c>
      <c r="BE57" s="58">
        <f t="shared" si="28"/>
        <v>1</v>
      </c>
      <c r="BF57" s="67">
        <v>37</v>
      </c>
      <c r="BG57" s="62" t="s">
        <v>200</v>
      </c>
    </row>
    <row r="58" spans="54:59" x14ac:dyDescent="0.25">
      <c r="BB58" s="58">
        <f t="shared" si="26"/>
        <v>1</v>
      </c>
      <c r="BC58" s="58">
        <f t="shared" si="27"/>
        <v>1</v>
      </c>
      <c r="BD58" s="67">
        <v>0.5</v>
      </c>
      <c r="BE58" s="58">
        <f t="shared" si="28"/>
        <v>1</v>
      </c>
      <c r="BF58" s="67">
        <v>43</v>
      </c>
      <c r="BG58" s="62" t="s">
        <v>206</v>
      </c>
    </row>
    <row r="59" spans="54:59" x14ac:dyDescent="0.25">
      <c r="BB59" s="58">
        <f t="shared" si="26"/>
        <v>1</v>
      </c>
      <c r="BC59" s="58">
        <f t="shared" si="27"/>
        <v>1</v>
      </c>
      <c r="BD59" s="67">
        <v>0.5</v>
      </c>
      <c r="BE59" s="58">
        <f t="shared" si="28"/>
        <v>1</v>
      </c>
      <c r="BF59" s="67">
        <v>66</v>
      </c>
      <c r="BG59" s="87" t="s">
        <v>211</v>
      </c>
    </row>
    <row r="60" spans="54:59" x14ac:dyDescent="0.25">
      <c r="BB60" s="58">
        <f t="shared" si="26"/>
        <v>1</v>
      </c>
      <c r="BC60" s="58">
        <f t="shared" si="27"/>
        <v>1</v>
      </c>
      <c r="BD60" s="67">
        <v>0.5</v>
      </c>
      <c r="BE60" s="58">
        <f t="shared" si="28"/>
        <v>1</v>
      </c>
      <c r="BF60" s="67">
        <v>100</v>
      </c>
      <c r="BG60" s="87" t="s">
        <v>212</v>
      </c>
    </row>
    <row r="61" spans="54:59" x14ac:dyDescent="0.25">
      <c r="BB61" s="58">
        <f t="shared" si="26"/>
        <v>1</v>
      </c>
      <c r="BC61" s="58">
        <f t="shared" si="27"/>
        <v>1</v>
      </c>
      <c r="BD61" s="67">
        <v>0.55000000000000004</v>
      </c>
      <c r="BE61" s="58">
        <f t="shared" si="28"/>
        <v>1</v>
      </c>
      <c r="BF61" s="67">
        <v>35</v>
      </c>
      <c r="BG61" s="62" t="s">
        <v>200</v>
      </c>
    </row>
    <row r="62" spans="54:59" x14ac:dyDescent="0.25">
      <c r="BB62" s="58">
        <f t="shared" si="26"/>
        <v>1</v>
      </c>
      <c r="BC62" s="58">
        <f t="shared" si="27"/>
        <v>1</v>
      </c>
      <c r="BD62" s="67">
        <v>0.55000000000000004</v>
      </c>
      <c r="BE62" s="58">
        <f t="shared" si="28"/>
        <v>1</v>
      </c>
      <c r="BF62" s="67">
        <v>42</v>
      </c>
      <c r="BG62" s="62" t="s">
        <v>206</v>
      </c>
    </row>
    <row r="63" spans="54:59" x14ac:dyDescent="0.25">
      <c r="BB63" s="58">
        <f t="shared" si="26"/>
        <v>1</v>
      </c>
      <c r="BC63" s="58">
        <f t="shared" si="27"/>
        <v>1</v>
      </c>
      <c r="BD63" s="67">
        <v>0.55000000000000004</v>
      </c>
      <c r="BE63" s="58">
        <f t="shared" si="28"/>
        <v>1</v>
      </c>
      <c r="BF63" s="67">
        <v>62</v>
      </c>
      <c r="BG63" s="87" t="s">
        <v>211</v>
      </c>
    </row>
    <row r="64" spans="54:59" x14ac:dyDescent="0.25">
      <c r="BB64" s="58">
        <f t="shared" si="26"/>
        <v>1</v>
      </c>
      <c r="BC64" s="58">
        <f t="shared" si="27"/>
        <v>1</v>
      </c>
      <c r="BD64" s="67">
        <v>0.55000000000000004</v>
      </c>
      <c r="BE64" s="58">
        <f t="shared" si="28"/>
        <v>1</v>
      </c>
      <c r="BF64" s="67">
        <v>110</v>
      </c>
      <c r="BG64" s="87" t="s">
        <v>212</v>
      </c>
    </row>
    <row r="65" spans="54:59" x14ac:dyDescent="0.25">
      <c r="BB65" s="58">
        <f t="shared" si="26"/>
        <v>1</v>
      </c>
      <c r="BC65" s="58">
        <f t="shared" si="27"/>
        <v>1</v>
      </c>
      <c r="BD65" s="67">
        <v>0.6</v>
      </c>
      <c r="BE65" s="58">
        <f t="shared" si="28"/>
        <v>1</v>
      </c>
      <c r="BF65" s="67">
        <v>33</v>
      </c>
      <c r="BG65" s="62" t="s">
        <v>200</v>
      </c>
    </row>
    <row r="66" spans="54:59" x14ac:dyDescent="0.25">
      <c r="BB66" s="58">
        <f t="shared" si="26"/>
        <v>1</v>
      </c>
      <c r="BC66" s="58">
        <f t="shared" si="27"/>
        <v>1</v>
      </c>
      <c r="BD66" s="67">
        <v>0.6</v>
      </c>
      <c r="BE66" s="58">
        <f t="shared" si="28"/>
        <v>1</v>
      </c>
      <c r="BF66" s="67">
        <v>41</v>
      </c>
      <c r="BG66" s="62" t="s">
        <v>206</v>
      </c>
    </row>
    <row r="67" spans="54:59" x14ac:dyDescent="0.25">
      <c r="BB67" s="58">
        <f t="shared" si="26"/>
        <v>1</v>
      </c>
      <c r="BC67" s="58">
        <f t="shared" si="27"/>
        <v>1</v>
      </c>
      <c r="BD67" s="67">
        <v>0.6</v>
      </c>
      <c r="BE67" s="58">
        <f t="shared" si="28"/>
        <v>1</v>
      </c>
      <c r="BF67" s="67">
        <v>55</v>
      </c>
      <c r="BG67" s="87" t="s">
        <v>211</v>
      </c>
    </row>
    <row r="68" spans="54:59" x14ac:dyDescent="0.25">
      <c r="BB68" s="58">
        <f t="shared" ref="BB68:BB99" si="29">IF(AND(BC68=1,BE68=1),1,0)</f>
        <v>1</v>
      </c>
      <c r="BC68" s="58">
        <f t="shared" ref="BC68:BC99" si="30">IF(BD68&gt;$B$4,1,0)</f>
        <v>1</v>
      </c>
      <c r="BD68" s="67">
        <v>0.6</v>
      </c>
      <c r="BE68" s="58">
        <f>IF(BF68&gt;=$F$11,1,0)</f>
        <v>1</v>
      </c>
      <c r="BF68" s="67">
        <v>120</v>
      </c>
      <c r="BG68" s="87" t="s">
        <v>212</v>
      </c>
    </row>
    <row r="69" spans="54:59" x14ac:dyDescent="0.25">
      <c r="BB69" s="58">
        <f t="shared" si="29"/>
        <v>1</v>
      </c>
      <c r="BC69" s="58">
        <f t="shared" si="30"/>
        <v>1</v>
      </c>
      <c r="BD69" s="67">
        <v>0.65</v>
      </c>
      <c r="BE69" s="58">
        <f>IF(BF69&gt;$F$11,1,0)</f>
        <v>1</v>
      </c>
      <c r="BF69" s="67">
        <v>30</v>
      </c>
      <c r="BG69" s="62" t="s">
        <v>200</v>
      </c>
    </row>
    <row r="70" spans="54:59" x14ac:dyDescent="0.25">
      <c r="BB70" s="58">
        <f t="shared" si="29"/>
        <v>1</v>
      </c>
      <c r="BC70" s="58">
        <f t="shared" si="30"/>
        <v>1</v>
      </c>
      <c r="BD70" s="67">
        <v>0.65</v>
      </c>
      <c r="BE70" s="58">
        <f>IF(BF70&gt;$F$11,1,0)</f>
        <v>1</v>
      </c>
      <c r="BF70" s="67">
        <v>41</v>
      </c>
      <c r="BG70" s="62" t="s">
        <v>206</v>
      </c>
    </row>
    <row r="71" spans="54:59" x14ac:dyDescent="0.25">
      <c r="BB71" s="58">
        <f t="shared" si="29"/>
        <v>1</v>
      </c>
      <c r="BC71" s="58">
        <f t="shared" si="30"/>
        <v>1</v>
      </c>
      <c r="BD71" s="67">
        <v>0.65</v>
      </c>
      <c r="BE71" s="58">
        <f>IF(BF71&gt;$F$11,1,0)</f>
        <v>1</v>
      </c>
      <c r="BF71" s="67">
        <v>51</v>
      </c>
      <c r="BG71" s="87" t="s">
        <v>211</v>
      </c>
    </row>
    <row r="72" spans="54:59" x14ac:dyDescent="0.25">
      <c r="BB72" s="58">
        <f t="shared" si="29"/>
        <v>1</v>
      </c>
      <c r="BC72" s="58">
        <f t="shared" si="30"/>
        <v>1</v>
      </c>
      <c r="BD72" s="67">
        <v>0.65</v>
      </c>
      <c r="BE72" s="58">
        <f>IF(BF72&gt;=$F$11,1,0)</f>
        <v>1</v>
      </c>
      <c r="BF72" s="67">
        <v>120</v>
      </c>
      <c r="BG72" s="87" t="s">
        <v>212</v>
      </c>
    </row>
    <row r="73" spans="54:59" x14ac:dyDescent="0.25">
      <c r="BB73" s="58">
        <f t="shared" si="29"/>
        <v>1</v>
      </c>
      <c r="BC73" s="58">
        <f t="shared" si="30"/>
        <v>1</v>
      </c>
      <c r="BD73" s="67">
        <v>0.7</v>
      </c>
      <c r="BE73" s="58">
        <f>IF(BF73&gt;$F$11,1,0)</f>
        <v>1</v>
      </c>
      <c r="BF73" s="67">
        <v>40</v>
      </c>
      <c r="BG73" s="62" t="s">
        <v>206</v>
      </c>
    </row>
    <row r="74" spans="54:59" x14ac:dyDescent="0.25">
      <c r="BB74" s="58">
        <f t="shared" si="29"/>
        <v>1</v>
      </c>
      <c r="BC74" s="58">
        <f t="shared" si="30"/>
        <v>1</v>
      </c>
      <c r="BD74" s="67">
        <v>0.7</v>
      </c>
      <c r="BE74" s="58">
        <f>IF(BF74&gt;$F$11,1,0)</f>
        <v>1</v>
      </c>
      <c r="BF74" s="67">
        <v>45</v>
      </c>
      <c r="BG74" s="87" t="s">
        <v>211</v>
      </c>
    </row>
    <row r="75" spans="54:59" x14ac:dyDescent="0.25">
      <c r="BB75" s="58">
        <f t="shared" si="29"/>
        <v>1</v>
      </c>
      <c r="BC75" s="58">
        <f t="shared" si="30"/>
        <v>1</v>
      </c>
      <c r="BD75" s="67">
        <v>0.7</v>
      </c>
      <c r="BE75" s="58">
        <f>IF(BF75&gt;=$F$11,1,0)</f>
        <v>1</v>
      </c>
      <c r="BF75" s="67">
        <v>120</v>
      </c>
      <c r="BG75" s="87" t="s">
        <v>212</v>
      </c>
    </row>
    <row r="76" spans="54:59" x14ac:dyDescent="0.25">
      <c r="BB76" s="58">
        <f t="shared" si="29"/>
        <v>1</v>
      </c>
      <c r="BC76" s="58">
        <f t="shared" si="30"/>
        <v>1</v>
      </c>
      <c r="BD76" s="67">
        <v>0.75</v>
      </c>
      <c r="BE76" s="58">
        <f>IF(BF76&gt;$F$11,1,0)</f>
        <v>1</v>
      </c>
      <c r="BF76" s="67">
        <v>41</v>
      </c>
      <c r="BG76" s="62" t="s">
        <v>206</v>
      </c>
    </row>
    <row r="77" spans="54:59" x14ac:dyDescent="0.25">
      <c r="BB77" s="58">
        <f t="shared" si="29"/>
        <v>1</v>
      </c>
      <c r="BC77" s="58">
        <f t="shared" si="30"/>
        <v>1</v>
      </c>
      <c r="BD77" s="67">
        <v>0.75</v>
      </c>
      <c r="BE77" s="58">
        <f>IF(BF77&gt;=$F$11,1,0)</f>
        <v>1</v>
      </c>
      <c r="BF77" s="67">
        <v>120</v>
      </c>
      <c r="BG77" s="87" t="s">
        <v>212</v>
      </c>
    </row>
    <row r="78" spans="54:59" x14ac:dyDescent="0.25">
      <c r="BB78" s="58">
        <f t="shared" si="29"/>
        <v>1</v>
      </c>
      <c r="BC78" s="58">
        <f t="shared" si="30"/>
        <v>1</v>
      </c>
      <c r="BD78" s="67">
        <v>0.8</v>
      </c>
      <c r="BE78" s="58">
        <f>IF(BF78&gt;$F$11,1,0)</f>
        <v>1</v>
      </c>
      <c r="BF78" s="67">
        <v>40</v>
      </c>
      <c r="BG78" s="62" t="s">
        <v>206</v>
      </c>
    </row>
    <row r="79" spans="54:59" x14ac:dyDescent="0.25">
      <c r="BB79" s="58">
        <f t="shared" si="29"/>
        <v>1</v>
      </c>
      <c r="BC79" s="58">
        <f t="shared" si="30"/>
        <v>1</v>
      </c>
      <c r="BD79" s="67">
        <v>0.8</v>
      </c>
      <c r="BE79" s="58">
        <f>IF(BF79&gt;$F$11,1,0)</f>
        <v>1</v>
      </c>
      <c r="BF79" s="67">
        <v>117</v>
      </c>
      <c r="BG79" s="87" t="s">
        <v>212</v>
      </c>
    </row>
    <row r="80" spans="54:59" x14ac:dyDescent="0.25">
      <c r="BB80" s="58">
        <f t="shared" si="29"/>
        <v>1</v>
      </c>
      <c r="BC80" s="58">
        <f t="shared" si="30"/>
        <v>1</v>
      </c>
      <c r="BD80" s="67">
        <v>0.8</v>
      </c>
      <c r="BE80" s="58">
        <f>IF(BF80&gt;=$F$11,1,0)</f>
        <v>1</v>
      </c>
      <c r="BF80" s="67">
        <v>120</v>
      </c>
      <c r="BG80" s="87" t="s">
        <v>213</v>
      </c>
    </row>
    <row r="81" spans="54:59" x14ac:dyDescent="0.25">
      <c r="BB81" s="58">
        <f t="shared" si="29"/>
        <v>1</v>
      </c>
      <c r="BC81" s="58">
        <f t="shared" si="30"/>
        <v>1</v>
      </c>
      <c r="BD81" s="67">
        <v>0.85</v>
      </c>
      <c r="BE81" s="58">
        <f>IF(BF81&gt;$F$11,1,0)</f>
        <v>1</v>
      </c>
      <c r="BF81" s="67">
        <v>39</v>
      </c>
      <c r="BG81" s="62" t="s">
        <v>206</v>
      </c>
    </row>
    <row r="82" spans="54:59" x14ac:dyDescent="0.25">
      <c r="BB82" s="58">
        <f t="shared" si="29"/>
        <v>1</v>
      </c>
      <c r="BC82" s="58">
        <f t="shared" si="30"/>
        <v>1</v>
      </c>
      <c r="BD82" s="67">
        <v>0.85</v>
      </c>
      <c r="BE82" s="58">
        <f>IF(BF82&gt;$F$11,1,0)</f>
        <v>1</v>
      </c>
      <c r="BF82" s="67">
        <v>114</v>
      </c>
      <c r="BG82" s="87" t="s">
        <v>212</v>
      </c>
    </row>
    <row r="83" spans="54:59" x14ac:dyDescent="0.25">
      <c r="BB83" s="58">
        <f t="shared" si="29"/>
        <v>1</v>
      </c>
      <c r="BC83" s="58">
        <f t="shared" si="30"/>
        <v>1</v>
      </c>
      <c r="BD83" s="67">
        <v>0.85</v>
      </c>
      <c r="BE83" s="58">
        <f>IF(BF83&gt;=$F$11,1,0)</f>
        <v>1</v>
      </c>
      <c r="BF83" s="67">
        <v>120</v>
      </c>
      <c r="BG83" s="87" t="s">
        <v>213</v>
      </c>
    </row>
    <row r="84" spans="54:59" x14ac:dyDescent="0.25">
      <c r="BB84" s="58">
        <f t="shared" si="29"/>
        <v>1</v>
      </c>
      <c r="BC84" s="58">
        <f t="shared" si="30"/>
        <v>1</v>
      </c>
      <c r="BD84" s="67">
        <v>0.9</v>
      </c>
      <c r="BE84" s="58">
        <f>IF(BF84&gt;$F$11,1,0)</f>
        <v>1</v>
      </c>
      <c r="BF84" s="67">
        <v>37</v>
      </c>
      <c r="BG84" s="62" t="s">
        <v>206</v>
      </c>
    </row>
    <row r="85" spans="54:59" x14ac:dyDescent="0.25">
      <c r="BB85" s="58">
        <f t="shared" si="29"/>
        <v>1</v>
      </c>
      <c r="BC85" s="58">
        <f t="shared" si="30"/>
        <v>1</v>
      </c>
      <c r="BD85" s="67">
        <v>0.9</v>
      </c>
      <c r="BE85" s="58">
        <f>IF(BF85&gt;$F$11,1,0)</f>
        <v>1</v>
      </c>
      <c r="BF85" s="67">
        <v>43</v>
      </c>
      <c r="BG85" s="87" t="s">
        <v>210</v>
      </c>
    </row>
    <row r="86" spans="54:59" x14ac:dyDescent="0.25">
      <c r="BB86" s="58">
        <f t="shared" si="29"/>
        <v>1</v>
      </c>
      <c r="BC86" s="58">
        <f t="shared" si="30"/>
        <v>1</v>
      </c>
      <c r="BD86" s="67">
        <v>0.9</v>
      </c>
      <c r="BE86" s="58">
        <f>IF(BF86&gt;$F$11,1,0)</f>
        <v>1</v>
      </c>
      <c r="BF86" s="67">
        <v>110</v>
      </c>
      <c r="BG86" s="87" t="s">
        <v>212</v>
      </c>
    </row>
    <row r="87" spans="54:59" x14ac:dyDescent="0.25">
      <c r="BB87" s="58">
        <f t="shared" si="29"/>
        <v>1</v>
      </c>
      <c r="BC87" s="58">
        <f t="shared" si="30"/>
        <v>1</v>
      </c>
      <c r="BD87" s="67">
        <v>0.9</v>
      </c>
      <c r="BE87" s="58">
        <f>IF(BF87&gt;=$F$11,1,0)</f>
        <v>1</v>
      </c>
      <c r="BF87" s="67">
        <v>120</v>
      </c>
      <c r="BG87" s="87" t="s">
        <v>213</v>
      </c>
    </row>
    <row r="88" spans="54:59" x14ac:dyDescent="0.25">
      <c r="BB88" s="58">
        <f t="shared" si="29"/>
        <v>1</v>
      </c>
      <c r="BC88" s="58">
        <f t="shared" si="30"/>
        <v>1</v>
      </c>
      <c r="BD88" s="67">
        <v>0.95</v>
      </c>
      <c r="BE88" s="58">
        <f>IF(BF88&gt;$F$11,1,0)</f>
        <v>1</v>
      </c>
      <c r="BF88" s="67">
        <v>44</v>
      </c>
      <c r="BG88" s="87" t="s">
        <v>210</v>
      </c>
    </row>
    <row r="89" spans="54:59" x14ac:dyDescent="0.25">
      <c r="BB89" s="58">
        <f t="shared" si="29"/>
        <v>1</v>
      </c>
      <c r="BC89" s="58">
        <f t="shared" si="30"/>
        <v>1</v>
      </c>
      <c r="BD89" s="67">
        <v>0.95</v>
      </c>
      <c r="BE89" s="58">
        <f>IF(BF89&gt;$F$11,1,0)</f>
        <v>1</v>
      </c>
      <c r="BF89" s="67">
        <v>106</v>
      </c>
      <c r="BG89" s="87" t="s">
        <v>212</v>
      </c>
    </row>
    <row r="90" spans="54:59" x14ac:dyDescent="0.25">
      <c r="BB90" s="58">
        <f t="shared" si="29"/>
        <v>1</v>
      </c>
      <c r="BC90" s="58">
        <f t="shared" si="30"/>
        <v>1</v>
      </c>
      <c r="BD90" s="67">
        <v>0.95</v>
      </c>
      <c r="BE90" s="58">
        <f>IF(BF90&gt;=$F$11,1,0)</f>
        <v>1</v>
      </c>
      <c r="BF90" s="67">
        <v>120</v>
      </c>
      <c r="BG90" s="87" t="s">
        <v>213</v>
      </c>
    </row>
    <row r="91" spans="54:59" x14ac:dyDescent="0.25">
      <c r="BB91" s="58">
        <f t="shared" si="29"/>
        <v>1</v>
      </c>
      <c r="BC91" s="58">
        <f>IF(BD91&gt;=$B$4,1,0)</f>
        <v>1</v>
      </c>
      <c r="BD91" s="67">
        <v>1</v>
      </c>
      <c r="BE91" s="58">
        <f>IF(BF91&gt;$F$11,1,0)</f>
        <v>1</v>
      </c>
      <c r="BF91" s="67">
        <v>41</v>
      </c>
      <c r="BG91" s="87" t="s">
        <v>210</v>
      </c>
    </row>
    <row r="92" spans="54:59" x14ac:dyDescent="0.25">
      <c r="BB92" s="58">
        <f t="shared" si="29"/>
        <v>1</v>
      </c>
      <c r="BC92" s="58">
        <f>IF(BD92&gt;=$B$4,1,0)</f>
        <v>1</v>
      </c>
      <c r="BD92" s="67">
        <v>1</v>
      </c>
      <c r="BE92" s="58">
        <f>IF(BF92&gt;$F$11,1,0)</f>
        <v>1</v>
      </c>
      <c r="BF92" s="67">
        <v>101</v>
      </c>
      <c r="BG92" s="87" t="s">
        <v>212</v>
      </c>
    </row>
    <row r="93" spans="54:59" x14ac:dyDescent="0.25">
      <c r="BB93" s="58">
        <f t="shared" si="29"/>
        <v>1</v>
      </c>
      <c r="BC93" s="58">
        <f>IF(BD93&gt;=$B$4,1,0)</f>
        <v>1</v>
      </c>
      <c r="BD93" s="67">
        <v>1</v>
      </c>
      <c r="BE93" s="58">
        <f>IF(BF93&gt;=$F$11,1,0)</f>
        <v>1</v>
      </c>
      <c r="BF93" s="67">
        <v>120</v>
      </c>
      <c r="BG93" s="87" t="s">
        <v>213</v>
      </c>
    </row>
  </sheetData>
  <mergeCells count="27">
    <mergeCell ref="E19:F19"/>
    <mergeCell ref="E24:F24"/>
    <mergeCell ref="E9:F9"/>
    <mergeCell ref="B14:C14"/>
    <mergeCell ref="B15:C15"/>
    <mergeCell ref="B16:C16"/>
    <mergeCell ref="B17:C17"/>
    <mergeCell ref="DJ2:DL2"/>
    <mergeCell ref="DN2:DP2"/>
    <mergeCell ref="AH3:AJ3"/>
    <mergeCell ref="AK3:AM3"/>
    <mergeCell ref="AN3:AP3"/>
    <mergeCell ref="CM2:CN2"/>
    <mergeCell ref="CQ2:CR2"/>
    <mergeCell ref="CU2:CY2"/>
    <mergeCell ref="DA2:DC2"/>
    <mergeCell ref="DF2:DH2"/>
    <mergeCell ref="BJ2:BK2"/>
    <mergeCell ref="BN2:BO2"/>
    <mergeCell ref="BR2:BT2"/>
    <mergeCell ref="BW2:BX2"/>
    <mergeCell ref="CI2:CJ2"/>
    <mergeCell ref="I2:AC2"/>
    <mergeCell ref="AE2:AP2"/>
    <mergeCell ref="AR2:AT2"/>
    <mergeCell ref="AX2:AZ2"/>
    <mergeCell ref="BB2:BG2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CJ26"/>
  <sheetViews>
    <sheetView tabSelected="1" zoomScale="90" zoomScaleNormal="90" workbookViewId="0">
      <selection activeCell="K12" sqref="K12"/>
    </sheetView>
  </sheetViews>
  <sheetFormatPr defaultRowHeight="15" x14ac:dyDescent="0.25"/>
  <cols>
    <col min="1" max="1" width="9" customWidth="1"/>
    <col min="2" max="2" width="6.42578125" customWidth="1"/>
    <col min="3" max="4" width="8.7109375" customWidth="1"/>
    <col min="5" max="5" width="4.85546875" customWidth="1"/>
    <col min="6" max="6" width="10" customWidth="1"/>
    <col min="7" max="8" width="8.7109375" customWidth="1"/>
    <col min="9" max="9" width="9.140625" customWidth="1"/>
    <col min="10" max="10" width="6" customWidth="1"/>
    <col min="11" max="16" width="8" customWidth="1"/>
    <col min="17" max="17" width="8.7109375" customWidth="1"/>
    <col min="18" max="36" width="9.140625" customWidth="1"/>
    <col min="37" max="37" width="8.7109375" customWidth="1"/>
    <col min="38" max="38" width="9.140625" customWidth="1"/>
    <col min="39" max="39" width="5.140625" customWidth="1"/>
    <col min="40" max="40" width="10.140625" customWidth="1"/>
    <col min="41" max="41" width="9.140625" customWidth="1"/>
    <col min="42" max="42" width="5.5703125" customWidth="1"/>
    <col min="43" max="43" width="10.140625" customWidth="1"/>
    <col min="44" max="51" width="8.7109375" customWidth="1"/>
    <col min="52" max="52" width="4.85546875" customWidth="1"/>
    <col min="53" max="53" width="12.85546875" customWidth="1"/>
    <col min="54" max="54" width="3.28515625" customWidth="1"/>
    <col min="55" max="55" width="11.28515625" customWidth="1"/>
    <col min="56" max="57" width="6.28515625" customWidth="1"/>
    <col min="58" max="58" width="3.5703125" customWidth="1"/>
    <col min="59" max="59" width="8.28515625" customWidth="1"/>
    <col min="60" max="61" width="6.140625" customWidth="1"/>
    <col min="62" max="62" width="3.28515625" customWidth="1"/>
    <col min="63" max="63" width="9.5703125" customWidth="1"/>
    <col min="64" max="64" width="6.140625" customWidth="1"/>
    <col min="65" max="65" width="15.28515625" customWidth="1"/>
    <col min="66" max="66" width="3.28515625" customWidth="1"/>
    <col min="67" max="67" width="10.5703125" customWidth="1"/>
    <col min="68" max="68" width="6.28515625" customWidth="1"/>
    <col min="69" max="69" width="11" customWidth="1"/>
    <col min="70" max="70" width="3.28515625" customWidth="1"/>
    <col min="71" max="71" width="8.5703125" customWidth="1"/>
    <col min="72" max="72" width="6.28515625" customWidth="1"/>
    <col min="73" max="76" width="11.42578125"/>
    <col min="77" max="77" width="3.5703125" customWidth="1"/>
    <col min="78" max="78" width="8.7109375" customWidth="1"/>
    <col min="79" max="79" width="6.28515625" customWidth="1"/>
    <col min="80" max="80" width="11.42578125"/>
    <col min="81" max="81" width="3.5703125" customWidth="1"/>
    <col min="82" max="82" width="8.7109375" customWidth="1"/>
    <col min="83" max="83" width="6.28515625" customWidth="1"/>
    <col min="84" max="84" width="11.42578125"/>
    <col min="85" max="85" width="3.5703125" customWidth="1"/>
    <col min="86" max="86" width="8.5703125" customWidth="1"/>
    <col min="87" max="87" width="6.28515625" customWidth="1"/>
    <col min="88" max="88" width="13.7109375" customWidth="1"/>
    <col min="89" max="1025" width="8.7109375" customWidth="1"/>
  </cols>
  <sheetData>
    <row r="2" spans="1:88" x14ac:dyDescent="0.25">
      <c r="B2" t="s">
        <v>1</v>
      </c>
      <c r="I2" s="7" t="s">
        <v>30</v>
      </c>
      <c r="J2" s="7"/>
      <c r="K2" s="7"/>
      <c r="L2" s="7"/>
      <c r="M2" s="7"/>
      <c r="N2" s="7"/>
      <c r="O2" s="7"/>
      <c r="P2" s="7"/>
      <c r="R2" s="7" t="s">
        <v>31</v>
      </c>
      <c r="S2" s="7"/>
      <c r="T2" s="7"/>
      <c r="U2" s="7"/>
      <c r="V2" s="7"/>
      <c r="W2" s="7"/>
      <c r="X2" s="7"/>
      <c r="Y2" s="7"/>
      <c r="Z2" s="7"/>
      <c r="AA2" s="7"/>
      <c r="AB2" s="7"/>
      <c r="AC2" s="7" t="s">
        <v>220</v>
      </c>
      <c r="AD2" s="7"/>
      <c r="AE2" s="7"/>
      <c r="AF2" s="7"/>
      <c r="AG2" s="7"/>
      <c r="AH2" s="7"/>
      <c r="AI2" s="7"/>
      <c r="AJ2" s="7"/>
      <c r="AL2" s="7" t="s">
        <v>221</v>
      </c>
      <c r="AM2" s="7"/>
      <c r="AN2" s="7"/>
      <c r="AO2" s="7"/>
      <c r="AP2" s="7"/>
      <c r="AQ2" s="7"/>
      <c r="AZ2" s="13" t="s">
        <v>37</v>
      </c>
      <c r="BA2" s="13"/>
      <c r="BB2" s="18"/>
      <c r="BC2" s="38"/>
      <c r="BD2" s="5" t="s">
        <v>38</v>
      </c>
      <c r="BE2" s="5"/>
      <c r="BF2" s="39"/>
      <c r="BG2" s="40"/>
      <c r="BH2" s="118" t="s">
        <v>39</v>
      </c>
      <c r="BI2" s="118"/>
      <c r="BJ2" s="18"/>
      <c r="BK2" s="38"/>
      <c r="BL2" s="5" t="s">
        <v>40</v>
      </c>
      <c r="BM2" s="5"/>
      <c r="BN2" s="18"/>
      <c r="BO2" s="38"/>
      <c r="BP2" s="5" t="s">
        <v>41</v>
      </c>
      <c r="BQ2" s="5"/>
      <c r="BR2" s="18"/>
      <c r="BS2" s="14" t="s">
        <v>42</v>
      </c>
      <c r="BT2" s="14"/>
      <c r="BU2" s="14"/>
      <c r="BV2" s="14"/>
      <c r="BW2" s="14"/>
      <c r="BX2" s="14"/>
      <c r="BY2" s="39"/>
      <c r="BZ2" s="14" t="s">
        <v>43</v>
      </c>
      <c r="CA2" s="14"/>
      <c r="CB2" s="14"/>
      <c r="CC2" s="39"/>
      <c r="CD2" s="14" t="s">
        <v>44</v>
      </c>
      <c r="CE2" s="14"/>
      <c r="CF2" s="14"/>
      <c r="CG2" s="39"/>
      <c r="CH2" s="14" t="s">
        <v>45</v>
      </c>
      <c r="CI2" s="14"/>
      <c r="CJ2" s="14"/>
    </row>
    <row r="3" spans="1:88" x14ac:dyDescent="0.25">
      <c r="I3" s="43"/>
      <c r="J3" s="44" t="s">
        <v>48</v>
      </c>
      <c r="K3" s="45" t="s">
        <v>49</v>
      </c>
      <c r="L3" s="46" t="s">
        <v>50</v>
      </c>
      <c r="M3" s="43"/>
      <c r="N3" s="44" t="s">
        <v>222</v>
      </c>
      <c r="O3" s="45" t="s">
        <v>49</v>
      </c>
      <c r="P3" s="46" t="s">
        <v>50</v>
      </c>
      <c r="R3" s="43"/>
      <c r="S3" s="44"/>
      <c r="T3" s="46"/>
      <c r="U3" s="7" t="s">
        <v>223</v>
      </c>
      <c r="V3" s="7"/>
      <c r="W3" s="7"/>
      <c r="X3" s="7"/>
      <c r="Y3" s="7" t="s">
        <v>55</v>
      </c>
      <c r="Z3" s="7"/>
      <c r="AA3" s="7"/>
      <c r="AB3" s="7"/>
      <c r="AC3" s="48"/>
      <c r="AD3" s="48"/>
      <c r="AE3" s="7" t="s">
        <v>55</v>
      </c>
      <c r="AF3" s="7"/>
      <c r="AG3" s="7"/>
      <c r="AH3" s="7" t="s">
        <v>53</v>
      </c>
      <c r="AI3" s="7"/>
      <c r="AJ3" s="7"/>
      <c r="AL3" s="64">
        <f t="shared" ref="AL3:AL10" si="0">IF($F$4&lt;AM3,1,0)</f>
        <v>0</v>
      </c>
      <c r="AM3" s="72">
        <v>2</v>
      </c>
      <c r="AN3" s="66" t="s">
        <v>224</v>
      </c>
      <c r="AO3" s="64">
        <f t="shared" ref="AO3:AO10" si="1">IF($F$14&lt;AP3,1,0)</f>
        <v>1</v>
      </c>
      <c r="AP3" s="72">
        <v>2</v>
      </c>
      <c r="AQ3" s="66" t="s">
        <v>224</v>
      </c>
      <c r="AZ3" s="51" t="s">
        <v>61</v>
      </c>
      <c r="BA3" s="35" t="s">
        <v>62</v>
      </c>
      <c r="BB3" s="52"/>
      <c r="BC3" s="35" t="s">
        <v>161</v>
      </c>
      <c r="BD3" s="53" t="s">
        <v>61</v>
      </c>
      <c r="BE3" s="32" t="s">
        <v>63</v>
      </c>
      <c r="BF3" s="54"/>
      <c r="BG3" s="35" t="s">
        <v>225</v>
      </c>
      <c r="BH3" s="53" t="s">
        <v>61</v>
      </c>
      <c r="BI3" s="32" t="s">
        <v>63</v>
      </c>
      <c r="BJ3" s="52"/>
      <c r="BK3" s="35" t="s">
        <v>226</v>
      </c>
      <c r="BL3" s="57" t="s">
        <v>61</v>
      </c>
      <c r="BM3" s="35" t="s">
        <v>218</v>
      </c>
      <c r="BN3" s="52"/>
      <c r="BO3" s="35" t="s">
        <v>227</v>
      </c>
      <c r="BP3" s="53" t="s">
        <v>61</v>
      </c>
      <c r="BQ3" s="32" t="s">
        <v>218</v>
      </c>
      <c r="BR3" s="52"/>
      <c r="BS3" s="35"/>
      <c r="BT3" s="53" t="s">
        <v>61</v>
      </c>
      <c r="BU3" s="32" t="s">
        <v>223</v>
      </c>
      <c r="BV3" s="32"/>
      <c r="BW3" s="53" t="s">
        <v>61</v>
      </c>
      <c r="BX3" s="32" t="s">
        <v>55</v>
      </c>
      <c r="BY3" s="54"/>
      <c r="BZ3" s="35"/>
      <c r="CA3" s="53" t="s">
        <v>61</v>
      </c>
      <c r="CB3" s="32" t="s">
        <v>31</v>
      </c>
      <c r="CC3" s="54"/>
      <c r="CD3" s="35" t="s">
        <v>228</v>
      </c>
      <c r="CE3" s="53" t="s">
        <v>61</v>
      </c>
      <c r="CF3" s="32" t="s">
        <v>63</v>
      </c>
      <c r="CG3" s="54"/>
      <c r="CH3" s="35"/>
      <c r="CI3" s="53" t="s">
        <v>61</v>
      </c>
      <c r="CJ3" s="17" t="s">
        <v>228</v>
      </c>
    </row>
    <row r="4" spans="1:88" x14ac:dyDescent="0.25">
      <c r="A4" s="59"/>
      <c r="E4" t="s">
        <v>72</v>
      </c>
      <c r="F4" s="115">
        <f>IF(bgs!B4=0,('bov1'!F4+'bov2'!F4+'bov3'!F4+bg!F4),bgs!F14)</f>
        <v>13.333333333333334</v>
      </c>
      <c r="I4" s="55">
        <f t="shared" ref="I4:I17" si="2">IF($B$9&lt;12,(IF((L4&gt;4)*AND(L4&lt;16),2,0)),IF((L4&gt;4)*AND(L4&lt;20),2,0))</f>
        <v>0</v>
      </c>
      <c r="J4" s="67">
        <v>15</v>
      </c>
      <c r="K4" s="58">
        <f>1/POWER((1.14+2*LOG10((J4/1000)/($K$21/1000))),2)</f>
        <v>5.9655827422120798E-2</v>
      </c>
      <c r="L4" s="62">
        <f>0.00638*K4*POWER($F$4,2)/(POWER((J4/1000),5)*$K$20)</f>
        <v>92971.090565514896</v>
      </c>
      <c r="M4" s="64">
        <f t="shared" ref="M4:M17" si="3">IF($B$9&lt;12,(IF((P4&gt;4)*AND(P4&lt;16),2,0)),IF((P4&gt;4)*AND(P4&lt;20),2,0))</f>
        <v>0</v>
      </c>
      <c r="N4" s="72"/>
      <c r="O4" s="72"/>
      <c r="P4" s="66"/>
      <c r="R4" s="63" t="s">
        <v>73</v>
      </c>
      <c r="S4" s="58">
        <v>3</v>
      </c>
      <c r="T4" s="58"/>
      <c r="U4" s="64">
        <f t="shared" ref="U4:U19" si="4">IF(X4&gt;$S$5,1,0)</f>
        <v>0</v>
      </c>
      <c r="V4" s="72" t="s">
        <v>229</v>
      </c>
      <c r="W4" s="65">
        <v>15</v>
      </c>
      <c r="X4" s="66">
        <v>1.6</v>
      </c>
      <c r="Y4" s="64">
        <f t="shared" ref="Y4:Y14" si="5">IF(AB4&gt;$S$5,1,0)</f>
        <v>0</v>
      </c>
      <c r="Z4" s="72" t="s">
        <v>230</v>
      </c>
      <c r="AA4" s="65">
        <v>15</v>
      </c>
      <c r="AB4" s="66">
        <v>4</v>
      </c>
      <c r="AC4" s="63" t="s">
        <v>231</v>
      </c>
      <c r="AD4" s="58">
        <v>1.5</v>
      </c>
      <c r="AE4" s="55">
        <f t="shared" ref="AE4:AE15" si="6">IF(AG4&gt;$AD$5,1,0)</f>
        <v>0</v>
      </c>
      <c r="AF4" s="65">
        <v>15</v>
      </c>
      <c r="AG4" s="66">
        <v>2.5</v>
      </c>
      <c r="AH4" s="55">
        <f t="shared" ref="AH4:AH14" si="7">IF(AJ4&gt;$AD$5,1,0)</f>
        <v>0</v>
      </c>
      <c r="AI4" s="65">
        <v>15</v>
      </c>
      <c r="AJ4" s="66">
        <v>2</v>
      </c>
      <c r="AL4" s="55">
        <f t="shared" si="0"/>
        <v>0</v>
      </c>
      <c r="AM4" s="58">
        <v>4</v>
      </c>
      <c r="AN4" s="62" t="s">
        <v>232</v>
      </c>
      <c r="AO4" s="55">
        <f t="shared" si="1"/>
        <v>1</v>
      </c>
      <c r="AP4" s="58">
        <v>4</v>
      </c>
      <c r="AQ4" s="62" t="s">
        <v>232</v>
      </c>
      <c r="AZ4" s="51" t="s">
        <v>78</v>
      </c>
      <c r="BA4" s="35" t="s">
        <v>233</v>
      </c>
      <c r="BB4" s="52"/>
      <c r="BC4" s="35">
        <f t="shared" ref="BC4:BC15" si="8">IF($F$5=BE4,1,0)</f>
        <v>0</v>
      </c>
      <c r="BD4" s="57" t="s">
        <v>80</v>
      </c>
      <c r="BE4" s="35">
        <v>15</v>
      </c>
      <c r="BF4" s="54"/>
      <c r="BG4" s="35" t="e">
        <f t="shared" ref="BG4:BG12" si="9">IF($F$15=BI4,1,0)</f>
        <v>#N/A</v>
      </c>
      <c r="BH4" s="57" t="s">
        <v>78</v>
      </c>
      <c r="BI4" s="35">
        <v>15</v>
      </c>
      <c r="BJ4" s="52"/>
      <c r="BK4" s="35">
        <f t="shared" ref="BK4:BK12" si="10">IF($E$12=BM4,1,0)</f>
        <v>0</v>
      </c>
      <c r="BL4" s="57" t="s">
        <v>78</v>
      </c>
      <c r="BM4" s="35" t="s">
        <v>224</v>
      </c>
      <c r="BN4" s="52"/>
      <c r="BO4" s="35">
        <f t="shared" ref="BO4:BO12" si="11">IF($E$16=BQ4,1,0)</f>
        <v>1</v>
      </c>
      <c r="BP4" s="57" t="s">
        <v>78</v>
      </c>
      <c r="BQ4" s="35" t="s">
        <v>224</v>
      </c>
      <c r="BR4" s="52"/>
      <c r="BS4" s="35">
        <f t="shared" ref="BS4:BS20" si="12">IF($E$9=BU4,1,0)</f>
        <v>0</v>
      </c>
      <c r="BT4" s="57" t="s">
        <v>81</v>
      </c>
      <c r="BU4" s="35"/>
      <c r="BV4">
        <f t="shared" ref="BV4:BV20" si="13">IF($E$9=BX4,1,0)</f>
        <v>0</v>
      </c>
      <c r="BW4" s="57" t="s">
        <v>81</v>
      </c>
      <c r="BX4" s="58" t="s">
        <v>234</v>
      </c>
      <c r="BY4" s="54"/>
      <c r="BZ4" s="35">
        <f>IF($B$12=CB4,1,0)</f>
        <v>0</v>
      </c>
      <c r="CA4" s="57" t="s">
        <v>78</v>
      </c>
      <c r="CB4" s="35" t="s">
        <v>53</v>
      </c>
      <c r="CC4" s="54"/>
      <c r="CD4" s="35">
        <f t="shared" ref="CD4:CD15" si="14">IF($F$10=CF4,1,0)</f>
        <v>0</v>
      </c>
      <c r="CE4" s="57" t="s">
        <v>80</v>
      </c>
      <c r="CF4" s="35">
        <v>15</v>
      </c>
      <c r="CG4" s="54"/>
      <c r="CH4" s="35">
        <f>IF($B$13=CJ4,1,0)</f>
        <v>1</v>
      </c>
      <c r="CI4" s="57" t="s">
        <v>78</v>
      </c>
      <c r="CJ4" s="56" t="s">
        <v>53</v>
      </c>
    </row>
    <row r="5" spans="1:88" x14ac:dyDescent="0.25">
      <c r="A5" s="59"/>
      <c r="C5" s="76"/>
      <c r="E5" t="s">
        <v>48</v>
      </c>
      <c r="F5">
        <f>VLOOKUP(2,I4:L17,2,0)</f>
        <v>80</v>
      </c>
      <c r="I5" s="55">
        <f t="shared" si="2"/>
        <v>0</v>
      </c>
      <c r="J5" s="67">
        <v>20</v>
      </c>
      <c r="K5" s="58"/>
      <c r="L5" s="62"/>
      <c r="M5" s="55">
        <f t="shared" si="3"/>
        <v>0</v>
      </c>
      <c r="N5" s="58"/>
      <c r="O5" s="58"/>
      <c r="P5" s="62"/>
      <c r="R5" s="63" t="s">
        <v>87</v>
      </c>
      <c r="S5" s="78">
        <f>F4/SQRT(0.1*S4)</f>
        <v>24.343224778007382</v>
      </c>
      <c r="T5" s="78"/>
      <c r="U5" s="55">
        <f t="shared" si="4"/>
        <v>0</v>
      </c>
      <c r="V5" s="58" t="s">
        <v>235</v>
      </c>
      <c r="W5" s="67">
        <v>15</v>
      </c>
      <c r="X5" s="62">
        <v>2.5</v>
      </c>
      <c r="Y5" s="55">
        <f t="shared" si="5"/>
        <v>0</v>
      </c>
      <c r="Z5" s="58" t="s">
        <v>236</v>
      </c>
      <c r="AA5" s="67">
        <v>20</v>
      </c>
      <c r="AB5" s="62">
        <v>6.3</v>
      </c>
      <c r="AC5" s="63" t="s">
        <v>87</v>
      </c>
      <c r="AD5" s="78">
        <f>F4/SQRT(0.1*AD4)</f>
        <v>34.426518632954817</v>
      </c>
      <c r="AE5" s="55">
        <f t="shared" si="6"/>
        <v>0</v>
      </c>
      <c r="AF5" s="67">
        <v>20</v>
      </c>
      <c r="AG5" s="62">
        <v>5</v>
      </c>
      <c r="AH5" s="55">
        <f t="shared" si="7"/>
        <v>0</v>
      </c>
      <c r="AI5" s="67">
        <v>20</v>
      </c>
      <c r="AJ5" s="62">
        <v>4.5</v>
      </c>
      <c r="AL5" s="55">
        <f t="shared" si="0"/>
        <v>0</v>
      </c>
      <c r="AM5" s="58">
        <v>10</v>
      </c>
      <c r="AN5" s="62" t="s">
        <v>237</v>
      </c>
      <c r="AO5" s="55">
        <f t="shared" si="1"/>
        <v>1</v>
      </c>
      <c r="AP5" s="58">
        <v>10</v>
      </c>
      <c r="AQ5" s="62" t="s">
        <v>237</v>
      </c>
      <c r="AZ5" s="51" t="s">
        <v>94</v>
      </c>
      <c r="BA5" s="35" t="s">
        <v>238</v>
      </c>
      <c r="BB5" s="52"/>
      <c r="BC5" s="35">
        <f t="shared" si="8"/>
        <v>0</v>
      </c>
      <c r="BD5" s="57" t="s">
        <v>96</v>
      </c>
      <c r="BE5" s="35">
        <v>20</v>
      </c>
      <c r="BF5" s="54"/>
      <c r="BG5" s="35" t="e">
        <f t="shared" si="9"/>
        <v>#N/A</v>
      </c>
      <c r="BH5" s="57" t="s">
        <v>94</v>
      </c>
      <c r="BI5" s="35">
        <v>20</v>
      </c>
      <c r="BJ5" s="52"/>
      <c r="BK5" s="35">
        <f t="shared" si="10"/>
        <v>0</v>
      </c>
      <c r="BL5" s="57" t="s">
        <v>94</v>
      </c>
      <c r="BM5" s="35" t="s">
        <v>232</v>
      </c>
      <c r="BN5" s="52"/>
      <c r="BO5" s="35">
        <f t="shared" si="11"/>
        <v>0</v>
      </c>
      <c r="BP5" s="57" t="s">
        <v>94</v>
      </c>
      <c r="BQ5" s="35" t="s">
        <v>232</v>
      </c>
      <c r="BR5" s="52"/>
      <c r="BS5" s="35">
        <f t="shared" si="12"/>
        <v>0</v>
      </c>
      <c r="BT5" s="57" t="s">
        <v>80</v>
      </c>
      <c r="BU5" s="35" t="s">
        <v>229</v>
      </c>
      <c r="BV5">
        <f t="shared" si="13"/>
        <v>0</v>
      </c>
      <c r="BW5" s="57" t="s">
        <v>80</v>
      </c>
      <c r="BX5" s="35"/>
      <c r="BY5" s="54"/>
      <c r="BZ5" s="35">
        <f>IF($B$12=CB5,1,0)</f>
        <v>1</v>
      </c>
      <c r="CA5" s="57" t="s">
        <v>94</v>
      </c>
      <c r="CB5" s="35" t="s">
        <v>55</v>
      </c>
      <c r="CC5" s="54"/>
      <c r="CD5" s="35">
        <f t="shared" si="14"/>
        <v>0</v>
      </c>
      <c r="CE5" s="57" t="s">
        <v>96</v>
      </c>
      <c r="CF5" s="35">
        <v>20</v>
      </c>
      <c r="CG5" s="54"/>
      <c r="CH5" s="35">
        <f>IF($B$13=CJ5,1,0)</f>
        <v>0</v>
      </c>
      <c r="CI5" s="57" t="s">
        <v>94</v>
      </c>
      <c r="CJ5" s="56" t="s">
        <v>55</v>
      </c>
    </row>
    <row r="6" spans="1:88" x14ac:dyDescent="0.25">
      <c r="A6" s="59"/>
      <c r="C6" s="76"/>
      <c r="E6" t="s">
        <v>99</v>
      </c>
      <c r="F6" t="str">
        <f>VLOOKUP(1,IF(B12="Danfoss",Y4:AB13,U4:X19),2,0)</f>
        <v>50-32,0</v>
      </c>
      <c r="I6" s="55">
        <f t="shared" si="2"/>
        <v>0</v>
      </c>
      <c r="J6" s="67">
        <v>25</v>
      </c>
      <c r="K6" s="58"/>
      <c r="L6" s="62"/>
      <c r="M6" s="55">
        <f t="shared" si="3"/>
        <v>0</v>
      </c>
      <c r="N6" s="58"/>
      <c r="O6" s="58"/>
      <c r="P6" s="62"/>
      <c r="R6" s="55"/>
      <c r="S6" s="58"/>
      <c r="T6" s="58"/>
      <c r="U6" s="55">
        <f t="shared" si="4"/>
        <v>0</v>
      </c>
      <c r="V6" s="58" t="s">
        <v>239</v>
      </c>
      <c r="W6" s="67">
        <v>20</v>
      </c>
      <c r="X6" s="62">
        <v>4</v>
      </c>
      <c r="Y6" s="55">
        <f t="shared" si="5"/>
        <v>0</v>
      </c>
      <c r="Z6" s="58" t="s">
        <v>240</v>
      </c>
      <c r="AA6" s="67">
        <v>25</v>
      </c>
      <c r="AB6" s="62">
        <v>8</v>
      </c>
      <c r="AC6" s="58"/>
      <c r="AD6" s="58"/>
      <c r="AE6" s="55">
        <f t="shared" si="6"/>
        <v>0</v>
      </c>
      <c r="AF6" s="67">
        <v>25</v>
      </c>
      <c r="AG6" s="62">
        <v>7</v>
      </c>
      <c r="AH6" s="55">
        <f t="shared" si="7"/>
        <v>0</v>
      </c>
      <c r="AI6" s="67">
        <v>25</v>
      </c>
      <c r="AJ6" s="62">
        <v>7</v>
      </c>
      <c r="AL6" s="55">
        <f t="shared" si="0"/>
        <v>1</v>
      </c>
      <c r="AM6" s="58">
        <v>15</v>
      </c>
      <c r="AN6" s="62" t="s">
        <v>241</v>
      </c>
      <c r="AO6" s="55">
        <f t="shared" si="1"/>
        <v>1</v>
      </c>
      <c r="AP6" s="58">
        <v>15</v>
      </c>
      <c r="AQ6" s="62" t="s">
        <v>241</v>
      </c>
      <c r="AZ6" s="51"/>
      <c r="BA6" s="35"/>
      <c r="BB6" s="52"/>
      <c r="BC6" s="35">
        <f t="shared" si="8"/>
        <v>0</v>
      </c>
      <c r="BD6" s="57" t="s">
        <v>103</v>
      </c>
      <c r="BE6" s="35">
        <v>25</v>
      </c>
      <c r="BF6" s="54"/>
      <c r="BG6" s="35" t="e">
        <f t="shared" si="9"/>
        <v>#N/A</v>
      </c>
      <c r="BH6" s="57" t="s">
        <v>104</v>
      </c>
      <c r="BI6" s="35">
        <v>25</v>
      </c>
      <c r="BJ6" s="52"/>
      <c r="BK6" s="35">
        <f t="shared" si="10"/>
        <v>0</v>
      </c>
      <c r="BL6" s="57" t="s">
        <v>104</v>
      </c>
      <c r="BM6" s="35" t="s">
        <v>237</v>
      </c>
      <c r="BN6" s="52"/>
      <c r="BO6" s="35">
        <f t="shared" si="11"/>
        <v>0</v>
      </c>
      <c r="BP6" s="57" t="s">
        <v>104</v>
      </c>
      <c r="BQ6" s="35" t="s">
        <v>237</v>
      </c>
      <c r="BR6" s="52"/>
      <c r="BS6" s="35">
        <f t="shared" si="12"/>
        <v>0</v>
      </c>
      <c r="BT6" s="57" t="s">
        <v>96</v>
      </c>
      <c r="BU6" s="35" t="s">
        <v>235</v>
      </c>
      <c r="BV6">
        <f t="shared" si="13"/>
        <v>0</v>
      </c>
      <c r="BW6" s="57" t="s">
        <v>96</v>
      </c>
      <c r="BX6" t="s">
        <v>230</v>
      </c>
      <c r="BY6" s="54"/>
      <c r="BZ6" s="35">
        <f>IF($B$12=CB6,1,0)</f>
        <v>0</v>
      </c>
      <c r="CA6" s="57" t="s">
        <v>104</v>
      </c>
      <c r="CB6" s="80" t="s">
        <v>223</v>
      </c>
      <c r="CC6" s="54"/>
      <c r="CD6" s="35">
        <f t="shared" si="14"/>
        <v>0</v>
      </c>
      <c r="CE6" s="57" t="s">
        <v>103</v>
      </c>
      <c r="CF6" s="80">
        <v>25</v>
      </c>
      <c r="CG6" s="54"/>
      <c r="CH6" s="35">
        <f>IF($B$13=CJ6,1,0)</f>
        <v>0</v>
      </c>
      <c r="CI6" s="57" t="s">
        <v>104</v>
      </c>
      <c r="CJ6" s="83" t="s">
        <v>242</v>
      </c>
    </row>
    <row r="7" spans="1:88" x14ac:dyDescent="0.25">
      <c r="A7" s="59"/>
      <c r="C7" s="76"/>
      <c r="E7" t="s">
        <v>106</v>
      </c>
      <c r="F7">
        <f>VLOOKUP(1,IF(B12="Danfoss",Y4:AB13,U4:X19),3,0)</f>
        <v>50</v>
      </c>
      <c r="I7" s="55">
        <f t="shared" si="2"/>
        <v>0</v>
      </c>
      <c r="J7" s="67">
        <v>32</v>
      </c>
      <c r="K7" s="58"/>
      <c r="L7" s="62"/>
      <c r="M7" s="55">
        <f t="shared" si="3"/>
        <v>0</v>
      </c>
      <c r="N7" s="58"/>
      <c r="O7" s="58"/>
      <c r="P7" s="62"/>
      <c r="R7" s="55"/>
      <c r="S7" s="58"/>
      <c r="T7" s="58"/>
      <c r="U7" s="55">
        <f t="shared" si="4"/>
        <v>0</v>
      </c>
      <c r="V7" s="58" t="s">
        <v>243</v>
      </c>
      <c r="W7" s="67">
        <v>20</v>
      </c>
      <c r="X7" s="62">
        <v>6.3</v>
      </c>
      <c r="Y7" s="55">
        <f t="shared" si="5"/>
        <v>0</v>
      </c>
      <c r="Z7" s="58" t="s">
        <v>244</v>
      </c>
      <c r="AA7" s="67">
        <v>32</v>
      </c>
      <c r="AB7" s="62">
        <v>16</v>
      </c>
      <c r="AC7" s="58"/>
      <c r="AD7" s="58"/>
      <c r="AE7" s="55">
        <f t="shared" si="6"/>
        <v>0</v>
      </c>
      <c r="AF7" s="67">
        <v>32</v>
      </c>
      <c r="AG7" s="62">
        <v>10</v>
      </c>
      <c r="AH7" s="55">
        <f t="shared" si="7"/>
        <v>0</v>
      </c>
      <c r="AI7" s="67">
        <v>32</v>
      </c>
      <c r="AJ7" s="62">
        <v>10</v>
      </c>
      <c r="AL7" s="55">
        <f t="shared" si="0"/>
        <v>1</v>
      </c>
      <c r="AM7" s="58">
        <v>25</v>
      </c>
      <c r="AN7" s="62" t="s">
        <v>245</v>
      </c>
      <c r="AO7" s="55">
        <f t="shared" si="1"/>
        <v>1</v>
      </c>
      <c r="AP7" s="58">
        <v>25</v>
      </c>
      <c r="AQ7" s="62" t="s">
        <v>245</v>
      </c>
      <c r="AZ7" s="51"/>
      <c r="BA7" s="35"/>
      <c r="BB7" s="52"/>
      <c r="BC7" s="35">
        <f t="shared" si="8"/>
        <v>0</v>
      </c>
      <c r="BD7" s="57" t="s">
        <v>110</v>
      </c>
      <c r="BE7" s="35">
        <v>32</v>
      </c>
      <c r="BF7" s="54"/>
      <c r="BG7" s="35" t="e">
        <f t="shared" si="9"/>
        <v>#N/A</v>
      </c>
      <c r="BH7" s="57" t="s">
        <v>116</v>
      </c>
      <c r="BI7" s="35">
        <v>32</v>
      </c>
      <c r="BJ7" s="52"/>
      <c r="BK7" s="35">
        <f t="shared" si="10"/>
        <v>1</v>
      </c>
      <c r="BL7" s="57" t="s">
        <v>116</v>
      </c>
      <c r="BM7" s="35" t="s">
        <v>241</v>
      </c>
      <c r="BN7" s="52"/>
      <c r="BO7" s="35">
        <f t="shared" si="11"/>
        <v>0</v>
      </c>
      <c r="BP7" s="57" t="s">
        <v>116</v>
      </c>
      <c r="BQ7" s="35" t="s">
        <v>241</v>
      </c>
      <c r="BR7" s="52"/>
      <c r="BS7" s="35">
        <f t="shared" si="12"/>
        <v>0</v>
      </c>
      <c r="BT7" s="57" t="s">
        <v>103</v>
      </c>
      <c r="BU7" s="80" t="s">
        <v>239</v>
      </c>
      <c r="BV7">
        <f t="shared" si="13"/>
        <v>0</v>
      </c>
      <c r="BW7" s="57" t="s">
        <v>103</v>
      </c>
      <c r="BY7" s="54"/>
      <c r="BZ7" s="35"/>
      <c r="CA7" s="57"/>
      <c r="CB7" s="35"/>
      <c r="CC7" s="54"/>
      <c r="CD7" s="35">
        <f t="shared" si="14"/>
        <v>0</v>
      </c>
      <c r="CE7" s="57" t="s">
        <v>110</v>
      </c>
      <c r="CF7" s="35">
        <v>32</v>
      </c>
      <c r="CG7" s="54"/>
      <c r="CH7" s="35"/>
      <c r="CI7" s="57"/>
      <c r="CJ7" s="83"/>
    </row>
    <row r="8" spans="1:88" x14ac:dyDescent="0.25">
      <c r="A8" s="59"/>
      <c r="C8" s="76"/>
      <c r="E8" s="84" t="s">
        <v>73</v>
      </c>
      <c r="F8" s="115">
        <f>(F4^2/F7^2)*10</f>
        <v>0.71111111111111125</v>
      </c>
      <c r="I8" s="55">
        <f t="shared" si="2"/>
        <v>0</v>
      </c>
      <c r="J8" s="67">
        <v>40</v>
      </c>
      <c r="K8" s="58"/>
      <c r="L8" s="62"/>
      <c r="M8" s="55">
        <f t="shared" si="3"/>
        <v>0</v>
      </c>
      <c r="N8" s="58"/>
      <c r="O8" s="58"/>
      <c r="P8" s="62"/>
      <c r="R8" s="63"/>
      <c r="S8" s="58"/>
      <c r="T8" s="78"/>
      <c r="U8" s="55">
        <f t="shared" si="4"/>
        <v>0</v>
      </c>
      <c r="V8" s="58" t="s">
        <v>246</v>
      </c>
      <c r="W8" s="67">
        <v>25</v>
      </c>
      <c r="X8" s="62">
        <v>10</v>
      </c>
      <c r="Y8" s="55">
        <f t="shared" si="5"/>
        <v>0</v>
      </c>
      <c r="Z8" s="58" t="s">
        <v>247</v>
      </c>
      <c r="AA8" s="67">
        <v>40</v>
      </c>
      <c r="AB8" s="62">
        <v>20</v>
      </c>
      <c r="AC8" s="58"/>
      <c r="AD8" s="58"/>
      <c r="AE8" s="55">
        <f t="shared" si="6"/>
        <v>0</v>
      </c>
      <c r="AF8" s="67">
        <v>40</v>
      </c>
      <c r="AG8" s="62">
        <v>15</v>
      </c>
      <c r="AH8" s="55">
        <f t="shared" si="7"/>
        <v>0</v>
      </c>
      <c r="AI8" s="67">
        <v>40</v>
      </c>
      <c r="AJ8" s="62">
        <v>15</v>
      </c>
      <c r="AL8" s="55">
        <f t="shared" si="0"/>
        <v>1</v>
      </c>
      <c r="AM8" s="58">
        <v>40</v>
      </c>
      <c r="AN8" s="62" t="s">
        <v>248</v>
      </c>
      <c r="AO8" s="55">
        <f t="shared" si="1"/>
        <v>1</v>
      </c>
      <c r="AP8" s="58">
        <v>40</v>
      </c>
      <c r="AQ8" s="62" t="s">
        <v>248</v>
      </c>
      <c r="AZ8" s="51"/>
      <c r="BA8" s="35"/>
      <c r="BB8" s="52"/>
      <c r="BC8" s="35">
        <f t="shared" si="8"/>
        <v>0</v>
      </c>
      <c r="BD8" s="57" t="s">
        <v>115</v>
      </c>
      <c r="BE8" s="35">
        <v>40</v>
      </c>
      <c r="BF8" s="54"/>
      <c r="BG8" s="35" t="e">
        <f t="shared" si="9"/>
        <v>#N/A</v>
      </c>
      <c r="BH8" s="57" t="s">
        <v>124</v>
      </c>
      <c r="BI8" s="35">
        <v>40</v>
      </c>
      <c r="BJ8" s="52"/>
      <c r="BK8" s="35">
        <f t="shared" si="10"/>
        <v>0</v>
      </c>
      <c r="BL8" s="57" t="s">
        <v>124</v>
      </c>
      <c r="BM8" s="35" t="s">
        <v>245</v>
      </c>
      <c r="BN8" s="52"/>
      <c r="BO8" s="35">
        <f t="shared" si="11"/>
        <v>0</v>
      </c>
      <c r="BP8" s="57" t="s">
        <v>124</v>
      </c>
      <c r="BQ8" s="35" t="s">
        <v>245</v>
      </c>
      <c r="BR8" s="52"/>
      <c r="BS8" s="35">
        <f t="shared" si="12"/>
        <v>0</v>
      </c>
      <c r="BT8" s="57" t="s">
        <v>110</v>
      </c>
      <c r="BU8" s="35" t="s">
        <v>243</v>
      </c>
      <c r="BV8">
        <f t="shared" si="13"/>
        <v>0</v>
      </c>
      <c r="BW8" s="57" t="s">
        <v>110</v>
      </c>
      <c r="BX8" t="s">
        <v>236</v>
      </c>
      <c r="BY8" s="54"/>
      <c r="BZ8" s="35"/>
      <c r="CA8" s="57"/>
      <c r="CB8" s="35"/>
      <c r="CC8" s="54"/>
      <c r="CD8" s="35">
        <f t="shared" si="14"/>
        <v>0</v>
      </c>
      <c r="CE8" s="57" t="s">
        <v>115</v>
      </c>
      <c r="CF8" s="35">
        <v>40</v>
      </c>
      <c r="CG8" s="54"/>
      <c r="CH8" s="35"/>
      <c r="CI8" s="57"/>
      <c r="CJ8" s="56"/>
    </row>
    <row r="9" spans="1:88" x14ac:dyDescent="0.25">
      <c r="A9" s="86"/>
      <c r="C9" s="76"/>
      <c r="E9" s="1" t="str">
        <f>VLOOKUP(1,IF(B12="Вогез",U4:X19,Y4:AB14),2,0)</f>
        <v>50-32,0</v>
      </c>
      <c r="F9" s="1"/>
      <c r="I9" s="55">
        <f t="shared" si="2"/>
        <v>0</v>
      </c>
      <c r="J9" s="67">
        <v>50</v>
      </c>
      <c r="K9" s="58"/>
      <c r="L9" s="62"/>
      <c r="M9" s="55">
        <f t="shared" si="3"/>
        <v>0</v>
      </c>
      <c r="N9" s="58"/>
      <c r="O9" s="58"/>
      <c r="P9" s="62"/>
      <c r="R9" s="63"/>
      <c r="S9" s="78"/>
      <c r="T9" s="58"/>
      <c r="U9" s="55">
        <f t="shared" si="4"/>
        <v>0</v>
      </c>
      <c r="V9" s="58" t="s">
        <v>244</v>
      </c>
      <c r="W9" s="67">
        <v>32</v>
      </c>
      <c r="X9" s="62">
        <v>16</v>
      </c>
      <c r="Y9" s="55">
        <f t="shared" si="5"/>
        <v>1</v>
      </c>
      <c r="Z9" s="58" t="s">
        <v>249</v>
      </c>
      <c r="AA9" s="67">
        <v>50</v>
      </c>
      <c r="AB9" s="62">
        <v>32</v>
      </c>
      <c r="AC9" s="58"/>
      <c r="AD9" s="58"/>
      <c r="AE9" s="55">
        <f t="shared" si="6"/>
        <v>0</v>
      </c>
      <c r="AF9" s="67">
        <v>50</v>
      </c>
      <c r="AG9" s="62">
        <v>25</v>
      </c>
      <c r="AH9" s="55">
        <f t="shared" si="7"/>
        <v>0</v>
      </c>
      <c r="AI9" s="67">
        <v>50</v>
      </c>
      <c r="AJ9" s="62">
        <v>25</v>
      </c>
      <c r="AL9" s="55">
        <f t="shared" si="0"/>
        <v>1</v>
      </c>
      <c r="AM9" s="58">
        <v>65</v>
      </c>
      <c r="AN9" s="62" t="s">
        <v>250</v>
      </c>
      <c r="AO9" s="55">
        <f t="shared" si="1"/>
        <v>1</v>
      </c>
      <c r="AP9" s="58">
        <v>65</v>
      </c>
      <c r="AQ9" s="62" t="s">
        <v>250</v>
      </c>
      <c r="AZ9" s="51"/>
      <c r="BA9" s="35"/>
      <c r="BB9" s="52"/>
      <c r="BC9" s="35">
        <f t="shared" si="8"/>
        <v>0</v>
      </c>
      <c r="BD9" s="57" t="s">
        <v>123</v>
      </c>
      <c r="BE9" s="35">
        <v>50</v>
      </c>
      <c r="BF9" s="54"/>
      <c r="BG9" s="35" t="e">
        <f t="shared" si="9"/>
        <v>#N/A</v>
      </c>
      <c r="BH9" s="57" t="s">
        <v>131</v>
      </c>
      <c r="BI9" s="35">
        <v>50</v>
      </c>
      <c r="BJ9" s="52"/>
      <c r="BK9" s="35">
        <f t="shared" si="10"/>
        <v>0</v>
      </c>
      <c r="BL9" s="57" t="s">
        <v>131</v>
      </c>
      <c r="BM9" s="35" t="s">
        <v>248</v>
      </c>
      <c r="BN9" s="52"/>
      <c r="BO9" s="35">
        <f t="shared" si="11"/>
        <v>0</v>
      </c>
      <c r="BP9" s="57" t="s">
        <v>131</v>
      </c>
      <c r="BQ9" s="35" t="s">
        <v>248</v>
      </c>
      <c r="BR9" s="52"/>
      <c r="BS9" s="35">
        <f t="shared" si="12"/>
        <v>0</v>
      </c>
      <c r="BT9" s="57" t="s">
        <v>115</v>
      </c>
      <c r="BU9" s="35" t="s">
        <v>246</v>
      </c>
      <c r="BV9">
        <f t="shared" si="13"/>
        <v>0</v>
      </c>
      <c r="BW9" s="57" t="s">
        <v>115</v>
      </c>
      <c r="BX9" t="s">
        <v>240</v>
      </c>
      <c r="BY9" s="54"/>
      <c r="BZ9" s="35"/>
      <c r="CA9" s="57"/>
      <c r="CB9" s="35"/>
      <c r="CC9" s="54"/>
      <c r="CD9" s="35">
        <f t="shared" si="14"/>
        <v>0</v>
      </c>
      <c r="CE9" s="57" t="s">
        <v>123</v>
      </c>
      <c r="CF9" s="35">
        <v>50</v>
      </c>
      <c r="CG9" s="54"/>
      <c r="CH9" s="35"/>
      <c r="CI9" s="57"/>
      <c r="CJ9" s="56"/>
    </row>
    <row r="10" spans="1:88" x14ac:dyDescent="0.25">
      <c r="E10" s="84" t="s">
        <v>251</v>
      </c>
      <c r="F10" s="115">
        <f>VLOOKUP(1,IF(B13="Danfoss",AE4:AG15,AH4:AJ14),2,0)</f>
        <v>65</v>
      </c>
      <c r="I10" s="55">
        <f t="shared" si="2"/>
        <v>0</v>
      </c>
      <c r="J10" s="67">
        <v>65</v>
      </c>
      <c r="K10" s="58"/>
      <c r="L10" s="62"/>
      <c r="M10" s="55">
        <f t="shared" si="3"/>
        <v>0</v>
      </c>
      <c r="N10" s="58"/>
      <c r="O10" s="58"/>
      <c r="P10" s="62"/>
      <c r="R10" s="55"/>
      <c r="S10" s="58"/>
      <c r="T10" s="58"/>
      <c r="U10" s="55">
        <f t="shared" si="4"/>
        <v>1</v>
      </c>
      <c r="V10" s="58" t="s">
        <v>252</v>
      </c>
      <c r="W10" s="67">
        <v>40</v>
      </c>
      <c r="X10" s="62">
        <v>25</v>
      </c>
      <c r="Y10" s="55">
        <f t="shared" si="5"/>
        <v>1</v>
      </c>
      <c r="Z10" s="58" t="s">
        <v>253</v>
      </c>
      <c r="AA10" s="67">
        <v>65</v>
      </c>
      <c r="AB10" s="62">
        <v>50</v>
      </c>
      <c r="AC10" s="58"/>
      <c r="AD10" s="58"/>
      <c r="AE10" s="55">
        <f t="shared" si="6"/>
        <v>1</v>
      </c>
      <c r="AF10" s="67">
        <v>65</v>
      </c>
      <c r="AG10" s="62">
        <v>50</v>
      </c>
      <c r="AH10" s="55">
        <f t="shared" si="7"/>
        <v>1</v>
      </c>
      <c r="AI10" s="67">
        <v>65</v>
      </c>
      <c r="AJ10" s="62">
        <v>40</v>
      </c>
      <c r="AL10" s="55">
        <f t="shared" si="0"/>
        <v>1</v>
      </c>
      <c r="AM10" s="58">
        <v>85</v>
      </c>
      <c r="AN10" s="62" t="s">
        <v>254</v>
      </c>
      <c r="AO10" s="95">
        <f t="shared" si="1"/>
        <v>1</v>
      </c>
      <c r="AP10" s="96">
        <v>85</v>
      </c>
      <c r="AQ10" s="98" t="s">
        <v>254</v>
      </c>
      <c r="AZ10" s="51"/>
      <c r="BA10" s="35"/>
      <c r="BB10" s="52"/>
      <c r="BC10" s="35">
        <f t="shared" si="8"/>
        <v>0</v>
      </c>
      <c r="BD10" s="57" t="s">
        <v>130</v>
      </c>
      <c r="BE10" s="35">
        <v>65</v>
      </c>
      <c r="BF10" s="54"/>
      <c r="BG10" s="35" t="e">
        <f t="shared" si="9"/>
        <v>#N/A</v>
      </c>
      <c r="BH10" s="57" t="s">
        <v>255</v>
      </c>
      <c r="BI10" s="35">
        <v>65</v>
      </c>
      <c r="BJ10" s="52"/>
      <c r="BK10" s="35">
        <f t="shared" si="10"/>
        <v>0</v>
      </c>
      <c r="BL10" s="57" t="s">
        <v>255</v>
      </c>
      <c r="BM10" s="35" t="s">
        <v>250</v>
      </c>
      <c r="BN10" s="52"/>
      <c r="BO10" s="35">
        <f t="shared" si="11"/>
        <v>0</v>
      </c>
      <c r="BP10" s="57" t="s">
        <v>255</v>
      </c>
      <c r="BQ10" s="35" t="s">
        <v>250</v>
      </c>
      <c r="BR10" s="52"/>
      <c r="BS10" s="35">
        <f t="shared" si="12"/>
        <v>0</v>
      </c>
      <c r="BT10" s="57" t="s">
        <v>123</v>
      </c>
      <c r="BU10" s="35" t="s">
        <v>244</v>
      </c>
      <c r="BV10">
        <f t="shared" si="13"/>
        <v>0</v>
      </c>
      <c r="BW10" s="57" t="s">
        <v>123</v>
      </c>
      <c r="BX10" t="s">
        <v>244</v>
      </c>
      <c r="BY10" s="54"/>
      <c r="BZ10" s="35"/>
      <c r="CA10" s="57"/>
      <c r="CB10" s="35"/>
      <c r="CC10" s="54"/>
      <c r="CD10" s="35">
        <f t="shared" si="14"/>
        <v>1</v>
      </c>
      <c r="CE10" s="57" t="s">
        <v>130</v>
      </c>
      <c r="CF10" s="35">
        <v>65</v>
      </c>
      <c r="CG10" s="54"/>
      <c r="CH10" s="35"/>
      <c r="CI10" s="57"/>
      <c r="CJ10" s="56"/>
    </row>
    <row r="11" spans="1:88" x14ac:dyDescent="0.25">
      <c r="A11" s="76"/>
      <c r="B11" s="76"/>
      <c r="C11" s="76"/>
      <c r="E11" s="84"/>
      <c r="F11" s="115"/>
      <c r="I11" s="55">
        <f t="shared" si="2"/>
        <v>2</v>
      </c>
      <c r="J11" s="67">
        <v>80</v>
      </c>
      <c r="K11" s="58">
        <f>1/POWER((1.14+2*LOG10((J11/1000)/($K$21/1000))),2)</f>
        <v>3.248549788373601E-2</v>
      </c>
      <c r="L11" s="62">
        <f>0.00638*K11*POWER($F$4,2)/(POWER((J11/1000),5)*$K$20)</f>
        <v>11.732510166991768</v>
      </c>
      <c r="M11" s="55">
        <f t="shared" si="3"/>
        <v>0</v>
      </c>
      <c r="N11" s="58"/>
      <c r="O11" s="58"/>
      <c r="P11" s="62"/>
      <c r="R11" s="55"/>
      <c r="S11" s="58"/>
      <c r="T11" s="78"/>
      <c r="U11" s="55">
        <f t="shared" si="4"/>
        <v>1</v>
      </c>
      <c r="V11" s="58" t="s">
        <v>249</v>
      </c>
      <c r="W11" s="67">
        <v>50</v>
      </c>
      <c r="X11" s="62">
        <v>32</v>
      </c>
      <c r="Y11" s="55">
        <f t="shared" si="5"/>
        <v>1</v>
      </c>
      <c r="Z11" s="58" t="s">
        <v>256</v>
      </c>
      <c r="AA11" s="67">
        <v>80</v>
      </c>
      <c r="AB11" s="62">
        <v>80</v>
      </c>
      <c r="AC11" s="58"/>
      <c r="AD11" s="58"/>
      <c r="AE11" s="55">
        <f t="shared" si="6"/>
        <v>1</v>
      </c>
      <c r="AF11" s="67">
        <v>80</v>
      </c>
      <c r="AG11" s="62">
        <v>70</v>
      </c>
      <c r="AH11" s="55">
        <f t="shared" si="7"/>
        <v>1</v>
      </c>
      <c r="AI11" s="67">
        <v>80</v>
      </c>
      <c r="AJ11" s="62">
        <v>60</v>
      </c>
      <c r="AL11" s="95">
        <f>IF($F$4&lt;=AM11,1,0)</f>
        <v>1</v>
      </c>
      <c r="AM11" s="96">
        <v>140</v>
      </c>
      <c r="AN11" s="98" t="s">
        <v>257</v>
      </c>
      <c r="AZ11" s="51"/>
      <c r="BA11" s="35"/>
      <c r="BB11" s="52"/>
      <c r="BC11" s="35">
        <f t="shared" si="8"/>
        <v>1</v>
      </c>
      <c r="BD11" s="57" t="s">
        <v>136</v>
      </c>
      <c r="BE11" s="35">
        <v>80</v>
      </c>
      <c r="BF11" s="54"/>
      <c r="BG11" s="35" t="e">
        <f t="shared" si="9"/>
        <v>#N/A</v>
      </c>
      <c r="BH11" s="57" t="s">
        <v>258</v>
      </c>
      <c r="BI11" s="35">
        <v>80</v>
      </c>
      <c r="BJ11" s="52"/>
      <c r="BK11" s="35">
        <f t="shared" si="10"/>
        <v>0</v>
      </c>
      <c r="BL11" s="57" t="s">
        <v>258</v>
      </c>
      <c r="BM11" s="35" t="s">
        <v>254</v>
      </c>
      <c r="BN11" s="52"/>
      <c r="BO11" s="35">
        <f t="shared" si="11"/>
        <v>0</v>
      </c>
      <c r="BP11" s="57" t="s">
        <v>258</v>
      </c>
      <c r="BQ11" s="35" t="s">
        <v>254</v>
      </c>
      <c r="BR11" s="52"/>
      <c r="BS11" s="35">
        <f t="shared" si="12"/>
        <v>0</v>
      </c>
      <c r="BT11" s="57" t="s">
        <v>130</v>
      </c>
      <c r="BU11" s="35" t="s">
        <v>252</v>
      </c>
      <c r="BV11">
        <f t="shared" si="13"/>
        <v>0</v>
      </c>
      <c r="BW11" s="57" t="s">
        <v>130</v>
      </c>
      <c r="BX11" t="s">
        <v>247</v>
      </c>
      <c r="BY11" s="54"/>
      <c r="BZ11" s="35"/>
      <c r="CA11" s="57"/>
      <c r="CB11" s="35"/>
      <c r="CC11" s="54"/>
      <c r="CD11" s="35">
        <f t="shared" si="14"/>
        <v>0</v>
      </c>
      <c r="CE11" s="57" t="s">
        <v>136</v>
      </c>
      <c r="CF11" s="35">
        <v>80</v>
      </c>
      <c r="CG11" s="54"/>
      <c r="CH11" s="35"/>
      <c r="CI11" s="57"/>
      <c r="CJ11" s="56"/>
    </row>
    <row r="12" spans="1:88" x14ac:dyDescent="0.25">
      <c r="A12" s="59" t="s">
        <v>31</v>
      </c>
      <c r="B12" s="1" t="str">
        <f>'ol4'!R20</f>
        <v>Danfoss</v>
      </c>
      <c r="C12" s="1"/>
      <c r="E12" s="1" t="str">
        <f>VLOOKUP(1,AL3:AN11,3,0)</f>
        <v>РС50-36</v>
      </c>
      <c r="F12" s="1"/>
      <c r="I12" s="55">
        <f t="shared" si="2"/>
        <v>0</v>
      </c>
      <c r="J12" s="67">
        <v>100</v>
      </c>
      <c r="K12" s="58"/>
      <c r="L12" s="62"/>
      <c r="M12" s="55">
        <f t="shared" si="3"/>
        <v>0</v>
      </c>
      <c r="N12" s="58"/>
      <c r="O12" s="58"/>
      <c r="P12" s="62"/>
      <c r="R12" s="55"/>
      <c r="S12" s="58"/>
      <c r="T12" s="58"/>
      <c r="U12" s="55">
        <f t="shared" si="4"/>
        <v>1</v>
      </c>
      <c r="V12" s="58" t="s">
        <v>259</v>
      </c>
      <c r="W12" s="67">
        <v>65</v>
      </c>
      <c r="X12" s="62">
        <v>40</v>
      </c>
      <c r="Y12" s="81">
        <f t="shared" si="5"/>
        <v>1</v>
      </c>
      <c r="Z12" s="58" t="s">
        <v>260</v>
      </c>
      <c r="AA12" s="67">
        <v>100</v>
      </c>
      <c r="AB12" s="62">
        <v>125</v>
      </c>
      <c r="AC12" s="58"/>
      <c r="AD12" s="58"/>
      <c r="AE12" s="55">
        <f t="shared" si="6"/>
        <v>1</v>
      </c>
      <c r="AF12" s="67">
        <v>100</v>
      </c>
      <c r="AG12" s="62">
        <v>100</v>
      </c>
      <c r="AH12" s="55">
        <f t="shared" si="7"/>
        <v>1</v>
      </c>
      <c r="AI12" s="67">
        <v>100</v>
      </c>
      <c r="AJ12" s="62">
        <v>100</v>
      </c>
      <c r="AZ12" s="51"/>
      <c r="BA12" s="35"/>
      <c r="BB12" s="52"/>
      <c r="BC12" s="35">
        <f t="shared" si="8"/>
        <v>0</v>
      </c>
      <c r="BD12" s="57" t="s">
        <v>138</v>
      </c>
      <c r="BE12" s="35">
        <v>100</v>
      </c>
      <c r="BF12" s="54"/>
      <c r="BG12" s="35" t="e">
        <f t="shared" si="9"/>
        <v>#N/A</v>
      </c>
      <c r="BH12" s="57" t="s">
        <v>261</v>
      </c>
      <c r="BI12" s="35">
        <v>100</v>
      </c>
      <c r="BJ12" s="52"/>
      <c r="BK12" s="35">
        <f t="shared" si="10"/>
        <v>0</v>
      </c>
      <c r="BL12" s="57" t="s">
        <v>261</v>
      </c>
      <c r="BM12" s="35" t="s">
        <v>257</v>
      </c>
      <c r="BN12" s="52"/>
      <c r="BO12" s="35">
        <f t="shared" si="11"/>
        <v>0</v>
      </c>
      <c r="BP12" s="57" t="s">
        <v>261</v>
      </c>
      <c r="BQ12" s="35" t="s">
        <v>257</v>
      </c>
      <c r="BR12" s="52"/>
      <c r="BS12" s="35">
        <f t="shared" si="12"/>
        <v>1</v>
      </c>
      <c r="BT12" s="57" t="s">
        <v>136</v>
      </c>
      <c r="BU12" s="35" t="s">
        <v>249</v>
      </c>
      <c r="BV12">
        <f t="shared" si="13"/>
        <v>1</v>
      </c>
      <c r="BW12" s="57" t="s">
        <v>136</v>
      </c>
      <c r="BX12" t="s">
        <v>249</v>
      </c>
      <c r="BY12" s="54"/>
      <c r="BZ12" s="35"/>
      <c r="CA12" s="57"/>
      <c r="CB12" s="35"/>
      <c r="CC12" s="54"/>
      <c r="CD12" s="35">
        <f t="shared" si="14"/>
        <v>0</v>
      </c>
      <c r="CE12" s="57" t="s">
        <v>138</v>
      </c>
      <c r="CF12" s="35">
        <v>100</v>
      </c>
      <c r="CG12" s="54"/>
      <c r="CH12" s="35"/>
      <c r="CI12" s="57"/>
      <c r="CJ12" s="56"/>
    </row>
    <row r="13" spans="1:88" x14ac:dyDescent="0.25">
      <c r="A13" s="59" t="s">
        <v>228</v>
      </c>
      <c r="B13" s="1" t="str">
        <f>'ol4'!Z20</f>
        <v>IMI Hydronic</v>
      </c>
      <c r="C13" s="1"/>
      <c r="I13" s="55">
        <f t="shared" si="2"/>
        <v>0</v>
      </c>
      <c r="J13" s="67">
        <v>125</v>
      </c>
      <c r="K13" s="58"/>
      <c r="L13" s="62"/>
      <c r="M13" s="55">
        <f t="shared" si="3"/>
        <v>0</v>
      </c>
      <c r="N13" s="58"/>
      <c r="O13" s="58"/>
      <c r="P13" s="62"/>
      <c r="R13" s="55"/>
      <c r="S13" s="58"/>
      <c r="T13" s="58"/>
      <c r="U13" s="55">
        <f t="shared" si="4"/>
        <v>1</v>
      </c>
      <c r="V13" s="58" t="s">
        <v>262</v>
      </c>
      <c r="W13" s="67">
        <v>80</v>
      </c>
      <c r="X13" s="62">
        <v>63</v>
      </c>
      <c r="Y13" s="81">
        <f t="shared" si="5"/>
        <v>1</v>
      </c>
      <c r="Z13" s="58" t="s">
        <v>263</v>
      </c>
      <c r="AA13" s="58">
        <v>125</v>
      </c>
      <c r="AB13" s="62">
        <v>160</v>
      </c>
      <c r="AC13" s="58"/>
      <c r="AD13" s="58"/>
      <c r="AE13" s="55">
        <f t="shared" si="6"/>
        <v>1</v>
      </c>
      <c r="AF13" s="58">
        <v>125</v>
      </c>
      <c r="AG13" s="62">
        <v>150</v>
      </c>
      <c r="AH13" s="55">
        <f t="shared" si="7"/>
        <v>1</v>
      </c>
      <c r="AI13" s="58">
        <v>125</v>
      </c>
      <c r="AJ13" s="62">
        <v>150</v>
      </c>
      <c r="AZ13" s="51"/>
      <c r="BA13" s="35"/>
      <c r="BB13" s="52"/>
      <c r="BC13" s="35">
        <f t="shared" si="8"/>
        <v>0</v>
      </c>
      <c r="BD13" s="57" t="s">
        <v>140</v>
      </c>
      <c r="BE13" s="35">
        <v>125</v>
      </c>
      <c r="BF13" s="54"/>
      <c r="BG13" s="35"/>
      <c r="BH13" s="57"/>
      <c r="BI13" s="35"/>
      <c r="BJ13" s="52"/>
      <c r="BK13" s="35"/>
      <c r="BL13" s="57"/>
      <c r="BM13" s="35"/>
      <c r="BN13" s="52"/>
      <c r="BO13" s="35"/>
      <c r="BP13" s="57"/>
      <c r="BQ13" s="35"/>
      <c r="BR13" s="52"/>
      <c r="BS13" s="35">
        <f t="shared" si="12"/>
        <v>0</v>
      </c>
      <c r="BT13" s="57" t="s">
        <v>138</v>
      </c>
      <c r="BU13" s="35" t="s">
        <v>259</v>
      </c>
      <c r="BV13">
        <f t="shared" si="13"/>
        <v>0</v>
      </c>
      <c r="BW13" s="57" t="s">
        <v>138</v>
      </c>
      <c r="BX13" t="s">
        <v>253</v>
      </c>
      <c r="BY13" s="54"/>
      <c r="BZ13" s="35"/>
      <c r="CA13" s="57"/>
      <c r="CB13" s="35"/>
      <c r="CC13" s="54"/>
      <c r="CD13" s="35">
        <f t="shared" si="14"/>
        <v>0</v>
      </c>
      <c r="CE13" s="57" t="s">
        <v>140</v>
      </c>
      <c r="CF13" s="35">
        <v>125</v>
      </c>
      <c r="CG13" s="54"/>
      <c r="CH13" s="35"/>
      <c r="CI13" s="57"/>
      <c r="CJ13" s="56"/>
    </row>
    <row r="14" spans="1:88" x14ac:dyDescent="0.25">
      <c r="A14" s="59"/>
      <c r="C14" s="76"/>
      <c r="E14" t="s">
        <v>144</v>
      </c>
      <c r="F14" s="115">
        <f>'bov1'!F16+'bov2'!F16+'bov3'!F16</f>
        <v>0.38999999999999996</v>
      </c>
      <c r="I14" s="55">
        <f t="shared" si="2"/>
        <v>0</v>
      </c>
      <c r="J14" s="67">
        <v>150</v>
      </c>
      <c r="K14" s="58"/>
      <c r="L14" s="62"/>
      <c r="M14" s="55">
        <f t="shared" si="3"/>
        <v>0</v>
      </c>
      <c r="N14" s="58"/>
      <c r="O14" s="58"/>
      <c r="P14" s="62"/>
      <c r="R14" s="55"/>
      <c r="S14" s="58"/>
      <c r="T14" s="58"/>
      <c r="U14" s="55">
        <f t="shared" si="4"/>
        <v>1</v>
      </c>
      <c r="V14" s="58" t="s">
        <v>264</v>
      </c>
      <c r="W14" s="67">
        <v>100</v>
      </c>
      <c r="X14" s="62">
        <v>100</v>
      </c>
      <c r="Y14" s="81">
        <f t="shared" si="5"/>
        <v>1</v>
      </c>
      <c r="Z14" s="58" t="s">
        <v>234</v>
      </c>
      <c r="AA14" s="58" t="s">
        <v>265</v>
      </c>
      <c r="AB14" s="62">
        <v>400</v>
      </c>
      <c r="AC14" s="58"/>
      <c r="AD14" s="58"/>
      <c r="AE14" s="55">
        <f t="shared" si="6"/>
        <v>1</v>
      </c>
      <c r="AF14" s="67">
        <v>150</v>
      </c>
      <c r="AG14" s="62">
        <v>300</v>
      </c>
      <c r="AH14" s="55">
        <f t="shared" si="7"/>
        <v>1</v>
      </c>
      <c r="AI14" s="67">
        <v>150</v>
      </c>
      <c r="AJ14" s="62">
        <v>400</v>
      </c>
      <c r="AZ14" s="51"/>
      <c r="BA14" s="35"/>
      <c r="BB14" s="52"/>
      <c r="BC14" s="35">
        <f t="shared" si="8"/>
        <v>0</v>
      </c>
      <c r="BD14" s="57" t="s">
        <v>141</v>
      </c>
      <c r="BE14" s="35">
        <v>150</v>
      </c>
      <c r="BF14" s="54"/>
      <c r="BG14" s="35"/>
      <c r="BH14" s="57"/>
      <c r="BI14" s="35"/>
      <c r="BJ14" s="52"/>
      <c r="BK14" s="35"/>
      <c r="BL14" s="57"/>
      <c r="BM14" s="35"/>
      <c r="BN14" s="52"/>
      <c r="BO14" s="35"/>
      <c r="BP14" s="57"/>
      <c r="BQ14" s="35"/>
      <c r="BR14" s="52"/>
      <c r="BS14" s="35">
        <f t="shared" si="12"/>
        <v>0</v>
      </c>
      <c r="BT14" s="57" t="s">
        <v>140</v>
      </c>
      <c r="BU14" s="35" t="s">
        <v>262</v>
      </c>
      <c r="BV14">
        <f t="shared" si="13"/>
        <v>0</v>
      </c>
      <c r="BW14" s="57" t="s">
        <v>140</v>
      </c>
      <c r="BX14" t="s">
        <v>256</v>
      </c>
      <c r="BY14" s="54"/>
      <c r="BZ14" s="35"/>
      <c r="CA14" s="57"/>
      <c r="CB14" s="35"/>
      <c r="CC14" s="54"/>
      <c r="CD14" s="35">
        <f t="shared" si="14"/>
        <v>0</v>
      </c>
      <c r="CE14" s="57" t="s">
        <v>141</v>
      </c>
      <c r="CF14" s="35">
        <v>150</v>
      </c>
      <c r="CG14" s="54"/>
      <c r="CH14" s="35"/>
      <c r="CI14" s="57"/>
      <c r="CJ14" s="56"/>
    </row>
    <row r="15" spans="1:88" x14ac:dyDescent="0.25">
      <c r="C15" s="76"/>
      <c r="E15" t="s">
        <v>48</v>
      </c>
      <c r="F15" t="e">
        <f>VLOOKUP(2,M4:P17,2,0)</f>
        <v>#N/A</v>
      </c>
      <c r="I15" s="55">
        <f t="shared" si="2"/>
        <v>0</v>
      </c>
      <c r="J15" s="67">
        <v>200</v>
      </c>
      <c r="K15" s="58"/>
      <c r="L15" s="62"/>
      <c r="M15" s="55">
        <f t="shared" si="3"/>
        <v>0</v>
      </c>
      <c r="N15" s="58"/>
      <c r="O15" s="58"/>
      <c r="P15" s="62"/>
      <c r="R15" s="55"/>
      <c r="S15" s="58"/>
      <c r="T15" s="58"/>
      <c r="U15" s="81">
        <f t="shared" si="4"/>
        <v>1</v>
      </c>
      <c r="V15" s="58" t="s">
        <v>260</v>
      </c>
      <c r="W15" s="67">
        <v>100</v>
      </c>
      <c r="X15" s="62">
        <v>125</v>
      </c>
      <c r="Y15" s="55"/>
      <c r="Z15" s="58"/>
      <c r="AA15" s="58"/>
      <c r="AB15" s="62"/>
      <c r="AC15" s="58"/>
      <c r="AD15" s="58"/>
      <c r="AE15" s="55">
        <f t="shared" si="6"/>
        <v>1</v>
      </c>
      <c r="AF15" s="67">
        <v>200</v>
      </c>
      <c r="AG15" s="62">
        <v>400</v>
      </c>
      <c r="AH15" s="55"/>
      <c r="AI15" s="67"/>
      <c r="AJ15" s="62"/>
      <c r="AZ15" s="51"/>
      <c r="BA15" s="35"/>
      <c r="BB15" s="52"/>
      <c r="BC15" s="35">
        <f t="shared" si="8"/>
        <v>0</v>
      </c>
      <c r="BD15" s="57" t="s">
        <v>142</v>
      </c>
      <c r="BE15" s="35">
        <v>200</v>
      </c>
      <c r="BF15" s="54"/>
      <c r="BG15" s="35"/>
      <c r="BH15" s="57"/>
      <c r="BI15" s="35"/>
      <c r="BJ15" s="52"/>
      <c r="BK15" s="35"/>
      <c r="BL15" s="57"/>
      <c r="BM15" s="35"/>
      <c r="BN15" s="52"/>
      <c r="BO15" s="35"/>
      <c r="BP15" s="57"/>
      <c r="BQ15" s="35"/>
      <c r="BR15" s="52"/>
      <c r="BS15" s="35">
        <f t="shared" si="12"/>
        <v>0</v>
      </c>
      <c r="BT15" s="57" t="s">
        <v>141</v>
      </c>
      <c r="BU15" s="35" t="s">
        <v>264</v>
      </c>
      <c r="BV15">
        <f t="shared" si="13"/>
        <v>0</v>
      </c>
      <c r="BW15" s="57" t="s">
        <v>141</v>
      </c>
      <c r="BY15" s="54"/>
      <c r="BZ15" s="35"/>
      <c r="CA15" s="57"/>
      <c r="CB15" s="35"/>
      <c r="CC15" s="54"/>
      <c r="CD15" s="35">
        <f t="shared" si="14"/>
        <v>0</v>
      </c>
      <c r="CE15" s="57" t="s">
        <v>142</v>
      </c>
      <c r="CF15" s="35">
        <v>200</v>
      </c>
      <c r="CG15" s="54"/>
      <c r="CH15" s="35"/>
      <c r="CI15" s="57"/>
      <c r="CJ15" s="56"/>
    </row>
    <row r="16" spans="1:88" x14ac:dyDescent="0.25">
      <c r="C16" s="76"/>
      <c r="E16" s="1" t="str">
        <f>VLOOKUP(1,AO3:AQ10,3,0)</f>
        <v>РС20-6</v>
      </c>
      <c r="F16" s="1"/>
      <c r="I16" s="55">
        <f t="shared" si="2"/>
        <v>0</v>
      </c>
      <c r="J16" s="67">
        <v>250</v>
      </c>
      <c r="K16" s="58"/>
      <c r="L16" s="62"/>
      <c r="M16" s="55">
        <f t="shared" si="3"/>
        <v>0</v>
      </c>
      <c r="N16" s="58"/>
      <c r="O16" s="58"/>
      <c r="P16" s="62"/>
      <c r="R16" s="55"/>
      <c r="S16" s="58"/>
      <c r="T16" s="58"/>
      <c r="U16" s="81">
        <f t="shared" si="4"/>
        <v>1</v>
      </c>
      <c r="V16" s="58" t="s">
        <v>263</v>
      </c>
      <c r="W16" s="58">
        <v>125</v>
      </c>
      <c r="X16" s="62">
        <v>160</v>
      </c>
      <c r="Y16" s="55"/>
      <c r="Z16" s="58"/>
      <c r="AA16" s="58"/>
      <c r="AB16" s="62"/>
      <c r="AC16" s="58"/>
      <c r="AD16" s="58"/>
      <c r="AE16" s="55"/>
      <c r="AF16" s="58"/>
      <c r="AG16" s="62"/>
      <c r="AH16" s="55"/>
      <c r="AI16" s="58"/>
      <c r="AJ16" s="62"/>
      <c r="AZ16" s="51"/>
      <c r="BA16" s="35"/>
      <c r="BB16" s="52"/>
      <c r="BC16" s="35"/>
      <c r="BD16" s="57"/>
      <c r="BE16" s="35"/>
      <c r="BF16" s="54"/>
      <c r="BG16" s="73"/>
      <c r="BH16" s="57"/>
      <c r="BI16" s="35"/>
      <c r="BJ16" s="52"/>
      <c r="BK16" s="35"/>
      <c r="BL16" s="57"/>
      <c r="BM16" s="35"/>
      <c r="BN16" s="54"/>
      <c r="BO16" s="58"/>
      <c r="BP16" s="58"/>
      <c r="BQ16" s="58"/>
      <c r="BR16" s="54"/>
      <c r="BS16" s="35">
        <f t="shared" si="12"/>
        <v>0</v>
      </c>
      <c r="BT16" s="57" t="s">
        <v>142</v>
      </c>
      <c r="BU16" s="35" t="s">
        <v>260</v>
      </c>
      <c r="BV16">
        <f t="shared" si="13"/>
        <v>0</v>
      </c>
      <c r="BW16" s="57" t="s">
        <v>142</v>
      </c>
      <c r="BX16" t="s">
        <v>260</v>
      </c>
      <c r="BY16" s="54"/>
      <c r="BZ16" s="58"/>
      <c r="CA16" s="58"/>
      <c r="CB16" s="58"/>
      <c r="CC16" s="54"/>
      <c r="CD16" s="58"/>
      <c r="CE16" s="58"/>
      <c r="CF16" s="58"/>
      <c r="CG16" s="54"/>
      <c r="CH16" s="58"/>
      <c r="CI16" s="58"/>
      <c r="CJ16" s="62"/>
    </row>
    <row r="17" spans="1:88" x14ac:dyDescent="0.25">
      <c r="A17" s="59"/>
      <c r="C17" s="76"/>
      <c r="I17" s="55">
        <f t="shared" si="2"/>
        <v>0</v>
      </c>
      <c r="J17" s="67">
        <v>300</v>
      </c>
      <c r="K17" s="58"/>
      <c r="L17" s="62"/>
      <c r="M17" s="55">
        <f t="shared" si="3"/>
        <v>0</v>
      </c>
      <c r="N17" s="58"/>
      <c r="O17" s="58"/>
      <c r="P17" s="62"/>
      <c r="R17" s="55"/>
      <c r="S17" s="58"/>
      <c r="T17" s="58"/>
      <c r="U17" s="81">
        <f t="shared" si="4"/>
        <v>1</v>
      </c>
      <c r="V17" s="58" t="s">
        <v>266</v>
      </c>
      <c r="W17" s="58">
        <v>150</v>
      </c>
      <c r="X17" s="62">
        <v>200</v>
      </c>
      <c r="Y17" s="55"/>
      <c r="Z17" s="58"/>
      <c r="AA17" s="58"/>
      <c r="AB17" s="62"/>
      <c r="AC17" s="58"/>
      <c r="AD17" s="58"/>
      <c r="AE17" s="55"/>
      <c r="AF17" s="58"/>
      <c r="AG17" s="62"/>
      <c r="AH17" s="55"/>
      <c r="AI17" s="58"/>
      <c r="AJ17" s="62"/>
      <c r="AZ17" s="51"/>
      <c r="BA17" s="35"/>
      <c r="BB17" s="52"/>
      <c r="BC17" s="35"/>
      <c r="BD17" s="57"/>
      <c r="BE17" s="35"/>
      <c r="BF17" s="54"/>
      <c r="BG17" s="73"/>
      <c r="BH17" s="57"/>
      <c r="BI17" s="35"/>
      <c r="BJ17" s="52"/>
      <c r="BK17" s="35"/>
      <c r="BL17" s="57"/>
      <c r="BM17" s="35"/>
      <c r="BN17" s="54"/>
      <c r="BO17" s="58"/>
      <c r="BP17" s="58"/>
      <c r="BQ17" s="58"/>
      <c r="BR17" s="54"/>
      <c r="BS17" s="35">
        <f t="shared" si="12"/>
        <v>0</v>
      </c>
      <c r="BT17" s="57" t="s">
        <v>145</v>
      </c>
      <c r="BU17" s="35" t="s">
        <v>263</v>
      </c>
      <c r="BV17">
        <f t="shared" si="13"/>
        <v>0</v>
      </c>
      <c r="BW17" s="57" t="s">
        <v>145</v>
      </c>
      <c r="BX17" t="s">
        <v>263</v>
      </c>
      <c r="BY17" s="54"/>
      <c r="BZ17" s="58"/>
      <c r="CA17" s="58"/>
      <c r="CB17" s="58"/>
      <c r="CC17" s="54"/>
      <c r="CD17" s="58"/>
      <c r="CE17" s="58"/>
      <c r="CF17" s="58"/>
      <c r="CG17" s="54"/>
      <c r="CH17" s="58"/>
      <c r="CI17" s="58"/>
      <c r="CJ17" s="62"/>
    </row>
    <row r="18" spans="1:88" x14ac:dyDescent="0.25">
      <c r="A18" s="59"/>
      <c r="C18" s="76"/>
      <c r="I18" s="55"/>
      <c r="J18" s="58"/>
      <c r="K18" s="58"/>
      <c r="L18" s="62"/>
      <c r="M18" s="55"/>
      <c r="N18" s="58"/>
      <c r="O18" s="58"/>
      <c r="P18" s="62"/>
      <c r="R18" s="55"/>
      <c r="S18" s="58"/>
      <c r="T18" s="58"/>
      <c r="U18" s="81">
        <f t="shared" si="4"/>
        <v>1</v>
      </c>
      <c r="V18" s="58" t="s">
        <v>267</v>
      </c>
      <c r="W18" s="58">
        <v>150</v>
      </c>
      <c r="X18" s="62">
        <v>250</v>
      </c>
      <c r="Y18" s="55"/>
      <c r="Z18" s="58"/>
      <c r="AA18" s="58"/>
      <c r="AB18" s="62"/>
      <c r="AC18" s="58"/>
      <c r="AD18" s="58"/>
      <c r="AE18" s="55"/>
      <c r="AF18" s="58"/>
      <c r="AG18" s="62"/>
      <c r="AH18" s="55"/>
      <c r="AI18" s="58"/>
      <c r="AJ18" s="62"/>
      <c r="AZ18" s="51"/>
      <c r="BA18" s="35"/>
      <c r="BB18" s="52"/>
      <c r="BC18" s="35"/>
      <c r="BD18" s="57"/>
      <c r="BE18" s="35"/>
      <c r="BF18" s="54"/>
      <c r="BG18" s="73"/>
      <c r="BH18" s="57"/>
      <c r="BI18" s="35"/>
      <c r="BJ18" s="52"/>
      <c r="BK18" s="35"/>
      <c r="BL18" s="57"/>
      <c r="BM18" s="35"/>
      <c r="BN18" s="54"/>
      <c r="BO18" s="58"/>
      <c r="BP18" s="58"/>
      <c r="BQ18" s="58"/>
      <c r="BR18" s="54"/>
      <c r="BS18" s="35">
        <f t="shared" si="12"/>
        <v>0</v>
      </c>
      <c r="BT18" s="57" t="s">
        <v>146</v>
      </c>
      <c r="BU18" s="35" t="s">
        <v>266</v>
      </c>
      <c r="BV18">
        <f t="shared" si="13"/>
        <v>0</v>
      </c>
      <c r="BW18" s="57" t="s">
        <v>146</v>
      </c>
      <c r="BX18" s="58"/>
      <c r="BY18" s="54"/>
      <c r="BZ18" s="58"/>
      <c r="CA18" s="58"/>
      <c r="CB18" s="58"/>
      <c r="CC18" s="54"/>
      <c r="CD18" s="58"/>
      <c r="CE18" s="58"/>
      <c r="CF18" s="58"/>
      <c r="CG18" s="54"/>
      <c r="CH18" s="58"/>
      <c r="CI18" s="58"/>
      <c r="CJ18" s="62"/>
    </row>
    <row r="19" spans="1:88" x14ac:dyDescent="0.25">
      <c r="A19" s="59"/>
      <c r="C19" s="76"/>
      <c r="I19" s="55"/>
      <c r="J19" s="99"/>
      <c r="K19" s="58"/>
      <c r="L19" s="62"/>
      <c r="M19" s="55"/>
      <c r="N19" s="58"/>
      <c r="O19" s="58"/>
      <c r="P19" s="62"/>
      <c r="R19" s="95"/>
      <c r="S19" s="96"/>
      <c r="T19" s="96"/>
      <c r="U19" s="91">
        <f t="shared" si="4"/>
        <v>1</v>
      </c>
      <c r="V19" s="96" t="s">
        <v>268</v>
      </c>
      <c r="W19" s="96">
        <v>150</v>
      </c>
      <c r="X19" s="102">
        <v>280</v>
      </c>
      <c r="Y19" s="95"/>
      <c r="Z19" s="96"/>
      <c r="AA19" s="96"/>
      <c r="AB19" s="98"/>
      <c r="AC19" s="96"/>
      <c r="AD19" s="96"/>
      <c r="AE19" s="95"/>
      <c r="AF19" s="96"/>
      <c r="AG19" s="98"/>
      <c r="AH19" s="95"/>
      <c r="AI19" s="96"/>
      <c r="AJ19" s="98"/>
      <c r="AZ19" s="51"/>
      <c r="BA19" s="35"/>
      <c r="BB19" s="52"/>
      <c r="BC19" s="35"/>
      <c r="BD19" s="57"/>
      <c r="BE19" s="35"/>
      <c r="BF19" s="54"/>
      <c r="BG19" s="73"/>
      <c r="BH19" s="57"/>
      <c r="BI19" s="35"/>
      <c r="BJ19" s="52"/>
      <c r="BK19" s="35"/>
      <c r="BL19" s="57"/>
      <c r="BM19" s="35"/>
      <c r="BN19" s="54"/>
      <c r="BO19" s="58"/>
      <c r="BP19" s="58"/>
      <c r="BQ19" s="58"/>
      <c r="BR19" s="54"/>
      <c r="BS19" s="35">
        <f t="shared" si="12"/>
        <v>0</v>
      </c>
      <c r="BT19" s="57" t="s">
        <v>148</v>
      </c>
      <c r="BU19" s="35" t="s">
        <v>267</v>
      </c>
      <c r="BV19">
        <f t="shared" si="13"/>
        <v>0</v>
      </c>
      <c r="BW19" s="57" t="s">
        <v>148</v>
      </c>
      <c r="BX19" s="58"/>
      <c r="BY19" s="54"/>
      <c r="BZ19" s="58"/>
      <c r="CA19" s="58"/>
      <c r="CB19" s="58"/>
      <c r="CC19" s="54"/>
      <c r="CD19" s="58"/>
      <c r="CE19" s="58"/>
      <c r="CF19" s="58"/>
      <c r="CG19" s="54"/>
      <c r="CH19" s="58"/>
      <c r="CI19" s="58"/>
      <c r="CJ19" s="62"/>
    </row>
    <row r="20" spans="1:88" x14ac:dyDescent="0.25">
      <c r="A20" s="59"/>
      <c r="C20" s="76"/>
      <c r="I20" s="55"/>
      <c r="J20" s="99" t="s">
        <v>150</v>
      </c>
      <c r="K20" s="58">
        <v>958.4</v>
      </c>
      <c r="L20" s="62"/>
      <c r="M20" s="55"/>
      <c r="N20" s="58"/>
      <c r="O20" s="58"/>
      <c r="P20" s="62"/>
      <c r="AZ20" s="51"/>
      <c r="BA20" s="35"/>
      <c r="BB20" s="52"/>
      <c r="BC20" s="35"/>
      <c r="BD20" s="57"/>
      <c r="BE20" s="35"/>
      <c r="BF20" s="54"/>
      <c r="BG20" s="73"/>
      <c r="BH20" s="57"/>
      <c r="BI20" s="35"/>
      <c r="BJ20" s="52"/>
      <c r="BK20" s="35"/>
      <c r="BL20" s="57"/>
      <c r="BM20" s="35"/>
      <c r="BN20" s="54"/>
      <c r="BO20" s="58"/>
      <c r="BP20" s="58"/>
      <c r="BQ20" s="58"/>
      <c r="BR20" s="54"/>
      <c r="BS20" s="35">
        <f t="shared" si="12"/>
        <v>0</v>
      </c>
      <c r="BT20" s="57" t="s">
        <v>149</v>
      </c>
      <c r="BU20" s="35" t="s">
        <v>268</v>
      </c>
      <c r="BV20">
        <f t="shared" si="13"/>
        <v>0</v>
      </c>
      <c r="BW20" s="57" t="s">
        <v>149</v>
      </c>
      <c r="BX20" s="58"/>
      <c r="BY20" s="54"/>
      <c r="BZ20" s="58"/>
      <c r="CA20" s="58"/>
      <c r="CB20" s="58"/>
      <c r="CC20" s="54"/>
      <c r="CD20" s="58"/>
      <c r="CE20" s="58"/>
      <c r="CF20" s="58"/>
      <c r="CG20" s="54"/>
      <c r="CH20" s="58"/>
      <c r="CI20" s="58"/>
      <c r="CJ20" s="62"/>
    </row>
    <row r="21" spans="1:88" x14ac:dyDescent="0.25">
      <c r="I21" s="55"/>
      <c r="J21" s="99" t="s">
        <v>152</v>
      </c>
      <c r="K21" s="58">
        <v>0.5</v>
      </c>
      <c r="L21" s="62"/>
      <c r="M21" s="55"/>
      <c r="N21" s="58"/>
      <c r="O21" s="58"/>
      <c r="P21" s="62"/>
      <c r="AZ21" s="51"/>
      <c r="BA21" s="35"/>
      <c r="BB21" s="52"/>
      <c r="BC21" s="35"/>
      <c r="BD21" s="57"/>
      <c r="BE21" s="35"/>
      <c r="BF21" s="54"/>
      <c r="BG21" s="73"/>
      <c r="BH21" s="57"/>
      <c r="BI21" s="35"/>
      <c r="BJ21" s="52"/>
      <c r="BK21" s="35"/>
      <c r="BL21" s="57"/>
      <c r="BM21" s="35"/>
      <c r="BN21" s="54"/>
      <c r="BO21" s="58"/>
      <c r="BP21" s="58"/>
      <c r="BQ21" s="58"/>
      <c r="BR21" s="54"/>
      <c r="BS21" s="58"/>
      <c r="BT21" s="58"/>
      <c r="BU21" s="58"/>
      <c r="BV21" s="58"/>
      <c r="BW21" s="58"/>
      <c r="BX21" s="58"/>
      <c r="BY21" s="54"/>
      <c r="BZ21" s="58"/>
      <c r="CA21" s="58"/>
      <c r="CB21" s="58"/>
      <c r="CC21" s="54"/>
      <c r="CD21" s="58"/>
      <c r="CE21" s="58"/>
      <c r="CF21" s="58"/>
      <c r="CG21" s="54"/>
      <c r="CH21" s="58"/>
      <c r="CI21" s="58"/>
      <c r="CJ21" s="62"/>
    </row>
    <row r="22" spans="1:88" x14ac:dyDescent="0.25">
      <c r="I22" s="95"/>
      <c r="J22" s="100"/>
      <c r="K22" s="96"/>
      <c r="L22" s="98"/>
      <c r="M22" s="95"/>
      <c r="N22" s="96"/>
      <c r="O22" s="96"/>
      <c r="P22" s="98"/>
      <c r="AZ22" s="51"/>
      <c r="BA22" s="35"/>
      <c r="BB22" s="52"/>
      <c r="BC22" s="35"/>
      <c r="BD22" s="57"/>
      <c r="BE22" s="35"/>
      <c r="BF22" s="54"/>
      <c r="BG22" s="73"/>
      <c r="BH22" s="57"/>
      <c r="BI22" s="35"/>
      <c r="BJ22" s="52"/>
      <c r="BK22" s="35"/>
      <c r="BL22" s="57"/>
      <c r="BM22" s="35"/>
      <c r="BN22" s="54"/>
      <c r="BO22" s="58"/>
      <c r="BP22" s="58"/>
      <c r="BQ22" s="58"/>
      <c r="BR22" s="54"/>
      <c r="BS22" s="58"/>
      <c r="BT22" s="58"/>
      <c r="BU22" s="58"/>
      <c r="BV22" s="58"/>
      <c r="BW22" s="58"/>
      <c r="BX22" s="58"/>
      <c r="BY22" s="54"/>
      <c r="BZ22" s="58"/>
      <c r="CA22" s="58"/>
      <c r="CB22" s="58"/>
      <c r="CC22" s="54"/>
      <c r="CD22" s="58"/>
      <c r="CE22" s="58"/>
      <c r="CF22" s="58"/>
      <c r="CG22" s="54"/>
      <c r="CH22" s="58"/>
      <c r="CI22" s="58"/>
      <c r="CJ22" s="62"/>
    </row>
    <row r="23" spans="1:88" x14ac:dyDescent="0.25">
      <c r="AZ23" s="51"/>
      <c r="BA23" s="35"/>
      <c r="BB23" s="52"/>
      <c r="BC23" s="35"/>
      <c r="BD23" s="57"/>
      <c r="BE23" s="35"/>
      <c r="BF23" s="54"/>
      <c r="BG23" s="73"/>
      <c r="BH23" s="57"/>
      <c r="BI23" s="35"/>
      <c r="BJ23" s="52"/>
      <c r="BK23" s="35"/>
      <c r="BL23" s="57"/>
      <c r="BM23" s="35"/>
      <c r="BN23" s="54"/>
      <c r="BO23" s="58"/>
      <c r="BP23" s="58"/>
      <c r="BQ23" s="58"/>
      <c r="BR23" s="54"/>
      <c r="BS23" s="58"/>
      <c r="BT23" s="58"/>
      <c r="BU23" s="58"/>
      <c r="BV23" s="58"/>
      <c r="BW23" s="58"/>
      <c r="BX23" s="58"/>
      <c r="BY23" s="54"/>
      <c r="BZ23" s="58"/>
      <c r="CA23" s="58"/>
      <c r="CB23" s="58"/>
      <c r="CC23" s="54"/>
      <c r="CD23" s="58"/>
      <c r="CE23" s="58"/>
      <c r="CF23" s="58"/>
      <c r="CG23" s="54"/>
      <c r="CH23" s="58"/>
      <c r="CI23" s="58"/>
      <c r="CJ23" s="62"/>
    </row>
    <row r="24" spans="1:88" x14ac:dyDescent="0.25">
      <c r="AZ24" s="51"/>
      <c r="BA24" s="35"/>
      <c r="BB24" s="52"/>
      <c r="BC24" s="35"/>
      <c r="BD24" s="57"/>
      <c r="BE24" s="35"/>
      <c r="BF24" s="54"/>
      <c r="BG24" s="73"/>
      <c r="BH24" s="57"/>
      <c r="BI24" s="35"/>
      <c r="BJ24" s="52"/>
      <c r="BK24" s="35"/>
      <c r="BL24" s="57"/>
      <c r="BM24" s="35"/>
      <c r="BN24" s="54"/>
      <c r="BO24" s="58"/>
      <c r="BP24" s="58"/>
      <c r="BQ24" s="58"/>
      <c r="BR24" s="54"/>
      <c r="BS24" s="58"/>
      <c r="BT24" s="58"/>
      <c r="BU24" s="58"/>
      <c r="BV24" s="58"/>
      <c r="BW24" s="58"/>
      <c r="BX24" s="58"/>
      <c r="BY24" s="54"/>
      <c r="BZ24" s="58"/>
      <c r="CA24" s="58"/>
      <c r="CB24" s="58"/>
      <c r="CC24" s="54"/>
      <c r="CD24" s="58"/>
      <c r="CE24" s="58"/>
      <c r="CF24" s="58"/>
      <c r="CG24" s="54"/>
      <c r="CH24" s="58"/>
      <c r="CI24" s="58"/>
      <c r="CJ24" s="62"/>
    </row>
    <row r="25" spans="1:88" x14ac:dyDescent="0.25">
      <c r="AZ25" s="51"/>
      <c r="BA25" s="35"/>
      <c r="BB25" s="52"/>
      <c r="BC25" s="35"/>
      <c r="BD25" s="57"/>
      <c r="BE25" s="35"/>
      <c r="BF25" s="54"/>
      <c r="BG25" s="73"/>
      <c r="BH25" s="57"/>
      <c r="BI25" s="35"/>
      <c r="BJ25" s="52"/>
      <c r="BK25" s="35"/>
      <c r="BL25" s="57"/>
      <c r="BM25" s="35"/>
      <c r="BN25" s="54"/>
      <c r="BO25" s="58"/>
      <c r="BP25" s="58"/>
      <c r="BQ25" s="58"/>
      <c r="BR25" s="54"/>
      <c r="BS25" s="58"/>
      <c r="BT25" s="58"/>
      <c r="BU25" s="58"/>
      <c r="BV25" s="58"/>
      <c r="BW25" s="58"/>
      <c r="BX25" s="58"/>
      <c r="BY25" s="54"/>
      <c r="BZ25" s="58"/>
      <c r="CA25" s="58"/>
      <c r="CB25" s="58"/>
      <c r="CC25" s="54"/>
      <c r="CD25" s="58"/>
      <c r="CE25" s="58"/>
      <c r="CF25" s="58"/>
      <c r="CG25" s="54"/>
      <c r="CH25" s="58"/>
      <c r="CI25" s="58"/>
      <c r="CJ25" s="62"/>
    </row>
    <row r="26" spans="1:88" x14ac:dyDescent="0.25">
      <c r="AZ26" s="103"/>
      <c r="BA26" s="104"/>
      <c r="BB26" s="105"/>
      <c r="BC26" s="104"/>
      <c r="BD26" s="106"/>
      <c r="BE26" s="104"/>
      <c r="BF26" s="107"/>
      <c r="BG26" s="108"/>
      <c r="BH26" s="106"/>
      <c r="BI26" s="104"/>
      <c r="BJ26" s="105"/>
      <c r="BK26" s="104"/>
      <c r="BL26" s="106"/>
      <c r="BM26" s="104"/>
      <c r="BN26" s="107"/>
      <c r="BO26" s="96"/>
      <c r="BP26" s="96"/>
      <c r="BQ26" s="96"/>
      <c r="BR26" s="107"/>
      <c r="BS26" s="96"/>
      <c r="BT26" s="96"/>
      <c r="BU26" s="96"/>
      <c r="BV26" s="96"/>
      <c r="BW26" s="96"/>
      <c r="BX26" s="96"/>
      <c r="BY26" s="107"/>
      <c r="BZ26" s="96"/>
      <c r="CA26" s="96"/>
      <c r="CB26" s="96"/>
      <c r="CC26" s="107"/>
      <c r="CD26" s="96"/>
      <c r="CE26" s="96"/>
      <c r="CF26" s="96"/>
      <c r="CG26" s="107"/>
      <c r="CH26" s="96"/>
      <c r="CI26" s="96"/>
      <c r="CJ26" s="98"/>
    </row>
  </sheetData>
  <mergeCells count="21">
    <mergeCell ref="E9:F9"/>
    <mergeCell ref="B12:C12"/>
    <mergeCell ref="E12:F12"/>
    <mergeCell ref="B13:C13"/>
    <mergeCell ref="E16:F16"/>
    <mergeCell ref="CD2:CF2"/>
    <mergeCell ref="CH2:CJ2"/>
    <mergeCell ref="U3:X3"/>
    <mergeCell ref="Y3:AB3"/>
    <mergeCell ref="AE3:AG3"/>
    <mergeCell ref="AH3:AJ3"/>
    <mergeCell ref="BD2:BE2"/>
    <mergeCell ref="BL2:BM2"/>
    <mergeCell ref="BP2:BQ2"/>
    <mergeCell ref="BS2:BX2"/>
    <mergeCell ref="BZ2:CB2"/>
    <mergeCell ref="I2:P2"/>
    <mergeCell ref="R2:AB2"/>
    <mergeCell ref="AC2:AJ2"/>
    <mergeCell ref="AL2:AQ2"/>
    <mergeCell ref="AZ2:BA2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MK69"/>
  <sheetViews>
    <sheetView zoomScale="130" zoomScaleNormal="130" zoomScalePageLayoutView="160" workbookViewId="0">
      <selection activeCell="F21" sqref="F21"/>
    </sheetView>
  </sheetViews>
  <sheetFormatPr defaultRowHeight="15" x14ac:dyDescent="0.25"/>
  <cols>
    <col min="1" max="1" width="9.140625" style="131" customWidth="1"/>
    <col min="2" max="2" width="4.7109375" style="131" customWidth="1"/>
    <col min="3" max="3" width="1.7109375" style="131" customWidth="1"/>
    <col min="4" max="4" width="3.140625" style="131" customWidth="1"/>
    <col min="5" max="5" width="1.7109375" style="131" customWidth="1"/>
    <col min="6" max="6" width="4.85546875" style="131" bestFit="1" customWidth="1"/>
    <col min="7" max="7" width="1.7109375" style="131" customWidth="1"/>
    <col min="8" max="8" width="4.85546875" style="131" customWidth="1"/>
    <col min="9" max="9" width="1.5703125" style="131" customWidth="1"/>
    <col min="10" max="10" width="4.85546875" style="131" customWidth="1"/>
    <col min="11" max="11" width="1.7109375" style="131" customWidth="1"/>
    <col min="12" max="12" width="3.140625" style="131" customWidth="1"/>
    <col min="13" max="13" width="1.7109375" style="131" customWidth="1"/>
    <col min="14" max="14" width="3.140625" style="131" customWidth="1"/>
    <col min="15" max="15" width="1.5703125" style="131" customWidth="1"/>
    <col min="16" max="16" width="4.85546875" style="131" customWidth="1"/>
    <col min="17" max="17" width="1.7109375" style="131" customWidth="1"/>
    <col min="18" max="18" width="3.140625" style="131" customWidth="1"/>
    <col min="19" max="19" width="1.7109375" style="131" customWidth="1"/>
    <col min="20" max="20" width="3.140625" style="131" customWidth="1"/>
    <col min="21" max="21" width="1.7109375" style="131" customWidth="1"/>
    <col min="22" max="22" width="3.140625" style="131" customWidth="1"/>
    <col min="23" max="23" width="1.7109375" style="131" customWidth="1"/>
    <col min="24" max="24" width="3.140625" style="131" customWidth="1"/>
    <col min="25" max="25" width="1.7109375" style="131" customWidth="1"/>
    <col min="26" max="26" width="3.140625" style="131" customWidth="1"/>
    <col min="27" max="27" width="1.7109375" style="131" customWidth="1"/>
    <col min="28" max="28" width="3.140625" style="131" customWidth="1"/>
    <col min="29" max="29" width="1.5703125" style="131" customWidth="1"/>
    <col min="30" max="30" width="3.5703125" style="131" customWidth="1"/>
    <col min="31" max="31" width="1.7109375" style="131" customWidth="1"/>
    <col min="32" max="32" width="3.140625" style="131" customWidth="1"/>
    <col min="33" max="33" width="1.7109375" style="131" customWidth="1"/>
    <col min="34" max="34" width="3.140625" style="131" customWidth="1"/>
    <col min="35" max="35" width="1.5703125" style="131" customWidth="1"/>
    <col min="36" max="36" width="3.140625" style="131" customWidth="1"/>
    <col min="37" max="37" width="1.7109375" style="131" customWidth="1"/>
    <col min="38" max="38" width="3.140625" style="131" customWidth="1"/>
    <col min="39" max="39" width="1.7109375" style="131" customWidth="1"/>
    <col min="40" max="40" width="3.140625" style="131" customWidth="1"/>
    <col min="41" max="41" width="1.7109375" style="131" customWidth="1"/>
    <col min="42" max="42" width="3.140625" style="131" customWidth="1"/>
    <col min="43" max="1025" width="9.140625" style="131" customWidth="1"/>
  </cols>
  <sheetData>
    <row r="1" spans="1:47" x14ac:dyDescent="0.25">
      <c r="A1" s="153" t="s">
        <v>269</v>
      </c>
      <c r="B1" s="153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5" t="s">
        <v>270</v>
      </c>
      <c r="Q1" s="165"/>
      <c r="R1" s="165"/>
      <c r="S1" s="165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32"/>
      <c r="AG1" s="132"/>
      <c r="AH1" s="132"/>
      <c r="AI1" s="132"/>
      <c r="AJ1" s="132"/>
    </row>
    <row r="2" spans="1:47" x14ac:dyDescent="0.25">
      <c r="A2" s="153"/>
      <c r="B2" s="153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5"/>
      <c r="Q2" s="165"/>
      <c r="R2" s="165"/>
      <c r="S2" s="165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32"/>
      <c r="AG2" s="132"/>
      <c r="AH2" s="132"/>
      <c r="AI2" s="132"/>
      <c r="AJ2" s="132"/>
    </row>
    <row r="3" spans="1:47" ht="15" customHeight="1" x14ac:dyDescent="0.25">
      <c r="A3" s="156" t="s">
        <v>271</v>
      </c>
      <c r="B3" s="156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8" t="s">
        <v>272</v>
      </c>
      <c r="Q3" s="168"/>
      <c r="R3" s="168"/>
      <c r="S3" s="168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32"/>
      <c r="AG3" s="132"/>
      <c r="AH3" s="132"/>
      <c r="AI3" s="132"/>
      <c r="AJ3" s="132"/>
    </row>
    <row r="4" spans="1:47" x14ac:dyDescent="0.25">
      <c r="A4" s="156"/>
      <c r="B4" s="156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8"/>
      <c r="Q4" s="168"/>
      <c r="R4" s="168"/>
      <c r="S4" s="168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32"/>
      <c r="AG4" s="132"/>
      <c r="AH4" s="132"/>
      <c r="AI4" s="132"/>
      <c r="AJ4" s="132"/>
    </row>
    <row r="5" spans="1:47" ht="15" customHeight="1" x14ac:dyDescent="0.25">
      <c r="A5" s="156" t="s">
        <v>273</v>
      </c>
      <c r="B5" s="156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1" t="s">
        <v>274</v>
      </c>
      <c r="Q5" s="171"/>
      <c r="R5" s="171"/>
      <c r="S5" s="171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32"/>
      <c r="AG5" s="132"/>
      <c r="AH5" s="132"/>
      <c r="AI5" s="132"/>
      <c r="AJ5" s="132"/>
    </row>
    <row r="6" spans="1:47" x14ac:dyDescent="0.25">
      <c r="A6" s="156"/>
      <c r="B6" s="156"/>
      <c r="C6" s="170"/>
      <c r="D6" s="170"/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1"/>
      <c r="Q6" s="171"/>
      <c r="R6" s="171"/>
      <c r="S6" s="171"/>
      <c r="T6" s="169"/>
      <c r="U6" s="169"/>
      <c r="V6" s="169"/>
      <c r="W6" s="169"/>
      <c r="X6" s="169"/>
      <c r="Y6" s="169"/>
      <c r="Z6" s="169"/>
      <c r="AA6" s="169"/>
      <c r="AB6" s="169"/>
      <c r="AC6" s="169"/>
      <c r="AD6" s="169"/>
      <c r="AE6" s="169"/>
      <c r="AF6" s="132"/>
      <c r="AG6" s="132"/>
      <c r="AH6" s="132"/>
      <c r="AI6" s="132"/>
      <c r="AJ6" s="132"/>
    </row>
    <row r="7" spans="1:47" x14ac:dyDescent="0.25">
      <c r="A7" s="155" t="s">
        <v>275</v>
      </c>
      <c r="B7" s="155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2"/>
      <c r="AE7" s="172"/>
      <c r="AF7" s="132"/>
      <c r="AG7" s="132"/>
      <c r="AH7" s="132"/>
      <c r="AI7" s="132"/>
      <c r="AJ7" s="132"/>
    </row>
    <row r="8" spans="1:47" x14ac:dyDescent="0.25">
      <c r="A8" s="155"/>
      <c r="B8" s="155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172"/>
      <c r="AA8" s="172"/>
      <c r="AB8" s="172"/>
      <c r="AC8" s="172"/>
      <c r="AD8" s="172"/>
      <c r="AE8" s="172"/>
      <c r="AF8" s="132"/>
      <c r="AG8" s="132"/>
      <c r="AH8" s="132"/>
      <c r="AI8" s="132"/>
      <c r="AJ8" s="132"/>
    </row>
    <row r="9" spans="1:47" x14ac:dyDescent="0.25">
      <c r="A9" s="155"/>
      <c r="B9" s="155"/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F9" s="132"/>
      <c r="AG9" s="132"/>
      <c r="AH9" s="132"/>
      <c r="AI9" s="132"/>
      <c r="AJ9" s="132"/>
    </row>
    <row r="10" spans="1:47" ht="15" customHeight="1" x14ac:dyDescent="0.25">
      <c r="A10" s="154" t="s">
        <v>276</v>
      </c>
      <c r="B10" s="154"/>
      <c r="C10" s="160" t="s">
        <v>277</v>
      </c>
      <c r="D10" s="160"/>
      <c r="E10" s="160"/>
      <c r="F10" s="160"/>
      <c r="G10" s="160"/>
      <c r="H10" s="168" t="s">
        <v>278</v>
      </c>
      <c r="I10" s="168"/>
      <c r="J10" s="168"/>
      <c r="K10" s="168"/>
      <c r="L10" s="168"/>
      <c r="M10" s="168" t="s">
        <v>279</v>
      </c>
      <c r="N10" s="168"/>
      <c r="O10" s="168"/>
      <c r="P10" s="168"/>
      <c r="Q10" s="168"/>
      <c r="R10" s="173" t="s">
        <v>287</v>
      </c>
      <c r="S10" s="173"/>
      <c r="T10" s="173"/>
      <c r="U10" s="173"/>
      <c r="V10" s="173"/>
      <c r="W10" s="173"/>
      <c r="X10" s="173"/>
      <c r="Y10" s="161" t="s">
        <v>290</v>
      </c>
      <c r="Z10" s="161"/>
      <c r="AA10" s="161"/>
      <c r="AB10" s="161"/>
      <c r="AC10" s="161"/>
      <c r="AD10" s="161"/>
      <c r="AE10" s="161"/>
      <c r="AF10" s="126"/>
      <c r="AG10" s="126"/>
      <c r="AH10" s="126"/>
      <c r="AI10" s="132"/>
      <c r="AJ10" s="132"/>
    </row>
    <row r="11" spans="1:47" x14ac:dyDescent="0.25">
      <c r="A11" s="154"/>
      <c r="B11" s="154"/>
      <c r="C11" s="174"/>
      <c r="D11" s="174"/>
      <c r="E11" s="174"/>
      <c r="F11" s="174"/>
      <c r="G11" s="174"/>
      <c r="H11" s="175"/>
      <c r="I11" s="175"/>
      <c r="J11" s="175"/>
      <c r="K11" s="175"/>
      <c r="L11" s="175"/>
      <c r="M11" s="176"/>
      <c r="N11" s="176"/>
      <c r="O11" s="176"/>
      <c r="P11" s="176"/>
      <c r="Q11" s="176"/>
      <c r="R11" s="173"/>
      <c r="S11" s="173"/>
      <c r="T11" s="173"/>
      <c r="U11" s="173"/>
      <c r="V11" s="173"/>
      <c r="W11" s="173"/>
      <c r="X11" s="173"/>
      <c r="Y11" s="177"/>
      <c r="Z11" s="177"/>
      <c r="AA11" s="177"/>
      <c r="AB11" s="177"/>
      <c r="AC11" s="177"/>
      <c r="AD11" s="177"/>
      <c r="AE11" s="177"/>
      <c r="AF11" s="126"/>
      <c r="AG11" s="126"/>
      <c r="AH11" s="126"/>
      <c r="AI11" s="132"/>
      <c r="AJ11" s="132"/>
    </row>
    <row r="12" spans="1:47" ht="15" customHeight="1" x14ac:dyDescent="0.25">
      <c r="A12" s="153"/>
      <c r="B12" s="153"/>
      <c r="C12" s="178" t="s">
        <v>5</v>
      </c>
      <c r="D12" s="178"/>
      <c r="E12" s="178"/>
      <c r="F12" s="178"/>
      <c r="G12" s="178"/>
      <c r="H12" s="178"/>
      <c r="I12" s="178"/>
      <c r="J12" s="178"/>
      <c r="K12" s="178"/>
      <c r="L12" s="165" t="s">
        <v>281</v>
      </c>
      <c r="M12" s="165"/>
      <c r="N12" s="165"/>
      <c r="O12" s="165"/>
      <c r="P12" s="165"/>
      <c r="Q12" s="165"/>
      <c r="R12" s="165"/>
      <c r="S12" s="165"/>
      <c r="T12" s="179" t="s">
        <v>282</v>
      </c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32"/>
      <c r="AG12" s="132"/>
      <c r="AH12" s="132"/>
      <c r="AI12" s="132"/>
      <c r="AJ12" s="132"/>
    </row>
    <row r="13" spans="1:47" x14ac:dyDescent="0.25">
      <c r="A13" s="155" t="s">
        <v>295</v>
      </c>
      <c r="B13" s="155"/>
      <c r="C13" s="160">
        <f>SUM(C14:G17)</f>
        <v>0.60000000000000009</v>
      </c>
      <c r="D13" s="160"/>
      <c r="E13" s="160"/>
      <c r="F13" s="160"/>
      <c r="G13" s="160"/>
      <c r="H13" s="168" t="s">
        <v>71</v>
      </c>
      <c r="I13" s="168"/>
      <c r="J13" s="168"/>
      <c r="K13" s="168"/>
      <c r="L13" s="168" t="s">
        <v>85</v>
      </c>
      <c r="M13" s="168"/>
      <c r="N13" s="180">
        <v>130</v>
      </c>
      <c r="O13" s="180"/>
      <c r="P13" s="168" t="s">
        <v>98</v>
      </c>
      <c r="Q13" s="168"/>
      <c r="R13" s="180">
        <v>70</v>
      </c>
      <c r="S13" s="180"/>
      <c r="T13" s="168" t="s">
        <v>284</v>
      </c>
      <c r="U13" s="168"/>
      <c r="V13" s="168"/>
      <c r="W13" s="180">
        <v>0.6</v>
      </c>
      <c r="X13" s="180"/>
      <c r="Y13" s="180"/>
      <c r="Z13" s="168" t="s">
        <v>285</v>
      </c>
      <c r="AA13" s="168"/>
      <c r="AB13" s="168"/>
      <c r="AC13" s="169">
        <v>0.4</v>
      </c>
      <c r="AD13" s="169"/>
      <c r="AE13" s="169"/>
      <c r="AF13" s="132"/>
      <c r="AG13" s="132"/>
      <c r="AH13" s="132"/>
      <c r="AI13" s="132"/>
      <c r="AJ13" s="132"/>
      <c r="AK13" s="132"/>
      <c r="AL13" s="132"/>
      <c r="AM13" s="132"/>
      <c r="AQ13" s="131">
        <v>150</v>
      </c>
      <c r="AR13" s="131">
        <v>130</v>
      </c>
      <c r="AS13" s="131">
        <v>115</v>
      </c>
      <c r="AT13" s="131">
        <v>105</v>
      </c>
      <c r="AU13" s="131">
        <v>95</v>
      </c>
    </row>
    <row r="14" spans="1:47" x14ac:dyDescent="0.25">
      <c r="A14" s="155" t="s">
        <v>291</v>
      </c>
      <c r="B14" s="155"/>
      <c r="C14" s="167">
        <v>0.2</v>
      </c>
      <c r="D14" s="167"/>
      <c r="E14" s="167"/>
      <c r="F14" s="167"/>
      <c r="G14" s="167"/>
      <c r="H14" s="168" t="s">
        <v>71</v>
      </c>
      <c r="I14" s="168"/>
      <c r="J14" s="168"/>
      <c r="K14" s="168"/>
      <c r="L14" s="168" t="s">
        <v>105</v>
      </c>
      <c r="M14" s="168"/>
      <c r="N14" s="180">
        <v>95</v>
      </c>
      <c r="O14" s="180"/>
      <c r="P14" s="168" t="s">
        <v>111</v>
      </c>
      <c r="Q14" s="168"/>
      <c r="R14" s="180">
        <v>70</v>
      </c>
      <c r="S14" s="180"/>
      <c r="T14" s="168" t="s">
        <v>296</v>
      </c>
      <c r="U14" s="168"/>
      <c r="V14" s="168"/>
      <c r="W14" s="168"/>
      <c r="X14" s="168"/>
      <c r="Y14" s="168"/>
      <c r="Z14" s="180"/>
      <c r="AA14" s="180"/>
      <c r="AB14" s="180"/>
      <c r="AC14" s="161" t="s">
        <v>118</v>
      </c>
      <c r="AD14" s="161"/>
      <c r="AE14" s="161"/>
      <c r="AF14" s="132"/>
      <c r="AI14" s="132"/>
      <c r="AJ14" s="132" t="s">
        <v>291</v>
      </c>
      <c r="AK14" s="132"/>
      <c r="AL14" s="132"/>
      <c r="AM14" s="132"/>
    </row>
    <row r="15" spans="1:47" x14ac:dyDescent="0.25">
      <c r="A15" s="155" t="s">
        <v>292</v>
      </c>
      <c r="B15" s="155"/>
      <c r="C15" s="167"/>
      <c r="D15" s="167"/>
      <c r="E15" s="167"/>
      <c r="F15" s="167"/>
      <c r="G15" s="167"/>
      <c r="H15" s="168" t="s">
        <v>71</v>
      </c>
      <c r="I15" s="168"/>
      <c r="J15" s="168"/>
      <c r="K15" s="168"/>
      <c r="L15" s="168" t="s">
        <v>297</v>
      </c>
      <c r="M15" s="168"/>
      <c r="N15" s="180"/>
      <c r="O15" s="180"/>
      <c r="P15" s="168" t="s">
        <v>298</v>
      </c>
      <c r="Q15" s="168"/>
      <c r="R15" s="180"/>
      <c r="S15" s="180"/>
      <c r="T15" s="168" t="s">
        <v>296</v>
      </c>
      <c r="U15" s="168"/>
      <c r="V15" s="168"/>
      <c r="W15" s="168"/>
      <c r="X15" s="168"/>
      <c r="Y15" s="168"/>
      <c r="Z15" s="180"/>
      <c r="AA15" s="180"/>
      <c r="AB15" s="180"/>
      <c r="AC15" s="161" t="s">
        <v>118</v>
      </c>
      <c r="AD15" s="161"/>
      <c r="AE15" s="161"/>
      <c r="AF15" s="132"/>
      <c r="AI15" s="132"/>
      <c r="AJ15" s="132" t="s">
        <v>292</v>
      </c>
      <c r="AK15" s="132"/>
      <c r="AL15" s="132"/>
      <c r="AM15" s="132"/>
    </row>
    <row r="16" spans="1:47" x14ac:dyDescent="0.25">
      <c r="A16" s="155" t="s">
        <v>291</v>
      </c>
      <c r="B16" s="155"/>
      <c r="C16" s="167"/>
      <c r="D16" s="167"/>
      <c r="E16" s="167"/>
      <c r="F16" s="167"/>
      <c r="G16" s="167"/>
      <c r="H16" s="168" t="s">
        <v>71</v>
      </c>
      <c r="I16" s="168"/>
      <c r="J16" s="168"/>
      <c r="K16" s="168"/>
      <c r="L16" s="168" t="s">
        <v>299</v>
      </c>
      <c r="M16" s="168"/>
      <c r="N16" s="180"/>
      <c r="O16" s="180"/>
      <c r="P16" s="168" t="s">
        <v>300</v>
      </c>
      <c r="Q16" s="168"/>
      <c r="R16" s="180"/>
      <c r="S16" s="180"/>
      <c r="T16" s="168" t="s">
        <v>296</v>
      </c>
      <c r="U16" s="168"/>
      <c r="V16" s="168"/>
      <c r="W16" s="168"/>
      <c r="X16" s="168"/>
      <c r="Y16" s="168"/>
      <c r="Z16" s="180"/>
      <c r="AA16" s="180"/>
      <c r="AB16" s="180"/>
      <c r="AC16" s="161" t="s">
        <v>118</v>
      </c>
      <c r="AD16" s="161"/>
      <c r="AE16" s="161"/>
      <c r="AF16" s="132"/>
      <c r="AI16" s="132"/>
      <c r="AJ16" s="132" t="s">
        <v>301</v>
      </c>
      <c r="AK16" s="132"/>
      <c r="AL16" s="132"/>
      <c r="AM16" s="132"/>
    </row>
    <row r="17" spans="1:47" x14ac:dyDescent="0.25">
      <c r="A17" s="163" t="s">
        <v>302</v>
      </c>
      <c r="B17" s="163"/>
      <c r="C17" s="181">
        <v>0.4</v>
      </c>
      <c r="D17" s="181"/>
      <c r="E17" s="181"/>
      <c r="F17" s="181"/>
      <c r="G17" s="181"/>
      <c r="H17" s="157" t="s">
        <v>71</v>
      </c>
      <c r="I17" s="157"/>
      <c r="J17" s="157"/>
      <c r="K17" s="157"/>
      <c r="L17" s="157" t="s">
        <v>178</v>
      </c>
      <c r="M17" s="157"/>
      <c r="N17" s="182"/>
      <c r="O17" s="182"/>
      <c r="P17" s="157" t="s">
        <v>202</v>
      </c>
      <c r="Q17" s="157"/>
      <c r="R17" s="182"/>
      <c r="S17" s="182"/>
      <c r="T17" s="157" t="s">
        <v>303</v>
      </c>
      <c r="U17" s="157"/>
      <c r="V17" s="157"/>
      <c r="W17" s="157"/>
      <c r="X17" s="157"/>
      <c r="Y17" s="157"/>
      <c r="Z17" s="182"/>
      <c r="AA17" s="182"/>
      <c r="AB17" s="182"/>
      <c r="AC17" s="162" t="s">
        <v>289</v>
      </c>
      <c r="AD17" s="162"/>
      <c r="AE17" s="162"/>
      <c r="AF17" s="132"/>
    </row>
    <row r="18" spans="1:47" ht="6" customHeight="1" x14ac:dyDescent="0.25">
      <c r="A18" s="133"/>
      <c r="B18" s="122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4"/>
      <c r="AF18" s="132"/>
    </row>
    <row r="19" spans="1:47" ht="12" customHeight="1" x14ac:dyDescent="0.25">
      <c r="A19" s="159" t="s">
        <v>304</v>
      </c>
      <c r="B19" s="159"/>
      <c r="C19" s="178" t="s">
        <v>288</v>
      </c>
      <c r="D19" s="178"/>
      <c r="E19" s="178"/>
      <c r="F19" s="178"/>
      <c r="G19" s="178"/>
      <c r="H19" s="178"/>
      <c r="I19" s="165" t="s">
        <v>286</v>
      </c>
      <c r="J19" s="165"/>
      <c r="K19" s="165"/>
      <c r="L19" s="165"/>
      <c r="M19" s="165"/>
      <c r="N19" s="165"/>
      <c r="O19" s="165" t="s">
        <v>305</v>
      </c>
      <c r="P19" s="165"/>
      <c r="Q19" s="165"/>
      <c r="R19" s="165"/>
      <c r="S19" s="165"/>
      <c r="T19" s="165"/>
      <c r="U19" s="165"/>
      <c r="V19" s="165"/>
      <c r="W19" s="179" t="s">
        <v>306</v>
      </c>
      <c r="X19" s="179"/>
      <c r="Y19" s="179"/>
      <c r="Z19" s="179"/>
      <c r="AA19" s="179"/>
      <c r="AB19" s="179"/>
      <c r="AC19" s="179"/>
      <c r="AD19" s="179"/>
      <c r="AE19" s="179"/>
      <c r="AF19" s="132"/>
      <c r="AJ19" s="131" t="s">
        <v>307</v>
      </c>
      <c r="AM19" s="131" t="s">
        <v>53</v>
      </c>
      <c r="AR19" s="131" t="s">
        <v>308</v>
      </c>
      <c r="AS19" s="131" t="s">
        <v>309</v>
      </c>
      <c r="AT19" s="131" t="s">
        <v>310</v>
      </c>
      <c r="AU19" s="131" t="s">
        <v>311</v>
      </c>
    </row>
    <row r="20" spans="1:47" x14ac:dyDescent="0.25">
      <c r="A20" s="159"/>
      <c r="B20" s="159"/>
      <c r="C20" s="181" t="s">
        <v>307</v>
      </c>
      <c r="D20" s="181"/>
      <c r="E20" s="181"/>
      <c r="F20" s="181"/>
      <c r="G20" s="181"/>
      <c r="H20" s="181"/>
      <c r="I20" s="182" t="s">
        <v>307</v>
      </c>
      <c r="J20" s="182"/>
      <c r="K20" s="182"/>
      <c r="L20" s="182"/>
      <c r="M20" s="182"/>
      <c r="N20" s="182"/>
      <c r="O20" s="182" t="s">
        <v>307</v>
      </c>
      <c r="P20" s="182"/>
      <c r="Q20" s="182"/>
      <c r="R20" s="182" t="s">
        <v>55</v>
      </c>
      <c r="S20" s="182"/>
      <c r="T20" s="182"/>
      <c r="U20" s="182"/>
      <c r="V20" s="182"/>
      <c r="W20" s="182" t="s">
        <v>307</v>
      </c>
      <c r="X20" s="182"/>
      <c r="Y20" s="182"/>
      <c r="Z20" s="183" t="s">
        <v>53</v>
      </c>
      <c r="AA20" s="183"/>
      <c r="AB20" s="183"/>
      <c r="AC20" s="183"/>
      <c r="AD20" s="183"/>
      <c r="AE20" s="183"/>
      <c r="AF20" s="132"/>
      <c r="AJ20" s="131" t="s">
        <v>312</v>
      </c>
      <c r="AL20" s="131" t="s">
        <v>55</v>
      </c>
      <c r="AM20" s="131" t="s">
        <v>55</v>
      </c>
      <c r="AR20" s="131">
        <f>IF(I20&lt;&gt;"Есть",0,IF(AND(I20="Есть",C13&gt;0,N13&gt;0,R13&gt;0,W13&gt;0,AC13&gt;0),2,"X1"))</f>
        <v>2</v>
      </c>
      <c r="AS20" s="131">
        <f>IF(I20&lt;&gt;"Нет",0,IF(AND(I20="Нет",C13&gt;0,N13&gt;0,R13&gt;0,W13&gt;0,AC13&gt;0),1,"X1"))</f>
        <v>0</v>
      </c>
      <c r="AT20" s="131">
        <f>IF(I20&lt;&gt;"Автоматически",0,IF(AND(I20="Автоматически",C13&gt;0,N13&gt;0,R13&gt;0,W13&gt;0,AC13&gt;0),AU20,"X1"))</f>
        <v>0</v>
      </c>
      <c r="AU20" s="131">
        <f>IF(OR(C24="Независимая",C28="Независимая",C32="Независимая"),2,IF(OR(C24="Зависимая",C28="Зависимая",C32="Зависимая"),1,"X1"))</f>
        <v>1</v>
      </c>
    </row>
    <row r="21" spans="1:47" x14ac:dyDescent="0.25">
      <c r="A21" s="121"/>
      <c r="B21" s="129" t="s">
        <v>1</v>
      </c>
      <c r="C21" s="135" t="s">
        <v>164</v>
      </c>
      <c r="D21" s="135">
        <f>IF(I20="Есть",AR20,IF(I20="Нет",AS20,IF(I20="Автоматически",AT20,"Х1")))</f>
        <v>2</v>
      </c>
      <c r="E21" s="135" t="s">
        <v>164</v>
      </c>
      <c r="F21" s="136" t="str">
        <f>IF(AND(C13&gt;0,N13&gt;0,C20&gt;0,I20&gt;0,R13&gt;0,D37&lt;&gt;"Х1"),VLOOKUP(1,im!BC4:BE15,2,0),"X2")</f>
        <v>08</v>
      </c>
      <c r="G21" s="135" t="s">
        <v>164</v>
      </c>
      <c r="H21" s="136" t="e">
        <f>IF(D21=1,"00",IF(AND(C13&gt;0,SUM(C14:G16)&gt;0,N13&gt;0,R13&gt;0,I20&gt;0,D37&lt;&gt;"Х1"),VLOOKUP(1,im!BG4:BI15,2,0),"X3"))</f>
        <v>#N/A</v>
      </c>
      <c r="I21" s="135" t="s">
        <v>164</v>
      </c>
      <c r="J21" s="135" t="str">
        <f>IF(C20="Нет","0",IF(AND(C13&gt;0,N13&gt;0,R13&gt;0,C20&gt;0,D37&lt;&gt;"Х1"),VLOOKUP(1,im!BK4:BM13,2,0),"X4"))</f>
        <v>4</v>
      </c>
      <c r="K21" s="135" t="s">
        <v>164</v>
      </c>
      <c r="L21" s="136" t="str">
        <f>IF(OR(C20="Нет",D21=1),"0",IF(AND(C13&gt;0,N13&gt;0,R13&gt;0,C20&gt;0,D37&lt;&gt;"Х1"),VLOOKUP(1,im!BK4:BM13,2,0),"X5"))</f>
        <v>4</v>
      </c>
      <c r="M21" s="135" t="s">
        <v>164</v>
      </c>
      <c r="N21" s="135" t="str">
        <f>IF(O20="Нет","00",IF(AND(C13&gt;0,N13&gt;0,R20&gt;0,R13&gt;0,O20&gt;0),VLOOKUP(1,IF(R20="Вогез",im!BS5:BU20,im!BV4:BX20),2,0),"X6"))</f>
        <v>08</v>
      </c>
      <c r="O21" s="135" t="s">
        <v>165</v>
      </c>
      <c r="P21" s="135" t="str">
        <f>IF(O20="Нет","0",IF(AND(C13&gt;0,N13&gt;0,R20&gt;0,R13&gt;0,O20&gt;0),VLOOKUP(1,im!BZ4:CB6,2,0),"X7"))</f>
        <v>2</v>
      </c>
      <c r="Q21" s="135" t="s">
        <v>164</v>
      </c>
      <c r="R21" s="135" t="str">
        <f>IF(W20="Нет","00",IF(AND(C13&gt;0,N13&gt;0,Z20&gt;0,R13&gt;0,W20&gt;0),VLOOKUP(1,im!CD4:CF15,2,0),"X8"))</f>
        <v>07</v>
      </c>
      <c r="S21" s="135" t="s">
        <v>165</v>
      </c>
      <c r="T21" s="135" t="str">
        <f>IF(W20="Нет","0",IF(AND(C13&gt;0,N13&gt;0,Z20&gt;0,R13&gt;0,W20&gt;0),VLOOKUP(1,im!CH4:CJ6,2,0),"X9"))</f>
        <v>1</v>
      </c>
      <c r="U21" s="135"/>
      <c r="V21" s="135"/>
      <c r="W21" s="135"/>
      <c r="X21" s="135"/>
      <c r="Y21" s="135"/>
      <c r="Z21" s="137"/>
      <c r="AA21" s="138"/>
      <c r="AB21" s="138"/>
      <c r="AC21" s="138"/>
      <c r="AD21" s="138"/>
      <c r="AE21" s="139"/>
      <c r="AF21" s="132"/>
      <c r="AJ21" s="131" t="s">
        <v>283</v>
      </c>
      <c r="AL21" s="131" t="s">
        <v>223</v>
      </c>
      <c r="AM21" s="131" t="s">
        <v>313</v>
      </c>
    </row>
    <row r="22" spans="1:47" ht="5.25" customHeight="1" x14ac:dyDescent="0.25">
      <c r="A22" s="140"/>
      <c r="B22" s="123"/>
      <c r="C22" s="129"/>
      <c r="D22" s="123"/>
      <c r="E22" s="123"/>
      <c r="F22" s="141"/>
      <c r="G22" s="123"/>
      <c r="H22" s="141"/>
      <c r="I22" s="123"/>
      <c r="J22" s="123"/>
      <c r="K22" s="123"/>
      <c r="L22" s="141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41"/>
      <c r="AA22" s="132"/>
      <c r="AB22" s="132"/>
      <c r="AC22" s="132"/>
      <c r="AD22" s="132"/>
      <c r="AE22" s="134"/>
      <c r="AF22" s="132"/>
    </row>
    <row r="23" spans="1:47" ht="12" customHeight="1" x14ac:dyDescent="0.25">
      <c r="A23" s="158" t="s">
        <v>314</v>
      </c>
      <c r="B23" s="158"/>
      <c r="C23" s="184" t="s">
        <v>62</v>
      </c>
      <c r="D23" s="184"/>
      <c r="E23" s="184"/>
      <c r="F23" s="184"/>
      <c r="G23" s="184"/>
      <c r="H23" s="184"/>
      <c r="I23" s="165" t="s">
        <v>32</v>
      </c>
      <c r="J23" s="165"/>
      <c r="K23" s="165"/>
      <c r="L23" s="165"/>
      <c r="M23" s="165"/>
      <c r="N23" s="165"/>
      <c r="O23" s="165" t="s">
        <v>315</v>
      </c>
      <c r="P23" s="165"/>
      <c r="Q23" s="165"/>
      <c r="R23" s="165"/>
      <c r="S23" s="165"/>
      <c r="T23" s="165"/>
      <c r="U23" s="165" t="s">
        <v>293</v>
      </c>
      <c r="V23" s="165"/>
      <c r="W23" s="165"/>
      <c r="X23" s="165"/>
      <c r="Y23" s="165"/>
      <c r="Z23" s="165"/>
      <c r="AA23" s="179" t="s">
        <v>316</v>
      </c>
      <c r="AB23" s="179"/>
      <c r="AC23" s="179"/>
      <c r="AD23" s="179"/>
      <c r="AE23" s="179"/>
      <c r="AF23" s="132"/>
      <c r="AJ23" s="131" t="s">
        <v>79</v>
      </c>
      <c r="AK23" s="131" t="s">
        <v>33</v>
      </c>
      <c r="AL23" s="131" t="s">
        <v>53</v>
      </c>
      <c r="AM23" s="131" t="s">
        <v>83</v>
      </c>
      <c r="AN23" s="131" t="s">
        <v>294</v>
      </c>
    </row>
    <row r="24" spans="1:47" x14ac:dyDescent="0.25">
      <c r="A24" s="158"/>
      <c r="B24" s="158"/>
      <c r="C24" s="185" t="s">
        <v>79</v>
      </c>
      <c r="D24" s="185"/>
      <c r="E24" s="185"/>
      <c r="F24" s="185"/>
      <c r="G24" s="185"/>
      <c r="H24" s="185"/>
      <c r="I24" s="182" t="s">
        <v>34</v>
      </c>
      <c r="J24" s="182"/>
      <c r="K24" s="182"/>
      <c r="L24" s="182"/>
      <c r="M24" s="182"/>
      <c r="N24" s="182"/>
      <c r="O24" s="182" t="s">
        <v>54</v>
      </c>
      <c r="P24" s="182"/>
      <c r="Q24" s="182"/>
      <c r="R24" s="182"/>
      <c r="S24" s="182"/>
      <c r="T24" s="182"/>
      <c r="U24" s="182" t="s">
        <v>83</v>
      </c>
      <c r="V24" s="182"/>
      <c r="W24" s="182"/>
      <c r="X24" s="182"/>
      <c r="Y24" s="182"/>
      <c r="Z24" s="182"/>
      <c r="AA24" s="183" t="s">
        <v>294</v>
      </c>
      <c r="AB24" s="183"/>
      <c r="AC24" s="183"/>
      <c r="AD24" s="183"/>
      <c r="AE24" s="183"/>
      <c r="AF24" s="132"/>
      <c r="AJ24" s="131" t="s">
        <v>95</v>
      </c>
      <c r="AK24" s="131" t="s">
        <v>34</v>
      </c>
      <c r="AL24" s="131" t="s">
        <v>55</v>
      </c>
      <c r="AM24" s="131" t="s">
        <v>55</v>
      </c>
      <c r="AN24" s="131" t="s">
        <v>97</v>
      </c>
    </row>
    <row r="25" spans="1:47" x14ac:dyDescent="0.25">
      <c r="A25" s="142"/>
      <c r="B25" s="129" t="s">
        <v>29</v>
      </c>
      <c r="C25" s="129" t="s">
        <v>164</v>
      </c>
      <c r="D25" s="129">
        <f>IF(C24="зависимая",1,IF(C24="независимая",2,"Х1"))</f>
        <v>1</v>
      </c>
      <c r="E25" s="129" t="s">
        <v>164</v>
      </c>
      <c r="F25" s="143" t="e">
        <f>IF(AND(C14&gt;0,N13&gt;0,R13&gt;0,N14&gt;0,R14&gt;0),VLOOKUP(1,'bov1'!BQ4:BS15,2,0),"X2")</f>
        <v>#N/A</v>
      </c>
      <c r="G25" s="129" t="s">
        <v>164</v>
      </c>
      <c r="H25" s="143" t="str">
        <f>IF(AND(C14&gt;0,N13&gt;0,R13&gt;0,N14&gt;0,R14&gt;0,O24&gt;0,W13&gt;0,AC13&gt;0),VLOOKUP(1,'bov1'!BU4:BX26,2,0),"X3")</f>
        <v>07</v>
      </c>
      <c r="I25" s="129" t="s">
        <v>165</v>
      </c>
      <c r="J25" s="129" t="str">
        <f>IF(O24&gt;0,VLOOKUP(1,'bov1'!BZ4:CB6,2,0),"X4")</f>
        <v>3</v>
      </c>
      <c r="K25" s="129" t="s">
        <v>164</v>
      </c>
      <c r="L25" s="143" t="e">
        <f>IF(AND(C14&gt;0,N13&gt;0,R13&gt;0,N14&gt;0,R14&gt;0),VLOOKUP(1,'bov1'!CD4:CF15,2,0),"X5")</f>
        <v>#N/A</v>
      </c>
      <c r="M25" s="129" t="s">
        <v>164</v>
      </c>
      <c r="N25" s="129">
        <f>IF(Z14&gt;5,"X6",IF(AND(C14&gt;0,N13&gt;0,R13&gt;0,N14&gt;0,R14&gt;0,I24&gt;0),VLOOKUP(1,IF('bov1'!B15="TOP-SD",'bov1'!CH4:CJ14,IF('bov1'!B15="Yonos MAXO-D",'bov1'!CK4:CM14,IF('bov1'!B15="Stratos-D",'bov1'!CN4:CP14,0))),2,0),"X6"))</f>
        <v>3</v>
      </c>
      <c r="O25" s="129" t="s">
        <v>165</v>
      </c>
      <c r="P25" s="129">
        <f>IF(I24&gt;0,VLOOKUP(1,'bov1'!CR4:CT7,2,0),"X7")</f>
        <v>2</v>
      </c>
      <c r="Q25" s="129" t="s">
        <v>164</v>
      </c>
      <c r="R25" s="129" t="str">
        <f>IF(AND(C14&gt;0,N13&gt;0,R13&gt;0,N14&gt;0,R14&gt;0,C24&gt;0),VLOOKUP(1,'bov1'!CW4:CY10,2,0),"X8")</f>
        <v>0</v>
      </c>
      <c r="S25" s="129" t="s">
        <v>165</v>
      </c>
      <c r="T25" s="129" t="str">
        <f>IF(AND(C14&gt;0,N13&gt;0,R13&gt;0,N14&gt;0,R14&gt;0,C24&gt;0),VLOOKUP(1,'bov1'!DA4:DC9,2,0),"X9")</f>
        <v>0</v>
      </c>
      <c r="U25" s="129" t="s">
        <v>164</v>
      </c>
      <c r="V25" s="129" t="str">
        <f>IF(U24&gt;0,VLOOKUP(1,'bov1'!DE4:DG6,2,0),"X10")</f>
        <v>1</v>
      </c>
      <c r="W25" s="129" t="s">
        <v>164</v>
      </c>
      <c r="X25" s="129" t="str">
        <f>IF(AA24&gt;0,VLOOKUP(1,'bov1'!DI4:DK5,2,0),"X11")</f>
        <v>1</v>
      </c>
      <c r="Y25" s="129"/>
      <c r="Z25" s="144"/>
      <c r="AA25" s="129"/>
      <c r="AB25" s="144"/>
      <c r="AC25" s="129"/>
      <c r="AD25" s="129"/>
      <c r="AE25" s="130"/>
      <c r="AF25" s="141"/>
      <c r="AG25" s="119"/>
      <c r="AH25" s="119"/>
      <c r="AI25" s="119"/>
      <c r="AJ25" s="119"/>
      <c r="AK25" s="119" t="s">
        <v>35</v>
      </c>
      <c r="AL25" s="131" t="s">
        <v>54</v>
      </c>
      <c r="AM25" s="131" t="s">
        <v>54</v>
      </c>
      <c r="AN25" s="119"/>
      <c r="AO25" s="119"/>
      <c r="AP25" s="119"/>
    </row>
    <row r="26" spans="1:47" ht="5.25" customHeight="1" x14ac:dyDescent="0.25">
      <c r="A26" s="140"/>
      <c r="B26" s="129"/>
      <c r="C26" s="123"/>
      <c r="D26" s="123"/>
      <c r="E26" s="123"/>
      <c r="F26" s="141"/>
      <c r="G26" s="123"/>
      <c r="H26" s="141"/>
      <c r="I26" s="123"/>
      <c r="J26" s="123"/>
      <c r="K26" s="123"/>
      <c r="L26" s="141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41"/>
      <c r="AA26" s="132"/>
      <c r="AB26" s="132"/>
      <c r="AC26" s="132"/>
      <c r="AD26" s="132"/>
      <c r="AE26" s="134"/>
      <c r="AF26" s="132"/>
    </row>
    <row r="27" spans="1:47" ht="12" customHeight="1" x14ac:dyDescent="0.25">
      <c r="A27" s="158" t="s">
        <v>317</v>
      </c>
      <c r="B27" s="158"/>
      <c r="C27" s="184" t="s">
        <v>62</v>
      </c>
      <c r="D27" s="184"/>
      <c r="E27" s="184"/>
      <c r="F27" s="184"/>
      <c r="G27" s="184"/>
      <c r="H27" s="184"/>
      <c r="I27" s="165" t="s">
        <v>32</v>
      </c>
      <c r="J27" s="165"/>
      <c r="K27" s="165"/>
      <c r="L27" s="165"/>
      <c r="M27" s="165"/>
      <c r="N27" s="165"/>
      <c r="O27" s="165" t="s">
        <v>315</v>
      </c>
      <c r="P27" s="165"/>
      <c r="Q27" s="165"/>
      <c r="R27" s="165"/>
      <c r="S27" s="165"/>
      <c r="T27" s="165"/>
      <c r="U27" s="165" t="s">
        <v>293</v>
      </c>
      <c r="V27" s="165"/>
      <c r="W27" s="165"/>
      <c r="X27" s="165"/>
      <c r="Y27" s="165"/>
      <c r="Z27" s="165"/>
      <c r="AA27" s="179" t="s">
        <v>316</v>
      </c>
      <c r="AB27" s="179"/>
      <c r="AC27" s="179"/>
      <c r="AD27" s="179"/>
      <c r="AE27" s="179"/>
      <c r="AF27" s="132"/>
    </row>
    <row r="28" spans="1:47" x14ac:dyDescent="0.25">
      <c r="A28" s="158"/>
      <c r="B28" s="158"/>
      <c r="C28" s="185"/>
      <c r="D28" s="185"/>
      <c r="E28" s="185"/>
      <c r="F28" s="185"/>
      <c r="G28" s="185"/>
      <c r="H28" s="185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  <c r="AA28" s="183" t="s">
        <v>97</v>
      </c>
      <c r="AB28" s="183"/>
      <c r="AC28" s="183"/>
      <c r="AD28" s="183"/>
      <c r="AE28" s="183"/>
      <c r="AF28" s="132"/>
    </row>
    <row r="29" spans="1:47" x14ac:dyDescent="0.25">
      <c r="A29" s="142"/>
      <c r="B29" s="129" t="s">
        <v>159</v>
      </c>
      <c r="C29" s="129" t="s">
        <v>164</v>
      </c>
      <c r="D29" s="129" t="str">
        <f>IF(C28="зависимая",1,IF(C28="независимая",2,"Х1"))</f>
        <v>Х1</v>
      </c>
      <c r="E29" s="129" t="s">
        <v>164</v>
      </c>
      <c r="F29" s="143" t="str">
        <f>IF(AND(C15&gt;0,N13&gt;0,R13&gt;0,N15&gt;0,R15&gt;0),VLOOKUP(1,'bov2'!BQ4:BS15,2,0),"X2")</f>
        <v>X2</v>
      </c>
      <c r="G29" s="129" t="s">
        <v>164</v>
      </c>
      <c r="H29" s="143" t="str">
        <f>IF(AND(C15&gt;0,N13&gt;0,R13&gt;0,N15&gt;0,R15&gt;0,O28&gt;0,W13&gt;0,AC13&gt;0),VLOOKUP(1,'bov2'!BU4:BX26,2,0),"X3")</f>
        <v>X3</v>
      </c>
      <c r="I29" s="129" t="s">
        <v>165</v>
      </c>
      <c r="J29" s="129" t="str">
        <f>IF(O28&gt;0,VLOOKUP(1,'bov2'!BZ4:CB6,2,0),"X4")</f>
        <v>X4</v>
      </c>
      <c r="K29" s="129" t="s">
        <v>164</v>
      </c>
      <c r="L29" s="143" t="str">
        <f>IF(AND(C15&gt;0,N13&gt;0,R13&gt;0,N15&gt;0,R15&gt;0),VLOOKUP(1,'bov2'!CD4:CF15,2,0),"X5")</f>
        <v>X5</v>
      </c>
      <c r="M29" s="129" t="s">
        <v>164</v>
      </c>
      <c r="N29" s="129" t="str">
        <f>IF(Z15&gt;5,"X6",IF(AND(C15&gt;0,N13&gt;0,R13&gt;0,N15&gt;0,R15&gt;0,I28&gt;0),VLOOKUP(1,IF('bov2'!B15="TOP-SD",'bov2'!CH4:CJ14,IF('bov2'!B15="Yonos MAXO-D",'bov2'!CK4:CM14,IF('bov2'!B15="Stratos-D",'bov2'!CN4:CP14,0))),2,0),"X6"))</f>
        <v>X6</v>
      </c>
      <c r="O29" s="129" t="s">
        <v>165</v>
      </c>
      <c r="P29" s="129" t="str">
        <f>IF(I28&gt;0,VLOOKUP(1,'bov2'!CR4:CT7,2,0),"X7")</f>
        <v>X7</v>
      </c>
      <c r="Q29" s="129" t="s">
        <v>164</v>
      </c>
      <c r="R29" s="129" t="str">
        <f>IF(AND(C15&gt;0,N13&gt;0,R13&gt;0,N15&gt;0,R15&gt;0,C28&gt;0),VLOOKUP(1,'bov2'!CW4:CY10,2,0),"X8")</f>
        <v>X8</v>
      </c>
      <c r="S29" s="129" t="s">
        <v>165</v>
      </c>
      <c r="T29" s="129" t="str">
        <f>IF(AND(C15&gt;0,N13&gt;0,R13&gt;0,N15&gt;0,R15&gt;0,C28&gt;0),VLOOKUP(1,'bov2'!DA4:DC9,2,0),"X9")</f>
        <v>X9</v>
      </c>
      <c r="U29" s="129" t="s">
        <v>164</v>
      </c>
      <c r="V29" s="129" t="str">
        <f>IF(U28&gt;0,VLOOKUP(1,'bov2'!DE4:DG6,2,0),"X10")</f>
        <v>X10</v>
      </c>
      <c r="W29" s="129" t="s">
        <v>164</v>
      </c>
      <c r="X29" s="129" t="str">
        <f>IF(AA28&gt;0,VLOOKUP(1,'bov2'!DI4:DK5,2,0),"X11")</f>
        <v>0</v>
      </c>
      <c r="Y29" s="129"/>
      <c r="Z29" s="144"/>
      <c r="AA29" s="129"/>
      <c r="AB29" s="144"/>
      <c r="AC29" s="129"/>
      <c r="AD29" s="129"/>
      <c r="AE29" s="130"/>
      <c r="AF29" s="132"/>
    </row>
    <row r="30" spans="1:47" ht="6" customHeight="1" x14ac:dyDescent="0.25">
      <c r="A30" s="125"/>
      <c r="B30" s="145"/>
      <c r="C30" s="123"/>
      <c r="D30" s="123"/>
      <c r="E30" s="123"/>
      <c r="F30" s="141"/>
      <c r="G30" s="123"/>
      <c r="H30" s="141"/>
      <c r="I30" s="123"/>
      <c r="J30" s="123"/>
      <c r="K30" s="123"/>
      <c r="L30" s="141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41"/>
      <c r="AA30" s="123"/>
      <c r="AB30" s="141"/>
      <c r="AC30" s="123"/>
      <c r="AD30" s="123"/>
      <c r="AE30" s="120"/>
      <c r="AF30" s="132"/>
    </row>
    <row r="31" spans="1:47" ht="12" customHeight="1" x14ac:dyDescent="0.25">
      <c r="A31" s="158" t="s">
        <v>318</v>
      </c>
      <c r="B31" s="158"/>
      <c r="C31" s="184" t="s">
        <v>62</v>
      </c>
      <c r="D31" s="184"/>
      <c r="E31" s="184"/>
      <c r="F31" s="184"/>
      <c r="G31" s="184"/>
      <c r="H31" s="184"/>
      <c r="I31" s="165" t="s">
        <v>32</v>
      </c>
      <c r="J31" s="165"/>
      <c r="K31" s="165"/>
      <c r="L31" s="165"/>
      <c r="M31" s="165"/>
      <c r="N31" s="165"/>
      <c r="O31" s="165" t="s">
        <v>315</v>
      </c>
      <c r="P31" s="165"/>
      <c r="Q31" s="165"/>
      <c r="R31" s="165"/>
      <c r="S31" s="165"/>
      <c r="T31" s="165"/>
      <c r="U31" s="165" t="s">
        <v>293</v>
      </c>
      <c r="V31" s="165"/>
      <c r="W31" s="165"/>
      <c r="X31" s="165"/>
      <c r="Y31" s="165"/>
      <c r="Z31" s="165"/>
      <c r="AA31" s="179" t="s">
        <v>316</v>
      </c>
      <c r="AB31" s="179"/>
      <c r="AC31" s="179"/>
      <c r="AD31" s="179"/>
      <c r="AE31" s="179"/>
      <c r="AF31" s="132"/>
    </row>
    <row r="32" spans="1:47" x14ac:dyDescent="0.25">
      <c r="A32" s="158"/>
      <c r="B32" s="158"/>
      <c r="C32" s="185"/>
      <c r="D32" s="185"/>
      <c r="E32" s="185"/>
      <c r="F32" s="185"/>
      <c r="G32" s="185"/>
      <c r="H32" s="185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  <c r="AA32" s="183"/>
      <c r="AB32" s="183"/>
      <c r="AC32" s="183"/>
      <c r="AD32" s="183"/>
      <c r="AE32" s="183"/>
      <c r="AF32" s="132"/>
    </row>
    <row r="33" spans="1:46" x14ac:dyDescent="0.25">
      <c r="A33" s="127"/>
      <c r="B33" s="135" t="s">
        <v>160</v>
      </c>
      <c r="C33" s="135" t="s">
        <v>164</v>
      </c>
      <c r="D33" s="129" t="str">
        <f>IF(C32="зависимая",1,IF(C32="независимая",2,"Х1"))</f>
        <v>Х1</v>
      </c>
      <c r="E33" s="129" t="s">
        <v>164</v>
      </c>
      <c r="F33" s="143" t="str">
        <f>IF(AND(C16&gt;0,N13&gt;0,R13&gt;0,N16&gt;0,R16&gt;0),VLOOKUP(1,'bov3'!BQ4:BS15,2,0),"X2")</f>
        <v>X2</v>
      </c>
      <c r="G33" s="129" t="s">
        <v>164</v>
      </c>
      <c r="H33" s="143" t="str">
        <f>IF(AND(C16&gt;0,N13&gt;0,R13&gt;0,N16&gt;0,R16&gt;0,O32&gt;0,W13&gt;0,AC13&gt;0),VLOOKUP(1,'bov3'!BU4:BX26,2,0),"X3")</f>
        <v>X3</v>
      </c>
      <c r="I33" s="129" t="s">
        <v>165</v>
      </c>
      <c r="J33" s="129" t="str">
        <f>IF(O32&gt;0,VLOOKUP(1,'bov3'!BZ4:CB6,2,0),"X4")</f>
        <v>X4</v>
      </c>
      <c r="K33" s="129" t="s">
        <v>164</v>
      </c>
      <c r="L33" s="143" t="str">
        <f>IF(AND(C16&gt;0,N13&gt;0,R13&gt;0,N16&gt;0,R16&gt;0),VLOOKUP(1,'bov3'!CD4:CF15,2,0),"X5")</f>
        <v>X5</v>
      </c>
      <c r="M33" s="129" t="s">
        <v>164</v>
      </c>
      <c r="N33" s="129" t="str">
        <f>IF(Z16&gt;5,"X6",IF(AND(C16&gt;0,N13&gt;0,R13&gt;0,N16&gt;0,R16&gt;0,I32&gt;0),VLOOKUP(1,IF('bov3'!B15="TOP-SD",'bov3'!CH4:CJ14,IF('bov3'!B15="Yonos MAXO-D",'bov3'!CK4:CM14,IF('bov3'!B15="Stratos-D",'bov3'!CN4:CP14,0))),2,0),"X6"))</f>
        <v>X6</v>
      </c>
      <c r="O33" s="129" t="s">
        <v>165</v>
      </c>
      <c r="P33" s="129" t="str">
        <f>IF(I32&gt;0,VLOOKUP(1,'bov3'!CR4:CT7,2,0),"X7")</f>
        <v>X7</v>
      </c>
      <c r="Q33" s="129" t="s">
        <v>164</v>
      </c>
      <c r="R33" s="129" t="str">
        <f>IF(AND(C13&gt;0,N13&gt;0,R13&gt;0,N16&gt;0,R16&gt;0,C32&gt;0),VLOOKUP(1,'bov3'!CW4:CY10,2,0),"X8")</f>
        <v>X8</v>
      </c>
      <c r="S33" s="129" t="s">
        <v>165</v>
      </c>
      <c r="T33" s="129" t="str">
        <f>IF(AND(C16&gt;0,N13&gt;0,R13&gt;0,N16&gt;0,R16&gt;0,C32&gt;0),VLOOKUP(1,'bov3'!DA4:DC9,2,0),"X9")</f>
        <v>X9</v>
      </c>
      <c r="U33" s="129" t="s">
        <v>164</v>
      </c>
      <c r="V33" s="129" t="str">
        <f>IF(U32&gt;0,VLOOKUP(1,'bov3'!DE4:DG6,2,0),"X10")</f>
        <v>X10</v>
      </c>
      <c r="W33" s="129" t="s">
        <v>164</v>
      </c>
      <c r="X33" s="129" t="str">
        <f>IF(AA32&gt;0,VLOOKUP(1,'bov3'!DI4:DK5,2,0),"X11")</f>
        <v>X11</v>
      </c>
      <c r="Y33" s="135"/>
      <c r="Z33" s="137"/>
      <c r="AA33" s="135"/>
      <c r="AB33" s="137"/>
      <c r="AC33" s="135"/>
      <c r="AD33" s="135"/>
      <c r="AE33" s="128"/>
      <c r="AF33" s="132"/>
    </row>
    <row r="34" spans="1:46" ht="6" customHeight="1" x14ac:dyDescent="0.25">
      <c r="A34" s="125"/>
      <c r="B34" s="123"/>
      <c r="C34" s="145"/>
      <c r="D34" s="123"/>
      <c r="E34" s="123"/>
      <c r="F34" s="141"/>
      <c r="G34" s="123"/>
      <c r="H34" s="141"/>
      <c r="I34" s="123"/>
      <c r="J34" s="123"/>
      <c r="K34" s="123"/>
      <c r="L34" s="141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41"/>
      <c r="AA34" s="123"/>
      <c r="AB34" s="141"/>
      <c r="AC34" s="123"/>
      <c r="AD34" s="123"/>
      <c r="AE34" s="120"/>
      <c r="AF34" s="132"/>
    </row>
    <row r="35" spans="1:46" ht="12" customHeight="1" x14ac:dyDescent="0.25">
      <c r="A35" s="158" t="s">
        <v>319</v>
      </c>
      <c r="B35" s="158"/>
      <c r="C35" s="184" t="s">
        <v>62</v>
      </c>
      <c r="D35" s="184"/>
      <c r="E35" s="184"/>
      <c r="F35" s="184"/>
      <c r="G35" s="184"/>
      <c r="H35" s="184"/>
      <c r="I35" s="165" t="s">
        <v>32</v>
      </c>
      <c r="J35" s="165"/>
      <c r="K35" s="165"/>
      <c r="L35" s="165"/>
      <c r="M35" s="165"/>
      <c r="N35" s="165"/>
      <c r="O35" s="165" t="s">
        <v>315</v>
      </c>
      <c r="P35" s="165"/>
      <c r="Q35" s="165"/>
      <c r="R35" s="165"/>
      <c r="S35" s="165"/>
      <c r="T35" s="165"/>
      <c r="U35" s="165" t="s">
        <v>293</v>
      </c>
      <c r="V35" s="165"/>
      <c r="W35" s="165"/>
      <c r="X35" s="165"/>
      <c r="Y35" s="165"/>
      <c r="Z35" s="165"/>
      <c r="AA35" s="179" t="s">
        <v>316</v>
      </c>
      <c r="AB35" s="179"/>
      <c r="AC35" s="179"/>
      <c r="AD35" s="179"/>
      <c r="AE35" s="179"/>
      <c r="AF35" s="132"/>
      <c r="AJ35" s="131" t="s">
        <v>283</v>
      </c>
      <c r="AK35" s="131" t="s">
        <v>191</v>
      </c>
      <c r="AL35" s="146" t="s">
        <v>53</v>
      </c>
      <c r="AR35" s="131" t="s">
        <v>320</v>
      </c>
      <c r="AS35" s="131" t="s">
        <v>321</v>
      </c>
      <c r="AT35" s="131" t="s">
        <v>322</v>
      </c>
    </row>
    <row r="36" spans="1:46" x14ac:dyDescent="0.25">
      <c r="A36" s="158"/>
      <c r="B36" s="158"/>
      <c r="C36" s="185" t="s">
        <v>283</v>
      </c>
      <c r="D36" s="185"/>
      <c r="E36" s="185"/>
      <c r="F36" s="185"/>
      <c r="G36" s="185"/>
      <c r="H36" s="185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  <c r="AA36" s="183"/>
      <c r="AB36" s="183"/>
      <c r="AC36" s="183"/>
      <c r="AD36" s="183"/>
      <c r="AE36" s="183"/>
      <c r="AF36" s="132"/>
      <c r="AJ36" s="131" t="s">
        <v>323</v>
      </c>
      <c r="AK36" s="119" t="s">
        <v>195</v>
      </c>
      <c r="AL36" s="131" t="s">
        <v>55</v>
      </c>
      <c r="AR36" s="131">
        <f>IF(C36&lt;&gt;"Принуд. Паралл.",0,IF(AND(C36="Принуд. Паралл.",C17&gt;0),1,"Х1"))</f>
        <v>0</v>
      </c>
      <c r="AS36" s="131">
        <f>IF(C36&lt;&gt;"Принудит. Смеш.",0,IF(AND(C36="Принудит. Смеш.",C17&gt;0,SUM(C14:G16)&gt;0,N13&gt;0,R13&gt;0),2,"Х1"))</f>
        <v>0</v>
      </c>
      <c r="AT36" s="131">
        <f>IF(C36&lt;&gt;"Автоматически",0,IF(AND(C36="Автоматически",C17&gt;0,SUM(C14:G16)&gt;0,N13&gt;0,R13&gt;0),IF(AND(C17/(C14+C15+C16)&gt;0.2,C17/(C14+C15+C16)&lt;1),2,1),"Х1"))</f>
        <v>1</v>
      </c>
    </row>
    <row r="37" spans="1:46" x14ac:dyDescent="0.25">
      <c r="A37" s="133"/>
      <c r="B37" s="135" t="s">
        <v>324</v>
      </c>
      <c r="C37" s="135" t="s">
        <v>164</v>
      </c>
      <c r="D37" s="135">
        <f>IF(C36="Принуд. Паралл.",AR36,IF(C36="Принудит. Смеш.",AS36,IF(C36="Автоматически",AT36,"Х1")))</f>
        <v>1</v>
      </c>
      <c r="E37" s="135" t="s">
        <v>164</v>
      </c>
      <c r="F37" s="136" t="str">
        <f>IF(D37=1,IF(AND(C17&gt;0,N17&gt;0,R17&gt;0),VLOOKUP(1,bg!BB4:BD15,2,0),"X2"),IF(D37=2,IF(AND(C17&gt;0,N17&gt;0,R17&gt;0,SUM(C14:G16)&gt;0,N13&gt;0,R13&gt;0),VLOOKUP(1,bgs!BM4:BO15,2,0),"X2"),"X2"))</f>
        <v>X2</v>
      </c>
      <c r="G37" s="135" t="s">
        <v>164</v>
      </c>
      <c r="H37" s="136" t="str">
        <f>IF(D37=1,IF(AND(C17&gt;0,N17&gt;0,R17&gt;0,O36&gt;0),VLOOKUP(1,bg!BF4:BI26,2,0),"X3"),IF(D37=2,IF(AND(C17&gt;0,N17&gt;0,R17&gt;0,SUM(C14:G16)&gt;0,N13&gt;0,R13&gt;0,O36&gt;0),VLOOKUP(1,bgs!BQ4:BT26,2,0),"X3"),"X3"))</f>
        <v>X3</v>
      </c>
      <c r="I37" s="135" t="s">
        <v>165</v>
      </c>
      <c r="J37" s="135" t="str">
        <f>IF(D37=1,IF(AND(C17&gt;0,N17&gt;0,R17&gt;0,O36&gt;0),VLOOKUP(1,bg!BK4:BM6,2,0),"X4"),IF(D37=2,IF(AND(C17&gt;0,N17&gt;0,R17&gt;0,SUM(C14:G16)&gt;0,N13&gt;0,R13&gt;0,O36&gt;0),VLOOKUP(1,bgs!BV4:BX6,2,0),"X4"),"X4"))</f>
        <v>X4</v>
      </c>
      <c r="K37" s="135" t="s">
        <v>164</v>
      </c>
      <c r="L37" s="136" t="str">
        <f>IF(D37=1,IF(AND(C17&gt;0,N17&gt;0,R17&gt;0),VLOOKUP(1,bg!BO4:BQ15,2,0),"X5"),IF(D37=2,IF(AND(C17&gt;0,N17&gt;0,R17&gt;0,SUM(C14:G16)&gt;0,N13&gt;0,R13&gt;0),VLOOKUP(1,bgs!BZ4:CB15,2,0),"X5"),"X5"))</f>
        <v>X5</v>
      </c>
      <c r="M37" s="135" t="s">
        <v>164</v>
      </c>
      <c r="N37" s="135" t="str">
        <f>IF(D37=1,IF(AND(C17&gt;0,N17&gt;0,R17&gt;0),VLOOKUP(1,bg!BS4:BU15,2,0),"X6"),IF(D37=2,IF(AND(C17&gt;0,N17&gt;0,R17&gt;0,SUM(C14:G16)&gt;0,N13&gt;0,R13&gt;0),VLOOKUP(1,bgs!CD4:CF15,2,0),"X6"),"X6"))</f>
        <v>X6</v>
      </c>
      <c r="O37" s="135" t="s">
        <v>164</v>
      </c>
      <c r="P37" s="135" t="str">
        <f>IF(D37=1,IF(AND(C17&gt;0,N17&gt;0,R17&gt;0),VLOOKUP(1,bg!BW4:BY15,2,0),"X7"),IF(D37=2,IF(AND(C17&gt;0,N17&gt;0,R17&gt;0,SUM(C14:G16)&gt;0,N13&gt;0,R13&gt;0),VLOOKUP(1,bgs!CH4:CJ15,2,0),"X7"),"X7"))</f>
        <v>X7</v>
      </c>
      <c r="Q37" s="135" t="s">
        <v>164</v>
      </c>
      <c r="R37" s="135" t="str">
        <f>IF(D37=1,IF(AND(C17&gt;0,N17&gt;0,R17&gt;0),VLOOKUP(1,bg!CA4:CC15,2,0),"X8"),IF(D37=2,IF(AND(C17&gt;0,N17&gt;0,R17&gt;0,SUM(C14:G16)&gt;0,N13&gt;0,R13&gt;0),VLOOKUP(1,bgs!CL4:CN15,2,0),"X8"),"X8"))</f>
        <v>X8</v>
      </c>
      <c r="S37" s="135" t="s">
        <v>164</v>
      </c>
      <c r="T37" s="135" t="str">
        <f>IF(D37=1,IF(AND(C17&gt;0,N17&gt;0,R17&gt;0),VLOOKUP(1,bg!CE4:CG9,2,0),"X9"),IF(D37=2,IF(AND(C17&gt;0,N17&gt;0,R17&gt;0,SUM(C14:G16)&gt;0,N13&gt;0,R13&gt;0),VLOOKUP(1,bgs!CP4:CR9,2,0),"X9"),"X9"))</f>
        <v>X9</v>
      </c>
      <c r="U37" s="135" t="s">
        <v>164</v>
      </c>
      <c r="V37" s="147" t="str">
        <f>IF(D37=1,IF(AND(C17&gt;0,N17&gt;0,R17&gt;0,I36&gt;0),VLOOKUP(1,IF(I36="stratos-z",bg!CI4:CK7,bg!CL4:CN7),2,0),"X10"),IF(D37=2,IF(AND(C17&gt;0,N17&gt;0,R17&gt;0,SUM(C14:G16)&gt;0,N13&gt;0,R13&gt;0,I36&gt;0),VLOOKUP(1,IF(I36="stratos-z",bgs!CT4:CV7,bgs!CW4:CY7),2,0),"X10"),"X10"))</f>
        <v>X10</v>
      </c>
      <c r="W37" s="135" t="s">
        <v>165</v>
      </c>
      <c r="X37" s="135" t="str">
        <f>IF(D37=1,IF(AND(C17&gt;0,N17&gt;0,R17&gt;0,I36&gt;0),VLOOKUP(1,bg!CP5:CR6,2,0),"X11"),IF(D37=2,IF(AND(C17&gt;0,N17&gt;0,R17&gt;0,SUM(C14:G16)&gt;0,N13&gt;0,R13&gt;0,I36&gt;0),VLOOKUP(1,bgs!DA5:DC6,2,0),"X11"),"X11"))</f>
        <v>X11</v>
      </c>
      <c r="Y37" s="135" t="s">
        <v>164</v>
      </c>
      <c r="Z37" s="148" t="str">
        <f>IF(D37=1,IF(AND(C17&gt;0,N17&gt;0,R17&gt;0,C17&lt;1.001),VLOOKUP(1,bg!CU5:CW19,2,0),"X12"),IF(D37=2,IF(AND(C17&gt;0,N17&gt;0,R17&gt;0,SUM(C14:G16)&gt;0,N13&gt;0,R13&gt;0),VLOOKUP(1,bgs!DF5:DH19,2,0),"X12"),"X12"))</f>
        <v>X12</v>
      </c>
      <c r="AA37" s="138" t="s">
        <v>164</v>
      </c>
      <c r="AB37" s="136" t="str">
        <f>IF(D37=1,IF(U36&gt;0,VLOOKUP(1,bg!CY4:DA6,2,0),"X13"),IF(D37=2,IF(U36&gt;0,VLOOKUP(1,bgs!DJ4:DL6,2,0),"X13"),"X13"))</f>
        <v>X13</v>
      </c>
      <c r="AC37" s="138" t="s">
        <v>164</v>
      </c>
      <c r="AD37" s="136" t="str">
        <f>IF(D37=1,IF(AA36&gt;0,VLOOKUP(1,bg!DC4:DE5,2,0),"X14"),IF(D37=2,IF(AA36&gt;0,VLOOKUP(1,bgs!DN4:DP5,2,0),"X14"),"X14"))</f>
        <v>X14</v>
      </c>
      <c r="AE37" s="139"/>
      <c r="AF37" s="132"/>
      <c r="AJ37" s="131" t="s">
        <v>325</v>
      </c>
      <c r="AL37" s="131" t="s">
        <v>54</v>
      </c>
    </row>
    <row r="38" spans="1:46" ht="6" customHeight="1" x14ac:dyDescent="0.25">
      <c r="A38" s="125"/>
      <c r="B38" s="145"/>
      <c r="C38" s="123"/>
      <c r="D38" s="123"/>
      <c r="E38" s="123"/>
      <c r="F38" s="141"/>
      <c r="G38" s="123"/>
      <c r="H38" s="141"/>
      <c r="I38" s="123"/>
      <c r="J38" s="123"/>
      <c r="K38" s="123"/>
      <c r="L38" s="141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41"/>
      <c r="AA38" s="123"/>
      <c r="AB38" s="141"/>
      <c r="AC38" s="123"/>
      <c r="AD38" s="123"/>
      <c r="AE38" s="120"/>
      <c r="AF38" s="132"/>
      <c r="AL38" s="131" t="s">
        <v>326</v>
      </c>
    </row>
    <row r="39" spans="1:46" ht="12" customHeight="1" x14ac:dyDescent="0.25">
      <c r="A39" s="158" t="s">
        <v>327</v>
      </c>
      <c r="B39" s="158"/>
      <c r="C39" s="184" t="s">
        <v>280</v>
      </c>
      <c r="D39" s="184"/>
      <c r="E39" s="184"/>
      <c r="F39" s="184"/>
      <c r="G39" s="184"/>
      <c r="H39" s="184"/>
      <c r="I39" s="165" t="s">
        <v>328</v>
      </c>
      <c r="J39" s="165"/>
      <c r="K39" s="165"/>
      <c r="L39" s="165"/>
      <c r="M39" s="165"/>
      <c r="N39" s="165"/>
      <c r="O39" s="165" t="s">
        <v>329</v>
      </c>
      <c r="P39" s="165"/>
      <c r="Q39" s="165"/>
      <c r="R39" s="165"/>
      <c r="S39" s="165"/>
      <c r="T39" s="165"/>
      <c r="U39" s="165" t="s">
        <v>330</v>
      </c>
      <c r="V39" s="165"/>
      <c r="W39" s="165"/>
      <c r="X39" s="165"/>
      <c r="Y39" s="165"/>
      <c r="Z39" s="165"/>
      <c r="AA39" s="179" t="s">
        <v>331</v>
      </c>
      <c r="AB39" s="179"/>
      <c r="AC39" s="179"/>
      <c r="AD39" s="179"/>
      <c r="AE39" s="179"/>
      <c r="AF39" s="132"/>
      <c r="AJ39" s="131" t="s">
        <v>283</v>
      </c>
      <c r="AK39" s="131" t="s">
        <v>332</v>
      </c>
      <c r="AL39" s="131" t="s">
        <v>333</v>
      </c>
      <c r="AM39" s="131" t="s">
        <v>334</v>
      </c>
    </row>
    <row r="40" spans="1:46" x14ac:dyDescent="0.25">
      <c r="A40" s="158"/>
      <c r="B40" s="158"/>
      <c r="C40" s="185" t="s">
        <v>335</v>
      </c>
      <c r="D40" s="185"/>
      <c r="E40" s="185"/>
      <c r="F40" s="185"/>
      <c r="G40" s="185"/>
      <c r="H40" s="185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  <c r="AA40" s="183"/>
      <c r="AB40" s="183"/>
      <c r="AC40" s="183"/>
      <c r="AD40" s="183"/>
      <c r="AE40" s="183"/>
      <c r="AJ40" s="131" t="s">
        <v>335</v>
      </c>
      <c r="AK40" s="131" t="s">
        <v>336</v>
      </c>
      <c r="AL40" s="131" t="s">
        <v>55</v>
      </c>
      <c r="AM40" s="131" t="s">
        <v>337</v>
      </c>
    </row>
    <row r="41" spans="1:46" ht="12" customHeight="1" x14ac:dyDescent="0.25">
      <c r="A41" s="121"/>
      <c r="B41" s="129" t="s">
        <v>338</v>
      </c>
      <c r="C41" s="129" t="s">
        <v>164</v>
      </c>
      <c r="D41" s="129" t="s">
        <v>37</v>
      </c>
      <c r="E41" s="129" t="s">
        <v>164</v>
      </c>
      <c r="F41" s="144" t="s">
        <v>38</v>
      </c>
      <c r="G41" s="129" t="s">
        <v>165</v>
      </c>
      <c r="H41" s="144" t="s">
        <v>39</v>
      </c>
      <c r="I41" s="129" t="s">
        <v>164</v>
      </c>
      <c r="J41" s="129" t="s">
        <v>40</v>
      </c>
      <c r="K41" s="129" t="s">
        <v>165</v>
      </c>
      <c r="L41" s="144" t="s">
        <v>41</v>
      </c>
      <c r="M41" s="129" t="s">
        <v>164</v>
      </c>
      <c r="N41" s="129" t="s">
        <v>42</v>
      </c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4"/>
      <c r="AJ41" s="131" t="s">
        <v>339</v>
      </c>
      <c r="AK41" s="131" t="s">
        <v>340</v>
      </c>
      <c r="AM41" s="131" t="s">
        <v>341</v>
      </c>
    </row>
    <row r="42" spans="1:46" ht="6" customHeight="1" x14ac:dyDescent="0.25">
      <c r="A42" s="125"/>
      <c r="B42" s="123"/>
      <c r="C42" s="123"/>
      <c r="D42" s="123"/>
      <c r="E42" s="123"/>
      <c r="F42" s="141"/>
      <c r="G42" s="123"/>
      <c r="H42" s="141"/>
      <c r="I42" s="123"/>
      <c r="J42" s="123"/>
      <c r="K42" s="123"/>
      <c r="L42" s="141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41"/>
      <c r="AA42" s="123"/>
      <c r="AB42" s="141"/>
      <c r="AC42" s="123"/>
      <c r="AD42" s="123"/>
      <c r="AE42" s="120"/>
      <c r="AF42" s="132"/>
    </row>
    <row r="43" spans="1:46" ht="12" customHeight="1" x14ac:dyDescent="0.25">
      <c r="A43" s="158" t="s">
        <v>342</v>
      </c>
      <c r="B43" s="158"/>
      <c r="C43" s="184" t="s">
        <v>280</v>
      </c>
      <c r="D43" s="184"/>
      <c r="E43" s="184"/>
      <c r="F43" s="184"/>
      <c r="G43" s="184"/>
      <c r="H43" s="184"/>
      <c r="I43" s="165" t="s">
        <v>328</v>
      </c>
      <c r="J43" s="165"/>
      <c r="K43" s="165"/>
      <c r="L43" s="165"/>
      <c r="M43" s="165"/>
      <c r="N43" s="165"/>
      <c r="O43" s="165" t="s">
        <v>329</v>
      </c>
      <c r="P43" s="165"/>
      <c r="Q43" s="165"/>
      <c r="R43" s="165"/>
      <c r="S43" s="165"/>
      <c r="T43" s="165"/>
      <c r="U43" s="165" t="s">
        <v>330</v>
      </c>
      <c r="V43" s="165"/>
      <c r="W43" s="165"/>
      <c r="X43" s="165"/>
      <c r="Y43" s="165"/>
      <c r="Z43" s="165"/>
      <c r="AA43" s="179" t="s">
        <v>331</v>
      </c>
      <c r="AB43" s="179"/>
      <c r="AC43" s="179"/>
      <c r="AD43" s="179"/>
      <c r="AE43" s="179"/>
    </row>
    <row r="44" spans="1:46" x14ac:dyDescent="0.25">
      <c r="A44" s="158"/>
      <c r="B44" s="158"/>
      <c r="C44" s="185"/>
      <c r="D44" s="185"/>
      <c r="E44" s="185"/>
      <c r="F44" s="185"/>
      <c r="G44" s="185"/>
      <c r="H44" s="185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  <c r="AA44" s="183" t="s">
        <v>341</v>
      </c>
      <c r="AB44" s="183"/>
      <c r="AC44" s="183"/>
      <c r="AD44" s="183"/>
      <c r="AE44" s="183"/>
    </row>
    <row r="45" spans="1:46" x14ac:dyDescent="0.25">
      <c r="A45" s="121"/>
      <c r="B45" s="129" t="s">
        <v>343</v>
      </c>
      <c r="C45" s="129" t="s">
        <v>164</v>
      </c>
      <c r="D45" s="129" t="s">
        <v>37</v>
      </c>
      <c r="E45" s="129" t="s">
        <v>164</v>
      </c>
      <c r="F45" s="144" t="s">
        <v>38</v>
      </c>
      <c r="G45" s="129" t="s">
        <v>165</v>
      </c>
      <c r="H45" s="144" t="s">
        <v>39</v>
      </c>
      <c r="I45" s="129" t="s">
        <v>164</v>
      </c>
      <c r="J45" s="129" t="s">
        <v>40</v>
      </c>
      <c r="K45" s="129" t="s">
        <v>165</v>
      </c>
      <c r="L45" s="144" t="s">
        <v>41</v>
      </c>
      <c r="M45" s="129" t="s">
        <v>164</v>
      </c>
      <c r="N45" s="129" t="s">
        <v>42</v>
      </c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4"/>
    </row>
    <row r="46" spans="1:46" ht="6" customHeight="1" x14ac:dyDescent="0.25">
      <c r="A46" s="125"/>
      <c r="B46" s="123"/>
      <c r="C46" s="123"/>
      <c r="D46" s="123"/>
      <c r="E46" s="123"/>
      <c r="F46" s="141"/>
      <c r="G46" s="123"/>
      <c r="H46" s="141"/>
      <c r="I46" s="123"/>
      <c r="J46" s="123"/>
      <c r="K46" s="123"/>
      <c r="L46" s="141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41"/>
      <c r="AA46" s="123"/>
      <c r="AB46" s="141"/>
      <c r="AC46" s="123"/>
      <c r="AD46" s="123"/>
      <c r="AE46" s="120"/>
      <c r="AF46" s="132"/>
    </row>
    <row r="47" spans="1:46" ht="12" customHeight="1" x14ac:dyDescent="0.25">
      <c r="A47" s="158" t="s">
        <v>344</v>
      </c>
      <c r="B47" s="158"/>
      <c r="C47" s="184" t="s">
        <v>280</v>
      </c>
      <c r="D47" s="184"/>
      <c r="E47" s="184"/>
      <c r="F47" s="184"/>
      <c r="G47" s="184"/>
      <c r="H47" s="184"/>
      <c r="I47" s="165" t="s">
        <v>328</v>
      </c>
      <c r="J47" s="165"/>
      <c r="K47" s="165"/>
      <c r="L47" s="165"/>
      <c r="M47" s="165"/>
      <c r="N47" s="165"/>
      <c r="O47" s="165" t="s">
        <v>329</v>
      </c>
      <c r="P47" s="165"/>
      <c r="Q47" s="165"/>
      <c r="R47" s="165"/>
      <c r="S47" s="165"/>
      <c r="T47" s="165"/>
      <c r="U47" s="165" t="s">
        <v>330</v>
      </c>
      <c r="V47" s="165"/>
      <c r="W47" s="165"/>
      <c r="X47" s="165"/>
      <c r="Y47" s="165"/>
      <c r="Z47" s="165"/>
      <c r="AA47" s="179" t="s">
        <v>331</v>
      </c>
      <c r="AB47" s="179"/>
      <c r="AC47" s="179"/>
      <c r="AD47" s="179"/>
      <c r="AE47" s="179"/>
    </row>
    <row r="48" spans="1:46" x14ac:dyDescent="0.25">
      <c r="A48" s="158"/>
      <c r="B48" s="158"/>
      <c r="C48" s="185"/>
      <c r="D48" s="185"/>
      <c r="E48" s="185"/>
      <c r="F48" s="185"/>
      <c r="G48" s="185"/>
      <c r="H48" s="185"/>
      <c r="I48" s="182"/>
      <c r="J48" s="182"/>
      <c r="K48" s="182"/>
      <c r="L48" s="182"/>
      <c r="M48" s="182"/>
      <c r="N48" s="182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  <c r="AA48" s="183"/>
      <c r="AB48" s="183"/>
      <c r="AC48" s="183"/>
      <c r="AD48" s="183"/>
      <c r="AE48" s="183"/>
    </row>
    <row r="49" spans="1:32" x14ac:dyDescent="0.25">
      <c r="A49" s="133"/>
      <c r="B49" s="135" t="s">
        <v>345</v>
      </c>
      <c r="C49" s="135" t="s">
        <v>164</v>
      </c>
      <c r="D49" s="135" t="s">
        <v>37</v>
      </c>
      <c r="E49" s="135" t="s">
        <v>164</v>
      </c>
      <c r="F49" s="137" t="s">
        <v>38</v>
      </c>
      <c r="G49" s="135" t="s">
        <v>165</v>
      </c>
      <c r="H49" s="137" t="s">
        <v>39</v>
      </c>
      <c r="I49" s="135" t="s">
        <v>164</v>
      </c>
      <c r="J49" s="135" t="s">
        <v>40</v>
      </c>
      <c r="K49" s="135" t="s">
        <v>165</v>
      </c>
      <c r="L49" s="137" t="s">
        <v>41</v>
      </c>
      <c r="M49" s="135" t="s">
        <v>164</v>
      </c>
      <c r="N49" s="135" t="s">
        <v>42</v>
      </c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9"/>
    </row>
    <row r="50" spans="1:32" ht="6" customHeight="1" x14ac:dyDescent="0.25">
      <c r="A50" s="125"/>
      <c r="B50" s="123"/>
      <c r="C50" s="129"/>
      <c r="D50" s="123"/>
      <c r="E50" s="123"/>
      <c r="F50" s="141"/>
      <c r="G50" s="123"/>
      <c r="H50" s="141"/>
      <c r="I50" s="123"/>
      <c r="J50" s="123"/>
      <c r="K50" s="123"/>
      <c r="L50" s="141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41"/>
      <c r="AA50" s="123"/>
      <c r="AB50" s="141"/>
      <c r="AC50" s="123"/>
      <c r="AD50" s="123"/>
      <c r="AE50" s="120"/>
      <c r="AF50" s="132"/>
    </row>
    <row r="51" spans="1:32" ht="12" customHeight="1" x14ac:dyDescent="0.25">
      <c r="A51" s="158" t="s">
        <v>346</v>
      </c>
      <c r="B51" s="158"/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86"/>
      <c r="AC51" s="186"/>
      <c r="AD51" s="186"/>
      <c r="AE51" s="186"/>
    </row>
    <row r="52" spans="1:32" x14ac:dyDescent="0.25">
      <c r="A52" s="158"/>
      <c r="B52" s="158"/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  <c r="AA52" s="186"/>
      <c r="AB52" s="186"/>
      <c r="AC52" s="186"/>
      <c r="AD52" s="186"/>
      <c r="AE52" s="186"/>
    </row>
    <row r="53" spans="1:32" x14ac:dyDescent="0.25">
      <c r="A53" s="158"/>
      <c r="B53" s="158"/>
      <c r="C53" s="186"/>
      <c r="D53" s="186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  <c r="AA53" s="186"/>
      <c r="AB53" s="186"/>
      <c r="AC53" s="186"/>
      <c r="AD53" s="186"/>
      <c r="AE53" s="186"/>
    </row>
    <row r="54" spans="1:32" x14ac:dyDescent="0.25">
      <c r="A54" s="158"/>
      <c r="B54" s="158"/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  <c r="AA54" s="186"/>
      <c r="AB54" s="186"/>
      <c r="AC54" s="186"/>
      <c r="AD54" s="186"/>
      <c r="AE54" s="186"/>
    </row>
    <row r="55" spans="1:32" x14ac:dyDescent="0.25">
      <c r="A55" s="158"/>
      <c r="B55" s="158"/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6"/>
      <c r="AB55" s="186"/>
      <c r="AC55" s="186"/>
      <c r="AD55" s="186"/>
      <c r="AE55" s="186"/>
    </row>
    <row r="56" spans="1:32" x14ac:dyDescent="0.25">
      <c r="A56" s="158"/>
      <c r="B56" s="158"/>
      <c r="C56" s="186"/>
      <c r="D56" s="186"/>
      <c r="E56" s="186"/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  <c r="AA56" s="186"/>
      <c r="AB56" s="186"/>
      <c r="AC56" s="186"/>
      <c r="AD56" s="186"/>
      <c r="AE56" s="186"/>
    </row>
    <row r="57" spans="1:32" x14ac:dyDescent="0.25">
      <c r="A57" s="158"/>
      <c r="B57" s="158"/>
      <c r="C57" s="186"/>
      <c r="D57" s="186"/>
      <c r="E57" s="186"/>
      <c r="F57" s="186"/>
      <c r="G57" s="186"/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6"/>
      <c r="AB57" s="186"/>
      <c r="AC57" s="186"/>
      <c r="AD57" s="186"/>
      <c r="AE57" s="186"/>
    </row>
    <row r="69" spans="2:26" x14ac:dyDescent="0.25">
      <c r="B69" s="123" t="s">
        <v>2</v>
      </c>
      <c r="C69" s="123" t="s">
        <v>164</v>
      </c>
      <c r="D69" s="123" t="s">
        <v>37</v>
      </c>
      <c r="E69" s="123" t="s">
        <v>164</v>
      </c>
      <c r="F69" s="141" t="s">
        <v>38</v>
      </c>
      <c r="G69" s="123" t="s">
        <v>164</v>
      </c>
      <c r="H69" s="141" t="s">
        <v>39</v>
      </c>
      <c r="I69" s="123" t="s">
        <v>165</v>
      </c>
      <c r="J69" s="123" t="s">
        <v>40</v>
      </c>
      <c r="K69" s="123" t="s">
        <v>164</v>
      </c>
      <c r="L69" s="141" t="s">
        <v>41</v>
      </c>
      <c r="M69" s="123" t="s">
        <v>164</v>
      </c>
      <c r="N69" s="123" t="s">
        <v>42</v>
      </c>
      <c r="O69" s="123" t="s">
        <v>165</v>
      </c>
      <c r="P69" s="123" t="s">
        <v>43</v>
      </c>
      <c r="Q69" s="123" t="s">
        <v>164</v>
      </c>
      <c r="R69" s="123" t="s">
        <v>44</v>
      </c>
      <c r="S69" s="123" t="s">
        <v>164</v>
      </c>
      <c r="T69" s="123" t="s">
        <v>45</v>
      </c>
      <c r="U69" s="123" t="s">
        <v>164</v>
      </c>
      <c r="V69" s="123" t="s">
        <v>46</v>
      </c>
      <c r="W69" s="123" t="s">
        <v>164</v>
      </c>
      <c r="X69" s="123" t="s">
        <v>47</v>
      </c>
      <c r="Y69" s="123" t="s">
        <v>164</v>
      </c>
      <c r="Z69" s="141" t="s">
        <v>170</v>
      </c>
    </row>
  </sheetData>
  <mergeCells count="169">
    <mergeCell ref="A51:B57"/>
    <mergeCell ref="C51:AE57"/>
    <mergeCell ref="A47:B48"/>
    <mergeCell ref="C47:H47"/>
    <mergeCell ref="I47:N47"/>
    <mergeCell ref="O47:T47"/>
    <mergeCell ref="U47:Z47"/>
    <mergeCell ref="AA47:AE47"/>
    <mergeCell ref="C48:H48"/>
    <mergeCell ref="I48:N48"/>
    <mergeCell ref="O48:T48"/>
    <mergeCell ref="U48:Z48"/>
    <mergeCell ref="AA48:AE48"/>
    <mergeCell ref="A43:B44"/>
    <mergeCell ref="C43:H43"/>
    <mergeCell ref="I43:N43"/>
    <mergeCell ref="O43:T43"/>
    <mergeCell ref="U43:Z43"/>
    <mergeCell ref="AA43:AE43"/>
    <mergeCell ref="C44:H44"/>
    <mergeCell ref="I44:N44"/>
    <mergeCell ref="O44:T44"/>
    <mergeCell ref="U44:Z44"/>
    <mergeCell ref="AA44:AE44"/>
    <mergeCell ref="A39:B40"/>
    <mergeCell ref="C39:H39"/>
    <mergeCell ref="I39:N39"/>
    <mergeCell ref="O39:T39"/>
    <mergeCell ref="U39:Z39"/>
    <mergeCell ref="AA39:AE39"/>
    <mergeCell ref="C40:H40"/>
    <mergeCell ref="I40:N40"/>
    <mergeCell ref="O40:T40"/>
    <mergeCell ref="U40:Z40"/>
    <mergeCell ref="AA40:AE40"/>
    <mergeCell ref="A35:B36"/>
    <mergeCell ref="C35:H35"/>
    <mergeCell ref="I35:N35"/>
    <mergeCell ref="O35:T35"/>
    <mergeCell ref="U35:Z35"/>
    <mergeCell ref="AA35:AE35"/>
    <mergeCell ref="C36:H36"/>
    <mergeCell ref="I36:N36"/>
    <mergeCell ref="O36:T36"/>
    <mergeCell ref="U36:Z36"/>
    <mergeCell ref="AA36:AE36"/>
    <mergeCell ref="A31:B32"/>
    <mergeCell ref="C31:H31"/>
    <mergeCell ref="I31:N31"/>
    <mergeCell ref="O31:T31"/>
    <mergeCell ref="U31:Z31"/>
    <mergeCell ref="AA31:AE31"/>
    <mergeCell ref="C32:H32"/>
    <mergeCell ref="I32:N32"/>
    <mergeCell ref="O32:T32"/>
    <mergeCell ref="U32:Z32"/>
    <mergeCell ref="AA32:AE32"/>
    <mergeCell ref="A27:B28"/>
    <mergeCell ref="C27:H27"/>
    <mergeCell ref="I27:N27"/>
    <mergeCell ref="O27:T27"/>
    <mergeCell ref="U27:Z27"/>
    <mergeCell ref="AA27:AE27"/>
    <mergeCell ref="C28:H28"/>
    <mergeCell ref="I28:N28"/>
    <mergeCell ref="O28:T28"/>
    <mergeCell ref="U28:Z28"/>
    <mergeCell ref="AA28:AE28"/>
    <mergeCell ref="A23:B24"/>
    <mergeCell ref="C23:H23"/>
    <mergeCell ref="I23:N23"/>
    <mergeCell ref="O23:T23"/>
    <mergeCell ref="U23:Z23"/>
    <mergeCell ref="AA23:AE23"/>
    <mergeCell ref="C24:H24"/>
    <mergeCell ref="I24:N24"/>
    <mergeCell ref="O24:T24"/>
    <mergeCell ref="U24:Z24"/>
    <mergeCell ref="AA24:AE24"/>
    <mergeCell ref="A19:B20"/>
    <mergeCell ref="C19:H19"/>
    <mergeCell ref="I19:N19"/>
    <mergeCell ref="O19:V19"/>
    <mergeCell ref="W19:AE19"/>
    <mergeCell ref="C20:H20"/>
    <mergeCell ref="I20:N20"/>
    <mergeCell ref="O20:Q20"/>
    <mergeCell ref="R20:V20"/>
    <mergeCell ref="W20:Y20"/>
    <mergeCell ref="Z20:AE20"/>
    <mergeCell ref="AC16:AE16"/>
    <mergeCell ref="A17:B17"/>
    <mergeCell ref="C17:G17"/>
    <mergeCell ref="H17:K17"/>
    <mergeCell ref="L17:M17"/>
    <mergeCell ref="N17:O17"/>
    <mergeCell ref="P17:Q17"/>
    <mergeCell ref="R17:S17"/>
    <mergeCell ref="T17:Y17"/>
    <mergeCell ref="Z17:AB17"/>
    <mergeCell ref="AC17:AE17"/>
    <mergeCell ref="A16:B16"/>
    <mergeCell ref="C16:G16"/>
    <mergeCell ref="H16:K16"/>
    <mergeCell ref="L16:M16"/>
    <mergeCell ref="N16:O16"/>
    <mergeCell ref="P16:Q16"/>
    <mergeCell ref="R16:S16"/>
    <mergeCell ref="T16:Y16"/>
    <mergeCell ref="Z16:AB16"/>
    <mergeCell ref="AC14:AE14"/>
    <mergeCell ref="A15:B15"/>
    <mergeCell ref="C15:G15"/>
    <mergeCell ref="H15:K15"/>
    <mergeCell ref="L15:M15"/>
    <mergeCell ref="N15:O15"/>
    <mergeCell ref="P15:Q15"/>
    <mergeCell ref="R15:S15"/>
    <mergeCell ref="T15:Y15"/>
    <mergeCell ref="Z15:AB15"/>
    <mergeCell ref="AC15:AE15"/>
    <mergeCell ref="A14:B14"/>
    <mergeCell ref="C14:G14"/>
    <mergeCell ref="H14:K14"/>
    <mergeCell ref="L14:M14"/>
    <mergeCell ref="N14:O14"/>
    <mergeCell ref="P14:Q14"/>
    <mergeCell ref="R14:S14"/>
    <mergeCell ref="T14:Y14"/>
    <mergeCell ref="Z14:AB14"/>
    <mergeCell ref="A12:B12"/>
    <mergeCell ref="C12:K12"/>
    <mergeCell ref="L12:S12"/>
    <mergeCell ref="T12:AE12"/>
    <mergeCell ref="A13:B13"/>
    <mergeCell ref="C13:G13"/>
    <mergeCell ref="H13:K13"/>
    <mergeCell ref="L13:M13"/>
    <mergeCell ref="N13:O13"/>
    <mergeCell ref="P13:Q13"/>
    <mergeCell ref="R13:S13"/>
    <mergeCell ref="T13:V13"/>
    <mergeCell ref="W13:Y13"/>
    <mergeCell ref="Z13:AB13"/>
    <mergeCell ref="AC13:AE13"/>
    <mergeCell ref="A7:B9"/>
    <mergeCell ref="C7:AE9"/>
    <mergeCell ref="A10:B11"/>
    <mergeCell ref="C10:G10"/>
    <mergeCell ref="H10:L10"/>
    <mergeCell ref="M10:Q10"/>
    <mergeCell ref="R10:X11"/>
    <mergeCell ref="Y10:AE10"/>
    <mergeCell ref="C11:G11"/>
    <mergeCell ref="H11:L11"/>
    <mergeCell ref="M11:Q11"/>
    <mergeCell ref="Y11:AE11"/>
    <mergeCell ref="A1:B2"/>
    <mergeCell ref="C1:O2"/>
    <mergeCell ref="P1:S2"/>
    <mergeCell ref="T1:AE2"/>
    <mergeCell ref="A3:B4"/>
    <mergeCell ref="C3:O4"/>
    <mergeCell ref="P3:S4"/>
    <mergeCell ref="T3:AE4"/>
    <mergeCell ref="A5:B6"/>
    <mergeCell ref="C5:O6"/>
    <mergeCell ref="P5:S6"/>
    <mergeCell ref="T5:AE6"/>
  </mergeCells>
  <conditionalFormatting sqref="N25">
    <cfRule type="expression" dxfId="7" priority="2">
      <formula>$Z$14&gt;5</formula>
    </cfRule>
  </conditionalFormatting>
  <conditionalFormatting sqref="N29">
    <cfRule type="expression" dxfId="6" priority="3">
      <formula>$Z$15&gt;5</formula>
    </cfRule>
  </conditionalFormatting>
  <conditionalFormatting sqref="N33">
    <cfRule type="expression" dxfId="5" priority="4">
      <formula>$Z$15&gt;5</formula>
    </cfRule>
  </conditionalFormatting>
  <conditionalFormatting sqref="A17:B17">
    <cfRule type="expression" dxfId="4" priority="5">
      <formula>$AR$36="Х1"</formula>
    </cfRule>
  </conditionalFormatting>
  <conditionalFormatting sqref="A14:B17 L13:M13 P13:Q13">
    <cfRule type="expression" dxfId="3" priority="6">
      <formula>OR($AS$36="Х1",$AT$36="Х1")</formula>
    </cfRule>
  </conditionalFormatting>
  <conditionalFormatting sqref="C17:G17">
    <cfRule type="expression" dxfId="2" priority="7">
      <formula>$C$17&gt;=1.001</formula>
    </cfRule>
  </conditionalFormatting>
  <conditionalFormatting sqref="A14:B17 L13:M13 P13:Q13 T13:V13 Z13:AB13">
    <cfRule type="expression" dxfId="1" priority="8">
      <formula>OR($AR$20="X1",$AS$20="X1",$AT$20="X1")</formula>
    </cfRule>
  </conditionalFormatting>
  <conditionalFormatting sqref="A14:B17 L13:M13 P13:Q13 T13:V13 Z13:AB13 C23:H23 C27:H27 C31:H31">
    <cfRule type="expression" dxfId="0" priority="9">
      <formula>$AT$20="X1"</formula>
    </cfRule>
  </conditionalFormatting>
  <dataValidations count="19">
    <dataValidation type="list" allowBlank="1" showInputMessage="1" showErrorMessage="1" sqref="C20:H20 O20 W20" xr:uid="{00000000-0002-0000-0C00-000000000000}">
      <formula1>$AJ$19:$AJ$20</formula1>
      <formula2>0</formula2>
    </dataValidation>
    <dataValidation type="list" allowBlank="1" showInputMessage="1" showErrorMessage="1" sqref="Z20:AE20" xr:uid="{00000000-0002-0000-0C00-000001000000}">
      <formula1>$AM$19:$AM$21</formula1>
      <formula2>0</formula2>
    </dataValidation>
    <dataValidation type="list" allowBlank="1" showInputMessage="1" showErrorMessage="1" sqref="R20:V20" xr:uid="{00000000-0002-0000-0C00-000002000000}">
      <formula1>$AL$19:$AL$21</formula1>
      <formula2>0</formula2>
    </dataValidation>
    <dataValidation type="list" allowBlank="1" showInputMessage="1" showErrorMessage="1" sqref="C24:H24 C28:H28 C32:H32" xr:uid="{00000000-0002-0000-0C00-000003000000}">
      <formula1>$AJ$23:$AJ$24</formula1>
      <formula2>0</formula2>
    </dataValidation>
    <dataValidation type="list" allowBlank="1" showInputMessage="1" showErrorMessage="1" sqref="I24:N24 I28:N28 I32:N32" xr:uid="{00000000-0002-0000-0C00-000004000000}">
      <formula1>$AK$23:$AK$25</formula1>
      <formula2>0</formula2>
    </dataValidation>
    <dataValidation type="list" allowBlank="1" showInputMessage="1" showErrorMessage="1" sqref="O24:T24 O28:T28 O32:T32" xr:uid="{00000000-0002-0000-0C00-000005000000}">
      <formula1>$AL$23:$AL$25</formula1>
      <formula2>0</formula2>
    </dataValidation>
    <dataValidation type="list" allowBlank="1" showInputMessage="1" showErrorMessage="1" sqref="U24:Z24 U28:Z28 U32:Z32 U36:Z36" xr:uid="{00000000-0002-0000-0C00-000006000000}">
      <formula1>$AM$23:$AM$25</formula1>
      <formula2>0</formula2>
    </dataValidation>
    <dataValidation type="list" allowBlank="1" showInputMessage="1" showErrorMessage="1" sqref="AA28:AE28 AA32:AE32 AA36:AE36" xr:uid="{00000000-0002-0000-0C00-000007000000}">
      <formula1>$AN$23:$AN$24</formula1>
      <formula2>0</formula2>
    </dataValidation>
    <dataValidation type="list" allowBlank="1" showInputMessage="1" showErrorMessage="1" sqref="C36:H36" xr:uid="{00000000-0002-0000-0C00-000008000000}">
      <formula1>$AJ$35:$AJ$37</formula1>
      <formula2>0</formula2>
    </dataValidation>
    <dataValidation type="list" allowBlank="1" showInputMessage="1" showErrorMessage="1" sqref="C40:N40 C44:N44 C48:N48" xr:uid="{00000000-0002-0000-0C00-000009000000}">
      <formula1>$AJ$39:$AJ$41</formula1>
      <formula2>0</formula2>
    </dataValidation>
    <dataValidation type="list" allowBlank="1" showInputMessage="1" showErrorMessage="1" sqref="O40:T40 O44:T44 O48:T48" xr:uid="{00000000-0002-0000-0C00-00000A000000}">
      <formula1>$AK$39:$AK$41</formula1>
      <formula2>0</formula2>
    </dataValidation>
    <dataValidation type="list" allowBlank="1" showInputMessage="1" showErrorMessage="1" sqref="U40:Z40 U44:Z44 U48:Z48" xr:uid="{00000000-0002-0000-0C00-00000B000000}">
      <formula1>$AL$39:$AL$40</formula1>
      <formula2>0</formula2>
    </dataValidation>
    <dataValidation type="list" allowBlank="1" showInputMessage="1" showErrorMessage="1" sqref="AA40:AE40 AA44:AE44 AA48:AE48" xr:uid="{00000000-0002-0000-0C00-00000C000000}">
      <formula1>$AM$39:$AM$41</formula1>
      <formula2>0</formula2>
    </dataValidation>
    <dataValidation type="list" allowBlank="1" showInputMessage="1" showErrorMessage="1" sqref="O36:T36" xr:uid="{00000000-0002-0000-0C00-00000D000000}">
      <formula1>$AL$35:$AL$38</formula1>
      <formula2>0</formula2>
    </dataValidation>
    <dataValidation type="list" allowBlank="1" showInputMessage="1" showErrorMessage="1" sqref="AA24:AE24" xr:uid="{00000000-0002-0000-0C00-00000E000000}">
      <formula1>$AN$22:$AN$23</formula1>
      <formula2>0</formula2>
    </dataValidation>
    <dataValidation type="list" allowBlank="1" showInputMessage="1" showErrorMessage="1" sqref="A14:B16" xr:uid="{00000000-0002-0000-0C00-00000F000000}">
      <formula1>$AJ$14:$AJ$16</formula1>
      <formula2>0</formula2>
    </dataValidation>
    <dataValidation type="list" allowBlank="1" showInputMessage="1" showErrorMessage="1" sqref="I36:N36" xr:uid="{00000000-0002-0000-0C00-000010000000}">
      <formula1>$AK$35:$AK$36</formula1>
      <formula2>0</formula2>
    </dataValidation>
    <dataValidation type="list" allowBlank="1" showInputMessage="1" showErrorMessage="1" sqref="I20:N20" xr:uid="{00000000-0002-0000-0C00-000011000000}">
      <formula1>$AJ$19:$AJ$21</formula1>
      <formula2>0</formula2>
    </dataValidation>
    <dataValidation type="list" allowBlank="1" showInputMessage="1" showErrorMessage="1" sqref="N13:O13" xr:uid="{00000000-0002-0000-0C00-000012000000}">
      <formula1>$AQ$13:$AU$13</formula1>
      <formula2>0</formula2>
    </dataValidation>
  </dataValidations>
  <printOptions horizontalCentered="1"/>
  <pageMargins left="0.23611111111111099" right="0.23611111111111099" top="0.74791666666666701" bottom="0.74791666666666701" header="0.51180555555555496" footer="0.51180555555555496"/>
  <pageSetup paperSize="9" firstPageNumber="0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</vt:i4>
      </vt:variant>
    </vt:vector>
  </HeadingPairs>
  <TitlesOfParts>
    <vt:vector size="11" baseType="lpstr">
      <vt:lpstr>Лист1</vt:lpstr>
      <vt:lpstr>Лист2</vt:lpstr>
      <vt:lpstr>bov1</vt:lpstr>
      <vt:lpstr>bov2</vt:lpstr>
      <vt:lpstr>bov3</vt:lpstr>
      <vt:lpstr>Лист3</vt:lpstr>
      <vt:lpstr>bg</vt:lpstr>
      <vt:lpstr>bgs</vt:lpstr>
      <vt:lpstr>im</vt:lpstr>
      <vt:lpstr>ol4</vt:lpstr>
      <vt:lpstr>'ol4'!Область_печати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2018-03-23T02:43:12Z</dcterms:created>
  <dcterms:modified xsi:type="dcterms:W3CDTF">2018-03-23T03:06:25Z</dcterms:modified>
  <dc:language/>
</cp:coreProperties>
</file>