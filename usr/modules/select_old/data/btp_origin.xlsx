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drawings/drawing2.xml" ContentType="application/vnd.openxmlformats-officedocument.drawing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drawings/drawing3.xml" ContentType="application/vnd.openxmlformats-officedocument.drawing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drawings/drawing4.xml" ContentType="application/vnd.openxmlformats-officedocument.drawing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24226"/>
  <bookViews>
    <workbookView xWindow="0" yWindow="0" windowWidth="25020" windowHeight="9345" tabRatio="787" firstSheet="2" activeTab="12"/>
  </bookViews>
  <sheets>
    <sheet name="Лист1" sheetId="1" state="hidden" r:id="rId1"/>
    <sheet name="Лист2" sheetId="2" state="hidden" r:id="rId2"/>
    <sheet name="БОВ (1)" sheetId="3" r:id="rId3"/>
    <sheet name="БОВ (2)" sheetId="24" r:id="rId4"/>
    <sheet name="БОВ (3)" sheetId="25" r:id="rId5"/>
    <sheet name="Лист3" sheetId="10" state="hidden" r:id="rId6"/>
    <sheet name="БГ" sheetId="4" r:id="rId7"/>
    <sheet name="БГ-С" sheetId="7" r:id="rId8"/>
    <sheet name="БВ" sheetId="8" r:id="rId9"/>
    <sheet name="ОЛ" sheetId="9" r:id="rId10"/>
    <sheet name="ОЛ (2)" sheetId="11" r:id="rId11"/>
    <sheet name="ОЛ (3)" sheetId="12" r:id="rId12"/>
    <sheet name="ОЛ(4)" sheetId="15" r:id="rId13"/>
  </sheets>
  <definedNames>
    <definedName name="_xlnm.Print_Area" localSheetId="9">ОЛ!$A$1:$AH$56</definedName>
    <definedName name="_xlnm.Print_Area" localSheetId="10">'ОЛ (2)'!$A$1:$AH$55</definedName>
    <definedName name="_xlnm.Print_Area" localSheetId="11">'ОЛ (3)'!$A$1:$AH$57</definedName>
    <definedName name="_xlnm.Print_Area" localSheetId="12">'ОЛ(4)'!$A$1:$AE$66</definedName>
  </definedNames>
  <calcPr calcId="152511"/>
</workbook>
</file>

<file path=xl/calcChain.xml><?xml version="1.0" encoding="utf-8"?>
<calcChain xmlns="http://schemas.openxmlformats.org/spreadsheetml/2006/main">
  <c r="B13" i="8" l="1"/>
  <c r="CH5" i="8" s="1"/>
  <c r="B12" i="8"/>
  <c r="BZ5" i="8" s="1"/>
  <c r="T17" i="3"/>
  <c r="T16" i="3"/>
  <c r="T15" i="3"/>
  <c r="T14" i="3"/>
  <c r="T13" i="3"/>
  <c r="T12" i="3"/>
  <c r="T11" i="3"/>
  <c r="T10" i="3"/>
  <c r="T9" i="3"/>
  <c r="T8" i="3"/>
  <c r="T7" i="3"/>
  <c r="T6" i="3"/>
  <c r="T5" i="3"/>
  <c r="T4" i="3"/>
  <c r="T17" i="24"/>
  <c r="T16" i="24"/>
  <c r="T15" i="24"/>
  <c r="T14" i="24"/>
  <c r="T13" i="24"/>
  <c r="T12" i="24"/>
  <c r="T11" i="24"/>
  <c r="T10" i="24"/>
  <c r="T9" i="24"/>
  <c r="T8" i="24"/>
  <c r="T7" i="24"/>
  <c r="T6" i="24"/>
  <c r="T5" i="24"/>
  <c r="T4" i="24"/>
  <c r="T17" i="25"/>
  <c r="T16" i="25"/>
  <c r="T15" i="25"/>
  <c r="T14" i="25"/>
  <c r="T13" i="25"/>
  <c r="T12" i="25"/>
  <c r="T11" i="25"/>
  <c r="T10" i="25"/>
  <c r="T9" i="25"/>
  <c r="T8" i="25"/>
  <c r="T7" i="25"/>
  <c r="T6" i="25"/>
  <c r="T5" i="25"/>
  <c r="T4" i="25"/>
  <c r="B18" i="25"/>
  <c r="B18" i="24"/>
  <c r="B18" i="3"/>
  <c r="CH4" i="8" l="1"/>
  <c r="CH6" i="8"/>
  <c r="BZ4" i="8"/>
  <c r="BZ6" i="8"/>
  <c r="AU20" i="15"/>
  <c r="AS20" i="15"/>
  <c r="AT36" i="15"/>
  <c r="C13" i="15" l="1"/>
  <c r="T21" i="15" s="1"/>
  <c r="B17" i="7"/>
  <c r="DN5" i="7" s="1"/>
  <c r="B16" i="7"/>
  <c r="DJ5" i="7" s="1"/>
  <c r="B15" i="7"/>
  <c r="DA5" i="7" s="1"/>
  <c r="B14" i="7"/>
  <c r="BV4" i="7" s="1"/>
  <c r="B10" i="7"/>
  <c r="B9" i="7"/>
  <c r="B8" i="7"/>
  <c r="B7" i="7" s="1"/>
  <c r="P21" i="15" l="1"/>
  <c r="AT20" i="15"/>
  <c r="AR20" i="15"/>
  <c r="BV6" i="7"/>
  <c r="BV5" i="7"/>
  <c r="DA6" i="7"/>
  <c r="DJ6" i="7"/>
  <c r="DJ4" i="7"/>
  <c r="DN4" i="7"/>
  <c r="B14" i="25"/>
  <c r="B17" i="4"/>
  <c r="DC4" i="4" s="1"/>
  <c r="B16" i="4"/>
  <c r="CY6" i="4" s="1"/>
  <c r="B15" i="4"/>
  <c r="CP5" i="4" s="1"/>
  <c r="B14" i="4"/>
  <c r="BK6" i="4" s="1"/>
  <c r="B10" i="4"/>
  <c r="B9" i="4"/>
  <c r="B8" i="4"/>
  <c r="B7" i="4" s="1"/>
  <c r="D21" i="15" l="1"/>
  <c r="CP6" i="4"/>
  <c r="DC5" i="4"/>
  <c r="BK4" i="4"/>
  <c r="CY4" i="4"/>
  <c r="BK5" i="4"/>
  <c r="CY5" i="4"/>
  <c r="AS36" i="15"/>
  <c r="AR36" i="15"/>
  <c r="D37" i="15" l="1"/>
  <c r="H21" i="15" s="1"/>
  <c r="D29" i="15"/>
  <c r="X37" i="15" l="1"/>
  <c r="AD37" i="15"/>
  <c r="AB37" i="15"/>
  <c r="J37" i="15"/>
  <c r="B4" i="7"/>
  <c r="B4" i="4"/>
  <c r="AU7" i="4" s="1"/>
  <c r="V33" i="15"/>
  <c r="T33" i="15"/>
  <c r="D33" i="15"/>
  <c r="B6" i="24"/>
  <c r="B6" i="25"/>
  <c r="B17" i="25"/>
  <c r="DI5" i="25" s="1"/>
  <c r="B16" i="25"/>
  <c r="DE4" i="25" s="1"/>
  <c r="B15" i="25"/>
  <c r="CR5" i="25" s="1"/>
  <c r="BZ6" i="25"/>
  <c r="B11" i="25"/>
  <c r="B8" i="25"/>
  <c r="B7" i="25"/>
  <c r="B4" i="25"/>
  <c r="P17" i="25"/>
  <c r="K17" i="25"/>
  <c r="P16" i="25"/>
  <c r="K16" i="25"/>
  <c r="P15" i="25"/>
  <c r="K15" i="25"/>
  <c r="P14" i="25"/>
  <c r="K14" i="25"/>
  <c r="P13" i="25"/>
  <c r="K13" i="25"/>
  <c r="P12" i="25"/>
  <c r="K12" i="25"/>
  <c r="P11" i="25"/>
  <c r="K11" i="25"/>
  <c r="P10" i="25"/>
  <c r="K10" i="25"/>
  <c r="B10" i="25"/>
  <c r="P9" i="25"/>
  <c r="K9" i="25"/>
  <c r="B9" i="25"/>
  <c r="P8" i="25"/>
  <c r="K8" i="25"/>
  <c r="P7" i="25"/>
  <c r="K7" i="25"/>
  <c r="P6" i="25"/>
  <c r="K6" i="25"/>
  <c r="P5" i="25"/>
  <c r="K5" i="25"/>
  <c r="B5" i="25"/>
  <c r="P4" i="25"/>
  <c r="K4" i="25"/>
  <c r="B17" i="24"/>
  <c r="DI5" i="24" s="1"/>
  <c r="B16" i="24"/>
  <c r="DE5" i="24" s="1"/>
  <c r="B15" i="24"/>
  <c r="B14" i="24"/>
  <c r="BZ5" i="24" s="1"/>
  <c r="B11" i="24"/>
  <c r="B8" i="24"/>
  <c r="B7" i="24"/>
  <c r="B4" i="24"/>
  <c r="P17" i="24"/>
  <c r="K17" i="24"/>
  <c r="P16" i="24"/>
  <c r="K16" i="24"/>
  <c r="P15" i="24"/>
  <c r="K15" i="24"/>
  <c r="P14" i="24"/>
  <c r="K14" i="24"/>
  <c r="P13" i="24"/>
  <c r="K13" i="24"/>
  <c r="P12" i="24"/>
  <c r="K12" i="24"/>
  <c r="P11" i="24"/>
  <c r="K11" i="24"/>
  <c r="P10" i="24"/>
  <c r="K10" i="24"/>
  <c r="B10" i="24"/>
  <c r="P9" i="24"/>
  <c r="K9" i="24"/>
  <c r="B9" i="24"/>
  <c r="P8" i="24"/>
  <c r="K8" i="24"/>
  <c r="P7" i="24"/>
  <c r="K7" i="24"/>
  <c r="DE6" i="24"/>
  <c r="P6" i="24"/>
  <c r="K6" i="24"/>
  <c r="P5" i="24"/>
  <c r="K5" i="24"/>
  <c r="B5" i="24"/>
  <c r="DE4" i="24"/>
  <c r="V29" i="15" s="1"/>
  <c r="P4" i="24"/>
  <c r="K4" i="24"/>
  <c r="B6" i="3"/>
  <c r="B8" i="3"/>
  <c r="B4" i="3"/>
  <c r="BC4" i="7" l="1"/>
  <c r="BC91" i="7"/>
  <c r="BC92" i="7"/>
  <c r="BC93" i="7"/>
  <c r="F16" i="3"/>
  <c r="BK13" i="24"/>
  <c r="F16" i="24"/>
  <c r="BI11" i="25"/>
  <c r="F16" i="25"/>
  <c r="BC8" i="7"/>
  <c r="BC12" i="7"/>
  <c r="BC16" i="7"/>
  <c r="BC20" i="7"/>
  <c r="BC24" i="7"/>
  <c r="BC28" i="7"/>
  <c r="BC32" i="7"/>
  <c r="BC36" i="7"/>
  <c r="BC40" i="7"/>
  <c r="BC44" i="7"/>
  <c r="BC48" i="7"/>
  <c r="BC52" i="7"/>
  <c r="BC56" i="7"/>
  <c r="BC60" i="7"/>
  <c r="BC84" i="7"/>
  <c r="BC5" i="7"/>
  <c r="BC17" i="7"/>
  <c r="BC25" i="7"/>
  <c r="BC33" i="7"/>
  <c r="BC41" i="7"/>
  <c r="BC49" i="7"/>
  <c r="BC57" i="7"/>
  <c r="BC65" i="7"/>
  <c r="BC73" i="7"/>
  <c r="BC81" i="7"/>
  <c r="BC89" i="7"/>
  <c r="BC6" i="7"/>
  <c r="BC14" i="7"/>
  <c r="BC22" i="7"/>
  <c r="BC30" i="7"/>
  <c r="BC38" i="7"/>
  <c r="BC46" i="7"/>
  <c r="BC54" i="7"/>
  <c r="BC66" i="7"/>
  <c r="BC78" i="7"/>
  <c r="BC86" i="7"/>
  <c r="BC58" i="7"/>
  <c r="BC7" i="7"/>
  <c r="BC11" i="7"/>
  <c r="BC15" i="7"/>
  <c r="BC19" i="7"/>
  <c r="BC23" i="7"/>
  <c r="BC27" i="7"/>
  <c r="BC31" i="7"/>
  <c r="BC35" i="7"/>
  <c r="BC39" i="7"/>
  <c r="BC43" i="7"/>
  <c r="BC47" i="7"/>
  <c r="BC51" i="7"/>
  <c r="BC55" i="7"/>
  <c r="BC59" i="7"/>
  <c r="BC63" i="7"/>
  <c r="BC67" i="7"/>
  <c r="BC71" i="7"/>
  <c r="BC75" i="7"/>
  <c r="BC79" i="7"/>
  <c r="BC83" i="7"/>
  <c r="BC87" i="7"/>
  <c r="BC64" i="7"/>
  <c r="BC68" i="7"/>
  <c r="BC72" i="7"/>
  <c r="BC76" i="7"/>
  <c r="BC80" i="7"/>
  <c r="BC88" i="7"/>
  <c r="BC9" i="7"/>
  <c r="BC13" i="7"/>
  <c r="BC21" i="7"/>
  <c r="BC29" i="7"/>
  <c r="BC37" i="7"/>
  <c r="BC45" i="7"/>
  <c r="BC53" i="7"/>
  <c r="BC61" i="7"/>
  <c r="BC69" i="7"/>
  <c r="BC77" i="7"/>
  <c r="BC85" i="7"/>
  <c r="BC10" i="7"/>
  <c r="BC18" i="7"/>
  <c r="BC26" i="7"/>
  <c r="BC34" i="7"/>
  <c r="BC42" i="7"/>
  <c r="BC50" i="7"/>
  <c r="BC62" i="7"/>
  <c r="BC70" i="7"/>
  <c r="BC74" i="7"/>
  <c r="BC82" i="7"/>
  <c r="BC90" i="7"/>
  <c r="AU6" i="4"/>
  <c r="AU5" i="4"/>
  <c r="AU4" i="4"/>
  <c r="AU3" i="4"/>
  <c r="B12" i="25"/>
  <c r="X4" i="25" s="1"/>
  <c r="DI4" i="25"/>
  <c r="X33" i="15" s="1"/>
  <c r="BF8" i="25"/>
  <c r="AY9" i="25"/>
  <c r="BA4" i="25"/>
  <c r="BD7" i="25"/>
  <c r="AT11" i="25"/>
  <c r="BI4" i="25"/>
  <c r="BF6" i="25"/>
  <c r="BI9" i="25"/>
  <c r="AV10" i="25"/>
  <c r="BK4" i="25"/>
  <c r="BA5" i="25"/>
  <c r="AV8" i="25"/>
  <c r="BI12" i="25"/>
  <c r="F4" i="25"/>
  <c r="L6" i="25" s="1"/>
  <c r="BK13" i="25"/>
  <c r="BK5" i="25"/>
  <c r="BF10" i="25"/>
  <c r="DE6" i="25"/>
  <c r="CR7" i="25"/>
  <c r="DE5" i="25"/>
  <c r="BZ4" i="25"/>
  <c r="BZ5" i="25"/>
  <c r="BI13" i="25"/>
  <c r="AY4" i="25"/>
  <c r="AV6" i="25"/>
  <c r="AT7" i="25"/>
  <c r="AT5" i="25"/>
  <c r="BD5" i="25"/>
  <c r="AY6" i="25"/>
  <c r="BI6" i="25"/>
  <c r="AV7" i="25"/>
  <c r="BF7" i="25"/>
  <c r="AY8" i="25"/>
  <c r="BI8" i="25"/>
  <c r="BA9" i="25"/>
  <c r="BK9" i="25"/>
  <c r="AY10" i="25"/>
  <c r="BI10" i="25"/>
  <c r="AV11" i="25"/>
  <c r="BK11" i="25"/>
  <c r="BK12" i="25"/>
  <c r="AT4" i="25"/>
  <c r="BD4" i="25"/>
  <c r="AV5" i="25"/>
  <c r="BF5" i="25"/>
  <c r="BA6" i="25"/>
  <c r="BK6" i="25"/>
  <c r="CR6" i="25"/>
  <c r="AY7" i="25"/>
  <c r="BI7" i="25"/>
  <c r="BA8" i="25"/>
  <c r="BK8" i="25"/>
  <c r="AT9" i="25"/>
  <c r="BD9" i="25"/>
  <c r="BA10" i="25"/>
  <c r="BK10" i="25"/>
  <c r="AY11" i="25"/>
  <c r="AV4" i="25"/>
  <c r="BF4" i="25"/>
  <c r="AY5" i="25"/>
  <c r="BI5" i="25"/>
  <c r="AT6" i="25"/>
  <c r="BD6" i="25"/>
  <c r="BA7" i="25"/>
  <c r="BK7" i="25"/>
  <c r="AT8" i="25"/>
  <c r="BD8" i="25"/>
  <c r="AV9" i="25"/>
  <c r="BF9" i="25"/>
  <c r="AT10" i="25"/>
  <c r="BD10" i="25"/>
  <c r="F11" i="25"/>
  <c r="BA11" i="25"/>
  <c r="DI4" i="24"/>
  <c r="X29" i="15" s="1"/>
  <c r="CR5" i="24"/>
  <c r="BZ4" i="24"/>
  <c r="J29" i="15" s="1"/>
  <c r="BZ6" i="24"/>
  <c r="AY4" i="24"/>
  <c r="BA5" i="24"/>
  <c r="AV8" i="24"/>
  <c r="BD7" i="24"/>
  <c r="BI13" i="24"/>
  <c r="BF10" i="24"/>
  <c r="AT7" i="24"/>
  <c r="B12" i="24"/>
  <c r="X4" i="24" s="1"/>
  <c r="BK5" i="24"/>
  <c r="AV6" i="24"/>
  <c r="BF8" i="24"/>
  <c r="BI12" i="24"/>
  <c r="BI4" i="24"/>
  <c r="F4" i="24"/>
  <c r="L9" i="24" s="1"/>
  <c r="BF6" i="24"/>
  <c r="BI9" i="24"/>
  <c r="AV10" i="24"/>
  <c r="AT11" i="24"/>
  <c r="AY9" i="24"/>
  <c r="BI11" i="24"/>
  <c r="CR7" i="24"/>
  <c r="CR6" i="24"/>
  <c r="BA4" i="24"/>
  <c r="BK4" i="24"/>
  <c r="AT5" i="24"/>
  <c r="BD5" i="24"/>
  <c r="AY6" i="24"/>
  <c r="BI6" i="24"/>
  <c r="AV7" i="24"/>
  <c r="BF7" i="24"/>
  <c r="AY8" i="24"/>
  <c r="BI8" i="24"/>
  <c r="BA9" i="24"/>
  <c r="BK9" i="24"/>
  <c r="AY10" i="24"/>
  <c r="BI10" i="24"/>
  <c r="AV11" i="24"/>
  <c r="BK11" i="24"/>
  <c r="BK12" i="24"/>
  <c r="AT4" i="24"/>
  <c r="BD4" i="24"/>
  <c r="AV5" i="24"/>
  <c r="BF5" i="24"/>
  <c r="BA6" i="24"/>
  <c r="BK6" i="24"/>
  <c r="AY7" i="24"/>
  <c r="BI7" i="24"/>
  <c r="BA8" i="24"/>
  <c r="BK8" i="24"/>
  <c r="AT9" i="24"/>
  <c r="BD9" i="24"/>
  <c r="BA10" i="24"/>
  <c r="BK10" i="24"/>
  <c r="AY11" i="24"/>
  <c r="AV4" i="24"/>
  <c r="BF4" i="24"/>
  <c r="AY5" i="24"/>
  <c r="BI5" i="24"/>
  <c r="AT6" i="24"/>
  <c r="BD6" i="24"/>
  <c r="BA7" i="24"/>
  <c r="BK7" i="24"/>
  <c r="AT8" i="24"/>
  <c r="BD8" i="24"/>
  <c r="AV9" i="24"/>
  <c r="BF9" i="24"/>
  <c r="AT10" i="24"/>
  <c r="BD10" i="24"/>
  <c r="F11" i="24"/>
  <c r="Q12" i="24" s="1"/>
  <c r="N12" i="24" s="1"/>
  <c r="BA11" i="24"/>
  <c r="B17" i="3"/>
  <c r="DI5" i="3" s="1"/>
  <c r="B16" i="3"/>
  <c r="X5" i="25" l="1"/>
  <c r="AC18" i="25" s="1"/>
  <c r="U10" i="25"/>
  <c r="R10" i="25" s="1"/>
  <c r="U7" i="25"/>
  <c r="R7" i="25" s="1"/>
  <c r="U11" i="25"/>
  <c r="U15" i="25"/>
  <c r="U8" i="25"/>
  <c r="R8" i="25" s="1"/>
  <c r="U12" i="25"/>
  <c r="R12" i="25" s="1"/>
  <c r="U16" i="25"/>
  <c r="R16" i="25" s="1"/>
  <c r="U5" i="25"/>
  <c r="U9" i="25"/>
  <c r="R9" i="25" s="1"/>
  <c r="U13" i="25"/>
  <c r="R13" i="25" s="1"/>
  <c r="U17" i="25"/>
  <c r="R17" i="25" s="1"/>
  <c r="U6" i="25"/>
  <c r="R6" i="25" s="1"/>
  <c r="U14" i="25"/>
  <c r="U4" i="25"/>
  <c r="R4" i="25" s="1"/>
  <c r="E9" i="24"/>
  <c r="CW7" i="24" s="1"/>
  <c r="F14" i="8"/>
  <c r="U15" i="3"/>
  <c r="R15" i="3" s="1"/>
  <c r="U11" i="3"/>
  <c r="R11" i="3" s="1"/>
  <c r="U7" i="3"/>
  <c r="R7" i="3" s="1"/>
  <c r="U12" i="3"/>
  <c r="R12" i="3" s="1"/>
  <c r="U13" i="3"/>
  <c r="R13" i="3" s="1"/>
  <c r="U14" i="3"/>
  <c r="R14" i="3" s="1"/>
  <c r="U16" i="3"/>
  <c r="R16" i="3" s="1"/>
  <c r="U17" i="3"/>
  <c r="R17" i="3" s="1"/>
  <c r="U4" i="3"/>
  <c r="R4" i="3" s="1"/>
  <c r="U5" i="3"/>
  <c r="R5" i="3" s="1"/>
  <c r="U6" i="3"/>
  <c r="R6" i="3" s="1"/>
  <c r="U8" i="3"/>
  <c r="R8" i="3" s="1"/>
  <c r="U9" i="3"/>
  <c r="R9" i="3" s="1"/>
  <c r="U10" i="3"/>
  <c r="R10" i="3" s="1"/>
  <c r="U15" i="24"/>
  <c r="R15" i="24" s="1"/>
  <c r="U11" i="24"/>
  <c r="R11" i="24" s="1"/>
  <c r="U7" i="24"/>
  <c r="R7" i="24" s="1"/>
  <c r="U9" i="24"/>
  <c r="R9" i="24" s="1"/>
  <c r="U10" i="24"/>
  <c r="R10" i="24" s="1"/>
  <c r="U12" i="24"/>
  <c r="R12" i="24" s="1"/>
  <c r="U13" i="24"/>
  <c r="R13" i="24" s="1"/>
  <c r="U14" i="24"/>
  <c r="R14" i="24" s="1"/>
  <c r="U16" i="24"/>
  <c r="R16" i="24" s="1"/>
  <c r="U17" i="24"/>
  <c r="R17" i="24" s="1"/>
  <c r="U4" i="24"/>
  <c r="R4" i="24" s="1"/>
  <c r="U5" i="24"/>
  <c r="R5" i="24" s="1"/>
  <c r="U6" i="24"/>
  <c r="R6" i="24" s="1"/>
  <c r="U8" i="24"/>
  <c r="R8" i="24" s="1"/>
  <c r="Q11" i="25"/>
  <c r="N11" i="25" s="1"/>
  <c r="R15" i="25"/>
  <c r="R11" i="25"/>
  <c r="R5" i="25"/>
  <c r="R14" i="25"/>
  <c r="F9" i="24"/>
  <c r="DA8" i="24" s="1"/>
  <c r="E9" i="4"/>
  <c r="J33" i="15"/>
  <c r="F9" i="25"/>
  <c r="DA8" i="25" s="1"/>
  <c r="I6" i="25"/>
  <c r="E9" i="25"/>
  <c r="CW6" i="25" s="1"/>
  <c r="I9" i="24"/>
  <c r="L15" i="25"/>
  <c r="I15" i="25" s="1"/>
  <c r="L5" i="25"/>
  <c r="I5" i="25" s="1"/>
  <c r="L8" i="25"/>
  <c r="I8" i="25" s="1"/>
  <c r="L11" i="25"/>
  <c r="I11" i="25" s="1"/>
  <c r="L14" i="25"/>
  <c r="I14" i="25" s="1"/>
  <c r="L12" i="25"/>
  <c r="I12" i="25" s="1"/>
  <c r="L13" i="25"/>
  <c r="I13" i="25" s="1"/>
  <c r="L10" i="25"/>
  <c r="I10" i="25" s="1"/>
  <c r="L16" i="25"/>
  <c r="I16" i="25" s="1"/>
  <c r="L4" i="25"/>
  <c r="I4" i="25" s="1"/>
  <c r="L9" i="25"/>
  <c r="I9" i="25" s="1"/>
  <c r="L17" i="25"/>
  <c r="I17" i="25" s="1"/>
  <c r="L7" i="25"/>
  <c r="I7" i="25" s="1"/>
  <c r="Q9" i="25"/>
  <c r="N9" i="25" s="1"/>
  <c r="F13" i="25"/>
  <c r="Q6" i="25"/>
  <c r="N6" i="25" s="1"/>
  <c r="Q10" i="25"/>
  <c r="N10" i="25" s="1"/>
  <c r="Q13" i="25"/>
  <c r="N13" i="25" s="1"/>
  <c r="Q8" i="25"/>
  <c r="N8" i="25" s="1"/>
  <c r="Q17" i="25"/>
  <c r="N17" i="25" s="1"/>
  <c r="Q4" i="25"/>
  <c r="N4" i="25" s="1"/>
  <c r="Q12" i="25"/>
  <c r="N12" i="25" s="1"/>
  <c r="Q16" i="25"/>
  <c r="N16" i="25" s="1"/>
  <c r="Q14" i="25"/>
  <c r="N14" i="25" s="1"/>
  <c r="Q15" i="25"/>
  <c r="N15" i="25" s="1"/>
  <c r="Q7" i="25"/>
  <c r="N7" i="25" s="1"/>
  <c r="Q5" i="25"/>
  <c r="N5" i="25" s="1"/>
  <c r="L7" i="24"/>
  <c r="I7" i="24" s="1"/>
  <c r="L5" i="24"/>
  <c r="I5" i="24" s="1"/>
  <c r="X5" i="24"/>
  <c r="Z21" i="24" s="1"/>
  <c r="L4" i="24"/>
  <c r="I4" i="24" s="1"/>
  <c r="L15" i="24"/>
  <c r="I15" i="24" s="1"/>
  <c r="L6" i="24"/>
  <c r="I6" i="24" s="1"/>
  <c r="L8" i="24"/>
  <c r="I8" i="24" s="1"/>
  <c r="L10" i="24"/>
  <c r="I10" i="24" s="1"/>
  <c r="L16" i="24"/>
  <c r="I16" i="24" s="1"/>
  <c r="L11" i="24"/>
  <c r="I11" i="24" s="1"/>
  <c r="L14" i="24"/>
  <c r="I14" i="24" s="1"/>
  <c r="L12" i="24"/>
  <c r="I12" i="24" s="1"/>
  <c r="L13" i="24"/>
  <c r="I13" i="24" s="1"/>
  <c r="L17" i="24"/>
  <c r="I17" i="24" s="1"/>
  <c r="Q5" i="24"/>
  <c r="N5" i="24" s="1"/>
  <c r="Q17" i="24"/>
  <c r="N17" i="24" s="1"/>
  <c r="Q15" i="24"/>
  <c r="N15" i="24" s="1"/>
  <c r="Q14" i="24"/>
  <c r="N14" i="24" s="1"/>
  <c r="F13" i="24"/>
  <c r="Q4" i="24"/>
  <c r="N4" i="24" s="1"/>
  <c r="Q13" i="24"/>
  <c r="N13" i="24" s="1"/>
  <c r="Q10" i="24"/>
  <c r="N10" i="24" s="1"/>
  <c r="Q6" i="24"/>
  <c r="N6" i="24" s="1"/>
  <c r="Q8" i="24"/>
  <c r="N8" i="24" s="1"/>
  <c r="Q9" i="24"/>
  <c r="N9" i="24" s="1"/>
  <c r="Q7" i="24"/>
  <c r="N7" i="24" s="1"/>
  <c r="Q11" i="24"/>
  <c r="N11" i="24" s="1"/>
  <c r="Q16" i="24"/>
  <c r="N16" i="24" s="1"/>
  <c r="DE5" i="3"/>
  <c r="DE4" i="3"/>
  <c r="V25" i="15" s="1"/>
  <c r="DE6" i="3"/>
  <c r="DI4" i="3"/>
  <c r="X25" i="15" s="1"/>
  <c r="CW10" i="24" l="1"/>
  <c r="CW9" i="24"/>
  <c r="CW5" i="24"/>
  <c r="F17" i="25"/>
  <c r="CW6" i="24"/>
  <c r="CW8" i="24"/>
  <c r="F17" i="24"/>
  <c r="CW4" i="24"/>
  <c r="F17" i="3"/>
  <c r="DA6" i="24"/>
  <c r="CU19" i="4"/>
  <c r="CU17" i="4"/>
  <c r="CU13" i="4"/>
  <c r="CU9" i="4"/>
  <c r="CU5" i="4"/>
  <c r="CU16" i="4"/>
  <c r="CU12" i="4"/>
  <c r="CU8" i="4"/>
  <c r="CU15" i="4"/>
  <c r="CU11" i="4"/>
  <c r="CU7" i="4"/>
  <c r="CU18" i="4"/>
  <c r="CU14" i="4"/>
  <c r="CU10" i="4"/>
  <c r="CU6" i="4"/>
  <c r="DA9" i="25"/>
  <c r="DA4" i="25"/>
  <c r="DA6" i="25"/>
  <c r="DA7" i="25"/>
  <c r="DA5" i="25"/>
  <c r="CW4" i="25"/>
  <c r="R33" i="15" s="1"/>
  <c r="CW10" i="25"/>
  <c r="CW5" i="25"/>
  <c r="CW9" i="25"/>
  <c r="CW7" i="25"/>
  <c r="CW8" i="25"/>
  <c r="Z13" i="25"/>
  <c r="AF15" i="24"/>
  <c r="AF12" i="24"/>
  <c r="AF4" i="24"/>
  <c r="Z4" i="24"/>
  <c r="AC19" i="24"/>
  <c r="AC4" i="24"/>
  <c r="AF5" i="25"/>
  <c r="AC6" i="25"/>
  <c r="AF13" i="25"/>
  <c r="AF11" i="25"/>
  <c r="AF14" i="25"/>
  <c r="AF16" i="25"/>
  <c r="AC8" i="25"/>
  <c r="Z17" i="25"/>
  <c r="Z20" i="25"/>
  <c r="Z19" i="25"/>
  <c r="Z5" i="25"/>
  <c r="AC21" i="24"/>
  <c r="AC13" i="24"/>
  <c r="AF7" i="24"/>
  <c r="AC9" i="24"/>
  <c r="AC8" i="24"/>
  <c r="AC7" i="24"/>
  <c r="AC15" i="24"/>
  <c r="AF14" i="24"/>
  <c r="AF9" i="24"/>
  <c r="AC18" i="24"/>
  <c r="AF7" i="25"/>
  <c r="Z6" i="25"/>
  <c r="AC21" i="25"/>
  <c r="Z18" i="25"/>
  <c r="AF12" i="25"/>
  <c r="Z10" i="25"/>
  <c r="AC20" i="25"/>
  <c r="AC10" i="25"/>
  <c r="AC7" i="25"/>
  <c r="AC19" i="25"/>
  <c r="AF10" i="25"/>
  <c r="Z21" i="25"/>
  <c r="Z4" i="25"/>
  <c r="AC14" i="25"/>
  <c r="Z8" i="25"/>
  <c r="AC16" i="25"/>
  <c r="AF4" i="25"/>
  <c r="Z11" i="25"/>
  <c r="AC17" i="25"/>
  <c r="AC12" i="25"/>
  <c r="Z9" i="25"/>
  <c r="AC5" i="25"/>
  <c r="AC4" i="25"/>
  <c r="AC9" i="25"/>
  <c r="AF15" i="25"/>
  <c r="Z16" i="25"/>
  <c r="Z7" i="25"/>
  <c r="Z12" i="25"/>
  <c r="AC15" i="25"/>
  <c r="AF8" i="25"/>
  <c r="Z14" i="25"/>
  <c r="AF9" i="25"/>
  <c r="AC13" i="25"/>
  <c r="AC22" i="25"/>
  <c r="AF6" i="25"/>
  <c r="AC11" i="25"/>
  <c r="Z15" i="25"/>
  <c r="F5" i="25"/>
  <c r="BQ11" i="25" s="1"/>
  <c r="Z16" i="24"/>
  <c r="Z8" i="24"/>
  <c r="AC20" i="24"/>
  <c r="Z12" i="24"/>
  <c r="AF8" i="24"/>
  <c r="AC12" i="24"/>
  <c r="F12" i="25"/>
  <c r="CD13" i="25" s="1"/>
  <c r="AC22" i="24"/>
  <c r="Z17" i="24"/>
  <c r="AO12" i="25"/>
  <c r="AO11" i="25"/>
  <c r="AK9" i="25"/>
  <c r="AO7" i="25"/>
  <c r="AM5" i="25"/>
  <c r="AK4" i="25"/>
  <c r="AO13" i="25"/>
  <c r="AM12" i="25"/>
  <c r="AM11" i="25"/>
  <c r="AO10" i="25"/>
  <c r="AO8" i="25"/>
  <c r="AM7" i="25"/>
  <c r="AO6" i="25"/>
  <c r="AK5" i="25"/>
  <c r="AM13" i="25"/>
  <c r="AK12" i="25"/>
  <c r="AK11" i="25"/>
  <c r="AM10" i="25"/>
  <c r="AO9" i="25"/>
  <c r="AM8" i="25"/>
  <c r="AK7" i="25"/>
  <c r="AM6" i="25"/>
  <c r="AO4" i="25"/>
  <c r="AK10" i="25"/>
  <c r="AO5" i="25"/>
  <c r="AM9" i="25"/>
  <c r="AK8" i="25"/>
  <c r="AK13" i="25"/>
  <c r="AK6" i="25"/>
  <c r="AM4" i="25"/>
  <c r="R29" i="15"/>
  <c r="DA7" i="24"/>
  <c r="DA4" i="24"/>
  <c r="DA5" i="24"/>
  <c r="DA9" i="24"/>
  <c r="F5" i="24"/>
  <c r="BQ6" i="24" s="1"/>
  <c r="AF13" i="24"/>
  <c r="Z9" i="24"/>
  <c r="AC17" i="24"/>
  <c r="AF5" i="24"/>
  <c r="Z10" i="24"/>
  <c r="AC6" i="24"/>
  <c r="AC10" i="24"/>
  <c r="AF11" i="24"/>
  <c r="AC14" i="24"/>
  <c r="Z20" i="24"/>
  <c r="Z6" i="24"/>
  <c r="Z13" i="24"/>
  <c r="Z19" i="24"/>
  <c r="Z7" i="24"/>
  <c r="Z11" i="24"/>
  <c r="Z18" i="24"/>
  <c r="AF6" i="24"/>
  <c r="AC11" i="24"/>
  <c r="Z15" i="24"/>
  <c r="AC5" i="24"/>
  <c r="AC16" i="24"/>
  <c r="AF16" i="24"/>
  <c r="Z5" i="24"/>
  <c r="AF10" i="24"/>
  <c r="Z14" i="24"/>
  <c r="AO12" i="24"/>
  <c r="AO11" i="24"/>
  <c r="AK9" i="24"/>
  <c r="AO7" i="24"/>
  <c r="AM5" i="24"/>
  <c r="AK4" i="24"/>
  <c r="AO13" i="24"/>
  <c r="AM12" i="24"/>
  <c r="AM11" i="24"/>
  <c r="AO10" i="24"/>
  <c r="AO8" i="24"/>
  <c r="AM7" i="24"/>
  <c r="AO6" i="24"/>
  <c r="AK5" i="24"/>
  <c r="AM13" i="24"/>
  <c r="AK12" i="24"/>
  <c r="AK11" i="24"/>
  <c r="AM10" i="24"/>
  <c r="AO9" i="24"/>
  <c r="AM8" i="24"/>
  <c r="AK7" i="24"/>
  <c r="AM6" i="24"/>
  <c r="AO4" i="24"/>
  <c r="AM4" i="24"/>
  <c r="AK10" i="24"/>
  <c r="AK13" i="24"/>
  <c r="AK6" i="24"/>
  <c r="AO5" i="24"/>
  <c r="AK8" i="24"/>
  <c r="AM9" i="24"/>
  <c r="F12" i="24"/>
  <c r="D25" i="15"/>
  <c r="B15" i="3"/>
  <c r="B14" i="3"/>
  <c r="B11" i="3"/>
  <c r="B10" i="3"/>
  <c r="B9" i="3"/>
  <c r="B7" i="3"/>
  <c r="B5" i="3"/>
  <c r="F7" i="25" l="1"/>
  <c r="BU26" i="25" s="1"/>
  <c r="BQ13" i="24"/>
  <c r="F6" i="25"/>
  <c r="BQ4" i="25"/>
  <c r="BQ14" i="25"/>
  <c r="BQ10" i="25"/>
  <c r="BQ7" i="25"/>
  <c r="BQ9" i="25"/>
  <c r="BQ15" i="25"/>
  <c r="BQ5" i="25"/>
  <c r="BQ6" i="25"/>
  <c r="BQ13" i="25"/>
  <c r="BQ12" i="25"/>
  <c r="BQ8" i="25"/>
  <c r="CD12" i="25"/>
  <c r="CD4" i="25"/>
  <c r="CD15" i="25"/>
  <c r="CD8" i="25"/>
  <c r="CD9" i="25"/>
  <c r="CD6" i="25"/>
  <c r="BQ14" i="24"/>
  <c r="CD5" i="25"/>
  <c r="CD10" i="25"/>
  <c r="CD7" i="25"/>
  <c r="CD11" i="25"/>
  <c r="CD14" i="25"/>
  <c r="E14" i="25"/>
  <c r="CN14" i="25" s="1"/>
  <c r="T29" i="15"/>
  <c r="BQ4" i="24"/>
  <c r="BQ15" i="24"/>
  <c r="E14" i="24"/>
  <c r="BQ9" i="24"/>
  <c r="BQ8" i="24"/>
  <c r="BQ7" i="24"/>
  <c r="BQ12" i="24"/>
  <c r="BQ10" i="24"/>
  <c r="F7" i="24"/>
  <c r="BU16" i="24" s="1"/>
  <c r="BQ5" i="24"/>
  <c r="BQ11" i="24"/>
  <c r="F6" i="24"/>
  <c r="CD13" i="24"/>
  <c r="CD7" i="24"/>
  <c r="CD6" i="24"/>
  <c r="CD10" i="24"/>
  <c r="CD8" i="24"/>
  <c r="CD4" i="24"/>
  <c r="CD15" i="24"/>
  <c r="CD14" i="24"/>
  <c r="CD11" i="24"/>
  <c r="CD12" i="24"/>
  <c r="CD9" i="24"/>
  <c r="CD5" i="24"/>
  <c r="BI13" i="3"/>
  <c r="BK7" i="3"/>
  <c r="BK11" i="3"/>
  <c r="BI8" i="3"/>
  <c r="BK13" i="3"/>
  <c r="BK8" i="3"/>
  <c r="BK12" i="3"/>
  <c r="BI9" i="3"/>
  <c r="BK5" i="3"/>
  <c r="BK9" i="3"/>
  <c r="BI6" i="3"/>
  <c r="BK4" i="3"/>
  <c r="BK6" i="3"/>
  <c r="BK10" i="3"/>
  <c r="BI7" i="3"/>
  <c r="BF7" i="3"/>
  <c r="BF8" i="3"/>
  <c r="BD6" i="3"/>
  <c r="BF5" i="3"/>
  <c r="BF9" i="3"/>
  <c r="BD7" i="3"/>
  <c r="BF6" i="3"/>
  <c r="BF10" i="3"/>
  <c r="BD8" i="3"/>
  <c r="BD5" i="3"/>
  <c r="BF4" i="3"/>
  <c r="AY10" i="3"/>
  <c r="AY8" i="3"/>
  <c r="AY6" i="3"/>
  <c r="AY4" i="3"/>
  <c r="BA11" i="3"/>
  <c r="BA9" i="3"/>
  <c r="BA7" i="3"/>
  <c r="BA5" i="3"/>
  <c r="AY11" i="3"/>
  <c r="AY9" i="3"/>
  <c r="AY7" i="3"/>
  <c r="AY5" i="3"/>
  <c r="BA10" i="3"/>
  <c r="BA8" i="3"/>
  <c r="BA6" i="3"/>
  <c r="BA4" i="3"/>
  <c r="BI10" i="3"/>
  <c r="AV9" i="3"/>
  <c r="AT7" i="3"/>
  <c r="AT11" i="3"/>
  <c r="AV6" i="3"/>
  <c r="AT8" i="3"/>
  <c r="AV5" i="3"/>
  <c r="AV10" i="3"/>
  <c r="AV7" i="3"/>
  <c r="AT9" i="3"/>
  <c r="AV4" i="3"/>
  <c r="AV11" i="3"/>
  <c r="AV8" i="3"/>
  <c r="AT10" i="3"/>
  <c r="AT4" i="3"/>
  <c r="CR6" i="3"/>
  <c r="CR7" i="3"/>
  <c r="CR5" i="3"/>
  <c r="BZ5" i="3"/>
  <c r="BZ6" i="3"/>
  <c r="BZ4" i="3"/>
  <c r="AT6" i="3"/>
  <c r="BD4" i="3"/>
  <c r="BI12" i="3"/>
  <c r="BD10" i="3"/>
  <c r="BI11" i="3"/>
  <c r="BD9" i="3"/>
  <c r="BI5" i="3"/>
  <c r="BI4" i="3"/>
  <c r="AT5" i="3"/>
  <c r="BU24" i="25" l="1"/>
  <c r="BU23" i="25"/>
  <c r="BU16" i="25"/>
  <c r="BU10" i="25"/>
  <c r="BU18" i="25"/>
  <c r="BU5" i="25"/>
  <c r="BU4" i="25"/>
  <c r="BU19" i="25"/>
  <c r="F8" i="25"/>
  <c r="BU7" i="25"/>
  <c r="BU13" i="25"/>
  <c r="BU11" i="25"/>
  <c r="BU8" i="25"/>
  <c r="BU17" i="25"/>
  <c r="BU25" i="25"/>
  <c r="BU12" i="25"/>
  <c r="BU14" i="25"/>
  <c r="BU22" i="25"/>
  <c r="BU6" i="25"/>
  <c r="BU21" i="25"/>
  <c r="BU20" i="25"/>
  <c r="BU9" i="25"/>
  <c r="BU15" i="25"/>
  <c r="F33" i="15"/>
  <c r="L33" i="15"/>
  <c r="BU21" i="24"/>
  <c r="BU5" i="24"/>
  <c r="BU9" i="24"/>
  <c r="BU26" i="24"/>
  <c r="CN10" i="25"/>
  <c r="CH14" i="25"/>
  <c r="CK8" i="25"/>
  <c r="CH9" i="25"/>
  <c r="CN13" i="25"/>
  <c r="CN8" i="25"/>
  <c r="CH12" i="25"/>
  <c r="CK4" i="25"/>
  <c r="CR4" i="25"/>
  <c r="P33" i="15" s="1"/>
  <c r="CK9" i="25"/>
  <c r="CK10" i="25"/>
  <c r="CK7" i="25"/>
  <c r="CN6" i="25"/>
  <c r="CK5" i="25"/>
  <c r="CH6" i="25"/>
  <c r="BU10" i="24"/>
  <c r="BU22" i="24"/>
  <c r="BU6" i="24"/>
  <c r="BU12" i="24"/>
  <c r="CN4" i="25"/>
  <c r="CH5" i="25"/>
  <c r="CH11" i="25"/>
  <c r="CH4" i="25"/>
  <c r="CH10" i="25"/>
  <c r="CN5" i="25"/>
  <c r="CN9" i="25"/>
  <c r="CK6" i="25"/>
  <c r="CH13" i="25"/>
  <c r="CN7" i="25"/>
  <c r="CK13" i="25"/>
  <c r="CH8" i="25"/>
  <c r="CK14" i="25"/>
  <c r="CH7" i="25"/>
  <c r="BU7" i="24"/>
  <c r="BU13" i="24"/>
  <c r="BU14" i="24"/>
  <c r="BU17" i="24"/>
  <c r="BU25" i="24"/>
  <c r="BU19" i="24"/>
  <c r="BU8" i="24"/>
  <c r="BU18" i="24"/>
  <c r="BU4" i="24"/>
  <c r="BU15" i="24"/>
  <c r="CK8" i="24"/>
  <c r="CK4" i="24"/>
  <c r="CK9" i="24"/>
  <c r="CH14" i="24"/>
  <c r="CH9" i="24"/>
  <c r="CR4" i="24"/>
  <c r="P29" i="15" s="1"/>
  <c r="CH13" i="24"/>
  <c r="CK10" i="24"/>
  <c r="CH6" i="24"/>
  <c r="CN13" i="24"/>
  <c r="CK5" i="24"/>
  <c r="CH12" i="24"/>
  <c r="CN6" i="24"/>
  <c r="CK7" i="24"/>
  <c r="CN5" i="24"/>
  <c r="CH4" i="24"/>
  <c r="CH5" i="24"/>
  <c r="CN14" i="24"/>
  <c r="CH7" i="24"/>
  <c r="CK14" i="24"/>
  <c r="CH8" i="24"/>
  <c r="CK13" i="24"/>
  <c r="CN7" i="24"/>
  <c r="CN10" i="24"/>
  <c r="CN4" i="24"/>
  <c r="CN8" i="24"/>
  <c r="CN9" i="24"/>
  <c r="CH10" i="24"/>
  <c r="CH11" i="24"/>
  <c r="CK6" i="24"/>
  <c r="L29" i="15"/>
  <c r="F29" i="15"/>
  <c r="F8" i="24"/>
  <c r="BU23" i="24"/>
  <c r="BU24" i="24"/>
  <c r="BU20" i="24"/>
  <c r="BU11" i="24"/>
  <c r="H29" i="15" s="1"/>
  <c r="F9" i="3"/>
  <c r="DA9" i="3" s="1"/>
  <c r="E9" i="3"/>
  <c r="CW7" i="3" s="1"/>
  <c r="J25" i="15"/>
  <c r="H33" i="15" l="1"/>
  <c r="N33" i="15"/>
  <c r="N29" i="15"/>
  <c r="DA4" i="3"/>
  <c r="DA8" i="3"/>
  <c r="DA7" i="3"/>
  <c r="DA6" i="3"/>
  <c r="DA5" i="3"/>
  <c r="CW6" i="3"/>
  <c r="CW5" i="3"/>
  <c r="CW9" i="3"/>
  <c r="CW10" i="3"/>
  <c r="CW8" i="3"/>
  <c r="CW4" i="3"/>
  <c r="R25" i="15" s="1"/>
  <c r="T25" i="15" l="1"/>
  <c r="J17" i="12" l="1"/>
  <c r="J17" i="11" l="1"/>
  <c r="O17" i="8" l="1"/>
  <c r="O16" i="8"/>
  <c r="O15" i="8"/>
  <c r="O14" i="8"/>
  <c r="O13" i="8"/>
  <c r="O12" i="8"/>
  <c r="O11" i="8"/>
  <c r="O10" i="8"/>
  <c r="O9" i="8"/>
  <c r="O8" i="8"/>
  <c r="O7" i="8"/>
  <c r="O6" i="8"/>
  <c r="O5" i="8"/>
  <c r="O4" i="8"/>
  <c r="AO4" i="8"/>
  <c r="P16" i="8" l="1"/>
  <c r="P12" i="8"/>
  <c r="P8" i="8"/>
  <c r="P15" i="8"/>
  <c r="P11" i="8"/>
  <c r="P7" i="8"/>
  <c r="P4" i="8"/>
  <c r="P14" i="8"/>
  <c r="P10" i="8"/>
  <c r="P6" i="8"/>
  <c r="AO3" i="8"/>
  <c r="AO7" i="8"/>
  <c r="P17" i="8"/>
  <c r="P13" i="8"/>
  <c r="P9" i="8"/>
  <c r="P5" i="8"/>
  <c r="AO10" i="8"/>
  <c r="AO6" i="8"/>
  <c r="AO9" i="8"/>
  <c r="AO5" i="8"/>
  <c r="AO8" i="8"/>
  <c r="F11" i="3"/>
  <c r="F13" i="3" s="1"/>
  <c r="F4" i="3"/>
  <c r="F11" i="7" s="1"/>
  <c r="K17" i="8"/>
  <c r="K16" i="8"/>
  <c r="K15" i="8"/>
  <c r="K14" i="8"/>
  <c r="K13" i="8"/>
  <c r="K12" i="8"/>
  <c r="K11" i="8"/>
  <c r="K10" i="8"/>
  <c r="K9" i="8"/>
  <c r="K8" i="8"/>
  <c r="K7" i="8"/>
  <c r="K6" i="8"/>
  <c r="K5" i="8"/>
  <c r="K4" i="8"/>
  <c r="F17" i="7"/>
  <c r="X17" i="7"/>
  <c r="X16" i="7"/>
  <c r="X15" i="7"/>
  <c r="X14" i="7"/>
  <c r="X13" i="7"/>
  <c r="X12" i="7"/>
  <c r="X11" i="7"/>
  <c r="X10" i="7"/>
  <c r="X9" i="7"/>
  <c r="X8" i="7"/>
  <c r="X7" i="7"/>
  <c r="X6" i="7"/>
  <c r="X5" i="7"/>
  <c r="X4" i="7"/>
  <c r="T17" i="7"/>
  <c r="P17" i="7"/>
  <c r="K17" i="7"/>
  <c r="T16" i="7"/>
  <c r="P16" i="7"/>
  <c r="K16" i="7"/>
  <c r="T15" i="7"/>
  <c r="P15" i="7"/>
  <c r="K15" i="7"/>
  <c r="T14" i="7"/>
  <c r="P14" i="7"/>
  <c r="K14" i="7"/>
  <c r="F21" i="7"/>
  <c r="T13" i="7"/>
  <c r="P13" i="7"/>
  <c r="K13" i="7"/>
  <c r="T12" i="7"/>
  <c r="P12" i="7"/>
  <c r="K12" i="7"/>
  <c r="T11" i="7"/>
  <c r="P11" i="7"/>
  <c r="K11" i="7"/>
  <c r="B11" i="7"/>
  <c r="AF4" i="7" s="1"/>
  <c r="T10" i="7"/>
  <c r="P10" i="7"/>
  <c r="K10" i="7"/>
  <c r="T9" i="7"/>
  <c r="P9" i="7"/>
  <c r="K9" i="7"/>
  <c r="T8" i="7"/>
  <c r="P8" i="7"/>
  <c r="K8" i="7"/>
  <c r="T7" i="7"/>
  <c r="P7" i="7"/>
  <c r="K7" i="7"/>
  <c r="T6" i="7"/>
  <c r="P6" i="7"/>
  <c r="K6" i="7"/>
  <c r="T5" i="7"/>
  <c r="P5" i="7"/>
  <c r="K5" i="7"/>
  <c r="T4" i="7"/>
  <c r="P4" i="7"/>
  <c r="K4" i="7"/>
  <c r="BE77" i="7" l="1"/>
  <c r="BB77" i="7" s="1"/>
  <c r="BE90" i="7"/>
  <c r="BB90" i="7" s="1"/>
  <c r="BE72" i="7"/>
  <c r="BE83" i="7"/>
  <c r="BB83" i="7" s="1"/>
  <c r="BE75" i="7"/>
  <c r="BB75" i="7" s="1"/>
  <c r="BE87" i="7"/>
  <c r="BB87" i="7" s="1"/>
  <c r="BE68" i="7"/>
  <c r="BB68" i="7" s="1"/>
  <c r="BE80" i="7"/>
  <c r="BB80" i="7" s="1"/>
  <c r="BE93" i="7"/>
  <c r="BB93" i="7" s="1"/>
  <c r="AX3" i="7"/>
  <c r="AX5" i="7"/>
  <c r="AX6" i="7"/>
  <c r="AX7" i="7"/>
  <c r="AX4" i="7"/>
  <c r="AX8" i="7"/>
  <c r="BE8" i="7"/>
  <c r="BB8" i="7" s="1"/>
  <c r="BE12" i="7"/>
  <c r="BB12" i="7" s="1"/>
  <c r="BE16" i="7"/>
  <c r="BB16" i="7" s="1"/>
  <c r="BE20" i="7"/>
  <c r="BB20" i="7" s="1"/>
  <c r="BE24" i="7"/>
  <c r="BB24" i="7" s="1"/>
  <c r="BE28" i="7"/>
  <c r="BB28" i="7" s="1"/>
  <c r="BE32" i="7"/>
  <c r="BB32" i="7" s="1"/>
  <c r="BE36" i="7"/>
  <c r="BB36" i="7" s="1"/>
  <c r="BE44" i="7"/>
  <c r="BB44" i="7" s="1"/>
  <c r="BE56" i="7"/>
  <c r="BB56" i="7" s="1"/>
  <c r="BE64" i="7"/>
  <c r="BB64" i="7" s="1"/>
  <c r="BB72" i="7"/>
  <c r="BE84" i="7"/>
  <c r="BB84" i="7" s="1"/>
  <c r="BE13" i="7"/>
  <c r="BB13" i="7" s="1"/>
  <c r="BE25" i="7"/>
  <c r="BB25" i="7" s="1"/>
  <c r="BE37" i="7"/>
  <c r="BB37" i="7" s="1"/>
  <c r="BE45" i="7"/>
  <c r="BB45" i="7" s="1"/>
  <c r="BE57" i="7"/>
  <c r="BB57" i="7" s="1"/>
  <c r="BE65" i="7"/>
  <c r="BB65" i="7" s="1"/>
  <c r="BE89" i="7"/>
  <c r="BB89" i="7" s="1"/>
  <c r="BE5" i="7"/>
  <c r="BB5" i="7" s="1"/>
  <c r="BE17" i="7"/>
  <c r="BB17" i="7" s="1"/>
  <c r="BE33" i="7"/>
  <c r="BB33" i="7" s="1"/>
  <c r="BE53" i="7"/>
  <c r="BB53" i="7" s="1"/>
  <c r="BE69" i="7"/>
  <c r="BB69" i="7" s="1"/>
  <c r="BE85" i="7"/>
  <c r="BB85" i="7" s="1"/>
  <c r="BE6" i="7"/>
  <c r="BB6" i="7" s="1"/>
  <c r="BE10" i="7"/>
  <c r="BB10" i="7" s="1"/>
  <c r="BE14" i="7"/>
  <c r="BB14" i="7" s="1"/>
  <c r="BE18" i="7"/>
  <c r="BB18" i="7" s="1"/>
  <c r="BE22" i="7"/>
  <c r="BB22" i="7" s="1"/>
  <c r="BE26" i="7"/>
  <c r="BB26" i="7" s="1"/>
  <c r="BE30" i="7"/>
  <c r="BB30" i="7" s="1"/>
  <c r="BE34" i="7"/>
  <c r="BB34" i="7" s="1"/>
  <c r="BE38" i="7"/>
  <c r="BB38" i="7" s="1"/>
  <c r="BE42" i="7"/>
  <c r="BB42" i="7" s="1"/>
  <c r="BE46" i="7"/>
  <c r="BB46" i="7" s="1"/>
  <c r="BE50" i="7"/>
  <c r="BB50" i="7" s="1"/>
  <c r="BE54" i="7"/>
  <c r="BB54" i="7" s="1"/>
  <c r="BE58" i="7"/>
  <c r="BB58" i="7" s="1"/>
  <c r="BE62" i="7"/>
  <c r="BB62" i="7" s="1"/>
  <c r="BE66" i="7"/>
  <c r="BB66" i="7" s="1"/>
  <c r="BE70" i="7"/>
  <c r="BB70" i="7" s="1"/>
  <c r="BE74" i="7"/>
  <c r="BB74" i="7" s="1"/>
  <c r="BE78" i="7"/>
  <c r="BB78" i="7" s="1"/>
  <c r="BE82" i="7"/>
  <c r="BB82" i="7" s="1"/>
  <c r="BE86" i="7"/>
  <c r="BB86" i="7" s="1"/>
  <c r="BE4" i="7"/>
  <c r="BB4" i="7" s="1"/>
  <c r="BE7" i="7"/>
  <c r="BB7" i="7" s="1"/>
  <c r="BE11" i="7"/>
  <c r="BB11" i="7" s="1"/>
  <c r="BE15" i="7"/>
  <c r="BB15" i="7" s="1"/>
  <c r="BE19" i="7"/>
  <c r="BB19" i="7" s="1"/>
  <c r="BE23" i="7"/>
  <c r="BB23" i="7" s="1"/>
  <c r="BE27" i="7"/>
  <c r="BB27" i="7" s="1"/>
  <c r="BE31" i="7"/>
  <c r="BB31" i="7" s="1"/>
  <c r="BE35" i="7"/>
  <c r="BB35" i="7" s="1"/>
  <c r="BE39" i="7"/>
  <c r="BB39" i="7" s="1"/>
  <c r="BE43" i="7"/>
  <c r="BB43" i="7" s="1"/>
  <c r="BE47" i="7"/>
  <c r="BB47" i="7" s="1"/>
  <c r="BE51" i="7"/>
  <c r="BB51" i="7" s="1"/>
  <c r="BE55" i="7"/>
  <c r="BB55" i="7" s="1"/>
  <c r="BE59" i="7"/>
  <c r="BB59" i="7" s="1"/>
  <c r="BE63" i="7"/>
  <c r="BB63" i="7" s="1"/>
  <c r="BE67" i="7"/>
  <c r="BB67" i="7" s="1"/>
  <c r="BE71" i="7"/>
  <c r="BB71" i="7" s="1"/>
  <c r="BE79" i="7"/>
  <c r="BB79" i="7" s="1"/>
  <c r="BE91" i="7"/>
  <c r="BB91" i="7" s="1"/>
  <c r="BE40" i="7"/>
  <c r="BB40" i="7" s="1"/>
  <c r="BE48" i="7"/>
  <c r="BB48" i="7" s="1"/>
  <c r="BE52" i="7"/>
  <c r="BB52" i="7" s="1"/>
  <c r="BE60" i="7"/>
  <c r="BB60" i="7" s="1"/>
  <c r="BE76" i="7"/>
  <c r="BB76" i="7" s="1"/>
  <c r="BE88" i="7"/>
  <c r="BB88" i="7" s="1"/>
  <c r="BE92" i="7"/>
  <c r="BB92" i="7" s="1"/>
  <c r="BE9" i="7"/>
  <c r="BB9" i="7" s="1"/>
  <c r="BE21" i="7"/>
  <c r="BB21" i="7" s="1"/>
  <c r="BE29" i="7"/>
  <c r="BB29" i="7" s="1"/>
  <c r="BE41" i="7"/>
  <c r="BB41" i="7" s="1"/>
  <c r="BE49" i="7"/>
  <c r="BB49" i="7" s="1"/>
  <c r="BE61" i="7"/>
  <c r="BB61" i="7" s="1"/>
  <c r="BE73" i="7"/>
  <c r="BB73" i="7" s="1"/>
  <c r="BE81" i="7"/>
  <c r="BB81" i="7" s="1"/>
  <c r="AO11" i="3"/>
  <c r="AK12" i="3"/>
  <c r="AK13" i="3"/>
  <c r="AO12" i="3"/>
  <c r="AM13" i="3"/>
  <c r="AM11" i="3"/>
  <c r="AO13" i="3"/>
  <c r="AM12" i="3"/>
  <c r="AK7" i="3"/>
  <c r="AK11" i="3"/>
  <c r="AK8" i="3"/>
  <c r="AK4" i="3"/>
  <c r="AK5" i="3"/>
  <c r="AK9" i="3"/>
  <c r="AK6" i="3"/>
  <c r="AK10" i="3"/>
  <c r="AO6" i="3"/>
  <c r="AO10" i="3"/>
  <c r="AO7" i="3"/>
  <c r="AO8" i="3"/>
  <c r="AO5" i="3"/>
  <c r="AO9" i="3"/>
  <c r="AO4" i="3"/>
  <c r="AM6" i="3"/>
  <c r="AM10" i="3"/>
  <c r="AM5" i="3"/>
  <c r="AM7" i="3"/>
  <c r="AM4" i="3"/>
  <c r="AM9" i="3"/>
  <c r="AM8" i="3"/>
  <c r="Y7" i="7"/>
  <c r="V7" i="7" s="1"/>
  <c r="Z7" i="7" s="1"/>
  <c r="Y13" i="7"/>
  <c r="V13" i="7" s="1"/>
  <c r="Z13" i="7" s="1"/>
  <c r="M9" i="8"/>
  <c r="M8" i="8"/>
  <c r="M5" i="8"/>
  <c r="M14" i="8"/>
  <c r="M15" i="8"/>
  <c r="M13" i="8"/>
  <c r="M6" i="8"/>
  <c r="M7" i="8"/>
  <c r="M12" i="8"/>
  <c r="M4" i="8"/>
  <c r="M17" i="8"/>
  <c r="M10" i="8"/>
  <c r="M11" i="8"/>
  <c r="M16" i="8"/>
  <c r="E16" i="8"/>
  <c r="Y9" i="7"/>
  <c r="V9" i="7" s="1"/>
  <c r="Z9" i="7" s="1"/>
  <c r="Y17" i="7"/>
  <c r="V17" i="7" s="1"/>
  <c r="Z17" i="7" s="1"/>
  <c r="Y6" i="7"/>
  <c r="V6" i="7" s="1"/>
  <c r="Z6" i="7" s="1"/>
  <c r="Y14" i="7"/>
  <c r="V14" i="7" s="1"/>
  <c r="Z14" i="7" s="1"/>
  <c r="Y5" i="7"/>
  <c r="V5" i="7" s="1"/>
  <c r="Z5" i="7" s="1"/>
  <c r="Y4" i="7"/>
  <c r="V4" i="7" s="1"/>
  <c r="Z4" i="7" s="1"/>
  <c r="Y10" i="7"/>
  <c r="V10" i="7" s="1"/>
  <c r="Z10" i="7" s="1"/>
  <c r="Y16" i="7"/>
  <c r="V16" i="7" s="1"/>
  <c r="Z16" i="7" s="1"/>
  <c r="Y12" i="7"/>
  <c r="V12" i="7" s="1"/>
  <c r="Z12" i="7" s="1"/>
  <c r="Y8" i="7"/>
  <c r="V8" i="7" s="1"/>
  <c r="Z8" i="7" s="1"/>
  <c r="F4" i="7"/>
  <c r="L16" i="7" s="1"/>
  <c r="I16" i="7" s="1"/>
  <c r="Y15" i="7"/>
  <c r="V15" i="7" s="1"/>
  <c r="Z15" i="7" s="1"/>
  <c r="Y11" i="7"/>
  <c r="V11" i="7" s="1"/>
  <c r="Z11" i="7" s="1"/>
  <c r="F23" i="7"/>
  <c r="F15" i="4"/>
  <c r="P17" i="4"/>
  <c r="K17" i="4"/>
  <c r="P16" i="4"/>
  <c r="K16" i="4"/>
  <c r="P15" i="4"/>
  <c r="K15" i="4"/>
  <c r="P14" i="4"/>
  <c r="K14" i="4"/>
  <c r="P13" i="4"/>
  <c r="K13" i="4"/>
  <c r="P12" i="4"/>
  <c r="K12" i="4"/>
  <c r="B11" i="4"/>
  <c r="X4" i="4" s="1"/>
  <c r="P11" i="4"/>
  <c r="K11" i="4"/>
  <c r="F11" i="4"/>
  <c r="P10" i="4"/>
  <c r="K10" i="4"/>
  <c r="P9" i="4"/>
  <c r="K9" i="4"/>
  <c r="P8" i="4"/>
  <c r="K8" i="4"/>
  <c r="P7" i="4"/>
  <c r="K7" i="4"/>
  <c r="P6" i="4"/>
  <c r="K6" i="4"/>
  <c r="P5" i="4"/>
  <c r="K5" i="4"/>
  <c r="P4" i="4"/>
  <c r="K4" i="4"/>
  <c r="F4" i="4"/>
  <c r="BO5" i="8" l="1"/>
  <c r="BO9" i="8"/>
  <c r="BO4" i="8"/>
  <c r="BO7" i="8"/>
  <c r="BO10" i="8"/>
  <c r="BO8" i="8"/>
  <c r="BO12" i="8"/>
  <c r="BO6" i="8"/>
  <c r="BO11" i="8"/>
  <c r="E9" i="7"/>
  <c r="DF6" i="7" s="1"/>
  <c r="AU5" i="7"/>
  <c r="AU7" i="7"/>
  <c r="AU4" i="7"/>
  <c r="AS4" i="7"/>
  <c r="AS5" i="7"/>
  <c r="AU6" i="7"/>
  <c r="AS6" i="7"/>
  <c r="AS7" i="7"/>
  <c r="E19" i="7"/>
  <c r="L13" i="7"/>
  <c r="I13" i="7" s="1"/>
  <c r="E14" i="3"/>
  <c r="L8" i="4"/>
  <c r="I8" i="4" s="1"/>
  <c r="F15" i="8"/>
  <c r="L6" i="7"/>
  <c r="I6" i="7" s="1"/>
  <c r="L4" i="7"/>
  <c r="I4" i="7" s="1"/>
  <c r="L15" i="7"/>
  <c r="I15" i="7" s="1"/>
  <c r="L14" i="7"/>
  <c r="I14" i="7" s="1"/>
  <c r="L7" i="7"/>
  <c r="I7" i="7" s="1"/>
  <c r="L17" i="7"/>
  <c r="I17" i="7" s="1"/>
  <c r="L9" i="7"/>
  <c r="I9" i="7" s="1"/>
  <c r="L8" i="7"/>
  <c r="I8" i="7" s="1"/>
  <c r="L11" i="7"/>
  <c r="I11" i="7" s="1"/>
  <c r="L5" i="7"/>
  <c r="I5" i="7" s="1"/>
  <c r="F22" i="7"/>
  <c r="L10" i="7"/>
  <c r="I10" i="7" s="1"/>
  <c r="AF5" i="7"/>
  <c r="AH18" i="7" s="1"/>
  <c r="L12" i="7"/>
  <c r="I12" i="7" s="1"/>
  <c r="F18" i="7"/>
  <c r="Q15" i="4"/>
  <c r="N15" i="4" s="1"/>
  <c r="R15" i="4" s="1"/>
  <c r="AP7" i="4"/>
  <c r="AP4" i="4"/>
  <c r="AP8" i="4"/>
  <c r="AP5" i="4"/>
  <c r="AP6" i="4"/>
  <c r="AP3" i="4"/>
  <c r="F17" i="4"/>
  <c r="Q4" i="4"/>
  <c r="N4" i="4" s="1"/>
  <c r="R4" i="4" s="1"/>
  <c r="Q5" i="4"/>
  <c r="N5" i="4" s="1"/>
  <c r="R5" i="4" s="1"/>
  <c r="Q8" i="4"/>
  <c r="N8" i="4" s="1"/>
  <c r="R8" i="4" s="1"/>
  <c r="Q10" i="4"/>
  <c r="N10" i="4" s="1"/>
  <c r="R10" i="4" s="1"/>
  <c r="Q17" i="4"/>
  <c r="N17" i="4" s="1"/>
  <c r="R17" i="4" s="1"/>
  <c r="Q7" i="4"/>
  <c r="N7" i="4" s="1"/>
  <c r="R7" i="4" s="1"/>
  <c r="Q9" i="4"/>
  <c r="N9" i="4" s="1"/>
  <c r="R9" i="4" s="1"/>
  <c r="Q12" i="4"/>
  <c r="N12" i="4" s="1"/>
  <c r="R12" i="4" s="1"/>
  <c r="Q14" i="4"/>
  <c r="N14" i="4" s="1"/>
  <c r="R14" i="4" s="1"/>
  <c r="Q6" i="4"/>
  <c r="N6" i="4" s="1"/>
  <c r="R6" i="4" s="1"/>
  <c r="Q11" i="4"/>
  <c r="N11" i="4" s="1"/>
  <c r="R11" i="4" s="1"/>
  <c r="L10" i="4"/>
  <c r="I10" i="4" s="1"/>
  <c r="L9" i="4"/>
  <c r="I9" i="4" s="1"/>
  <c r="L15" i="4"/>
  <c r="I15" i="4" s="1"/>
  <c r="L17" i="4"/>
  <c r="I17" i="4" s="1"/>
  <c r="L13" i="4"/>
  <c r="I13" i="4" s="1"/>
  <c r="L4" i="4"/>
  <c r="I4" i="4" s="1"/>
  <c r="L7" i="4"/>
  <c r="I7" i="4" s="1"/>
  <c r="L16" i="4"/>
  <c r="I16" i="4" s="1"/>
  <c r="Q13" i="4"/>
  <c r="N13" i="4" s="1"/>
  <c r="R13" i="4" s="1"/>
  <c r="L5" i="4"/>
  <c r="I5" i="4" s="1"/>
  <c r="X5" i="4"/>
  <c r="L6" i="4"/>
  <c r="I6" i="4" s="1"/>
  <c r="Q16" i="4"/>
  <c r="N16" i="4" s="1"/>
  <c r="R16" i="4" s="1"/>
  <c r="L11" i="4"/>
  <c r="I11" i="4" s="1"/>
  <c r="L12" i="4"/>
  <c r="I12" i="4" s="1"/>
  <c r="L14" i="4"/>
  <c r="I14" i="4" s="1"/>
  <c r="P17" i="3"/>
  <c r="P16" i="3"/>
  <c r="P15" i="3"/>
  <c r="P14" i="3"/>
  <c r="P13" i="3"/>
  <c r="P12" i="3"/>
  <c r="P11" i="3"/>
  <c r="P10" i="3"/>
  <c r="P9" i="3"/>
  <c r="P8" i="3"/>
  <c r="P7" i="3"/>
  <c r="P6" i="3"/>
  <c r="P5" i="3"/>
  <c r="P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4" i="3"/>
  <c r="L4" i="3" s="1"/>
  <c r="Q9" i="7"/>
  <c r="N9" i="7" s="1"/>
  <c r="BG6" i="8" l="1"/>
  <c r="BG10" i="8"/>
  <c r="BG12" i="8"/>
  <c r="BG5" i="8"/>
  <c r="BG7" i="8"/>
  <c r="BG11" i="8"/>
  <c r="BG8" i="8"/>
  <c r="BG4" i="8"/>
  <c r="BG9" i="8"/>
  <c r="DF19" i="7"/>
  <c r="DF5" i="7"/>
  <c r="DF15" i="7"/>
  <c r="DF9" i="7"/>
  <c r="DF18" i="7"/>
  <c r="DF16" i="7"/>
  <c r="DF14" i="7"/>
  <c r="DF17" i="7"/>
  <c r="DF12" i="7"/>
  <c r="DF11" i="7"/>
  <c r="DF10" i="7"/>
  <c r="DF13" i="7"/>
  <c r="DF8" i="7"/>
  <c r="DF7" i="7"/>
  <c r="CP8" i="7"/>
  <c r="CP5" i="7"/>
  <c r="CP9" i="7"/>
  <c r="CP6" i="7"/>
  <c r="CP4" i="7"/>
  <c r="CP7" i="7"/>
  <c r="CH10" i="7"/>
  <c r="CH7" i="7"/>
  <c r="CH11" i="7"/>
  <c r="CH15" i="7"/>
  <c r="CH8" i="7"/>
  <c r="CH12" i="7"/>
  <c r="CH4" i="7"/>
  <c r="CH5" i="7"/>
  <c r="CH9" i="7"/>
  <c r="CH13" i="7"/>
  <c r="CH6" i="7"/>
  <c r="CH14" i="7"/>
  <c r="CL7" i="7"/>
  <c r="CL11" i="7"/>
  <c r="CL15" i="7"/>
  <c r="CL8" i="7"/>
  <c r="CL12" i="7"/>
  <c r="CL4" i="7"/>
  <c r="CL5" i="7"/>
  <c r="CL9" i="7"/>
  <c r="CL13" i="7"/>
  <c r="CL6" i="7"/>
  <c r="CL10" i="7"/>
  <c r="CL14" i="7"/>
  <c r="E24" i="7"/>
  <c r="CT7" i="7" s="1"/>
  <c r="AH8" i="7"/>
  <c r="AM5" i="4"/>
  <c r="AM6" i="4"/>
  <c r="AM7" i="4"/>
  <c r="AM4" i="4"/>
  <c r="AK7" i="4"/>
  <c r="AK5" i="4"/>
  <c r="AK6" i="4"/>
  <c r="AK20" i="7"/>
  <c r="AH16" i="7"/>
  <c r="CR4" i="3"/>
  <c r="P25" i="15" s="1"/>
  <c r="CK14" i="3"/>
  <c r="CK13" i="3"/>
  <c r="CN14" i="3"/>
  <c r="CN13" i="3"/>
  <c r="CH12" i="3"/>
  <c r="CH14" i="3"/>
  <c r="CH13" i="3"/>
  <c r="CH4" i="3"/>
  <c r="CN8" i="3"/>
  <c r="CK5" i="3"/>
  <c r="CK9" i="3"/>
  <c r="CH6" i="3"/>
  <c r="CH10" i="3"/>
  <c r="CN5" i="3"/>
  <c r="CN9" i="3"/>
  <c r="CK6" i="3"/>
  <c r="CK10" i="3"/>
  <c r="CH7" i="3"/>
  <c r="CH11" i="3"/>
  <c r="CN6" i="3"/>
  <c r="CN10" i="3"/>
  <c r="CK7" i="3"/>
  <c r="CK4" i="3"/>
  <c r="CH8" i="3"/>
  <c r="CN7" i="3"/>
  <c r="CN4" i="3"/>
  <c r="CK8" i="3"/>
  <c r="CH5" i="3"/>
  <c r="CH9" i="3"/>
  <c r="AH10" i="7"/>
  <c r="AN14" i="7"/>
  <c r="AN9" i="7"/>
  <c r="AN11" i="7"/>
  <c r="AK10" i="7"/>
  <c r="AH9" i="7"/>
  <c r="AK14" i="7"/>
  <c r="AK9" i="7"/>
  <c r="AH12" i="7"/>
  <c r="AH11" i="7"/>
  <c r="AH19" i="7"/>
  <c r="AK4" i="7"/>
  <c r="AK13" i="7"/>
  <c r="AK15" i="7"/>
  <c r="AK11" i="7"/>
  <c r="E13" i="4"/>
  <c r="AH13" i="7"/>
  <c r="AK7" i="7"/>
  <c r="AN15" i="7"/>
  <c r="AH20" i="7"/>
  <c r="AN6" i="7"/>
  <c r="AK22" i="7"/>
  <c r="AK5" i="7"/>
  <c r="Q12" i="7"/>
  <c r="N12" i="7" s="1"/>
  <c r="Q17" i="7"/>
  <c r="N17" i="7" s="1"/>
  <c r="Q16" i="7"/>
  <c r="N16" i="7" s="1"/>
  <c r="Q4" i="7"/>
  <c r="N4" i="7" s="1"/>
  <c r="Q7" i="7"/>
  <c r="N7" i="7" s="1"/>
  <c r="Q5" i="7"/>
  <c r="N5" i="7" s="1"/>
  <c r="Q14" i="7"/>
  <c r="N14" i="7" s="1"/>
  <c r="F14" i="7"/>
  <c r="F4" i="8" s="1"/>
  <c r="Q8" i="7"/>
  <c r="N8" i="7" s="1"/>
  <c r="Q10" i="7"/>
  <c r="N10" i="7" s="1"/>
  <c r="Q13" i="7"/>
  <c r="N13" i="7" s="1"/>
  <c r="Q15" i="7"/>
  <c r="N15" i="7" s="1"/>
  <c r="Q11" i="7"/>
  <c r="N11" i="7" s="1"/>
  <c r="Q6" i="7"/>
  <c r="N6" i="7" s="1"/>
  <c r="AN10" i="7"/>
  <c r="AK8" i="7"/>
  <c r="AH15" i="7"/>
  <c r="AK17" i="7"/>
  <c r="AN13" i="7"/>
  <c r="AH17" i="7"/>
  <c r="AH6" i="7"/>
  <c r="AK18" i="7"/>
  <c r="F5" i="7"/>
  <c r="BM4" i="7" s="1"/>
  <c r="AN8" i="7"/>
  <c r="AH5" i="7"/>
  <c r="AN16" i="7"/>
  <c r="AN4" i="7"/>
  <c r="AN7" i="7"/>
  <c r="AH4" i="7"/>
  <c r="AH7" i="7"/>
  <c r="AK21" i="7"/>
  <c r="AH14" i="7"/>
  <c r="AK6" i="7"/>
  <c r="AN12" i="7"/>
  <c r="AH21" i="7"/>
  <c r="AK19" i="7"/>
  <c r="AN5" i="7"/>
  <c r="AK12" i="7"/>
  <c r="AK16" i="7"/>
  <c r="F16" i="4"/>
  <c r="F12" i="4"/>
  <c r="F5" i="4"/>
  <c r="AK4" i="4"/>
  <c r="AC22" i="4"/>
  <c r="AC20" i="4"/>
  <c r="AC18" i="4"/>
  <c r="Z16" i="4"/>
  <c r="AC15" i="4"/>
  <c r="AF14" i="4"/>
  <c r="Z13" i="4"/>
  <c r="AF12" i="4"/>
  <c r="AF11" i="4"/>
  <c r="AC10" i="4"/>
  <c r="AC8" i="4"/>
  <c r="Z7" i="4"/>
  <c r="AF5" i="4"/>
  <c r="AF4" i="4"/>
  <c r="Z20" i="4"/>
  <c r="Z18" i="4"/>
  <c r="Z15" i="4"/>
  <c r="AC11" i="4"/>
  <c r="Z10" i="4"/>
  <c r="AF9" i="4"/>
  <c r="AF6" i="4"/>
  <c r="AC21" i="4"/>
  <c r="AC19" i="4"/>
  <c r="AC17" i="4"/>
  <c r="AF16" i="4"/>
  <c r="Z14" i="4"/>
  <c r="AF13" i="4"/>
  <c r="Z12" i="4"/>
  <c r="Z11" i="4"/>
  <c r="AC9" i="4"/>
  <c r="AF7" i="4"/>
  <c r="AC6" i="4"/>
  <c r="Z5" i="4"/>
  <c r="Z4" i="4"/>
  <c r="AC14" i="4"/>
  <c r="Z8" i="4"/>
  <c r="AC5" i="4"/>
  <c r="Z21" i="4"/>
  <c r="Z19" i="4"/>
  <c r="Z17" i="4"/>
  <c r="AC16" i="4"/>
  <c r="AF15" i="4"/>
  <c r="AC13" i="4"/>
  <c r="AF10" i="4"/>
  <c r="Z9" i="4"/>
  <c r="AF8" i="4"/>
  <c r="AC7" i="4"/>
  <c r="Z6" i="4"/>
  <c r="AC12" i="4"/>
  <c r="AC4" i="4"/>
  <c r="Q5" i="3"/>
  <c r="N5" i="3" s="1"/>
  <c r="L5" i="3"/>
  <c r="Q16" i="3"/>
  <c r="N16" i="3" s="1"/>
  <c r="Q12" i="3"/>
  <c r="N12" i="3" s="1"/>
  <c r="Q8" i="3"/>
  <c r="N8" i="3" s="1"/>
  <c r="Q15" i="3"/>
  <c r="N15" i="3" s="1"/>
  <c r="Q11" i="3"/>
  <c r="N11" i="3" s="1"/>
  <c r="Q7" i="3"/>
  <c r="N7" i="3" s="1"/>
  <c r="Q4" i="3"/>
  <c r="N4" i="3" s="1"/>
  <c r="Q14" i="3"/>
  <c r="N14" i="3" s="1"/>
  <c r="Q10" i="3"/>
  <c r="N10" i="3" s="1"/>
  <c r="Q6" i="3"/>
  <c r="N6" i="3" s="1"/>
  <c r="Q17" i="3"/>
  <c r="N17" i="3" s="1"/>
  <c r="Q13" i="3"/>
  <c r="N13" i="3" s="1"/>
  <c r="Q9" i="3"/>
  <c r="N9" i="3" s="1"/>
  <c r="L14" i="3"/>
  <c r="L6" i="3"/>
  <c r="L16" i="3"/>
  <c r="L12" i="3"/>
  <c r="L8" i="3"/>
  <c r="L10" i="3"/>
  <c r="L15" i="3"/>
  <c r="L11" i="3"/>
  <c r="L7" i="3"/>
  <c r="L17" i="3"/>
  <c r="L13" i="3"/>
  <c r="L9" i="3"/>
  <c r="B12" i="3"/>
  <c r="X4" i="3" s="1"/>
  <c r="AD5" i="8" l="1"/>
  <c r="AH14" i="8" s="1"/>
  <c r="AL10" i="8"/>
  <c r="AL11" i="8"/>
  <c r="AL9" i="8"/>
  <c r="Z37" i="15"/>
  <c r="F6" i="7"/>
  <c r="CW5" i="7"/>
  <c r="CT5" i="7"/>
  <c r="CW6" i="7"/>
  <c r="CT6" i="7"/>
  <c r="CW7" i="7"/>
  <c r="CW4" i="7"/>
  <c r="CT4" i="7"/>
  <c r="BM15" i="7"/>
  <c r="BM7" i="7"/>
  <c r="BM14" i="7"/>
  <c r="BM12" i="7"/>
  <c r="BM10" i="7"/>
  <c r="BM9" i="7"/>
  <c r="BM8" i="7"/>
  <c r="BM13" i="7"/>
  <c r="BM11" i="7"/>
  <c r="BM6" i="7"/>
  <c r="BM5" i="7"/>
  <c r="CA7" i="4"/>
  <c r="CA11" i="4"/>
  <c r="CA15" i="4"/>
  <c r="CA8" i="4"/>
  <c r="CA12" i="4"/>
  <c r="CA4" i="4"/>
  <c r="CA5" i="4"/>
  <c r="CA9" i="4"/>
  <c r="CA13" i="4"/>
  <c r="CA6" i="4"/>
  <c r="CA10" i="4"/>
  <c r="CA14" i="4"/>
  <c r="CE5" i="4"/>
  <c r="CE9" i="4"/>
  <c r="CE6" i="4"/>
  <c r="CE7" i="4"/>
  <c r="CE8" i="4"/>
  <c r="CE4" i="4"/>
  <c r="BW8" i="4"/>
  <c r="BW12" i="4"/>
  <c r="BW5" i="4"/>
  <c r="BW9" i="4"/>
  <c r="BW13" i="4"/>
  <c r="BW6" i="4"/>
  <c r="BW10" i="4"/>
  <c r="BW14" i="4"/>
  <c r="BW7" i="4"/>
  <c r="BW11" i="4"/>
  <c r="BW15" i="4"/>
  <c r="BS14" i="4"/>
  <c r="BS10" i="4"/>
  <c r="BS6" i="4"/>
  <c r="BO11" i="4"/>
  <c r="BO12" i="4"/>
  <c r="BO7" i="4"/>
  <c r="BS15" i="4"/>
  <c r="BS7" i="4"/>
  <c r="BO4" i="4"/>
  <c r="BO13" i="4"/>
  <c r="BS13" i="4"/>
  <c r="BS9" i="4"/>
  <c r="BS5" i="4"/>
  <c r="BO15" i="4"/>
  <c r="BO10" i="4"/>
  <c r="BO6" i="4"/>
  <c r="BS12" i="4"/>
  <c r="BS8" i="4"/>
  <c r="BS4" i="4"/>
  <c r="BO14" i="4"/>
  <c r="BO9" i="4"/>
  <c r="BO5" i="4"/>
  <c r="BS11" i="4"/>
  <c r="BO8" i="4"/>
  <c r="BB9" i="4"/>
  <c r="BB7" i="4"/>
  <c r="BB4" i="4"/>
  <c r="BB15" i="4"/>
  <c r="BB13" i="4"/>
  <c r="BB12" i="4"/>
  <c r="BB11" i="4"/>
  <c r="BB14" i="4"/>
  <c r="BB10" i="4"/>
  <c r="BB8" i="4"/>
  <c r="BB6" i="4"/>
  <c r="BB5" i="4"/>
  <c r="BW4" i="4"/>
  <c r="E18" i="4"/>
  <c r="N25" i="15"/>
  <c r="I7" i="3"/>
  <c r="U12" i="7"/>
  <c r="R12" i="7" s="1"/>
  <c r="F12" i="3"/>
  <c r="U4" i="7"/>
  <c r="R4" i="7" s="1"/>
  <c r="U15" i="7"/>
  <c r="R15" i="7" s="1"/>
  <c r="U13" i="7"/>
  <c r="R13" i="7" s="1"/>
  <c r="F12" i="7"/>
  <c r="U16" i="7"/>
  <c r="R16" i="7" s="1"/>
  <c r="U8" i="7"/>
  <c r="R8" i="7" s="1"/>
  <c r="U17" i="7"/>
  <c r="R17" i="7" s="1"/>
  <c r="U14" i="7"/>
  <c r="R14" i="7" s="1"/>
  <c r="U9" i="7"/>
  <c r="R9" i="7" s="1"/>
  <c r="U11" i="7"/>
  <c r="R11" i="7" s="1"/>
  <c r="U5" i="7"/>
  <c r="R5" i="7" s="1"/>
  <c r="U10" i="7"/>
  <c r="R10" i="7" s="1"/>
  <c r="U6" i="7"/>
  <c r="R6" i="7" s="1"/>
  <c r="U7" i="7"/>
  <c r="R7" i="7" s="1"/>
  <c r="F7" i="7"/>
  <c r="I11" i="3"/>
  <c r="I15" i="3"/>
  <c r="I12" i="3"/>
  <c r="I5" i="3"/>
  <c r="I9" i="3"/>
  <c r="I13" i="3"/>
  <c r="I17" i="3"/>
  <c r="I8" i="3"/>
  <c r="I16" i="3"/>
  <c r="I6" i="3"/>
  <c r="I10" i="3"/>
  <c r="I14" i="3"/>
  <c r="I4" i="3"/>
  <c r="F6" i="4"/>
  <c r="F7" i="4"/>
  <c r="X5" i="3"/>
  <c r="AJ35" i="2"/>
  <c r="AJ34" i="2"/>
  <c r="AI34" i="2"/>
  <c r="AI33" i="2"/>
  <c r="AJ33" i="2"/>
  <c r="AH33" i="2"/>
  <c r="AH32" i="2"/>
  <c r="AI32" i="2"/>
  <c r="AJ32" i="2"/>
  <c r="AG32" i="2"/>
  <c r="AG31" i="2"/>
  <c r="AH31" i="2"/>
  <c r="AI31" i="2"/>
  <c r="AJ31" i="2"/>
  <c r="AF31" i="2"/>
  <c r="AF30" i="2"/>
  <c r="AG30" i="2"/>
  <c r="AH30" i="2"/>
  <c r="AI30" i="2"/>
  <c r="AJ30" i="2"/>
  <c r="AE30" i="2"/>
  <c r="AE29" i="2"/>
  <c r="AF29" i="2"/>
  <c r="AG29" i="2"/>
  <c r="AH29" i="2"/>
  <c r="AI29" i="2"/>
  <c r="AJ29" i="2"/>
  <c r="AD29" i="2"/>
  <c r="AD28" i="2"/>
  <c r="AE28" i="2"/>
  <c r="AF28" i="2"/>
  <c r="AG28" i="2"/>
  <c r="AH28" i="2"/>
  <c r="AI28" i="2"/>
  <c r="AJ28" i="2"/>
  <c r="AC28" i="2"/>
  <c r="AC27" i="2"/>
  <c r="AD27" i="2"/>
  <c r="AE27" i="2"/>
  <c r="AF27" i="2"/>
  <c r="AG27" i="2"/>
  <c r="AH27" i="2"/>
  <c r="AI27" i="2"/>
  <c r="AJ27" i="2"/>
  <c r="AB27" i="2"/>
  <c r="AB26" i="2"/>
  <c r="AC26" i="2"/>
  <c r="AD26" i="2"/>
  <c r="AE26" i="2"/>
  <c r="AF26" i="2"/>
  <c r="AG26" i="2"/>
  <c r="AH26" i="2"/>
  <c r="AI26" i="2"/>
  <c r="AJ26" i="2"/>
  <c r="AA26" i="2"/>
  <c r="AA25" i="2"/>
  <c r="AB25" i="2"/>
  <c r="AC25" i="2"/>
  <c r="AD25" i="2"/>
  <c r="AE25" i="2"/>
  <c r="AF25" i="2"/>
  <c r="AG25" i="2"/>
  <c r="AH25" i="2"/>
  <c r="AI25" i="2"/>
  <c r="AJ25" i="2"/>
  <c r="Z25" i="2"/>
  <c r="Z24" i="2"/>
  <c r="AA24" i="2"/>
  <c r="AB24" i="2"/>
  <c r="AC24" i="2"/>
  <c r="AD24" i="2"/>
  <c r="AE24" i="2"/>
  <c r="AF24" i="2"/>
  <c r="AG24" i="2"/>
  <c r="AH24" i="2"/>
  <c r="AI24" i="2"/>
  <c r="AJ24" i="2"/>
  <c r="Y24" i="2"/>
  <c r="Y23" i="2"/>
  <c r="Z23" i="2"/>
  <c r="AA23" i="2"/>
  <c r="AB23" i="2"/>
  <c r="AC23" i="2"/>
  <c r="AD23" i="2"/>
  <c r="AE23" i="2"/>
  <c r="AF23" i="2"/>
  <c r="AG23" i="2"/>
  <c r="AH23" i="2"/>
  <c r="AI23" i="2"/>
  <c r="AJ23" i="2"/>
  <c r="X23" i="2"/>
  <c r="X22" i="2"/>
  <c r="Y22" i="2"/>
  <c r="Z22" i="2"/>
  <c r="AA22" i="2"/>
  <c r="AB22" i="2"/>
  <c r="AC22" i="2"/>
  <c r="AD22" i="2"/>
  <c r="AE22" i="2"/>
  <c r="AF22" i="2"/>
  <c r="AG22" i="2"/>
  <c r="AH22" i="2"/>
  <c r="AI22" i="2"/>
  <c r="AJ22" i="2"/>
  <c r="W22" i="2"/>
  <c r="W21" i="2"/>
  <c r="X21" i="2"/>
  <c r="Y21" i="2"/>
  <c r="Z21" i="2"/>
  <c r="AA21" i="2"/>
  <c r="AB21" i="2"/>
  <c r="AC21" i="2"/>
  <c r="AD21" i="2"/>
  <c r="AE21" i="2"/>
  <c r="AF21" i="2"/>
  <c r="AG21" i="2"/>
  <c r="AH21" i="2"/>
  <c r="AI21" i="2"/>
  <c r="AJ21" i="2"/>
  <c r="V21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AJ20" i="2"/>
  <c r="U20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19" i="2"/>
  <c r="AJ19" i="2"/>
  <c r="T19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AJ18" i="2"/>
  <c r="S18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AG17" i="2"/>
  <c r="AH17" i="2"/>
  <c r="AI17" i="2"/>
  <c r="AJ17" i="2"/>
  <c r="R17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AJ16" i="2"/>
  <c r="Q16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P15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AG14" i="2"/>
  <c r="AH14" i="2"/>
  <c r="AI14" i="2"/>
  <c r="AJ14" i="2"/>
  <c r="O14" i="2"/>
  <c r="AJ13" i="2"/>
  <c r="AI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N13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M12" i="2"/>
  <c r="AE11" i="2"/>
  <c r="AD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L11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K10" i="2"/>
  <c r="Z9" i="2"/>
  <c r="X9" i="2"/>
  <c r="Y9" i="2"/>
  <c r="W9" i="2"/>
  <c r="K9" i="2"/>
  <c r="L9" i="2"/>
  <c r="M9" i="2"/>
  <c r="N9" i="2"/>
  <c r="O9" i="2"/>
  <c r="P9" i="2"/>
  <c r="Q9" i="2"/>
  <c r="R9" i="2"/>
  <c r="S9" i="2"/>
  <c r="T9" i="2"/>
  <c r="U9" i="2"/>
  <c r="V9" i="2"/>
  <c r="J9" i="2"/>
  <c r="U8" i="2"/>
  <c r="T8" i="2"/>
  <c r="S8" i="2"/>
  <c r="R8" i="2"/>
  <c r="J8" i="2"/>
  <c r="K8" i="2"/>
  <c r="L8" i="2"/>
  <c r="M8" i="2"/>
  <c r="N8" i="2"/>
  <c r="O8" i="2"/>
  <c r="P8" i="2"/>
  <c r="Q8" i="2"/>
  <c r="I8" i="2"/>
  <c r="I7" i="2"/>
  <c r="J7" i="2"/>
  <c r="K7" i="2"/>
  <c r="L7" i="2"/>
  <c r="M7" i="2"/>
  <c r="N7" i="2"/>
  <c r="O7" i="2"/>
  <c r="P7" i="2"/>
  <c r="H7" i="2"/>
  <c r="O6" i="2"/>
  <c r="H6" i="2"/>
  <c r="I6" i="2"/>
  <c r="J6" i="2"/>
  <c r="K6" i="2"/>
  <c r="L6" i="2"/>
  <c r="M6" i="2"/>
  <c r="N6" i="2"/>
  <c r="G6" i="2"/>
  <c r="G5" i="2"/>
  <c r="H5" i="2"/>
  <c r="I5" i="2"/>
  <c r="J5" i="2"/>
  <c r="K5" i="2"/>
  <c r="L5" i="2"/>
  <c r="M5" i="2"/>
  <c r="N5" i="2"/>
  <c r="F5" i="2"/>
  <c r="F4" i="2"/>
  <c r="G4" i="2"/>
  <c r="H4" i="2"/>
  <c r="I4" i="2"/>
  <c r="J4" i="2"/>
  <c r="K4" i="2"/>
  <c r="L4" i="2"/>
  <c r="M4" i="2"/>
  <c r="E4" i="2"/>
  <c r="E3" i="2"/>
  <c r="F3" i="2"/>
  <c r="G3" i="2"/>
  <c r="H3" i="2"/>
  <c r="I3" i="2"/>
  <c r="J3" i="2"/>
  <c r="K3" i="2"/>
  <c r="L3" i="2"/>
  <c r="D3" i="2"/>
  <c r="D2" i="2"/>
  <c r="E2" i="2"/>
  <c r="F2" i="2"/>
  <c r="G2" i="2"/>
  <c r="H2" i="2"/>
  <c r="I2" i="2"/>
  <c r="J2" i="2"/>
  <c r="K2" i="2"/>
  <c r="C2" i="2"/>
  <c r="AE8" i="8" l="1"/>
  <c r="AE9" i="8"/>
  <c r="AH12" i="8"/>
  <c r="AE13" i="8"/>
  <c r="AH11" i="8"/>
  <c r="AE11" i="8"/>
  <c r="AE5" i="8"/>
  <c r="AH9" i="8"/>
  <c r="AH4" i="8"/>
  <c r="AE14" i="8"/>
  <c r="AH6" i="8"/>
  <c r="AH10" i="8"/>
  <c r="AE12" i="8"/>
  <c r="AE10" i="8"/>
  <c r="AE15" i="8"/>
  <c r="AH5" i="8"/>
  <c r="AH7" i="8"/>
  <c r="AE4" i="8"/>
  <c r="AE6" i="8"/>
  <c r="AE7" i="8"/>
  <c r="AH8" i="8"/>
  <c r="AH13" i="8"/>
  <c r="P37" i="15"/>
  <c r="R37" i="15"/>
  <c r="T37" i="15"/>
  <c r="BZ6" i="7"/>
  <c r="BZ10" i="7"/>
  <c r="BZ14" i="7"/>
  <c r="BZ7" i="7"/>
  <c r="BZ11" i="7"/>
  <c r="BZ15" i="7"/>
  <c r="BZ8" i="7"/>
  <c r="BZ12" i="7"/>
  <c r="BZ4" i="7"/>
  <c r="BZ5" i="7"/>
  <c r="BZ9" i="7"/>
  <c r="BZ13" i="7"/>
  <c r="F37" i="15"/>
  <c r="F8" i="7"/>
  <c r="BQ23" i="7"/>
  <c r="BQ19" i="7"/>
  <c r="BQ15" i="7"/>
  <c r="BQ13" i="7"/>
  <c r="BQ11" i="7"/>
  <c r="BQ6" i="7"/>
  <c r="BQ26" i="7"/>
  <c r="BQ7" i="7"/>
  <c r="BQ25" i="7"/>
  <c r="BQ17" i="7"/>
  <c r="BQ14" i="7"/>
  <c r="BQ10" i="7"/>
  <c r="BQ8" i="7"/>
  <c r="BQ4" i="7"/>
  <c r="BQ24" i="7"/>
  <c r="BQ20" i="7"/>
  <c r="BQ16" i="7"/>
  <c r="BQ5" i="7"/>
  <c r="BQ22" i="7"/>
  <c r="BQ18" i="7"/>
  <c r="BQ21" i="7"/>
  <c r="BQ12" i="7"/>
  <c r="BQ9" i="7"/>
  <c r="CI4" i="4"/>
  <c r="CI6" i="4"/>
  <c r="CI7" i="4"/>
  <c r="CI5" i="4"/>
  <c r="CL4" i="4"/>
  <c r="CL6" i="4"/>
  <c r="CL5" i="4"/>
  <c r="CL7" i="4"/>
  <c r="F8" i="4"/>
  <c r="BF24" i="4"/>
  <c r="BF20" i="4"/>
  <c r="BF16" i="4"/>
  <c r="BF14" i="4"/>
  <c r="BF10" i="4"/>
  <c r="BF9" i="4"/>
  <c r="BF8" i="4"/>
  <c r="BF5" i="4"/>
  <c r="BF12" i="4"/>
  <c r="BF26" i="4"/>
  <c r="BF22" i="4"/>
  <c r="BF18" i="4"/>
  <c r="BF15" i="4"/>
  <c r="BF13" i="4"/>
  <c r="BF11" i="4"/>
  <c r="BF25" i="4"/>
  <c r="BF21" i="4"/>
  <c r="BF17" i="4"/>
  <c r="BF6" i="4"/>
  <c r="BF4" i="4"/>
  <c r="BF23" i="4"/>
  <c r="BF19" i="4"/>
  <c r="BF7" i="4"/>
  <c r="CD7" i="3"/>
  <c r="CD11" i="3"/>
  <c r="CD15" i="3"/>
  <c r="CD8" i="3"/>
  <c r="CD12" i="3"/>
  <c r="CD4" i="3"/>
  <c r="CD5" i="3"/>
  <c r="CD9" i="3"/>
  <c r="CD13" i="3"/>
  <c r="CD6" i="3"/>
  <c r="CD10" i="3"/>
  <c r="CD14" i="3"/>
  <c r="AL3" i="8"/>
  <c r="L6" i="8"/>
  <c r="I6" i="8" s="1"/>
  <c r="L5" i="8"/>
  <c r="I5" i="8" s="1"/>
  <c r="L7" i="8"/>
  <c r="I7" i="8" s="1"/>
  <c r="L11" i="8"/>
  <c r="I11" i="8" s="1"/>
  <c r="L4" i="8"/>
  <c r="I4" i="8" s="1"/>
  <c r="L9" i="8"/>
  <c r="I9" i="8" s="1"/>
  <c r="L16" i="8"/>
  <c r="I16" i="8" s="1"/>
  <c r="AL5" i="8"/>
  <c r="S5" i="8"/>
  <c r="Y14" i="8" s="1"/>
  <c r="AL4" i="8"/>
  <c r="AL6" i="8"/>
  <c r="L10" i="8"/>
  <c r="I10" i="8" s="1"/>
  <c r="L8" i="8"/>
  <c r="I8" i="8" s="1"/>
  <c r="L13" i="8"/>
  <c r="I13" i="8" s="1"/>
  <c r="L12" i="8"/>
  <c r="I12" i="8" s="1"/>
  <c r="AL8" i="8"/>
  <c r="AL7" i="8"/>
  <c r="L14" i="8"/>
  <c r="I14" i="8" s="1"/>
  <c r="L17" i="8"/>
  <c r="I17" i="8" s="1"/>
  <c r="L15" i="8"/>
  <c r="I15" i="8" s="1"/>
  <c r="F15" i="7"/>
  <c r="F5" i="3"/>
  <c r="Z8" i="3"/>
  <c r="AC17" i="3"/>
  <c r="AC20" i="3"/>
  <c r="AC19" i="3"/>
  <c r="AC22" i="3"/>
  <c r="AC18" i="3"/>
  <c r="AC21" i="3"/>
  <c r="Z6" i="3"/>
  <c r="Z9" i="3"/>
  <c r="Z10" i="3"/>
  <c r="Z12" i="3"/>
  <c r="Z7" i="3"/>
  <c r="Z20" i="3"/>
  <c r="Z19" i="3"/>
  <c r="Z18" i="3"/>
  <c r="Z21" i="3"/>
  <c r="Z11" i="3"/>
  <c r="Z5" i="3"/>
  <c r="AF16" i="3"/>
  <c r="AF12" i="3"/>
  <c r="AF8" i="3"/>
  <c r="AF4" i="3"/>
  <c r="AC13" i="3"/>
  <c r="AC9" i="3"/>
  <c r="AC5" i="3"/>
  <c r="AF15" i="3"/>
  <c r="AF11" i="3"/>
  <c r="AF7" i="3"/>
  <c r="AC16" i="3"/>
  <c r="AC12" i="3"/>
  <c r="AC8" i="3"/>
  <c r="AC4" i="3"/>
  <c r="AF14" i="3"/>
  <c r="AF10" i="3"/>
  <c r="AF6" i="3"/>
  <c r="AC15" i="3"/>
  <c r="AC11" i="3"/>
  <c r="AC7" i="3"/>
  <c r="AF13" i="3"/>
  <c r="AF9" i="3"/>
  <c r="AF5" i="3"/>
  <c r="AC14" i="3"/>
  <c r="AC10" i="3"/>
  <c r="AC6" i="3"/>
  <c r="Z4" i="3"/>
  <c r="Z13" i="3"/>
  <c r="Z17" i="3"/>
  <c r="Z16" i="3"/>
  <c r="Z14" i="3"/>
  <c r="Z15" i="3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3" i="1"/>
  <c r="C4" i="1"/>
  <c r="O5" i="1"/>
  <c r="P5" i="1"/>
  <c r="Q5" i="1"/>
  <c r="O6" i="1"/>
  <c r="P6" i="1"/>
  <c r="Q6" i="1"/>
  <c r="O7" i="1"/>
  <c r="P7" i="1"/>
  <c r="Q7" i="1"/>
  <c r="O8" i="1"/>
  <c r="P8" i="1"/>
  <c r="Q8" i="1"/>
  <c r="O9" i="1"/>
  <c r="P9" i="1"/>
  <c r="Q9" i="1"/>
  <c r="O10" i="1"/>
  <c r="P10" i="1"/>
  <c r="Q10" i="1"/>
  <c r="O11" i="1"/>
  <c r="P11" i="1"/>
  <c r="Q11" i="1"/>
  <c r="O12" i="1"/>
  <c r="P12" i="1"/>
  <c r="Q12" i="1"/>
  <c r="O13" i="1"/>
  <c r="P13" i="1"/>
  <c r="Q13" i="1"/>
  <c r="O14" i="1"/>
  <c r="P14" i="1"/>
  <c r="Q14" i="1"/>
  <c r="O15" i="1"/>
  <c r="P15" i="1"/>
  <c r="Q15" i="1"/>
  <c r="O16" i="1"/>
  <c r="P16" i="1"/>
  <c r="Q16" i="1"/>
  <c r="O17" i="1"/>
  <c r="P17" i="1"/>
  <c r="Q17" i="1"/>
  <c r="O18" i="1"/>
  <c r="P18" i="1"/>
  <c r="Q18" i="1"/>
  <c r="O19" i="1"/>
  <c r="P19" i="1"/>
  <c r="Q19" i="1"/>
  <c r="O20" i="1"/>
  <c r="P20" i="1"/>
  <c r="Q20" i="1"/>
  <c r="O21" i="1"/>
  <c r="P21" i="1"/>
  <c r="Q21" i="1"/>
  <c r="O22" i="1"/>
  <c r="P22" i="1"/>
  <c r="Q22" i="1"/>
  <c r="O23" i="1"/>
  <c r="P23" i="1"/>
  <c r="Q23" i="1"/>
  <c r="O24" i="1"/>
  <c r="P24" i="1"/>
  <c r="Q24" i="1"/>
  <c r="O25" i="1"/>
  <c r="P25" i="1"/>
  <c r="Q25" i="1"/>
  <c r="O26" i="1"/>
  <c r="P26" i="1"/>
  <c r="Q26" i="1"/>
  <c r="O27" i="1"/>
  <c r="P27" i="1"/>
  <c r="Q27" i="1"/>
  <c r="O28" i="1"/>
  <c r="P28" i="1"/>
  <c r="Q28" i="1"/>
  <c r="O29" i="1"/>
  <c r="P29" i="1"/>
  <c r="Q29" i="1"/>
  <c r="O30" i="1"/>
  <c r="P30" i="1"/>
  <c r="Q30" i="1"/>
  <c r="O31" i="1"/>
  <c r="P31" i="1"/>
  <c r="Q31" i="1"/>
  <c r="O32" i="1"/>
  <c r="P32" i="1"/>
  <c r="Q32" i="1"/>
  <c r="O33" i="1"/>
  <c r="P33" i="1"/>
  <c r="Q33" i="1"/>
  <c r="O34" i="1"/>
  <c r="P34" i="1"/>
  <c r="Q34" i="1"/>
  <c r="O35" i="1"/>
  <c r="P35" i="1"/>
  <c r="Q35" i="1"/>
  <c r="O36" i="1"/>
  <c r="P36" i="1"/>
  <c r="Q36" i="1"/>
  <c r="O37" i="1"/>
  <c r="P37" i="1"/>
  <c r="Q37" i="1"/>
  <c r="O38" i="1"/>
  <c r="P38" i="1"/>
  <c r="Q38" i="1"/>
  <c r="O39" i="1"/>
  <c r="P39" i="1"/>
  <c r="Q39" i="1"/>
  <c r="O40" i="1"/>
  <c r="P40" i="1"/>
  <c r="Q40" i="1"/>
  <c r="O41" i="1"/>
  <c r="P41" i="1"/>
  <c r="Q41" i="1"/>
  <c r="O42" i="1"/>
  <c r="P42" i="1"/>
  <c r="Q42" i="1"/>
  <c r="O43" i="1"/>
  <c r="P43" i="1"/>
  <c r="Q43" i="1"/>
  <c r="O44" i="1"/>
  <c r="P44" i="1"/>
  <c r="Q44" i="1"/>
  <c r="O45" i="1"/>
  <c r="P45" i="1"/>
  <c r="Q45" i="1"/>
  <c r="O46" i="1"/>
  <c r="P46" i="1"/>
  <c r="Q46" i="1"/>
  <c r="O47" i="1"/>
  <c r="P47" i="1"/>
  <c r="Q47" i="1"/>
  <c r="O48" i="1"/>
  <c r="P48" i="1"/>
  <c r="Q48" i="1"/>
  <c r="O49" i="1"/>
  <c r="P49" i="1"/>
  <c r="Q49" i="1"/>
  <c r="O50" i="1"/>
  <c r="P50" i="1"/>
  <c r="Q50" i="1"/>
  <c r="O51" i="1"/>
  <c r="P51" i="1"/>
  <c r="Q51" i="1"/>
  <c r="O52" i="1"/>
  <c r="P52" i="1"/>
  <c r="Q52" i="1"/>
  <c r="O53" i="1"/>
  <c r="P53" i="1"/>
  <c r="Q53" i="1"/>
  <c r="O54" i="1"/>
  <c r="P54" i="1"/>
  <c r="Q54" i="1"/>
  <c r="O55" i="1"/>
  <c r="P55" i="1"/>
  <c r="Q55" i="1"/>
  <c r="O56" i="1"/>
  <c r="P56" i="1"/>
  <c r="Q56" i="1"/>
  <c r="Q3" i="1"/>
  <c r="P3" i="1"/>
  <c r="Q4" i="1"/>
  <c r="P4" i="1"/>
  <c r="O3" i="1"/>
  <c r="O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3" i="1"/>
  <c r="N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4" i="1"/>
  <c r="M3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4" i="1"/>
  <c r="L3" i="1"/>
  <c r="G5" i="1"/>
  <c r="H5" i="1"/>
  <c r="I5" i="1"/>
  <c r="J5" i="1"/>
  <c r="K5" i="1"/>
  <c r="G6" i="1"/>
  <c r="H6" i="1"/>
  <c r="I6" i="1"/>
  <c r="J6" i="1"/>
  <c r="K6" i="1"/>
  <c r="G7" i="1"/>
  <c r="H7" i="1"/>
  <c r="I7" i="1"/>
  <c r="J7" i="1"/>
  <c r="K7" i="1"/>
  <c r="G8" i="1"/>
  <c r="H8" i="1"/>
  <c r="I8" i="1"/>
  <c r="J8" i="1"/>
  <c r="K8" i="1"/>
  <c r="G9" i="1"/>
  <c r="H9" i="1"/>
  <c r="I9" i="1"/>
  <c r="J9" i="1"/>
  <c r="K9" i="1"/>
  <c r="G10" i="1"/>
  <c r="H10" i="1"/>
  <c r="I10" i="1"/>
  <c r="J10" i="1"/>
  <c r="K10" i="1"/>
  <c r="G11" i="1"/>
  <c r="H11" i="1"/>
  <c r="I11" i="1"/>
  <c r="J11" i="1"/>
  <c r="K11" i="1"/>
  <c r="G12" i="1"/>
  <c r="H12" i="1"/>
  <c r="I12" i="1"/>
  <c r="J12" i="1"/>
  <c r="K12" i="1"/>
  <c r="G13" i="1"/>
  <c r="H13" i="1"/>
  <c r="I13" i="1"/>
  <c r="J13" i="1"/>
  <c r="K13" i="1"/>
  <c r="G14" i="1"/>
  <c r="H14" i="1"/>
  <c r="I14" i="1"/>
  <c r="J14" i="1"/>
  <c r="K14" i="1"/>
  <c r="G15" i="1"/>
  <c r="H15" i="1"/>
  <c r="I15" i="1"/>
  <c r="J15" i="1"/>
  <c r="K15" i="1"/>
  <c r="G16" i="1"/>
  <c r="H16" i="1"/>
  <c r="I16" i="1"/>
  <c r="J16" i="1"/>
  <c r="K16" i="1"/>
  <c r="G17" i="1"/>
  <c r="H17" i="1"/>
  <c r="I17" i="1"/>
  <c r="J17" i="1"/>
  <c r="K17" i="1"/>
  <c r="G18" i="1"/>
  <c r="H18" i="1"/>
  <c r="I18" i="1"/>
  <c r="J18" i="1"/>
  <c r="K18" i="1"/>
  <c r="G19" i="1"/>
  <c r="H19" i="1"/>
  <c r="I19" i="1"/>
  <c r="J19" i="1"/>
  <c r="K19" i="1"/>
  <c r="G20" i="1"/>
  <c r="H20" i="1"/>
  <c r="I20" i="1"/>
  <c r="J20" i="1"/>
  <c r="K20" i="1"/>
  <c r="G21" i="1"/>
  <c r="H21" i="1"/>
  <c r="I21" i="1"/>
  <c r="J21" i="1"/>
  <c r="K21" i="1"/>
  <c r="G22" i="1"/>
  <c r="H22" i="1"/>
  <c r="I22" i="1"/>
  <c r="J22" i="1"/>
  <c r="K22" i="1"/>
  <c r="G23" i="1"/>
  <c r="H23" i="1"/>
  <c r="I23" i="1"/>
  <c r="J23" i="1"/>
  <c r="K23" i="1"/>
  <c r="G24" i="1"/>
  <c r="H24" i="1"/>
  <c r="I24" i="1"/>
  <c r="J24" i="1"/>
  <c r="K24" i="1"/>
  <c r="G25" i="1"/>
  <c r="H25" i="1"/>
  <c r="I25" i="1"/>
  <c r="J25" i="1"/>
  <c r="K25" i="1"/>
  <c r="G26" i="1"/>
  <c r="H26" i="1"/>
  <c r="I26" i="1"/>
  <c r="J26" i="1"/>
  <c r="K26" i="1"/>
  <c r="G27" i="1"/>
  <c r="H27" i="1"/>
  <c r="I27" i="1"/>
  <c r="J27" i="1"/>
  <c r="K27" i="1"/>
  <c r="G28" i="1"/>
  <c r="H28" i="1"/>
  <c r="I28" i="1"/>
  <c r="J28" i="1"/>
  <c r="K28" i="1"/>
  <c r="G29" i="1"/>
  <c r="H29" i="1"/>
  <c r="I29" i="1"/>
  <c r="J29" i="1"/>
  <c r="K29" i="1"/>
  <c r="G30" i="1"/>
  <c r="H30" i="1"/>
  <c r="I30" i="1"/>
  <c r="J30" i="1"/>
  <c r="K30" i="1"/>
  <c r="G31" i="1"/>
  <c r="H31" i="1"/>
  <c r="I31" i="1"/>
  <c r="J31" i="1"/>
  <c r="K31" i="1"/>
  <c r="G32" i="1"/>
  <c r="H32" i="1"/>
  <c r="I32" i="1"/>
  <c r="J32" i="1"/>
  <c r="K32" i="1"/>
  <c r="G33" i="1"/>
  <c r="H33" i="1"/>
  <c r="I33" i="1"/>
  <c r="J33" i="1"/>
  <c r="K33" i="1"/>
  <c r="G34" i="1"/>
  <c r="H34" i="1"/>
  <c r="I34" i="1"/>
  <c r="J34" i="1"/>
  <c r="K34" i="1"/>
  <c r="G35" i="1"/>
  <c r="H35" i="1"/>
  <c r="I35" i="1"/>
  <c r="J35" i="1"/>
  <c r="K35" i="1"/>
  <c r="G36" i="1"/>
  <c r="H36" i="1"/>
  <c r="I36" i="1"/>
  <c r="J36" i="1"/>
  <c r="K36" i="1"/>
  <c r="G37" i="1"/>
  <c r="H37" i="1"/>
  <c r="I37" i="1"/>
  <c r="J37" i="1"/>
  <c r="K37" i="1"/>
  <c r="G38" i="1"/>
  <c r="H38" i="1"/>
  <c r="I38" i="1"/>
  <c r="J38" i="1"/>
  <c r="K38" i="1"/>
  <c r="G39" i="1"/>
  <c r="H39" i="1"/>
  <c r="I39" i="1"/>
  <c r="J39" i="1"/>
  <c r="K39" i="1"/>
  <c r="G40" i="1"/>
  <c r="H40" i="1"/>
  <c r="I40" i="1"/>
  <c r="J40" i="1"/>
  <c r="K40" i="1"/>
  <c r="G41" i="1"/>
  <c r="H41" i="1"/>
  <c r="I41" i="1"/>
  <c r="J41" i="1"/>
  <c r="K41" i="1"/>
  <c r="G42" i="1"/>
  <c r="H42" i="1"/>
  <c r="I42" i="1"/>
  <c r="J42" i="1"/>
  <c r="K42" i="1"/>
  <c r="G43" i="1"/>
  <c r="H43" i="1"/>
  <c r="I43" i="1"/>
  <c r="J43" i="1"/>
  <c r="K43" i="1"/>
  <c r="G44" i="1"/>
  <c r="H44" i="1"/>
  <c r="I44" i="1"/>
  <c r="J44" i="1"/>
  <c r="K44" i="1"/>
  <c r="G45" i="1"/>
  <c r="H45" i="1"/>
  <c r="I45" i="1"/>
  <c r="J45" i="1"/>
  <c r="K45" i="1"/>
  <c r="G46" i="1"/>
  <c r="H46" i="1"/>
  <c r="I46" i="1"/>
  <c r="J46" i="1"/>
  <c r="K46" i="1"/>
  <c r="G47" i="1"/>
  <c r="H47" i="1"/>
  <c r="I47" i="1"/>
  <c r="J47" i="1"/>
  <c r="K47" i="1"/>
  <c r="G48" i="1"/>
  <c r="H48" i="1"/>
  <c r="I48" i="1"/>
  <c r="J48" i="1"/>
  <c r="K48" i="1"/>
  <c r="G49" i="1"/>
  <c r="H49" i="1"/>
  <c r="I49" i="1"/>
  <c r="J49" i="1"/>
  <c r="K49" i="1"/>
  <c r="G50" i="1"/>
  <c r="H50" i="1"/>
  <c r="I50" i="1"/>
  <c r="J50" i="1"/>
  <c r="K50" i="1"/>
  <c r="G51" i="1"/>
  <c r="H51" i="1"/>
  <c r="I51" i="1"/>
  <c r="J51" i="1"/>
  <c r="K51" i="1"/>
  <c r="G52" i="1"/>
  <c r="H52" i="1"/>
  <c r="I52" i="1"/>
  <c r="J52" i="1"/>
  <c r="K52" i="1"/>
  <c r="G53" i="1"/>
  <c r="H53" i="1"/>
  <c r="I53" i="1"/>
  <c r="J53" i="1"/>
  <c r="K53" i="1"/>
  <c r="G54" i="1"/>
  <c r="H54" i="1"/>
  <c r="I54" i="1"/>
  <c r="J54" i="1"/>
  <c r="K54" i="1"/>
  <c r="G55" i="1"/>
  <c r="H55" i="1"/>
  <c r="I55" i="1"/>
  <c r="J55" i="1"/>
  <c r="K55" i="1"/>
  <c r="G56" i="1"/>
  <c r="H56" i="1"/>
  <c r="I56" i="1"/>
  <c r="J56" i="1"/>
  <c r="K56" i="1"/>
  <c r="G4" i="1"/>
  <c r="H4" i="1"/>
  <c r="I4" i="1"/>
  <c r="J4" i="1"/>
  <c r="K4" i="1"/>
  <c r="I3" i="1"/>
  <c r="J3" i="1"/>
  <c r="K3" i="1"/>
  <c r="H3" i="1"/>
  <c r="G3" i="1"/>
  <c r="D5" i="1"/>
  <c r="E5" i="1"/>
  <c r="F5" i="1"/>
  <c r="D6" i="1"/>
  <c r="E6" i="1"/>
  <c r="F6" i="1"/>
  <c r="D7" i="1"/>
  <c r="E7" i="1"/>
  <c r="F7" i="1"/>
  <c r="D8" i="1"/>
  <c r="E8" i="1"/>
  <c r="F8" i="1"/>
  <c r="D9" i="1"/>
  <c r="E9" i="1"/>
  <c r="F9" i="1"/>
  <c r="D10" i="1"/>
  <c r="E10" i="1"/>
  <c r="F10" i="1"/>
  <c r="D11" i="1"/>
  <c r="E11" i="1"/>
  <c r="F11" i="1"/>
  <c r="D12" i="1"/>
  <c r="E12" i="1"/>
  <c r="F12" i="1"/>
  <c r="D13" i="1"/>
  <c r="E13" i="1"/>
  <c r="F13" i="1"/>
  <c r="D14" i="1"/>
  <c r="E14" i="1"/>
  <c r="F14" i="1"/>
  <c r="D15" i="1"/>
  <c r="E15" i="1"/>
  <c r="F15" i="1"/>
  <c r="D16" i="1"/>
  <c r="E16" i="1"/>
  <c r="F16" i="1"/>
  <c r="D17" i="1"/>
  <c r="E17" i="1"/>
  <c r="F17" i="1"/>
  <c r="D18" i="1"/>
  <c r="E18" i="1"/>
  <c r="F18" i="1"/>
  <c r="D19" i="1"/>
  <c r="E19" i="1"/>
  <c r="F19" i="1"/>
  <c r="D20" i="1"/>
  <c r="E20" i="1"/>
  <c r="F20" i="1"/>
  <c r="D21" i="1"/>
  <c r="E21" i="1"/>
  <c r="F21" i="1"/>
  <c r="D22" i="1"/>
  <c r="E22" i="1"/>
  <c r="F22" i="1"/>
  <c r="D23" i="1"/>
  <c r="E23" i="1"/>
  <c r="F23" i="1"/>
  <c r="D24" i="1"/>
  <c r="E24" i="1"/>
  <c r="F24" i="1"/>
  <c r="D25" i="1"/>
  <c r="E25" i="1"/>
  <c r="F25" i="1"/>
  <c r="D26" i="1"/>
  <c r="E26" i="1"/>
  <c r="F26" i="1"/>
  <c r="D27" i="1"/>
  <c r="E27" i="1"/>
  <c r="F27" i="1"/>
  <c r="D28" i="1"/>
  <c r="E28" i="1"/>
  <c r="F28" i="1"/>
  <c r="D29" i="1"/>
  <c r="E29" i="1"/>
  <c r="F29" i="1"/>
  <c r="D30" i="1"/>
  <c r="E30" i="1"/>
  <c r="F30" i="1"/>
  <c r="D31" i="1"/>
  <c r="E31" i="1"/>
  <c r="F31" i="1"/>
  <c r="D32" i="1"/>
  <c r="E32" i="1"/>
  <c r="F32" i="1"/>
  <c r="D33" i="1"/>
  <c r="E33" i="1"/>
  <c r="F33" i="1"/>
  <c r="D34" i="1"/>
  <c r="E34" i="1"/>
  <c r="F34" i="1"/>
  <c r="D35" i="1"/>
  <c r="E35" i="1"/>
  <c r="F35" i="1"/>
  <c r="D36" i="1"/>
  <c r="E36" i="1"/>
  <c r="F36" i="1"/>
  <c r="D37" i="1"/>
  <c r="E37" i="1"/>
  <c r="F37" i="1"/>
  <c r="D38" i="1"/>
  <c r="E38" i="1"/>
  <c r="F38" i="1"/>
  <c r="D39" i="1"/>
  <c r="E39" i="1"/>
  <c r="F39" i="1"/>
  <c r="D40" i="1"/>
  <c r="E40" i="1"/>
  <c r="F40" i="1"/>
  <c r="D41" i="1"/>
  <c r="E41" i="1"/>
  <c r="F41" i="1"/>
  <c r="D42" i="1"/>
  <c r="E42" i="1"/>
  <c r="F42" i="1"/>
  <c r="D43" i="1"/>
  <c r="E43" i="1"/>
  <c r="F43" i="1"/>
  <c r="D44" i="1"/>
  <c r="E44" i="1"/>
  <c r="F44" i="1"/>
  <c r="D45" i="1"/>
  <c r="E45" i="1"/>
  <c r="F45" i="1"/>
  <c r="D46" i="1"/>
  <c r="E46" i="1"/>
  <c r="F46" i="1"/>
  <c r="D47" i="1"/>
  <c r="E47" i="1"/>
  <c r="F47" i="1"/>
  <c r="D48" i="1"/>
  <c r="E48" i="1"/>
  <c r="F48" i="1"/>
  <c r="D49" i="1"/>
  <c r="E49" i="1"/>
  <c r="F49" i="1"/>
  <c r="D50" i="1"/>
  <c r="E50" i="1"/>
  <c r="F50" i="1"/>
  <c r="D51" i="1"/>
  <c r="E51" i="1"/>
  <c r="F51" i="1"/>
  <c r="D52" i="1"/>
  <c r="E52" i="1"/>
  <c r="F52" i="1"/>
  <c r="D53" i="1"/>
  <c r="E53" i="1"/>
  <c r="F53" i="1"/>
  <c r="D54" i="1"/>
  <c r="E54" i="1"/>
  <c r="F54" i="1"/>
  <c r="D55" i="1"/>
  <c r="E55" i="1"/>
  <c r="F55" i="1"/>
  <c r="D56" i="1"/>
  <c r="E56" i="1"/>
  <c r="F56" i="1"/>
  <c r="D4" i="1"/>
  <c r="E4" i="1"/>
  <c r="F4" i="1"/>
  <c r="E3" i="1"/>
  <c r="F3" i="1"/>
  <c r="D3" i="1"/>
  <c r="F10" i="8" l="1"/>
  <c r="E12" i="8"/>
  <c r="BK12" i="8" s="1"/>
  <c r="Y12" i="8"/>
  <c r="Y9" i="8"/>
  <c r="Y5" i="8"/>
  <c r="Y8" i="8"/>
  <c r="Y11" i="8"/>
  <c r="Y7" i="8"/>
  <c r="Y13" i="8"/>
  <c r="Y10" i="8"/>
  <c r="Y6" i="8"/>
  <c r="Y4" i="8"/>
  <c r="V37" i="15"/>
  <c r="L37" i="15"/>
  <c r="H37" i="15"/>
  <c r="CD7" i="7"/>
  <c r="CD11" i="7"/>
  <c r="CD15" i="7"/>
  <c r="CD8" i="7"/>
  <c r="CD12" i="7"/>
  <c r="CD4" i="7"/>
  <c r="CD5" i="7"/>
  <c r="CD9" i="7"/>
  <c r="CD13" i="7"/>
  <c r="CD6" i="7"/>
  <c r="CD10" i="7"/>
  <c r="CD14" i="7"/>
  <c r="L25" i="15"/>
  <c r="F7" i="3"/>
  <c r="BQ8" i="3"/>
  <c r="BQ13" i="3"/>
  <c r="BQ10" i="3"/>
  <c r="BQ7" i="3"/>
  <c r="BQ11" i="3"/>
  <c r="BQ15" i="3"/>
  <c r="BQ12" i="3"/>
  <c r="BQ4" i="3"/>
  <c r="BQ5" i="3"/>
  <c r="BQ9" i="3"/>
  <c r="BQ6" i="3"/>
  <c r="BQ14" i="3"/>
  <c r="F6" i="3"/>
  <c r="U19" i="8"/>
  <c r="U13" i="8"/>
  <c r="U11" i="8"/>
  <c r="U18" i="8"/>
  <c r="U6" i="8"/>
  <c r="U10" i="8"/>
  <c r="U16" i="8"/>
  <c r="U17" i="8"/>
  <c r="U5" i="8"/>
  <c r="U14" i="8"/>
  <c r="U12" i="8"/>
  <c r="U8" i="8"/>
  <c r="U15" i="8"/>
  <c r="U4" i="8"/>
  <c r="U9" i="8"/>
  <c r="U7" i="8"/>
  <c r="F5" i="8"/>
  <c r="CD5" i="8" l="1"/>
  <c r="CD9" i="8"/>
  <c r="CD13" i="8"/>
  <c r="CD7" i="8"/>
  <c r="CD15" i="8"/>
  <c r="CD6" i="8"/>
  <c r="CD10" i="8"/>
  <c r="CD14" i="8"/>
  <c r="CD11" i="8"/>
  <c r="CD8" i="8"/>
  <c r="CD12" i="8"/>
  <c r="CD4" i="8"/>
  <c r="E9" i="8"/>
  <c r="BV5" i="8" s="1"/>
  <c r="BK6" i="8"/>
  <c r="BK10" i="8"/>
  <c r="BK8" i="8"/>
  <c r="BK7" i="8"/>
  <c r="BK11" i="8"/>
  <c r="BK5" i="8"/>
  <c r="BK9" i="8"/>
  <c r="BK4" i="8"/>
  <c r="F6" i="8"/>
  <c r="F7" i="8"/>
  <c r="F8" i="8" s="1"/>
  <c r="BC15" i="8"/>
  <c r="BC11" i="8"/>
  <c r="BC8" i="8"/>
  <c r="BC7" i="8"/>
  <c r="BC4" i="8"/>
  <c r="BC14" i="8"/>
  <c r="BC12" i="8"/>
  <c r="BC9" i="8"/>
  <c r="BC5" i="8"/>
  <c r="BC13" i="8"/>
  <c r="BC10" i="8"/>
  <c r="BC6" i="8"/>
  <c r="N37" i="15"/>
  <c r="F25" i="15"/>
  <c r="F8" i="3"/>
  <c r="BU5" i="3"/>
  <c r="BU9" i="3"/>
  <c r="BU13" i="3"/>
  <c r="BU17" i="3"/>
  <c r="BU21" i="3"/>
  <c r="BU25" i="3"/>
  <c r="BU16" i="3"/>
  <c r="BU20" i="3"/>
  <c r="BU6" i="3"/>
  <c r="BU10" i="3"/>
  <c r="BU14" i="3"/>
  <c r="BU18" i="3"/>
  <c r="BU22" i="3"/>
  <c r="BU26" i="3"/>
  <c r="BU7" i="3"/>
  <c r="BU11" i="3"/>
  <c r="BU15" i="3"/>
  <c r="BU19" i="3"/>
  <c r="BU23" i="3"/>
  <c r="BU4" i="3"/>
  <c r="BU8" i="3"/>
  <c r="BU12" i="3"/>
  <c r="BU24" i="3"/>
  <c r="R21" i="15" l="1"/>
  <c r="F21" i="15"/>
  <c r="J21" i="15"/>
  <c r="L21" i="15"/>
  <c r="BV7" i="8"/>
  <c r="BV18" i="8"/>
  <c r="BS7" i="8"/>
  <c r="BS10" i="8"/>
  <c r="BV8" i="8"/>
  <c r="BS16" i="8"/>
  <c r="BS17" i="8"/>
  <c r="BV17" i="8"/>
  <c r="BS19" i="8"/>
  <c r="BV20" i="8"/>
  <c r="BS18" i="8"/>
  <c r="BS13" i="8"/>
  <c r="BV14" i="8"/>
  <c r="BS6" i="8"/>
  <c r="BS12" i="8"/>
  <c r="BV13" i="8"/>
  <c r="BV11" i="8"/>
  <c r="BS14" i="8"/>
  <c r="BS15" i="8"/>
  <c r="BV16" i="8"/>
  <c r="BV15" i="8"/>
  <c r="BS9" i="8"/>
  <c r="BV10" i="8"/>
  <c r="BS8" i="8"/>
  <c r="BV9" i="8"/>
  <c r="BV19" i="8"/>
  <c r="BS11" i="8"/>
  <c r="BV12" i="8"/>
  <c r="BS4" i="8"/>
  <c r="BS5" i="8"/>
  <c r="BV6" i="8"/>
  <c r="BS20" i="8"/>
  <c r="BV4" i="8"/>
  <c r="H25" i="15"/>
  <c r="N21" i="15" l="1"/>
</calcChain>
</file>

<file path=xl/sharedStrings.xml><?xml version="1.0" encoding="utf-8"?>
<sst xmlns="http://schemas.openxmlformats.org/spreadsheetml/2006/main" count="2568" uniqueCount="382">
  <si>
    <t>Блок</t>
  </si>
  <si>
    <t>Нагрузка</t>
  </si>
  <si>
    <t>БВ</t>
  </si>
  <si>
    <t>П</t>
  </si>
  <si>
    <t>РП</t>
  </si>
  <si>
    <t>xx</t>
  </si>
  <si>
    <t>Рх</t>
  </si>
  <si>
    <t>хП</t>
  </si>
  <si>
    <t>БОВ</t>
  </si>
  <si>
    <t>С</t>
  </si>
  <si>
    <t>Т</t>
  </si>
  <si>
    <t>Т-2(50%)</t>
  </si>
  <si>
    <t>Т-2(75%)</t>
  </si>
  <si>
    <t>Т-2(100%)</t>
  </si>
  <si>
    <t>0,05</t>
  </si>
  <si>
    <t>0,06</t>
  </si>
  <si>
    <t>0,07</t>
  </si>
  <si>
    <t>0,08</t>
  </si>
  <si>
    <t>0,10</t>
  </si>
  <si>
    <t>0,20</t>
  </si>
  <si>
    <t>0,30</t>
  </si>
  <si>
    <t>0,04</t>
  </si>
  <si>
    <t>0,09</t>
  </si>
  <si>
    <t>1,0</t>
  </si>
  <si>
    <t>2,0</t>
  </si>
  <si>
    <t>3,0</t>
  </si>
  <si>
    <t>4,0</t>
  </si>
  <si>
    <t>БГ</t>
  </si>
  <si>
    <t>БОВГ</t>
  </si>
  <si>
    <t>Q</t>
  </si>
  <si>
    <t>Т1</t>
  </si>
  <si>
    <t>Т2</t>
  </si>
  <si>
    <t>Т11</t>
  </si>
  <si>
    <t>Т21</t>
  </si>
  <si>
    <t>Р1</t>
  </si>
  <si>
    <t>Р2</t>
  </si>
  <si>
    <t>Гкал/ч</t>
  </si>
  <si>
    <r>
      <rPr>
        <sz val="11"/>
        <color theme="1"/>
        <rFont val="Calibri"/>
        <family val="2"/>
        <charset val="204"/>
      </rPr>
      <t>°</t>
    </r>
    <r>
      <rPr>
        <sz val="11"/>
        <color theme="1"/>
        <rFont val="Calibri"/>
        <family val="2"/>
      </rPr>
      <t>С</t>
    </r>
  </si>
  <si>
    <t>м.в.ст.</t>
  </si>
  <si>
    <t>g</t>
  </si>
  <si>
    <t>kэ</t>
  </si>
  <si>
    <t>l</t>
  </si>
  <si>
    <t>D1</t>
  </si>
  <si>
    <t>D2</t>
  </si>
  <si>
    <t>G1</t>
  </si>
  <si>
    <t>G2</t>
  </si>
  <si>
    <t>h</t>
  </si>
  <si>
    <t>Диаметр трубопровода</t>
  </si>
  <si>
    <t>Kv</t>
  </si>
  <si>
    <t>Gнас</t>
  </si>
  <si>
    <t>ΔPтс</t>
  </si>
  <si>
    <t>Δpсов</t>
  </si>
  <si>
    <t>Клапан</t>
  </si>
  <si>
    <t>ΔPкл</t>
  </si>
  <si>
    <t>Kvрасч</t>
  </si>
  <si>
    <t>IMI Hydronic</t>
  </si>
  <si>
    <t>Siemens</t>
  </si>
  <si>
    <t>Danfoss</t>
  </si>
  <si>
    <t>dкл</t>
  </si>
  <si>
    <t>Насос</t>
  </si>
  <si>
    <t>TOP-SD 32/10 3~</t>
  </si>
  <si>
    <t>TOP-SD 40/10 3~</t>
  </si>
  <si>
    <t>TOP-SD 40/15 3~</t>
  </si>
  <si>
    <t>TOP-SD 50/10 3~</t>
  </si>
  <si>
    <t>TOP-SD 50/15 3~</t>
  </si>
  <si>
    <t>TOP-SD 65/15 3~</t>
  </si>
  <si>
    <t>TOP-SD 80/15 3~</t>
  </si>
  <si>
    <t>TOP-SD 80/20 3~</t>
  </si>
  <si>
    <t>Т3</t>
  </si>
  <si>
    <t>В1</t>
  </si>
  <si>
    <t>G3</t>
  </si>
  <si>
    <t>D3</t>
  </si>
  <si>
    <t>G4</t>
  </si>
  <si>
    <t>D4</t>
  </si>
  <si>
    <t>Stratos-Z 25/1-8</t>
  </si>
  <si>
    <t>Stratos-Z 32/1-12</t>
  </si>
  <si>
    <t>Stratos-Z 40/1-12</t>
  </si>
  <si>
    <t>Счетчик ХВС</t>
  </si>
  <si>
    <t>G2'</t>
  </si>
  <si>
    <t>D2'</t>
  </si>
  <si>
    <t>БГ-С</t>
  </si>
  <si>
    <t>РС20-6</t>
  </si>
  <si>
    <t>РС20-12</t>
  </si>
  <si>
    <t>РС32-30</t>
  </si>
  <si>
    <t>РС50-72</t>
  </si>
  <si>
    <t>РС50-36</t>
  </si>
  <si>
    <t>РС65-60</t>
  </si>
  <si>
    <t>РС80-90</t>
  </si>
  <si>
    <t>РС100-280</t>
  </si>
  <si>
    <t>Gп</t>
  </si>
  <si>
    <t>Расходомеры</t>
  </si>
  <si>
    <t>Теплосчетчик</t>
  </si>
  <si>
    <t>-</t>
  </si>
  <si>
    <t>Х1</t>
  </si>
  <si>
    <t>Х2</t>
  </si>
  <si>
    <t>Х3</t>
  </si>
  <si>
    <t>.</t>
  </si>
  <si>
    <t>Х4</t>
  </si>
  <si>
    <t>Х5</t>
  </si>
  <si>
    <t>Х6</t>
  </si>
  <si>
    <t>Х7</t>
  </si>
  <si>
    <t>01</t>
  </si>
  <si>
    <t>№</t>
  </si>
  <si>
    <t>Ду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</si>
  <si>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</si>
  <si>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</si>
  <si>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</si>
  <si>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</si>
  <si>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</si>
  <si>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</si>
  <si>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</si>
  <si>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</si>
  <si>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</si>
  <si>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</si>
  <si>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</si>
  <si>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</si>
  <si>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</si>
  <si>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</si>
  <si>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</si>
  <si>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</si>
  <si>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</si>
  <si>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</si>
  <si>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</si>
  <si>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</si>
  <si>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Схема</t>
  </si>
  <si>
    <t>Зависимая</t>
  </si>
  <si>
    <t>Независимая</t>
  </si>
  <si>
    <t xml:space="preserve"> Kv</t>
  </si>
  <si>
    <t>22</t>
  </si>
  <si>
    <t>23</t>
  </si>
  <si>
    <t>1</t>
  </si>
  <si>
    <t>2</t>
  </si>
  <si>
    <t>3</t>
  </si>
  <si>
    <t>Производитель</t>
  </si>
  <si>
    <t>Yonos MAXO-D 40/0,5-12</t>
  </si>
  <si>
    <t>Yonos MAXO-D 32/0,5-11</t>
  </si>
  <si>
    <t>Yonos MAXO-D 40/0,5-16</t>
  </si>
  <si>
    <t>Yonos MAXO-D 50/0,5-12</t>
  </si>
  <si>
    <t>Yonos MAXO-D 50/0,5-16</t>
  </si>
  <si>
    <t>Yonos MAXO-D 65/0,5-16</t>
  </si>
  <si>
    <t>Yonos MAXO-D 80/0,5-12</t>
  </si>
  <si>
    <t>Stratos-D 32/1-12</t>
  </si>
  <si>
    <t>Stratos-D 40/1-12</t>
  </si>
  <si>
    <t>Stratos-D 40/1-16</t>
  </si>
  <si>
    <t>Stratos-D 50/1-12</t>
  </si>
  <si>
    <t>Stratos-D 50/1-16</t>
  </si>
  <si>
    <t>Stratos-D 65/1-12</t>
  </si>
  <si>
    <t>Stratos-D 80/1-12</t>
  </si>
  <si>
    <t>Тип насоса</t>
  </si>
  <si>
    <t>TOP-SD</t>
  </si>
  <si>
    <t>Yonos-MAXO-D</t>
  </si>
  <si>
    <t>Stratos-D</t>
  </si>
  <si>
    <t>Организация</t>
  </si>
  <si>
    <t>ИНН</t>
  </si>
  <si>
    <t>Контактное лицо</t>
  </si>
  <si>
    <t>Должность</t>
  </si>
  <si>
    <t>Контактный телефон</t>
  </si>
  <si>
    <t>Дата заполнения</t>
  </si>
  <si>
    <t>Объект</t>
  </si>
  <si>
    <t>Блок Ввода
"БВ"</t>
  </si>
  <si>
    <t>есть</t>
  </si>
  <si>
    <t>нет</t>
  </si>
  <si>
    <t>Наличие блока</t>
  </si>
  <si>
    <t>Автоматически</t>
  </si>
  <si>
    <t>В ручную</t>
  </si>
  <si>
    <t>ккал/ч</t>
  </si>
  <si>
    <t>Вт</t>
  </si>
  <si>
    <t>МВт</t>
  </si>
  <si>
    <t>Температура</t>
  </si>
  <si>
    <t>Давление</t>
  </si>
  <si>
    <r>
      <t xml:space="preserve">Т1, </t>
    </r>
    <r>
      <rPr>
        <sz val="11"/>
        <color theme="1"/>
        <rFont val="Calibri"/>
        <family val="2"/>
        <charset val="204"/>
      </rPr>
      <t>°С</t>
    </r>
  </si>
  <si>
    <r>
      <t xml:space="preserve">Т2, </t>
    </r>
    <r>
      <rPr>
        <sz val="11"/>
        <color theme="1"/>
        <rFont val="Calibri"/>
        <family val="2"/>
        <charset val="204"/>
      </rPr>
      <t>°С</t>
    </r>
  </si>
  <si>
    <t>сумма()</t>
  </si>
  <si>
    <t>Р1, МПа</t>
  </si>
  <si>
    <t>Р2, МПа</t>
  </si>
  <si>
    <t>Подпитка</t>
  </si>
  <si>
    <t>Размеры помещения</t>
  </si>
  <si>
    <t>Длина</t>
  </si>
  <si>
    <t>Ширина</t>
  </si>
  <si>
    <t>Высота</t>
  </si>
  <si>
    <t>Вручную</t>
  </si>
  <si>
    <t>°С</t>
  </si>
  <si>
    <t>Т1 (под)</t>
  </si>
  <si>
    <t>Т2 (обр)</t>
  </si>
  <si>
    <t>Р1 (под)</t>
  </si>
  <si>
    <t>Р2 (обр)</t>
  </si>
  <si>
    <t>бар</t>
  </si>
  <si>
    <t>МПа</t>
  </si>
  <si>
    <t>м</t>
  </si>
  <si>
    <t>Регулятор перепада давления</t>
  </si>
  <si>
    <t>Высота здания</t>
  </si>
  <si>
    <t>Узел учета</t>
  </si>
  <si>
    <t>Наличие выступов, колонн</t>
  </si>
  <si>
    <t>Блок Отопления/ Вентиляции "БОВ" №1</t>
  </si>
  <si>
    <t>Т11 (под)</t>
  </si>
  <si>
    <t>Т21 (обр)</t>
  </si>
  <si>
    <t>Отопление</t>
  </si>
  <si>
    <t>Вентиляция</t>
  </si>
  <si>
    <t>Сопротивление системы</t>
  </si>
  <si>
    <t>Зависимое</t>
  </si>
  <si>
    <t>Независимое</t>
  </si>
  <si>
    <t>Отопелние</t>
  </si>
  <si>
    <t>Зависима</t>
  </si>
  <si>
    <t>Схема присоединения</t>
  </si>
  <si>
    <t>Резерв ТО оборудования</t>
  </si>
  <si>
    <t>1х100%</t>
  </si>
  <si>
    <t>2х50%</t>
  </si>
  <si>
    <t>2х75%</t>
  </si>
  <si>
    <t>2х100%</t>
  </si>
  <si>
    <t>Контроллер</t>
  </si>
  <si>
    <t>Шкаф автоматики</t>
  </si>
  <si>
    <t xml:space="preserve">       Yonos-Maxo-D</t>
  </si>
  <si>
    <t xml:space="preserve">     TOP-SD</t>
  </si>
  <si>
    <t xml:space="preserve">      Stratos-D</t>
  </si>
  <si>
    <t>Signetics</t>
  </si>
  <si>
    <t>Отдельный</t>
  </si>
  <si>
    <t>Учтен в БОВ №1</t>
  </si>
  <si>
    <t>Блок Отопления/ Вентиляции "БОВ" №2</t>
  </si>
  <si>
    <t>Блок Отопления/ Вентиляции "БОВ" №3</t>
  </si>
  <si>
    <t>Х8</t>
  </si>
  <si>
    <t>Тип ТО</t>
  </si>
  <si>
    <t>НН08</t>
  </si>
  <si>
    <t>НН14</t>
  </si>
  <si>
    <t>НН19</t>
  </si>
  <si>
    <t>НН47</t>
  </si>
  <si>
    <t>0</t>
  </si>
  <si>
    <t>4</t>
  </si>
  <si>
    <t>5</t>
  </si>
  <si>
    <t>отсутствует</t>
  </si>
  <si>
    <t>Х9</t>
  </si>
  <si>
    <t>Х10</t>
  </si>
  <si>
    <t>Х11</t>
  </si>
  <si>
    <t>Х12</t>
  </si>
  <si>
    <t>ГВС</t>
  </si>
  <si>
    <t>Теплосеть</t>
  </si>
  <si>
    <t>Технология</t>
  </si>
  <si>
    <t>Т12</t>
  </si>
  <si>
    <t>Т22</t>
  </si>
  <si>
    <t>Т13</t>
  </si>
  <si>
    <t>Т23</t>
  </si>
  <si>
    <t>Потери давления</t>
  </si>
  <si>
    <t>Давление ХВС</t>
  </si>
  <si>
    <t>Нет</t>
  </si>
  <si>
    <t>Регулятор давления</t>
  </si>
  <si>
    <t>Ограничение расхода</t>
  </si>
  <si>
    <t>ADL</t>
  </si>
  <si>
    <t>Клапан регулир-ий</t>
  </si>
  <si>
    <t>Шкаф авт-ки</t>
  </si>
  <si>
    <t>Segnetics</t>
  </si>
  <si>
    <t>Учтен в БОВ-1</t>
  </si>
  <si>
    <t>БГВ</t>
  </si>
  <si>
    <t>Блок отоп./ 
вент. БОВ-1</t>
  </si>
  <si>
    <t>Блок отоп./ 
вент. БОВ-2</t>
  </si>
  <si>
    <t>Блок отоп./ 
вент. БОВ-3</t>
  </si>
  <si>
    <t>Блок ввода
БВ</t>
  </si>
  <si>
    <t>Блок ГВС
БГВ</t>
  </si>
  <si>
    <t>Принудит. Смеш.</t>
  </si>
  <si>
    <t>Принуд. Паралл.</t>
  </si>
  <si>
    <t>Stratos-Z</t>
  </si>
  <si>
    <t>БОВ-1</t>
  </si>
  <si>
    <t>БОВ-2</t>
  </si>
  <si>
    <t>БОВ-3</t>
  </si>
  <si>
    <t>Блок подпитки
БП-1</t>
  </si>
  <si>
    <t>Насосная станция</t>
  </si>
  <si>
    <t>Повысит. Насос</t>
  </si>
  <si>
    <t>Клапан солиноид.</t>
  </si>
  <si>
    <t>Расш. Бак</t>
  </si>
  <si>
    <t>Принудит. Да</t>
  </si>
  <si>
    <t>Принуд. Нет</t>
  </si>
  <si>
    <t>MHIL</t>
  </si>
  <si>
    <t>MHI</t>
  </si>
  <si>
    <t>Helix</t>
  </si>
  <si>
    <t>Tork</t>
  </si>
  <si>
    <t>Wester</t>
  </si>
  <si>
    <t>Reflex</t>
  </si>
  <si>
    <t>Flamco</t>
  </si>
  <si>
    <t>БП-1</t>
  </si>
  <si>
    <t>Блок подпитки
БП-2</t>
  </si>
  <si>
    <t>Блок подпитки
БП-3</t>
  </si>
  <si>
    <t>Дополнительная информация</t>
  </si>
  <si>
    <t>БП-2</t>
  </si>
  <si>
    <t>БП-3</t>
  </si>
  <si>
    <t>Прямого действия</t>
  </si>
  <si>
    <t>Х13</t>
  </si>
  <si>
    <t>Х14</t>
  </si>
  <si>
    <t>Yonos MAXO-D</t>
  </si>
  <si>
    <t>Теплообменник</t>
  </si>
  <si>
    <t>150-75</t>
  </si>
  <si>
    <t>130-75</t>
  </si>
  <si>
    <t>115-75</t>
  </si>
  <si>
    <t>105-75</t>
  </si>
  <si>
    <t>НН62</t>
  </si>
  <si>
    <t>НН20</t>
  </si>
  <si>
    <t>Контролл.</t>
  </si>
  <si>
    <t>ША</t>
  </si>
  <si>
    <t>на блоке</t>
  </si>
  <si>
    <t>6</t>
  </si>
  <si>
    <t>Контр.</t>
  </si>
  <si>
    <t>отдельный</t>
  </si>
  <si>
    <t>DPL 80/115-2,2/2</t>
  </si>
  <si>
    <t>DPL 100/175-3/4</t>
  </si>
  <si>
    <t>Рама ТО</t>
  </si>
  <si>
    <t>"Пульсар" 15</t>
  </si>
  <si>
    <t>"Пульсар" 20</t>
  </si>
  <si>
    <t>"Пульсар" М 25</t>
  </si>
  <si>
    <t>"Пульсар" М 32</t>
  </si>
  <si>
    <t>"Пульсар" М 40</t>
  </si>
  <si>
    <t>"Пульсар" Т 50</t>
  </si>
  <si>
    <t>Насос Wilo</t>
  </si>
  <si>
    <t xml:space="preserve"> Yonos MAXO-Z 25/0,5-7 </t>
  </si>
  <si>
    <t xml:space="preserve"> Yonos MAXO-Z 25/0,5-10</t>
  </si>
  <si>
    <t xml:space="preserve"> Yonos MAXO-Z 30/0,5-12</t>
  </si>
  <si>
    <t xml:space="preserve"> Yonos MAXO-Z 40/0,5-12</t>
  </si>
  <si>
    <t>Yonos MAXO-Z</t>
  </si>
  <si>
    <t>НН19-16/1</t>
  </si>
  <si>
    <t>НН19-16/2</t>
  </si>
  <si>
    <t>НН19-16/3</t>
  </si>
  <si>
    <t>НН19-16/4</t>
  </si>
  <si>
    <t>Параллельная</t>
  </si>
  <si>
    <t>Смешанная</t>
  </si>
  <si>
    <t>Т1/Т2</t>
  </si>
  <si>
    <t>Т11/Т21</t>
  </si>
  <si>
    <t>Т2'</t>
  </si>
  <si>
    <t>Т4</t>
  </si>
  <si>
    <t>Счетчик</t>
  </si>
  <si>
    <t>Вогез</t>
  </si>
  <si>
    <t>D94</t>
  </si>
  <si>
    <t>QГВС</t>
  </si>
  <si>
    <t>G Т2'</t>
  </si>
  <si>
    <t>НН08-16/1</t>
  </si>
  <si>
    <t>НН14-16/1</t>
  </si>
  <si>
    <t>НН08-16/2</t>
  </si>
  <si>
    <t>Тип</t>
  </si>
  <si>
    <t>НН14-16/2</t>
  </si>
  <si>
    <t>НН21-16/2</t>
  </si>
  <si>
    <t>НН21-16/3</t>
  </si>
  <si>
    <t>НН19-16/5</t>
  </si>
  <si>
    <t>НН41-16/1</t>
  </si>
  <si>
    <t>НН41-16/2</t>
  </si>
  <si>
    <t>НН41-16/3</t>
  </si>
  <si>
    <t>НН47-16/2</t>
  </si>
  <si>
    <t>Есть</t>
  </si>
  <si>
    <t>2-хтрубная</t>
  </si>
  <si>
    <t>3-хтрубная</t>
  </si>
  <si>
    <t>Т94</t>
  </si>
  <si>
    <t>Система</t>
  </si>
  <si>
    <t>Dп</t>
  </si>
  <si>
    <t>Балансир</t>
  </si>
  <si>
    <t>ΔPклБ</t>
  </si>
  <si>
    <t>dклБ</t>
  </si>
  <si>
    <t>Расход. Т1</t>
  </si>
  <si>
    <t>7</t>
  </si>
  <si>
    <t>8</t>
  </si>
  <si>
    <t>РС150-630</t>
  </si>
  <si>
    <t>9</t>
  </si>
  <si>
    <t>Расход. Т94</t>
  </si>
  <si>
    <t>15-1,6</t>
  </si>
  <si>
    <t>15-2,5</t>
  </si>
  <si>
    <t>20-6,3</t>
  </si>
  <si>
    <t>20-4,0</t>
  </si>
  <si>
    <t>20-6,3,0</t>
  </si>
  <si>
    <t>25-10,0</t>
  </si>
  <si>
    <t>32-16,0</t>
  </si>
  <si>
    <t>40-25,0</t>
  </si>
  <si>
    <t>50-32,0</t>
  </si>
  <si>
    <t>65-40,0</t>
  </si>
  <si>
    <t>80-63,0</t>
  </si>
  <si>
    <t>100-100,0</t>
  </si>
  <si>
    <t>100-125,0</t>
  </si>
  <si>
    <t>125-160,0</t>
  </si>
  <si>
    <t>150-200,0</t>
  </si>
  <si>
    <t>150-250,0</t>
  </si>
  <si>
    <t>150-280,0</t>
  </si>
  <si>
    <t>Отсутствует</t>
  </si>
  <si>
    <t>Нету</t>
  </si>
  <si>
    <t>15-4,0</t>
  </si>
  <si>
    <t>25-8,0</t>
  </si>
  <si>
    <t>40-20,0</t>
  </si>
  <si>
    <t>65-50,0</t>
  </si>
  <si>
    <t>80-80,0</t>
  </si>
  <si>
    <t>Клапан балансир</t>
  </si>
  <si>
    <t>КБЧ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</si>
</sst>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р_._-;\-* #,##0.00_р_._-;_-* &quot;-&quot;??_р_._-;_-@_-"/>
    <numFmt numFmtId="164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  <font>
      <sz val="11"/>
      <color theme="1"/>
      <name val="Calibri"/>
      <family val="2"/>
    </font>
    <font>
      <sz val="11"/>
      <color theme="1"/>
      <name val="Symbol"/>
      <family val="1"/>
      <charset val="2"/>
    </font>
    <font>
      <sz val="8"/>
      <color rgb="FF000000"/>
      <name val="Segoe UI"/>
      <family val="2"/>
      <charset val="204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  <font>
      <sz val="9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 diagonalDown="1">
      <left style="medium">
        <color indexed="64"/>
      </left>
      <right/>
      <top style="medium">
        <color indexed="64"/>
      </top>
      <bottom/>
      <diagonal style="thin">
        <color indexed="64"/>
      </diagonal>
    </border>
    <border diagonalDown="1">
      <left/>
      <right style="medium">
        <color indexed="64"/>
      </right>
      <top/>
      <bottom style="medium">
        <color indexed="64"/>
      </bottom>
      <diagonal style="thin">
        <color indexed="64"/>
      </diagonal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65">
    <xf numFmtId="0" fontId="0" fillId="0" borderId="0" xfId="0"/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43" fontId="0" fillId="0" borderId="0" xfId="1" applyFont="1"/>
    <xf numFmtId="43" fontId="0" fillId="2" borderId="0" xfId="1" applyFont="1" applyFill="1"/>
    <xf numFmtId="43" fontId="0" fillId="0" borderId="0" xfId="1" applyFont="1" applyFill="1"/>
    <xf numFmtId="0" fontId="0" fillId="0" borderId="0" xfId="0" applyAlignment="1">
      <alignment horizontal="right"/>
    </xf>
    <xf numFmtId="0" fontId="2" fillId="0" borderId="0" xfId="0" applyFont="1"/>
    <xf numFmtId="0" fontId="0" fillId="3" borderId="0" xfId="0" applyFill="1"/>
    <xf numFmtId="2" fontId="0" fillId="0" borderId="0" xfId="0" applyNumberFormat="1"/>
    <xf numFmtId="0" fontId="2" fillId="0" borderId="0" xfId="0" applyFont="1" applyAlignment="1">
      <alignment horizontal="right"/>
    </xf>
    <xf numFmtId="0" fontId="0" fillId="0" borderId="8" xfId="0" applyBorder="1"/>
    <xf numFmtId="0" fontId="0" fillId="0" borderId="0" xfId="0" applyBorder="1"/>
    <xf numFmtId="0" fontId="0" fillId="0" borderId="9" xfId="0" applyBorder="1"/>
    <xf numFmtId="0" fontId="0" fillId="0" borderId="0" xfId="0" applyBorder="1" applyAlignment="1">
      <alignment horizontal="right"/>
    </xf>
    <xf numFmtId="0" fontId="0" fillId="0" borderId="4" xfId="0" applyBorder="1"/>
    <xf numFmtId="0" fontId="0" fillId="0" borderId="19" xfId="0" applyBorder="1" applyAlignment="1">
      <alignment horizontal="right"/>
    </xf>
    <xf numFmtId="0" fontId="0" fillId="0" borderId="19" xfId="0" applyBorder="1"/>
    <xf numFmtId="0" fontId="0" fillId="0" borderId="5" xfId="0" applyBorder="1"/>
    <xf numFmtId="0" fontId="0" fillId="0" borderId="17" xfId="0" applyBorder="1"/>
    <xf numFmtId="0" fontId="0" fillId="0" borderId="20" xfId="0" applyBorder="1"/>
    <xf numFmtId="0" fontId="4" fillId="0" borderId="20" xfId="0" applyFont="1" applyBorder="1"/>
    <xf numFmtId="0" fontId="0" fillId="0" borderId="21" xfId="0" applyBorder="1"/>
    <xf numFmtId="0" fontId="0" fillId="0" borderId="3" xfId="0" applyBorder="1"/>
    <xf numFmtId="0" fontId="0" fillId="0" borderId="2" xfId="0" applyBorder="1"/>
    <xf numFmtId="0" fontId="0" fillId="0" borderId="8" xfId="0" applyBorder="1" applyAlignment="1">
      <alignment horizontal="left"/>
    </xf>
    <xf numFmtId="0" fontId="0" fillId="0" borderId="0" xfId="0" applyFill="1" applyBorder="1"/>
    <xf numFmtId="2" fontId="0" fillId="0" borderId="0" xfId="0" applyNumberFormat="1" applyBorder="1"/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19" xfId="0" applyFill="1" applyBorder="1"/>
    <xf numFmtId="0" fontId="0" fillId="0" borderId="18" xfId="0" applyFill="1" applyBorder="1"/>
    <xf numFmtId="0" fontId="0" fillId="0" borderId="8" xfId="0" applyFill="1" applyBorder="1"/>
    <xf numFmtId="0" fontId="0" fillId="0" borderId="9" xfId="0" applyFill="1" applyBorder="1"/>
    <xf numFmtId="0" fontId="0" fillId="0" borderId="4" xfId="0" applyFill="1" applyBorder="1"/>
    <xf numFmtId="0" fontId="0" fillId="0" borderId="5" xfId="0" applyFill="1" applyBorder="1"/>
    <xf numFmtId="0" fontId="0" fillId="0" borderId="19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8" xfId="0" applyBorder="1"/>
    <xf numFmtId="0" fontId="0" fillId="0" borderId="0" xfId="0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22" xfId="0" applyBorder="1"/>
    <xf numFmtId="0" fontId="0" fillId="0" borderId="23" xfId="0" applyBorder="1"/>
    <xf numFmtId="0" fontId="0" fillId="0" borderId="22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17" xfId="0" applyFont="1" applyBorder="1" applyAlignment="1">
      <alignment vertical="center"/>
    </xf>
    <xf numFmtId="0" fontId="6" fillId="0" borderId="20" xfId="0" applyFont="1" applyBorder="1" applyAlignment="1">
      <alignment vertical="center"/>
    </xf>
    <xf numFmtId="0" fontId="6" fillId="0" borderId="21" xfId="0" applyFont="1" applyBorder="1" applyAlignment="1">
      <alignment vertical="center"/>
    </xf>
    <xf numFmtId="0" fontId="6" fillId="0" borderId="8" xfId="0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19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9" fontId="0" fillId="0" borderId="0" xfId="0" applyNumberFormat="1" applyBorder="1" applyAlignment="1">
      <alignment horizontal="center"/>
    </xf>
    <xf numFmtId="0" fontId="6" fillId="0" borderId="8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19" xfId="0" applyFont="1" applyBorder="1" applyAlignment="1">
      <alignment vertical="center"/>
    </xf>
    <xf numFmtId="0" fontId="0" fillId="0" borderId="8" xfId="0" applyBorder="1" applyAlignment="1">
      <alignment horizontal="center"/>
    </xf>
    <xf numFmtId="0" fontId="6" fillId="0" borderId="0" xfId="0" applyFont="1" applyAlignment="1">
      <alignment vertical="center"/>
    </xf>
    <xf numFmtId="49" fontId="6" fillId="0" borderId="0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49" fontId="6" fillId="0" borderId="19" xfId="0" applyNumberFormat="1" applyFont="1" applyBorder="1" applyAlignment="1">
      <alignment horizontal="center" vertical="center"/>
    </xf>
    <xf numFmtId="49" fontId="6" fillId="0" borderId="20" xfId="0" applyNumberFormat="1" applyFont="1" applyBorder="1" applyAlignment="1">
      <alignment horizontal="center" vertical="center"/>
    </xf>
    <xf numFmtId="0" fontId="6" fillId="0" borderId="17" xfId="0" applyFont="1" applyBorder="1" applyAlignment="1">
      <alignment vertical="center" wrapText="1"/>
    </xf>
    <xf numFmtId="0" fontId="0" fillId="0" borderId="20" xfId="0" applyBorder="1" applyAlignment="1"/>
    <xf numFmtId="0" fontId="0" fillId="0" borderId="21" xfId="0" applyBorder="1" applyAlignment="1"/>
    <xf numFmtId="0" fontId="0" fillId="0" borderId="4" xfId="0" applyBorder="1" applyAlignment="1">
      <alignment horizontal="center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3" borderId="0" xfId="0" applyNumberFormat="1" applyFill="1"/>
    <xf numFmtId="49" fontId="0" fillId="0" borderId="8" xfId="0" applyNumberFormat="1" applyBorder="1" applyAlignment="1">
      <alignment horizontal="center"/>
    </xf>
    <xf numFmtId="49" fontId="0" fillId="0" borderId="0" xfId="0" applyNumberFormat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49" fontId="0" fillId="0" borderId="4" xfId="0" applyNumberFormat="1" applyBorder="1" applyAlignment="1">
      <alignment horizontal="center"/>
    </xf>
    <xf numFmtId="49" fontId="0" fillId="0" borderId="19" xfId="0" applyNumberFormat="1" applyBorder="1" applyAlignment="1">
      <alignment horizontal="center"/>
    </xf>
    <xf numFmtId="0" fontId="0" fillId="0" borderId="20" xfId="0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" xfId="0" applyBorder="1" applyAlignment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/>
    </xf>
    <xf numFmtId="0" fontId="6" fillId="0" borderId="20" xfId="0" applyNumberFormat="1" applyFont="1" applyBorder="1" applyAlignment="1">
      <alignment horizontal="center" vertical="center"/>
    </xf>
    <xf numFmtId="0" fontId="0" fillId="0" borderId="17" xfId="0" applyBorder="1" applyAlignment="1"/>
    <xf numFmtId="0" fontId="0" fillId="0" borderId="5" xfId="0" applyBorder="1" applyAlignment="1">
      <alignment horizontal="center"/>
    </xf>
    <xf numFmtId="0" fontId="8" fillId="0" borderId="0" xfId="0" applyFont="1" applyAlignment="1">
      <alignment vertical="center"/>
    </xf>
    <xf numFmtId="0" fontId="0" fillId="0" borderId="9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22" xfId="0" applyFill="1" applyBorder="1"/>
    <xf numFmtId="0" fontId="0" fillId="0" borderId="10" xfId="0" applyBorder="1"/>
    <xf numFmtId="0" fontId="0" fillId="0" borderId="10" xfId="0" applyBorder="1" applyAlignment="1">
      <alignment vertical="top" wrapText="1"/>
    </xf>
    <xf numFmtId="0" fontId="0" fillId="0" borderId="10" xfId="0" applyBorder="1" applyAlignment="1">
      <alignment wrapText="1"/>
    </xf>
    <xf numFmtId="0" fontId="0" fillId="0" borderId="4" xfId="0" applyFill="1" applyBorder="1" applyAlignment="1">
      <alignment horizontal="center"/>
    </xf>
    <xf numFmtId="0" fontId="0" fillId="0" borderId="19" xfId="0" applyBorder="1" applyAlignment="1">
      <alignment wrapText="1"/>
    </xf>
    <xf numFmtId="0" fontId="0" fillId="0" borderId="23" xfId="0" applyFill="1" applyBorder="1"/>
    <xf numFmtId="0" fontId="0" fillId="0" borderId="23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9" xfId="0" applyBorder="1" applyAlignment="1">
      <alignment horizontal="center" wrapText="1"/>
    </xf>
    <xf numFmtId="49" fontId="0" fillId="0" borderId="18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6" fillId="0" borderId="19" xfId="0" applyNumberFormat="1" applyFont="1" applyBorder="1" applyAlignment="1">
      <alignment horizontal="center" vertical="center"/>
    </xf>
    <xf numFmtId="0" fontId="6" fillId="0" borderId="19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6" fillId="0" borderId="19" xfId="0" applyNumberFormat="1" applyFont="1" applyFill="1" applyBorder="1" applyAlignment="1">
      <alignment horizontal="center" vertical="center"/>
    </xf>
    <xf numFmtId="0" fontId="0" fillId="0" borderId="20" xfId="0" applyBorder="1" applyAlignment="1">
      <alignment vertical="center"/>
    </xf>
    <xf numFmtId="164" fontId="0" fillId="0" borderId="8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164" fontId="0" fillId="0" borderId="8" xfId="0" quotePrefix="1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8" xfId="0" quotePrefix="1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7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50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51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6" fillId="0" borderId="52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55" xfId="0" applyFont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3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56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4" borderId="42" xfId="0" applyFont="1" applyFill="1" applyBorder="1" applyAlignment="1">
      <alignment horizontal="center" vertical="center"/>
    </xf>
    <xf numFmtId="0" fontId="6" fillId="4" borderId="43" xfId="0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4" borderId="19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53" xfId="0" applyFont="1" applyFill="1" applyBorder="1" applyAlignment="1">
      <alignment horizontal="center" vertical="center"/>
    </xf>
    <xf numFmtId="0" fontId="6" fillId="0" borderId="38" xfId="0" applyFont="1" applyBorder="1" applyAlignment="1">
      <alignment horizontal="center" vertical="center" wrapText="1"/>
    </xf>
    <xf numFmtId="0" fontId="6" fillId="0" borderId="40" xfId="0" applyFont="1" applyBorder="1" applyAlignment="1">
      <alignment horizontal="center" vertical="center" wrapText="1"/>
    </xf>
    <xf numFmtId="0" fontId="6" fillId="0" borderId="41" xfId="0" applyFont="1" applyBorder="1" applyAlignment="1">
      <alignment horizontal="center" vertical="center" wrapText="1"/>
    </xf>
    <xf numFmtId="0" fontId="6" fillId="0" borderId="43" xfId="0" applyFont="1" applyBorder="1" applyAlignment="1">
      <alignment horizontal="center" vertical="center" wrapText="1"/>
    </xf>
    <xf numFmtId="0" fontId="6" fillId="4" borderId="29" xfId="0" applyFont="1" applyFill="1" applyBorder="1" applyAlignment="1">
      <alignment horizontal="center" vertical="center"/>
    </xf>
    <xf numFmtId="0" fontId="6" fillId="4" borderId="41" xfId="0" applyFont="1" applyFill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/>
    </xf>
    <xf numFmtId="0" fontId="6" fillId="4" borderId="36" xfId="0" applyFont="1" applyFill="1" applyBorder="1" applyAlignment="1">
      <alignment horizontal="center" vertical="center"/>
    </xf>
    <xf numFmtId="0" fontId="6" fillId="4" borderId="49" xfId="0" applyFont="1" applyFill="1" applyBorder="1" applyAlignment="1">
      <alignment horizontal="center" vertical="center"/>
    </xf>
    <xf numFmtId="0" fontId="6" fillId="4" borderId="48" xfId="0" applyFont="1" applyFill="1" applyBorder="1" applyAlignment="1">
      <alignment horizontal="center" vertical="center" wrapText="1"/>
    </xf>
    <xf numFmtId="0" fontId="6" fillId="4" borderId="36" xfId="0" applyFont="1" applyFill="1" applyBorder="1" applyAlignment="1">
      <alignment horizontal="center" vertical="center" wrapText="1"/>
    </xf>
    <xf numFmtId="0" fontId="6" fillId="4" borderId="31" xfId="0" applyFont="1" applyFill="1" applyBorder="1" applyAlignment="1">
      <alignment horizontal="center" vertical="center"/>
    </xf>
    <xf numFmtId="0" fontId="6" fillId="0" borderId="29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6" fillId="4" borderId="39" xfId="0" applyFont="1" applyFill="1" applyBorder="1" applyAlignment="1">
      <alignment horizontal="center" vertical="center"/>
    </xf>
    <xf numFmtId="0" fontId="6" fillId="4" borderId="40" xfId="0" applyFont="1" applyFill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48" xfId="0" applyFont="1" applyBorder="1" applyAlignment="1">
      <alignment horizontal="center" vertical="center" wrapText="1"/>
    </xf>
    <xf numFmtId="0" fontId="6" fillId="0" borderId="49" xfId="0" applyFont="1" applyBorder="1" applyAlignment="1">
      <alignment horizontal="center" vertical="center" wrapText="1"/>
    </xf>
    <xf numFmtId="0" fontId="6" fillId="4" borderId="38" xfId="0" applyFont="1" applyFill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 wrapText="1"/>
    </xf>
    <xf numFmtId="0" fontId="6" fillId="4" borderId="29" xfId="0" applyFont="1" applyFill="1" applyBorder="1" applyAlignment="1">
      <alignment horizontal="center" vertical="center" wrapText="1"/>
    </xf>
    <xf numFmtId="0" fontId="6" fillId="0" borderId="30" xfId="0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/>
    </xf>
  </cellXfs>
  <cellStyles count="2">
    <cellStyle name="Обычный" xfId="0" builtinId="0"/>
    <cellStyle name="Финансовый" xfId="1" builtinId="3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/>
</file>

<file path=xl/ctrlProps/ctrlProp2.xml><?xml version="1.0" encoding="utf-8"?>
<formControlPr xmlns="http://schemas.microsoft.com/office/spreadsheetml/2009/9/main" objectType="Radio" firstButton="1" lockText="1" noThreeD="1"/>
</file>

<file path=xl/ctrlProps/ctrlProp3.xml><?xml version="1.0" encoding="utf-8"?>
<formControlPr xmlns="http://schemas.microsoft.com/office/spreadsheetml/2009/9/main" objectType="Radio" lockText="1" noThreeD="1"/>
</file>

<file path=xl/ctrlProps/ctrlProp4.xml><?xml version="1.0" encoding="utf-8"?>
<formControlPr xmlns="http://schemas.microsoft.com/office/spreadsheetml/2009/9/main" objectType="Radio" lockText="1" noThreeD="1"/>
</file>

<file path=xl/ctrlProps/ctrlProp5.xml><?xml version="1.0" encoding="utf-8"?>
<formControlPr xmlns="http://schemas.microsoft.com/office/spreadsheetml/2009/9/main" objectType="Radio" checked="Checked" lockText="1" noThreeD="1"/>
</file>

<file path=xl/ctrlProps/ctrlProp6.xml><?xml version="1.0" encoding="utf-8"?>
<formControlPr xmlns="http://schemas.microsoft.com/office/spreadsheetml/2009/9/main" objectType="GBox" noThreeD="1"/>
</file>

<file path=xl/ctrlProps/ctrlProp7.xml><?xml version="1.0" encoding="utf-8"?>
<formControlPr xmlns="http://schemas.microsoft.com/office/spreadsheetml/2009/9/main" objectType="CheckBox" lockText="1"/>
</file>

<file path=xl/ctrlProps/ctrlProp8.xml><?xml version="1.0" encoding="utf-8"?>
<formControlPr xmlns="http://schemas.microsoft.com/office/spreadsheetml/2009/9/main" objectType="CheckBox" lockText="1"/>
</file>

<file path=xl/ctrlProps/ctrlProp9.xml><?xml version="1.0" encoding="utf-8"?>
<formControlPr xmlns="http://schemas.microsoft.com/office/spreadsheetml/2009/9/main" objectType="CheckBox" lockText="1"/>
</file>

<file path=xl/ctrlProps/ctrlProp10.xml><?xml version="1.0" encoding="utf-8"?>
<formControlPr xmlns="http://schemas.microsoft.com/office/spreadsheetml/2009/9/main" objectType="CheckBox" lockText="1"/>
</file>

<file path=xl/ctrlProps/ctrlProp11.xml><?xml version="1.0" encoding="utf-8"?>
<formControlPr xmlns="http://schemas.microsoft.com/office/spreadsheetml/2009/9/main" objectType="GBox" noThreeD="1"/>
</file>

<file path=xl/ctrlProps/ctrlProp12.xml><?xml version="1.0" encoding="utf-8"?>
<formControlPr xmlns="http://schemas.microsoft.com/office/spreadsheetml/2009/9/main" objectType="Radio" firstButton="1" lockText="1"/>
</file>

<file path=xl/ctrlProps/ctrlProp13.xml><?xml version="1.0" encoding="utf-8"?>
<formControlPr xmlns="http://schemas.microsoft.com/office/spreadsheetml/2009/9/main" objectType="Radio" checked="Checked" lockText="1"/>
</file>

<file path=xl/ctrlProps/ctrlProp14.xml><?xml version="1.0" encoding="utf-8"?>
<formControlPr xmlns="http://schemas.microsoft.com/office/spreadsheetml/2009/9/main" objectType="Radio" checked="Checked" firstButton="1" lockText="1"/>
</file>

<file path=xl/ctrlProps/ctrlProp15.xml><?xml version="1.0" encoding="utf-8"?>
<formControlPr xmlns="http://schemas.microsoft.com/office/spreadsheetml/2009/9/main" objectType="Radio" lockText="1"/>
</file>

<file path=xl/ctrlProps/ctrlProp16.xml><?xml version="1.0" encoding="utf-8"?>
<formControlPr xmlns="http://schemas.microsoft.com/office/spreadsheetml/2009/9/main" objectType="CheckBox" lockText="1"/>
</file>

<file path=xl/ctrlProps/ctrlProp17.xml><?xml version="1.0" encoding="utf-8"?>
<formControlPr xmlns="http://schemas.microsoft.com/office/spreadsheetml/2009/9/main" objectType="GBox" noThreeD="1"/>
</file>

<file path=xl/ctrlProps/ctrlProp18.xml><?xml version="1.0" encoding="utf-8"?>
<formControlPr xmlns="http://schemas.microsoft.com/office/spreadsheetml/2009/9/main" objectType="CheckBox" lockText="1"/>
</file>

<file path=xl/ctrlProps/ctrlProp19.xml><?xml version="1.0" encoding="utf-8"?>
<formControlPr xmlns="http://schemas.microsoft.com/office/spreadsheetml/2009/9/main" objectType="CheckBox" lockText="1"/>
</file>

<file path=xl/ctrlProps/ctrlProp20.xml><?xml version="1.0" encoding="utf-8"?>
<formControlPr xmlns="http://schemas.microsoft.com/office/spreadsheetml/2009/9/main" objectType="CheckBox" lockText="1"/>
</file>

<file path=xl/ctrlProps/ctrlProp21.xml><?xml version="1.0" encoding="utf-8"?>
<formControlPr xmlns="http://schemas.microsoft.com/office/spreadsheetml/2009/9/main" objectType="CheckBox" lockText="1"/>
</file>

<file path=xl/ctrlProps/ctrlProp22.xml><?xml version="1.0" encoding="utf-8"?>
<formControlPr xmlns="http://schemas.microsoft.com/office/spreadsheetml/2009/9/main" objectType="GBox" noThreeD="1"/>
</file>

<file path=xl/ctrlProps/ctrlProp23.xml><?xml version="1.0" encoding="utf-8"?>
<formControlPr xmlns="http://schemas.microsoft.com/office/spreadsheetml/2009/9/main" objectType="Radio" firstButton="1" lockText="1"/>
</file>

<file path=xl/ctrlProps/ctrlProp24.xml><?xml version="1.0" encoding="utf-8"?>
<formControlPr xmlns="http://schemas.microsoft.com/office/spreadsheetml/2009/9/main" objectType="Radio" checked="Checked" lockText="1"/>
</file>

<file path=xl/ctrlProps/ctrlProp25.xml><?xml version="1.0" encoding="utf-8"?>
<formControlPr xmlns="http://schemas.microsoft.com/office/spreadsheetml/2009/9/main" objectType="Radio" checked="Checked" firstButton="1" lockText="1"/>
</file>

<file path=xl/ctrlProps/ctrlProp26.xml><?xml version="1.0" encoding="utf-8"?>
<formControlPr xmlns="http://schemas.microsoft.com/office/spreadsheetml/2009/9/main" objectType="Radio" lockText="1"/>
</file>

<file path=xl/ctrlProps/ctrlProp27.xml><?xml version="1.0" encoding="utf-8"?>
<formControlPr xmlns="http://schemas.microsoft.com/office/spreadsheetml/2009/9/main" objectType="CheckBox" checked="Checked" lockText="1"/>
</file>

<file path=xl/ctrlProps/ctrlProp28.xml><?xml version="1.0" encoding="utf-8"?>
<formControlPr xmlns="http://schemas.microsoft.com/office/spreadsheetml/2009/9/main" objectType="GBox" noThreeD="1"/>
</file>

<file path=xl/ctrlProps/ctrlProp29.xml><?xml version="1.0" encoding="utf-8"?>
<formControlPr xmlns="http://schemas.microsoft.com/office/spreadsheetml/2009/9/main" objectType="Radio" firstButton="1" lockText="1"/>
</file>

<file path=xl/ctrlProps/ctrlProp30.xml><?xml version="1.0" encoding="utf-8"?>
<formControlPr xmlns="http://schemas.microsoft.com/office/spreadsheetml/2009/9/main" objectType="Radio" lockText="1"/>
</file>

<file path=xl/ctrlProps/ctrlProp31.xml><?xml version="1.0" encoding="utf-8"?>
<formControlPr xmlns="http://schemas.microsoft.com/office/spreadsheetml/2009/9/main" objectType="GBox" noThreeD="1"/>
</file>

<file path=xl/ctrlProps/ctrlProp32.xml><?xml version="1.0" encoding="utf-8"?>
<formControlPr xmlns="http://schemas.microsoft.com/office/spreadsheetml/2009/9/main" objectType="Radio" firstButton="1" lockText="1"/>
</file>

<file path=xl/ctrlProps/ctrlProp33.xml><?xml version="1.0" encoding="utf-8"?>
<formControlPr xmlns="http://schemas.microsoft.com/office/spreadsheetml/2009/9/main" objectType="Radio" checked="Checked" lockText="1"/>
</file>

<file path=xl/ctrlProps/ctrlProp34.xml><?xml version="1.0" encoding="utf-8"?>
<formControlPr xmlns="http://schemas.microsoft.com/office/spreadsheetml/2009/9/main" objectType="GBox" noThreeD="1"/>
</file>

<file path=xl/ctrlProps/ctrlProp35.xml><?xml version="1.0" encoding="utf-8"?>
<formControlPr xmlns="http://schemas.microsoft.com/office/spreadsheetml/2009/9/main" objectType="GBox" noThreeD="1"/>
</file>

<file path=xl/ctrlProps/ctrlProp36.xml><?xml version="1.0" encoding="utf-8"?>
<formControlPr xmlns="http://schemas.microsoft.com/office/spreadsheetml/2009/9/main" objectType="Radio" checked="Checked" firstButton="1" lockText="1"/>
</file>

<file path=xl/ctrlProps/ctrlProp37.xml><?xml version="1.0" encoding="utf-8"?>
<formControlPr xmlns="http://schemas.microsoft.com/office/spreadsheetml/2009/9/main" objectType="Radio" lockText="1"/>
</file>

<file path=xl/ctrlProps/ctrlProp38.xml><?xml version="1.0" encoding="utf-8"?>
<formControlPr xmlns="http://schemas.microsoft.com/office/spreadsheetml/2009/9/main" objectType="Radio" lockText="1"/>
</file>

<file path=xl/ctrlProps/ctrlProp39.xml><?xml version="1.0" encoding="utf-8"?>
<formControlPr xmlns="http://schemas.microsoft.com/office/spreadsheetml/2009/9/main" objectType="Radio" checked="Checked" firstButton="1" lockText="1"/>
</file>

<file path=xl/ctrlProps/ctrlProp40.xml><?xml version="1.0" encoding="utf-8"?>
<formControlPr xmlns="http://schemas.microsoft.com/office/spreadsheetml/2009/9/main" objectType="Radio" lockText="1"/>
</file>

<file path=xl/ctrlProps/ctrlProp41.xml><?xml version="1.0" encoding="utf-8"?>
<formControlPr xmlns="http://schemas.microsoft.com/office/spreadsheetml/2009/9/main" objectType="GBox" noThreeD="1"/>
</file>

<file path=xl/ctrlProps/ctrlProp42.xml><?xml version="1.0" encoding="utf-8"?>
<formControlPr xmlns="http://schemas.microsoft.com/office/spreadsheetml/2009/9/main" objectType="Radio" firstButton="1" lockText="1"/>
</file>

<file path=xl/ctrlProps/ctrlProp43.xml><?xml version="1.0" encoding="utf-8"?>
<formControlPr xmlns="http://schemas.microsoft.com/office/spreadsheetml/2009/9/main" objectType="Radio" lockText="1"/>
</file>

<file path=xl/ctrlProps/ctrlProp44.xml><?xml version="1.0" encoding="utf-8"?>
<formControlPr xmlns="http://schemas.microsoft.com/office/spreadsheetml/2009/9/main" objectType="Radio" checked="Checked" lockText="1"/>
</file>

<file path=xl/ctrlProps/ctrlProp45.xml><?xml version="1.0" encoding="utf-8"?>
<formControlPr xmlns="http://schemas.microsoft.com/office/spreadsheetml/2009/9/main" objectType="GBox" noThreeD="1"/>
</file>

<file path=xl/ctrlProps/ctrlProp46.xml><?xml version="1.0" encoding="utf-8"?>
<formControlPr xmlns="http://schemas.microsoft.com/office/spreadsheetml/2009/9/main" objectType="Radio" checked="Checked" firstButton="1" lockText="1"/>
</file>

<file path=xl/ctrlProps/ctrlProp47.xml><?xml version="1.0" encoding="utf-8"?>
<formControlPr xmlns="http://schemas.microsoft.com/office/spreadsheetml/2009/9/main" objectType="Radio" lockText="1"/>
</file>

<file path=xl/ctrlProps/ctrlProp48.xml><?xml version="1.0" encoding="utf-8"?>
<formControlPr xmlns="http://schemas.microsoft.com/office/spreadsheetml/2009/9/main" objectType="CheckBox" checked="Checked" lockText="1"/>
</file>

<file path=xl/ctrlProps/ctrlProp49.xml><?xml version="1.0" encoding="utf-8"?>
<formControlPr xmlns="http://schemas.microsoft.com/office/spreadsheetml/2009/9/main" objectType="GBox" noThreeD="1"/>
</file>

<file path=xl/ctrlProps/ctrlProp50.xml><?xml version="1.0" encoding="utf-8"?>
<formControlPr xmlns="http://schemas.microsoft.com/office/spreadsheetml/2009/9/main" objectType="GBox" noThreeD="1"/>
</file>

<file path=xl/ctrlProps/ctrlProp51.xml><?xml version="1.0" encoding="utf-8"?>
<formControlPr xmlns="http://schemas.microsoft.com/office/spreadsheetml/2009/9/main" objectType="GBox" noThreeD="1"/>
</file>

<file path=xl/ctrlProps/ctrlProp52.xml><?xml version="1.0" encoding="utf-8"?>
<formControlPr xmlns="http://schemas.microsoft.com/office/spreadsheetml/2009/9/main" objectType="GBox" noThreeD="1"/>
</file>

<file path=xl/ctrlProps/ctrlProp53.xml><?xml version="1.0" encoding="utf-8"?>
<formControlPr xmlns="http://schemas.microsoft.com/office/spreadsheetml/2009/9/main" objectType="GBox" noThreeD="1"/>
</file>

<file path=xl/ctrlProps/ctrlProp54.xml><?xml version="1.0" encoding="utf-8"?>
<formControlPr xmlns="http://schemas.microsoft.com/office/spreadsheetml/2009/9/main" objectType="GBox" noThreeD="1"/>
</file>

<file path=xl/ctrlProps/ctrlProp55.xml><?xml version="1.0" encoding="utf-8"?>
<formControlPr xmlns="http://schemas.microsoft.com/office/spreadsheetml/2009/9/main" objectType="CheckBox" checked="Checked" lockText="1"/>
</file>

<file path=xl/ctrlProps/ctrlProp56.xml><?xml version="1.0" encoding="utf-8"?>
<formControlPr xmlns="http://schemas.microsoft.com/office/spreadsheetml/2009/9/main" objectType="GBox" noThreeD="1"/>
</file>

<file path=xl/ctrlProps/ctrlProp57.xml><?xml version="1.0" encoding="utf-8"?>
<formControlPr xmlns="http://schemas.microsoft.com/office/spreadsheetml/2009/9/main" objectType="GBox" noThreeD="1"/>
</file>

<file path=xl/ctrlProps/ctrlProp58.xml><?xml version="1.0" encoding="utf-8"?>
<formControlPr xmlns="http://schemas.microsoft.com/office/spreadsheetml/2009/9/main" objectType="GBox" noThreeD="1"/>
</file>

<file path=xl/ctrlProps/ctrlProp59.xml><?xml version="1.0" encoding="utf-8"?>
<formControlPr xmlns="http://schemas.microsoft.com/office/spreadsheetml/2009/9/main" objectType="GBox" noThreeD="1"/>
</file>

<file path=xl/ctrlProps/ctrlProp60.xml><?xml version="1.0" encoding="utf-8"?>
<formControlPr xmlns="http://schemas.microsoft.com/office/spreadsheetml/2009/9/main" objectType="GBox" noThreeD="1"/>
</file>

<file path=xl/ctrlProps/ctrlProp61.xml><?xml version="1.0" encoding="utf-8"?>
<formControlPr xmlns="http://schemas.microsoft.com/office/spreadsheetml/2009/9/main" objectType="GBox" noThreeD="1"/>
</file>

<file path=xl/ctrlProps/ctrlProp62.xml><?xml version="1.0" encoding="utf-8"?>
<formControlPr xmlns="http://schemas.microsoft.com/office/spreadsheetml/2009/9/main" objectType="Radio" checked="Checked" firstButton="1" lockText="1"/>
</file>

<file path=xl/ctrlProps/ctrlProp63.xml><?xml version="1.0" encoding="utf-8"?>
<formControlPr xmlns="http://schemas.microsoft.com/office/spreadsheetml/2009/9/main" objectType="Radio" lockText="1"/>
</file>

<file path=xl/ctrlProps/ctrlProp64.xml><?xml version="1.0" encoding="utf-8"?>
<formControlPr xmlns="http://schemas.microsoft.com/office/spreadsheetml/2009/9/main" objectType="Radio" checked="Checked" firstButton="1" lockText="1"/>
</file>

<file path=xl/ctrlProps/ctrlProp65.xml><?xml version="1.0" encoding="utf-8"?>
<formControlPr xmlns="http://schemas.microsoft.com/office/spreadsheetml/2009/9/main" objectType="Radio" lockText="1"/>
</file>

<file path=xl/ctrlProps/ctrlProp66.xml><?xml version="1.0" encoding="utf-8"?>
<formControlPr xmlns="http://schemas.microsoft.com/office/spreadsheetml/2009/9/main" objectType="Radio" firstButton="1" lockText="1" noThreeD="1"/>
</file>

<file path=xl/ctrlProps/ctrlProp67.xml><?xml version="1.0" encoding="utf-8"?>
<formControlPr xmlns="http://schemas.microsoft.com/office/spreadsheetml/2009/9/main" objectType="Radio" lockText="1" noThreeD="1"/>
</file>

<file path=xl/ctrlProps/ctrlProp68.xml><?xml version="1.0" encoding="utf-8"?>
<formControlPr xmlns="http://schemas.microsoft.com/office/spreadsheetml/2009/9/main" objectType="Radio" checked="Checked" lockText="1" noThreeD="1"/>
</file>

<file path=xl/ctrlProps/ctrlProp69.xml><?xml version="1.0" encoding="utf-8"?>
<formControlPr xmlns="http://schemas.microsoft.com/office/spreadsheetml/2009/9/main" objectType="Radio" checked="Checked" firstButton="1" lockText="1" noThreeD="1"/>
</file>

<file path=xl/ctrlProps/ctrlProp70.xml><?xml version="1.0" encoding="utf-8"?>
<formControlPr xmlns="http://schemas.microsoft.com/office/spreadsheetml/2009/9/main" objectType="Radio" lockText="1" noThreeD="1"/>
</file>

<file path=xl/ctrlProps/ctrlProp71.xml><?xml version="1.0" encoding="utf-8"?>
<formControlPr xmlns="http://schemas.microsoft.com/office/spreadsheetml/2009/9/main" objectType="Radio" firstButton="1" lockText="1" noThreeD="1"/>
</file>

<file path=xl/ctrlProps/ctrlProp72.xml><?xml version="1.0" encoding="utf-8"?>
<formControlPr xmlns="http://schemas.microsoft.com/office/spreadsheetml/2009/9/main" objectType="Radio" checked="Checked" lockText="1" noThreeD="1"/>
</file>

<file path=xl/ctrlProps/ctrlProp73.xml><?xml version="1.0" encoding="utf-8"?>
<formControlPr xmlns="http://schemas.microsoft.com/office/spreadsheetml/2009/9/main" objectType="Radio" lockText="1" noThreeD="1"/>
</file>

<file path=xl/ctrlProps/ctrlProp74.xml><?xml version="1.0" encoding="utf-8"?>
<formControlPr xmlns="http://schemas.microsoft.com/office/spreadsheetml/2009/9/main" objectType="Radio" checked="Checked" firstButton="1" lockText="1" noThreeD="1"/>
</file>

<file path=xl/ctrlProps/ctrlProp75.xml><?xml version="1.0" encoding="utf-8"?>
<formControlPr xmlns="http://schemas.microsoft.com/office/spreadsheetml/2009/9/main" objectType="Radio" checked="Checked" lockText="1" noThreeD="1"/>
</file>

<file path=xl/ctrlProps/ctrlProp76.xml><?xml version="1.0" encoding="utf-8"?>
<formControlPr xmlns="http://schemas.microsoft.com/office/spreadsheetml/2009/9/main" objectType="CheckBox" lockText="1"/>
</file>

<file path=xl/ctrlProps/ctrlProp77.xml><?xml version="1.0" encoding="utf-8"?>
<formControlPr xmlns="http://schemas.microsoft.com/office/spreadsheetml/2009/9/main" objectType="CheckBox" lockText="1"/>
</file>

<file path=xl/ctrlProps/ctrlProp78.xml><?xml version="1.0" encoding="utf-8"?>
<formControlPr xmlns="http://schemas.microsoft.com/office/spreadsheetml/2009/9/main" objectType="CheckBox" lockText="1"/>
</file>

<file path=xl/ctrlProps/ctrlProp79.xml><?xml version="1.0" encoding="utf-8"?>
<formControlPr xmlns="http://schemas.microsoft.com/office/spreadsheetml/2009/9/main" objectType="CheckBox" lockText="1"/>
</file>

<file path=xl/ctrlProps/ctrlProp80.xml><?xml version="1.0" encoding="utf-8"?>
<formControlPr xmlns="http://schemas.microsoft.com/office/spreadsheetml/2009/9/main" objectType="CheckBox" lockText="1"/>
</file>

<file path=xl/ctrlProps/ctrlProp81.xml><?xml version="1.0" encoding="utf-8"?>
<formControlPr xmlns="http://schemas.microsoft.com/office/spreadsheetml/2009/9/main" objectType="CheckBox" lockText="1"/>
</file>

<file path=xl/ctrlProps/ctrlProp82.xml><?xml version="1.0" encoding="utf-8"?>
<formControlPr xmlns="http://schemas.microsoft.com/office/spreadsheetml/2009/9/main" objectType="CheckBox" lockText="1"/>
</file>

<file path=xl/ctrlProps/ctrlProp83.xml><?xml version="1.0" encoding="utf-8"?>
<formControlPr xmlns="http://schemas.microsoft.com/office/spreadsheetml/2009/9/main" objectType="CheckBox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9525</xdr:colOff>
          <xdr:row>10</xdr:row>
          <xdr:rowOff>9525</xdr:rowOff>
        </xdr:from>
        <xdr:to>
          <xdr:col>34</xdr:col>
          <xdr:colOff>0</xdr:colOff>
          <xdr:row>11</xdr:row>
          <xdr:rowOff>161925</xdr:rowOff>
        </xdr:to>
        <xdr:sp macro="" textlink="">
          <xdr:nvSpPr>
            <xdr:cNvPr id="1026" name="Флажок 2" descr="Наличие колон, выступов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="" xmlns:a16="http://schemas.microsoft.com/office/drawing/2014/main" id="{00000000-0008-0000-09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ea typeface="Segoe UI"/>
                  <a:cs typeface="Segoe UI"/>
                </a:rPr>
                <a:t>Наличие колон, выступов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47625</xdr:colOff>
          <xdr:row>21</xdr:row>
          <xdr:rowOff>142875</xdr:rowOff>
        </xdr:from>
        <xdr:to>
          <xdr:col>32</xdr:col>
          <xdr:colOff>9525</xdr:colOff>
          <xdr:row>22</xdr:row>
          <xdr:rowOff>133350</xdr:rowOff>
        </xdr:to>
        <xdr:sp macro="" textlink="">
          <xdr:nvSpPr>
            <xdr:cNvPr id="1027" name="Перекл.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="" xmlns:a16="http://schemas.microsoft.com/office/drawing/2014/main" id="{00000000-0008-0000-09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ea typeface="Segoe UI"/>
                  <a:cs typeface="Segoe UI"/>
                </a:rPr>
                <a:t>Перекл. 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47625</xdr:colOff>
          <xdr:row>22</xdr:row>
          <xdr:rowOff>142875</xdr:rowOff>
        </xdr:from>
        <xdr:to>
          <xdr:col>32</xdr:col>
          <xdr:colOff>9525</xdr:colOff>
          <xdr:row>24</xdr:row>
          <xdr:rowOff>19050</xdr:rowOff>
        </xdr:to>
        <xdr:sp macro="" textlink="">
          <xdr:nvSpPr>
            <xdr:cNvPr id="1028" name="Перекл.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="" xmlns:a16="http://schemas.microsoft.com/office/drawing/2014/main" id="{00000000-0008-0000-09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ea typeface="Segoe UI"/>
                  <a:cs typeface="Segoe UI"/>
                </a:rPr>
                <a:t>Перекл. 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66675</xdr:colOff>
          <xdr:row>25</xdr:row>
          <xdr:rowOff>133350</xdr:rowOff>
        </xdr:from>
        <xdr:to>
          <xdr:col>32</xdr:col>
          <xdr:colOff>28575</xdr:colOff>
          <xdr:row>26</xdr:row>
          <xdr:rowOff>171450</xdr:rowOff>
        </xdr:to>
        <xdr:sp macro="" textlink="">
          <xdr:nvSpPr>
            <xdr:cNvPr id="1029" name="Перекл.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="" xmlns:a16="http://schemas.microsoft.com/office/drawing/2014/main" id="{00000000-0008-0000-09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ea typeface="Segoe UI"/>
                  <a:cs typeface="Segoe UI"/>
                </a:rPr>
                <a:t>Перекл. 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47625</xdr:colOff>
          <xdr:row>26</xdr:row>
          <xdr:rowOff>133350</xdr:rowOff>
        </xdr:from>
        <xdr:to>
          <xdr:col>32</xdr:col>
          <xdr:colOff>9525</xdr:colOff>
          <xdr:row>28</xdr:row>
          <xdr:rowOff>0</xdr:rowOff>
        </xdr:to>
        <xdr:sp macro="" textlink="">
          <xdr:nvSpPr>
            <xdr:cNvPr id="1030" name="Перекл.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="" xmlns:a16="http://schemas.microsoft.com/office/drawing/2014/main" id="{00000000-0008-0000-09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ea typeface="Segoe UI"/>
                  <a:cs typeface="Segoe UI"/>
                </a:rPr>
                <a:t>Перекл. 6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13</xdr:row>
          <xdr:rowOff>0</xdr:rowOff>
        </xdr:from>
        <xdr:to>
          <xdr:col>12</xdr:col>
          <xdr:colOff>0</xdr:colOff>
          <xdr:row>19</xdr:row>
          <xdr:rowOff>0</xdr:rowOff>
        </xdr:to>
        <xdr:sp macro="" textlink="">
          <xdr:nvSpPr>
            <xdr:cNvPr id="2081" name="Group Box 33" hidden="1">
              <a:extLst>
                <a:ext uri="{63B3BB69-23CF-44E3-9099-C40C66FF867C}">
                  <a14:compatExt spid="_x0000_s20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66675</xdr:colOff>
          <xdr:row>10</xdr:row>
          <xdr:rowOff>142875</xdr:rowOff>
        </xdr:from>
        <xdr:to>
          <xdr:col>29</xdr:col>
          <xdr:colOff>114300</xdr:colOff>
          <xdr:row>12</xdr:row>
          <xdr:rowOff>9525</xdr:rowOff>
        </xdr:to>
        <xdr:sp macro="" textlink="">
          <xdr:nvSpPr>
            <xdr:cNvPr id="2049" name="Флажок 2" descr="Наличие колон, выступов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="" xmlns:a16="http://schemas.microsoft.com/office/drawing/2014/main" id="{00000000-0008-0000-0A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123825</xdr:colOff>
          <xdr:row>12</xdr:row>
          <xdr:rowOff>38100</xdr:rowOff>
        </xdr:from>
        <xdr:to>
          <xdr:col>5</xdr:col>
          <xdr:colOff>47625</xdr:colOff>
          <xdr:row>14</xdr:row>
          <xdr:rowOff>114300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="" xmlns:a16="http://schemas.microsoft.com/office/drawing/2014/main" id="{00000000-0008-0000-0A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142875</xdr:colOff>
          <xdr:row>12</xdr:row>
          <xdr:rowOff>0</xdr:rowOff>
        </xdr:from>
        <xdr:to>
          <xdr:col>26</xdr:col>
          <xdr:colOff>47625</xdr:colOff>
          <xdr:row>14</xdr:row>
          <xdr:rowOff>76200</xdr:rowOff>
        </xdr:to>
        <xdr:sp macro="" textlink="">
          <xdr:nvSpPr>
            <xdr:cNvPr id="2059" name="Check Box 7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="" xmlns:a16="http://schemas.microsoft.com/office/drawing/2014/main" id="{00000000-0008-0000-0A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47625</xdr:colOff>
          <xdr:row>12</xdr:row>
          <xdr:rowOff>9525</xdr:rowOff>
        </xdr:from>
        <xdr:to>
          <xdr:col>33</xdr:col>
          <xdr:colOff>123825</xdr:colOff>
          <xdr:row>14</xdr:row>
          <xdr:rowOff>76200</xdr:rowOff>
        </xdr:to>
        <xdr:sp macro="" textlink="">
          <xdr:nvSpPr>
            <xdr:cNvPr id="2060" name="Check Box 7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="" xmlns:a16="http://schemas.microsoft.com/office/drawing/2014/main" id="{00000000-0008-0000-0A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</xdr:row>
          <xdr:rowOff>57150</xdr:rowOff>
        </xdr:from>
        <xdr:to>
          <xdr:col>34</xdr:col>
          <xdr:colOff>0</xdr:colOff>
          <xdr:row>18</xdr:row>
          <xdr:rowOff>171450</xdr:rowOff>
        </xdr:to>
        <xdr:sp macro="" textlink="">
          <xdr:nvSpPr>
            <xdr:cNvPr id="2082" name="Group Box 34" hidden="1">
              <a:extLst>
                <a:ext uri="{63B3BB69-23CF-44E3-9099-C40C66FF867C}">
                  <a14:compatExt spid="_x0000_s20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13</xdr:row>
          <xdr:rowOff>142875</xdr:rowOff>
        </xdr:from>
        <xdr:to>
          <xdr:col>6</xdr:col>
          <xdr:colOff>66675</xdr:colOff>
          <xdr:row>15</xdr:row>
          <xdr:rowOff>19050</xdr:rowOff>
        </xdr:to>
        <xdr:sp macro="" textlink="">
          <xdr:nvSpPr>
            <xdr:cNvPr id="2085" name="Option Button 37" hidden="1">
              <a:extLst>
                <a:ext uri="{63B3BB69-23CF-44E3-9099-C40C66FF867C}">
                  <a14:compatExt spid="_x0000_s20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14</xdr:row>
          <xdr:rowOff>142875</xdr:rowOff>
        </xdr:from>
        <xdr:to>
          <xdr:col>6</xdr:col>
          <xdr:colOff>66675</xdr:colOff>
          <xdr:row>16</xdr:row>
          <xdr:rowOff>19050</xdr:rowOff>
        </xdr:to>
        <xdr:sp macro="" textlink="">
          <xdr:nvSpPr>
            <xdr:cNvPr id="2086" name="Option Button 38" hidden="1">
              <a:extLst>
                <a:ext uri="{63B3BB69-23CF-44E3-9099-C40C66FF867C}">
                  <a14:compatExt spid="_x0000_s20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38100</xdr:colOff>
          <xdr:row>14</xdr:row>
          <xdr:rowOff>152400</xdr:rowOff>
        </xdr:from>
        <xdr:to>
          <xdr:col>27</xdr:col>
          <xdr:colOff>85725</xdr:colOff>
          <xdr:row>16</xdr:row>
          <xdr:rowOff>28575</xdr:rowOff>
        </xdr:to>
        <xdr:sp macro="" textlink="">
          <xdr:nvSpPr>
            <xdr:cNvPr id="2087" name="Option Button 39" hidden="1">
              <a:extLst>
                <a:ext uri="{63B3BB69-23CF-44E3-9099-C40C66FF867C}">
                  <a14:compatExt spid="_x0000_s20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38100</xdr:colOff>
          <xdr:row>15</xdr:row>
          <xdr:rowOff>142875</xdr:rowOff>
        </xdr:from>
        <xdr:to>
          <xdr:col>27</xdr:col>
          <xdr:colOff>85725</xdr:colOff>
          <xdr:row>17</xdr:row>
          <xdr:rowOff>19050</xdr:rowOff>
        </xdr:to>
        <xdr:sp macro="" textlink="">
          <xdr:nvSpPr>
            <xdr:cNvPr id="2088" name="Option Button 40" hidden="1">
              <a:extLst>
                <a:ext uri="{63B3BB69-23CF-44E3-9099-C40C66FF867C}">
                  <a14:compatExt spid="_x0000_s20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21</xdr:row>
          <xdr:rowOff>28575</xdr:rowOff>
        </xdr:from>
        <xdr:to>
          <xdr:col>4</xdr:col>
          <xdr:colOff>133350</xdr:colOff>
          <xdr:row>22</xdr:row>
          <xdr:rowOff>76200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13</xdr:row>
          <xdr:rowOff>0</xdr:rowOff>
        </xdr:from>
        <xdr:to>
          <xdr:col>12</xdr:col>
          <xdr:colOff>0</xdr:colOff>
          <xdr:row>19</xdr:row>
          <xdr:rowOff>0</xdr:rowOff>
        </xdr:to>
        <xdr:sp macro="" textlink="">
          <xdr:nvSpPr>
            <xdr:cNvPr id="12289" name="Group Box 1" hidden="1">
              <a:extLst>
                <a:ext uri="{63B3BB69-23CF-44E3-9099-C40C66FF867C}">
                  <a14:compatExt spid="_x0000_s122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66675</xdr:colOff>
          <xdr:row>10</xdr:row>
          <xdr:rowOff>142875</xdr:rowOff>
        </xdr:from>
        <xdr:to>
          <xdr:col>29</xdr:col>
          <xdr:colOff>114300</xdr:colOff>
          <xdr:row>12</xdr:row>
          <xdr:rowOff>9525</xdr:rowOff>
        </xdr:to>
        <xdr:sp macro="" textlink="">
          <xdr:nvSpPr>
            <xdr:cNvPr id="12290" name="Флажок 2" descr="Наличие колон, выступов" hidden="1">
              <a:extLst>
                <a:ext uri="{63B3BB69-23CF-44E3-9099-C40C66FF867C}">
                  <a14:compatExt spid="_x0000_s12290"/>
                </a:ext>
                <a:ext uri="{FF2B5EF4-FFF2-40B4-BE49-F238E27FC236}">
                  <a16:creationId xmlns="" xmlns:a16="http://schemas.microsoft.com/office/drawing/2014/main" id="{00000000-0008-0000-0A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123825</xdr:colOff>
          <xdr:row>12</xdr:row>
          <xdr:rowOff>38100</xdr:rowOff>
        </xdr:from>
        <xdr:to>
          <xdr:col>5</xdr:col>
          <xdr:colOff>47625</xdr:colOff>
          <xdr:row>14</xdr:row>
          <xdr:rowOff>114300</xdr:rowOff>
        </xdr:to>
        <xdr:sp macro="" textlink="">
          <xdr:nvSpPr>
            <xdr:cNvPr id="12291" name="Check Box 7" hidden="1">
              <a:extLst>
                <a:ext uri="{63B3BB69-23CF-44E3-9099-C40C66FF867C}">
                  <a14:compatExt spid="_x0000_s12291"/>
                </a:ext>
                <a:ext uri="{FF2B5EF4-FFF2-40B4-BE49-F238E27FC236}">
                  <a16:creationId xmlns="" xmlns:a16="http://schemas.microsoft.com/office/drawing/2014/main" id="{00000000-0008-0000-0A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142875</xdr:colOff>
          <xdr:row>12</xdr:row>
          <xdr:rowOff>0</xdr:rowOff>
        </xdr:from>
        <xdr:to>
          <xdr:col>26</xdr:col>
          <xdr:colOff>47625</xdr:colOff>
          <xdr:row>14</xdr:row>
          <xdr:rowOff>76200</xdr:rowOff>
        </xdr:to>
        <xdr:sp macro="" textlink="">
          <xdr:nvSpPr>
            <xdr:cNvPr id="12292" name="Check Box 4" hidden="1">
              <a:extLst>
                <a:ext uri="{63B3BB69-23CF-44E3-9099-C40C66FF867C}">
                  <a14:compatExt spid="_x0000_s12292"/>
                </a:ext>
                <a:ext uri="{FF2B5EF4-FFF2-40B4-BE49-F238E27FC236}">
                  <a16:creationId xmlns="" xmlns:a16="http://schemas.microsoft.com/office/drawing/2014/main" id="{00000000-0008-0000-0A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47625</xdr:colOff>
          <xdr:row>12</xdr:row>
          <xdr:rowOff>9525</xdr:rowOff>
        </xdr:from>
        <xdr:to>
          <xdr:col>33</xdr:col>
          <xdr:colOff>123825</xdr:colOff>
          <xdr:row>14</xdr:row>
          <xdr:rowOff>76200</xdr:rowOff>
        </xdr:to>
        <xdr:sp macro="" textlink="">
          <xdr:nvSpPr>
            <xdr:cNvPr id="12293" name="Check Box 5" hidden="1">
              <a:extLst>
                <a:ext uri="{63B3BB69-23CF-44E3-9099-C40C66FF867C}">
                  <a14:compatExt spid="_x0000_s12293"/>
                </a:ext>
                <a:ext uri="{FF2B5EF4-FFF2-40B4-BE49-F238E27FC236}">
                  <a16:creationId xmlns="" xmlns:a16="http://schemas.microsoft.com/office/drawing/2014/main" id="{00000000-0008-0000-0A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171450</xdr:colOff>
          <xdr:row>12</xdr:row>
          <xdr:rowOff>57150</xdr:rowOff>
        </xdr:from>
        <xdr:to>
          <xdr:col>33</xdr:col>
          <xdr:colOff>171450</xdr:colOff>
          <xdr:row>18</xdr:row>
          <xdr:rowOff>171450</xdr:rowOff>
        </xdr:to>
        <xdr:sp macro="" textlink="">
          <xdr:nvSpPr>
            <xdr:cNvPr id="12294" name="Group Box 6" hidden="1">
              <a:extLst>
                <a:ext uri="{63B3BB69-23CF-44E3-9099-C40C66FF867C}">
                  <a14:compatExt spid="_x0000_s122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13</xdr:row>
          <xdr:rowOff>142875</xdr:rowOff>
        </xdr:from>
        <xdr:to>
          <xdr:col>6</xdr:col>
          <xdr:colOff>66675</xdr:colOff>
          <xdr:row>15</xdr:row>
          <xdr:rowOff>19050</xdr:rowOff>
        </xdr:to>
        <xdr:sp macro="" textlink="">
          <xdr:nvSpPr>
            <xdr:cNvPr id="12295" name="Option Button 7" hidden="1">
              <a:extLst>
                <a:ext uri="{63B3BB69-23CF-44E3-9099-C40C66FF867C}">
                  <a14:compatExt spid="_x0000_s122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14</xdr:row>
          <xdr:rowOff>142875</xdr:rowOff>
        </xdr:from>
        <xdr:to>
          <xdr:col>6</xdr:col>
          <xdr:colOff>66675</xdr:colOff>
          <xdr:row>16</xdr:row>
          <xdr:rowOff>19050</xdr:rowOff>
        </xdr:to>
        <xdr:sp macro="" textlink="">
          <xdr:nvSpPr>
            <xdr:cNvPr id="12296" name="Option Button 8" hidden="1">
              <a:extLst>
                <a:ext uri="{63B3BB69-23CF-44E3-9099-C40C66FF867C}">
                  <a14:compatExt spid="_x0000_s122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38100</xdr:colOff>
          <xdr:row>14</xdr:row>
          <xdr:rowOff>152400</xdr:rowOff>
        </xdr:from>
        <xdr:to>
          <xdr:col>27</xdr:col>
          <xdr:colOff>85725</xdr:colOff>
          <xdr:row>16</xdr:row>
          <xdr:rowOff>28575</xdr:rowOff>
        </xdr:to>
        <xdr:sp macro="" textlink="">
          <xdr:nvSpPr>
            <xdr:cNvPr id="12297" name="Option Button 9" hidden="1">
              <a:extLst>
                <a:ext uri="{63B3BB69-23CF-44E3-9099-C40C66FF867C}">
                  <a14:compatExt spid="_x0000_s122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38100</xdr:colOff>
          <xdr:row>15</xdr:row>
          <xdr:rowOff>142875</xdr:rowOff>
        </xdr:from>
        <xdr:to>
          <xdr:col>27</xdr:col>
          <xdr:colOff>85725</xdr:colOff>
          <xdr:row>17</xdr:row>
          <xdr:rowOff>19050</xdr:rowOff>
        </xdr:to>
        <xdr:sp macro="" textlink="">
          <xdr:nvSpPr>
            <xdr:cNvPr id="12298" name="Option Button 10" hidden="1">
              <a:extLst>
                <a:ext uri="{63B3BB69-23CF-44E3-9099-C40C66FF867C}">
                  <a14:compatExt spid="_x0000_s122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21</xdr:row>
          <xdr:rowOff>28575</xdr:rowOff>
        </xdr:from>
        <xdr:to>
          <xdr:col>4</xdr:col>
          <xdr:colOff>133350</xdr:colOff>
          <xdr:row>22</xdr:row>
          <xdr:rowOff>76200</xdr:rowOff>
        </xdr:to>
        <xdr:sp macro="" textlink="">
          <xdr:nvSpPr>
            <xdr:cNvPr id="12299" name="Check Box 11" hidden="1">
              <a:extLst>
                <a:ext uri="{63B3BB69-23CF-44E3-9099-C40C66FF867C}">
                  <a14:compatExt spid="_x0000_s122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161925</xdr:colOff>
          <xdr:row>21</xdr:row>
          <xdr:rowOff>0</xdr:rowOff>
        </xdr:from>
        <xdr:to>
          <xdr:col>12</xdr:col>
          <xdr:colOff>0</xdr:colOff>
          <xdr:row>23</xdr:row>
          <xdr:rowOff>0</xdr:rowOff>
        </xdr:to>
        <xdr:sp macro="" textlink="">
          <xdr:nvSpPr>
            <xdr:cNvPr id="12301" name="Group Box 13" hidden="1">
              <a:extLst>
                <a:ext uri="{63B3BB69-23CF-44E3-9099-C40C66FF867C}">
                  <a14:compatExt spid="_x0000_s123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20</xdr:row>
          <xdr:rowOff>38100</xdr:rowOff>
        </xdr:from>
        <xdr:to>
          <xdr:col>6</xdr:col>
          <xdr:colOff>57150</xdr:colOff>
          <xdr:row>22</xdr:row>
          <xdr:rowOff>28575</xdr:rowOff>
        </xdr:to>
        <xdr:sp macro="" textlink="">
          <xdr:nvSpPr>
            <xdr:cNvPr id="12302" name="Option Button 14" hidden="1">
              <a:extLst>
                <a:ext uri="{63B3BB69-23CF-44E3-9099-C40C66FF867C}">
                  <a14:compatExt spid="_x0000_s123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21</xdr:row>
          <xdr:rowOff>152400</xdr:rowOff>
        </xdr:from>
        <xdr:to>
          <xdr:col>6</xdr:col>
          <xdr:colOff>47625</xdr:colOff>
          <xdr:row>23</xdr:row>
          <xdr:rowOff>28575</xdr:rowOff>
        </xdr:to>
        <xdr:sp macro="" textlink="">
          <xdr:nvSpPr>
            <xdr:cNvPr id="12305" name="Option Button 17" hidden="1">
              <a:extLst>
                <a:ext uri="{63B3BB69-23CF-44E3-9099-C40C66FF867C}">
                  <a14:compatExt spid="_x0000_s123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161925</xdr:colOff>
          <xdr:row>23</xdr:row>
          <xdr:rowOff>171450</xdr:rowOff>
        </xdr:from>
        <xdr:to>
          <xdr:col>11</xdr:col>
          <xdr:colOff>209550</xdr:colOff>
          <xdr:row>25</xdr:row>
          <xdr:rowOff>171450</xdr:rowOff>
        </xdr:to>
        <xdr:sp macro="" textlink="">
          <xdr:nvSpPr>
            <xdr:cNvPr id="12314" name="Group Box 26" hidden="1">
              <a:extLst>
                <a:ext uri="{63B3BB69-23CF-44E3-9099-C40C66FF867C}">
                  <a14:compatExt spid="_x0000_s123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24</xdr:row>
          <xdr:rowOff>19050</xdr:rowOff>
        </xdr:from>
        <xdr:to>
          <xdr:col>6</xdr:col>
          <xdr:colOff>47625</xdr:colOff>
          <xdr:row>24</xdr:row>
          <xdr:rowOff>161925</xdr:rowOff>
        </xdr:to>
        <xdr:sp macro="" textlink="">
          <xdr:nvSpPr>
            <xdr:cNvPr id="12315" name="Option Button 27" hidden="1">
              <a:extLst>
                <a:ext uri="{63B3BB69-23CF-44E3-9099-C40C66FF867C}">
                  <a14:compatExt spid="_x0000_s123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25</xdr:row>
          <xdr:rowOff>19050</xdr:rowOff>
        </xdr:from>
        <xdr:to>
          <xdr:col>6</xdr:col>
          <xdr:colOff>38100</xdr:colOff>
          <xdr:row>25</xdr:row>
          <xdr:rowOff>161925</xdr:rowOff>
        </xdr:to>
        <xdr:sp macro="" textlink="">
          <xdr:nvSpPr>
            <xdr:cNvPr id="12316" name="Option Button 28" hidden="1">
              <a:extLst>
                <a:ext uri="{63B3BB69-23CF-44E3-9099-C40C66FF867C}">
                  <a14:compatExt spid="_x0000_s123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0</xdr:colOff>
          <xdr:row>21</xdr:row>
          <xdr:rowOff>0</xdr:rowOff>
        </xdr:from>
        <xdr:to>
          <xdr:col>26</xdr:col>
          <xdr:colOff>171450</xdr:colOff>
          <xdr:row>24</xdr:row>
          <xdr:rowOff>171450</xdr:rowOff>
        </xdr:to>
        <xdr:sp macro="" textlink="">
          <xdr:nvSpPr>
            <xdr:cNvPr id="12319" name="Group Box 31" hidden="1">
              <a:extLst>
                <a:ext uri="{63B3BB69-23CF-44E3-9099-C40C66FF867C}">
                  <a14:compatExt spid="_x0000_s123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0</xdr:colOff>
          <xdr:row>25</xdr:row>
          <xdr:rowOff>0</xdr:rowOff>
        </xdr:from>
        <xdr:to>
          <xdr:col>26</xdr:col>
          <xdr:colOff>171450</xdr:colOff>
          <xdr:row>28</xdr:row>
          <xdr:rowOff>0</xdr:rowOff>
        </xdr:to>
        <xdr:sp macro="" textlink="">
          <xdr:nvSpPr>
            <xdr:cNvPr id="12320" name="Group Box 32" hidden="1">
              <a:extLst>
                <a:ext uri="{63B3BB69-23CF-44E3-9099-C40C66FF867C}">
                  <a14:compatExt spid="_x0000_s123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9525</xdr:colOff>
          <xdr:row>22</xdr:row>
          <xdr:rowOff>19050</xdr:rowOff>
        </xdr:from>
        <xdr:to>
          <xdr:col>21</xdr:col>
          <xdr:colOff>85725</xdr:colOff>
          <xdr:row>22</xdr:row>
          <xdr:rowOff>171450</xdr:rowOff>
        </xdr:to>
        <xdr:sp macro="" textlink="">
          <xdr:nvSpPr>
            <xdr:cNvPr id="12321" name="Option Button 33" hidden="1">
              <a:extLst>
                <a:ext uri="{63B3BB69-23CF-44E3-9099-C40C66FF867C}">
                  <a14:compatExt spid="_x0000_s123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9525</xdr:colOff>
          <xdr:row>23</xdr:row>
          <xdr:rowOff>0</xdr:rowOff>
        </xdr:from>
        <xdr:to>
          <xdr:col>21</xdr:col>
          <xdr:colOff>85725</xdr:colOff>
          <xdr:row>24</xdr:row>
          <xdr:rowOff>9525</xdr:rowOff>
        </xdr:to>
        <xdr:sp macro="" textlink="">
          <xdr:nvSpPr>
            <xdr:cNvPr id="12322" name="Option Button 34" hidden="1">
              <a:extLst>
                <a:ext uri="{63B3BB69-23CF-44E3-9099-C40C66FF867C}">
                  <a14:compatExt spid="_x0000_s123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9525</xdr:colOff>
          <xdr:row>24</xdr:row>
          <xdr:rowOff>9525</xdr:rowOff>
        </xdr:from>
        <xdr:to>
          <xdr:col>21</xdr:col>
          <xdr:colOff>85725</xdr:colOff>
          <xdr:row>24</xdr:row>
          <xdr:rowOff>152400</xdr:rowOff>
        </xdr:to>
        <xdr:sp macro="" textlink="">
          <xdr:nvSpPr>
            <xdr:cNvPr id="12323" name="Option Button 35" hidden="1">
              <a:extLst>
                <a:ext uri="{63B3BB69-23CF-44E3-9099-C40C66FF867C}">
                  <a14:compatExt spid="_x0000_s123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0</xdr:colOff>
          <xdr:row>26</xdr:row>
          <xdr:rowOff>0</xdr:rowOff>
        </xdr:from>
        <xdr:to>
          <xdr:col>21</xdr:col>
          <xdr:colOff>66675</xdr:colOff>
          <xdr:row>26</xdr:row>
          <xdr:rowOff>161925</xdr:rowOff>
        </xdr:to>
        <xdr:sp macro="" textlink="">
          <xdr:nvSpPr>
            <xdr:cNvPr id="12326" name="Option Button 38" hidden="1">
              <a:extLst>
                <a:ext uri="{63B3BB69-23CF-44E3-9099-C40C66FF867C}">
                  <a14:compatExt spid="_x0000_s123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0</xdr:colOff>
          <xdr:row>26</xdr:row>
          <xdr:rowOff>171450</xdr:rowOff>
        </xdr:from>
        <xdr:to>
          <xdr:col>21</xdr:col>
          <xdr:colOff>76200</xdr:colOff>
          <xdr:row>27</xdr:row>
          <xdr:rowOff>161925</xdr:rowOff>
        </xdr:to>
        <xdr:sp macro="" textlink="">
          <xdr:nvSpPr>
            <xdr:cNvPr id="12327" name="Option Button 39" hidden="1">
              <a:extLst>
                <a:ext uri="{63B3BB69-23CF-44E3-9099-C40C66FF867C}">
                  <a14:compatExt spid="_x0000_s123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0</xdr:colOff>
          <xdr:row>21</xdr:row>
          <xdr:rowOff>0</xdr:rowOff>
        </xdr:from>
        <xdr:to>
          <xdr:col>34</xdr:col>
          <xdr:colOff>0</xdr:colOff>
          <xdr:row>25</xdr:row>
          <xdr:rowOff>0</xdr:rowOff>
        </xdr:to>
        <xdr:sp macro="" textlink="">
          <xdr:nvSpPr>
            <xdr:cNvPr id="12328" name="Group Box 40" hidden="1">
              <a:extLst>
                <a:ext uri="{63B3BB69-23CF-44E3-9099-C40C66FF867C}">
                  <a14:compatExt spid="_x0000_s123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19050</xdr:colOff>
          <xdr:row>22</xdr:row>
          <xdr:rowOff>0</xdr:rowOff>
        </xdr:from>
        <xdr:to>
          <xdr:col>28</xdr:col>
          <xdr:colOff>28575</xdr:colOff>
          <xdr:row>23</xdr:row>
          <xdr:rowOff>0</xdr:rowOff>
        </xdr:to>
        <xdr:sp macro="" textlink="">
          <xdr:nvSpPr>
            <xdr:cNvPr id="12329" name="Option Button 41" hidden="1">
              <a:extLst>
                <a:ext uri="{63B3BB69-23CF-44E3-9099-C40C66FF867C}">
                  <a14:compatExt spid="_x0000_s123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19050</xdr:colOff>
          <xdr:row>23</xdr:row>
          <xdr:rowOff>0</xdr:rowOff>
        </xdr:from>
        <xdr:to>
          <xdr:col>28</xdr:col>
          <xdr:colOff>28575</xdr:colOff>
          <xdr:row>23</xdr:row>
          <xdr:rowOff>161925</xdr:rowOff>
        </xdr:to>
        <xdr:sp macro="" textlink="">
          <xdr:nvSpPr>
            <xdr:cNvPr id="12330" name="Option Button 42" hidden="1">
              <a:extLst>
                <a:ext uri="{63B3BB69-23CF-44E3-9099-C40C66FF867C}">
                  <a14:compatExt spid="_x0000_s123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19050</xdr:colOff>
          <xdr:row>24</xdr:row>
          <xdr:rowOff>0</xdr:rowOff>
        </xdr:from>
        <xdr:to>
          <xdr:col>28</xdr:col>
          <xdr:colOff>28575</xdr:colOff>
          <xdr:row>24</xdr:row>
          <xdr:rowOff>161925</xdr:rowOff>
        </xdr:to>
        <xdr:sp macro="" textlink="">
          <xdr:nvSpPr>
            <xdr:cNvPr id="12331" name="Option Button 43" hidden="1">
              <a:extLst>
                <a:ext uri="{63B3BB69-23CF-44E3-9099-C40C66FF867C}">
                  <a14:compatExt spid="_x0000_s123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0</xdr:colOff>
          <xdr:row>25</xdr:row>
          <xdr:rowOff>0</xdr:rowOff>
        </xdr:from>
        <xdr:to>
          <xdr:col>34</xdr:col>
          <xdr:colOff>0</xdr:colOff>
          <xdr:row>28</xdr:row>
          <xdr:rowOff>0</xdr:rowOff>
        </xdr:to>
        <xdr:sp macro="" textlink="">
          <xdr:nvSpPr>
            <xdr:cNvPr id="12332" name="Group Box 44" hidden="1">
              <a:extLst>
                <a:ext uri="{63B3BB69-23CF-44E3-9099-C40C66FF867C}">
                  <a14:compatExt spid="_x0000_s123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9525</xdr:colOff>
          <xdr:row>26</xdr:row>
          <xdr:rowOff>0</xdr:rowOff>
        </xdr:from>
        <xdr:to>
          <xdr:col>28</xdr:col>
          <xdr:colOff>19050</xdr:colOff>
          <xdr:row>26</xdr:row>
          <xdr:rowOff>161925</xdr:rowOff>
        </xdr:to>
        <xdr:sp macro="" textlink="">
          <xdr:nvSpPr>
            <xdr:cNvPr id="12333" name="Option Button 45" hidden="1">
              <a:extLst>
                <a:ext uri="{63B3BB69-23CF-44E3-9099-C40C66FF867C}">
                  <a14:compatExt spid="_x0000_s123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9525</xdr:colOff>
          <xdr:row>27</xdr:row>
          <xdr:rowOff>19050</xdr:rowOff>
        </xdr:from>
        <xdr:to>
          <xdr:col>28</xdr:col>
          <xdr:colOff>28575</xdr:colOff>
          <xdr:row>27</xdr:row>
          <xdr:rowOff>161925</xdr:rowOff>
        </xdr:to>
        <xdr:sp macro="" textlink="">
          <xdr:nvSpPr>
            <xdr:cNvPr id="12334" name="Option Button 46" hidden="1">
              <a:extLst>
                <a:ext uri="{63B3BB69-23CF-44E3-9099-C40C66FF867C}">
                  <a14:compatExt spid="_x0000_s123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30</xdr:row>
          <xdr:rowOff>28575</xdr:rowOff>
        </xdr:from>
        <xdr:to>
          <xdr:col>4</xdr:col>
          <xdr:colOff>133350</xdr:colOff>
          <xdr:row>31</xdr:row>
          <xdr:rowOff>76200</xdr:rowOff>
        </xdr:to>
        <xdr:sp macro="" textlink="">
          <xdr:nvSpPr>
            <xdr:cNvPr id="12335" name="Check Box 47" hidden="1">
              <a:extLst>
                <a:ext uri="{63B3BB69-23CF-44E3-9099-C40C66FF867C}">
                  <a14:compatExt spid="_x0000_s123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161925</xdr:colOff>
          <xdr:row>30</xdr:row>
          <xdr:rowOff>0</xdr:rowOff>
        </xdr:from>
        <xdr:to>
          <xdr:col>11</xdr:col>
          <xdr:colOff>209550</xdr:colOff>
          <xdr:row>32</xdr:row>
          <xdr:rowOff>0</xdr:rowOff>
        </xdr:to>
        <xdr:sp macro="" textlink="">
          <xdr:nvSpPr>
            <xdr:cNvPr id="12336" name="Group Box 48" hidden="1">
              <a:extLst>
                <a:ext uri="{63B3BB69-23CF-44E3-9099-C40C66FF867C}">
                  <a14:compatExt spid="_x0000_s123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161925</xdr:colOff>
          <xdr:row>32</xdr:row>
          <xdr:rowOff>171450</xdr:rowOff>
        </xdr:from>
        <xdr:to>
          <xdr:col>11</xdr:col>
          <xdr:colOff>209550</xdr:colOff>
          <xdr:row>35</xdr:row>
          <xdr:rowOff>0</xdr:rowOff>
        </xdr:to>
        <xdr:sp macro="" textlink="">
          <xdr:nvSpPr>
            <xdr:cNvPr id="12339" name="Group Box 51" hidden="1">
              <a:extLst>
                <a:ext uri="{63B3BB69-23CF-44E3-9099-C40C66FF867C}">
                  <a14:compatExt spid="_x0000_s123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0</xdr:colOff>
          <xdr:row>30</xdr:row>
          <xdr:rowOff>0</xdr:rowOff>
        </xdr:from>
        <xdr:to>
          <xdr:col>26</xdr:col>
          <xdr:colOff>171450</xdr:colOff>
          <xdr:row>33</xdr:row>
          <xdr:rowOff>171450</xdr:rowOff>
        </xdr:to>
        <xdr:sp macro="" textlink="">
          <xdr:nvSpPr>
            <xdr:cNvPr id="12342" name="Group Box 54" hidden="1">
              <a:extLst>
                <a:ext uri="{63B3BB69-23CF-44E3-9099-C40C66FF867C}">
                  <a14:compatExt spid="_x0000_s123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0</xdr:colOff>
          <xdr:row>34</xdr:row>
          <xdr:rowOff>0</xdr:rowOff>
        </xdr:from>
        <xdr:to>
          <xdr:col>26</xdr:col>
          <xdr:colOff>171450</xdr:colOff>
          <xdr:row>37</xdr:row>
          <xdr:rowOff>0</xdr:rowOff>
        </xdr:to>
        <xdr:sp macro="" textlink="">
          <xdr:nvSpPr>
            <xdr:cNvPr id="12343" name="Group Box 55" hidden="1">
              <a:extLst>
                <a:ext uri="{63B3BB69-23CF-44E3-9099-C40C66FF867C}">
                  <a14:compatExt spid="_x0000_s123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0</xdr:colOff>
          <xdr:row>30</xdr:row>
          <xdr:rowOff>171450</xdr:rowOff>
        </xdr:from>
        <xdr:to>
          <xdr:col>34</xdr:col>
          <xdr:colOff>0</xdr:colOff>
          <xdr:row>34</xdr:row>
          <xdr:rowOff>0</xdr:rowOff>
        </xdr:to>
        <xdr:sp macro="" textlink="">
          <xdr:nvSpPr>
            <xdr:cNvPr id="12349" name="Group Box 61" hidden="1">
              <a:extLst>
                <a:ext uri="{63B3BB69-23CF-44E3-9099-C40C66FF867C}">
                  <a14:compatExt spid="_x0000_s123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0</xdr:colOff>
          <xdr:row>34</xdr:row>
          <xdr:rowOff>0</xdr:rowOff>
        </xdr:from>
        <xdr:to>
          <xdr:col>34</xdr:col>
          <xdr:colOff>0</xdr:colOff>
          <xdr:row>37</xdr:row>
          <xdr:rowOff>0</xdr:rowOff>
        </xdr:to>
        <xdr:sp macro="" textlink="">
          <xdr:nvSpPr>
            <xdr:cNvPr id="12353" name="Group Box 65" hidden="1">
              <a:extLst>
                <a:ext uri="{63B3BB69-23CF-44E3-9099-C40C66FF867C}">
                  <a14:compatExt spid="_x0000_s123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39</xdr:row>
          <xdr:rowOff>28575</xdr:rowOff>
        </xdr:from>
        <xdr:to>
          <xdr:col>4</xdr:col>
          <xdr:colOff>133350</xdr:colOff>
          <xdr:row>40</xdr:row>
          <xdr:rowOff>76200</xdr:rowOff>
        </xdr:to>
        <xdr:sp macro="" textlink="">
          <xdr:nvSpPr>
            <xdr:cNvPr id="12356" name="Check Box 68" hidden="1">
              <a:extLst>
                <a:ext uri="{63B3BB69-23CF-44E3-9099-C40C66FF867C}">
                  <a14:compatExt spid="_x0000_s123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161925</xdr:colOff>
          <xdr:row>39</xdr:row>
          <xdr:rowOff>0</xdr:rowOff>
        </xdr:from>
        <xdr:to>
          <xdr:col>12</xdr:col>
          <xdr:colOff>0</xdr:colOff>
          <xdr:row>41</xdr:row>
          <xdr:rowOff>0</xdr:rowOff>
        </xdr:to>
        <xdr:sp macro="" textlink="">
          <xdr:nvSpPr>
            <xdr:cNvPr id="12357" name="Group Box 69" hidden="1">
              <a:extLst>
                <a:ext uri="{63B3BB69-23CF-44E3-9099-C40C66FF867C}">
                  <a14:compatExt spid="_x0000_s123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161925</xdr:colOff>
          <xdr:row>41</xdr:row>
          <xdr:rowOff>171450</xdr:rowOff>
        </xdr:from>
        <xdr:to>
          <xdr:col>11</xdr:col>
          <xdr:colOff>209550</xdr:colOff>
          <xdr:row>44</xdr:row>
          <xdr:rowOff>0</xdr:rowOff>
        </xdr:to>
        <xdr:sp macro="" textlink="">
          <xdr:nvSpPr>
            <xdr:cNvPr id="12358" name="Group Box 70" hidden="1">
              <a:extLst>
                <a:ext uri="{63B3BB69-23CF-44E3-9099-C40C66FF867C}">
                  <a14:compatExt spid="_x0000_s123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0</xdr:colOff>
          <xdr:row>39</xdr:row>
          <xdr:rowOff>0</xdr:rowOff>
        </xdr:from>
        <xdr:to>
          <xdr:col>26</xdr:col>
          <xdr:colOff>171450</xdr:colOff>
          <xdr:row>42</xdr:row>
          <xdr:rowOff>171450</xdr:rowOff>
        </xdr:to>
        <xdr:sp macro="" textlink="">
          <xdr:nvSpPr>
            <xdr:cNvPr id="12359" name="Group Box 71" hidden="1">
              <a:extLst>
                <a:ext uri="{63B3BB69-23CF-44E3-9099-C40C66FF867C}">
                  <a14:compatExt spid="_x0000_s123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0</xdr:colOff>
          <xdr:row>43</xdr:row>
          <xdr:rowOff>0</xdr:rowOff>
        </xdr:from>
        <xdr:to>
          <xdr:col>26</xdr:col>
          <xdr:colOff>171450</xdr:colOff>
          <xdr:row>46</xdr:row>
          <xdr:rowOff>0</xdr:rowOff>
        </xdr:to>
        <xdr:sp macro="" textlink="">
          <xdr:nvSpPr>
            <xdr:cNvPr id="12360" name="Group Box 72" hidden="1">
              <a:extLst>
                <a:ext uri="{63B3BB69-23CF-44E3-9099-C40C66FF867C}">
                  <a14:compatExt spid="_x0000_s123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0</xdr:colOff>
          <xdr:row>39</xdr:row>
          <xdr:rowOff>171450</xdr:rowOff>
        </xdr:from>
        <xdr:to>
          <xdr:col>34</xdr:col>
          <xdr:colOff>0</xdr:colOff>
          <xdr:row>43</xdr:row>
          <xdr:rowOff>0</xdr:rowOff>
        </xdr:to>
        <xdr:sp macro="" textlink="">
          <xdr:nvSpPr>
            <xdr:cNvPr id="12361" name="Group Box 73" hidden="1">
              <a:extLst>
                <a:ext uri="{63B3BB69-23CF-44E3-9099-C40C66FF867C}">
                  <a14:compatExt spid="_x0000_s123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0</xdr:colOff>
          <xdr:row>43</xdr:row>
          <xdr:rowOff>0</xdr:rowOff>
        </xdr:from>
        <xdr:to>
          <xdr:col>34</xdr:col>
          <xdr:colOff>0</xdr:colOff>
          <xdr:row>46</xdr:row>
          <xdr:rowOff>0</xdr:rowOff>
        </xdr:to>
        <xdr:sp macro="" textlink="">
          <xdr:nvSpPr>
            <xdr:cNvPr id="12362" name="Group Box 74" hidden="1">
              <a:extLst>
                <a:ext uri="{63B3BB69-23CF-44E3-9099-C40C66FF867C}">
                  <a14:compatExt spid="_x0000_s123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30</xdr:row>
          <xdr:rowOff>9525</xdr:rowOff>
        </xdr:from>
        <xdr:to>
          <xdr:col>6</xdr:col>
          <xdr:colOff>47625</xdr:colOff>
          <xdr:row>30</xdr:row>
          <xdr:rowOff>161925</xdr:rowOff>
        </xdr:to>
        <xdr:sp macro="" textlink="">
          <xdr:nvSpPr>
            <xdr:cNvPr id="12364" name="Option Button 76" hidden="1">
              <a:extLst>
                <a:ext uri="{63B3BB69-23CF-44E3-9099-C40C66FF867C}">
                  <a14:compatExt spid="_x0000_s123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30</xdr:row>
          <xdr:rowOff>161925</xdr:rowOff>
        </xdr:from>
        <xdr:to>
          <xdr:col>6</xdr:col>
          <xdr:colOff>38100</xdr:colOff>
          <xdr:row>31</xdr:row>
          <xdr:rowOff>161925</xdr:rowOff>
        </xdr:to>
        <xdr:sp macro="" textlink="">
          <xdr:nvSpPr>
            <xdr:cNvPr id="12365" name="Option Button 77" hidden="1">
              <a:extLst>
                <a:ext uri="{63B3BB69-23CF-44E3-9099-C40C66FF867C}">
                  <a14:compatExt spid="_x0000_s123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33</xdr:row>
          <xdr:rowOff>0</xdr:rowOff>
        </xdr:from>
        <xdr:to>
          <xdr:col>6</xdr:col>
          <xdr:colOff>66675</xdr:colOff>
          <xdr:row>33</xdr:row>
          <xdr:rowOff>171450</xdr:rowOff>
        </xdr:to>
        <xdr:sp macro="" textlink="">
          <xdr:nvSpPr>
            <xdr:cNvPr id="12366" name="Option Button 78" hidden="1">
              <a:extLst>
                <a:ext uri="{63B3BB69-23CF-44E3-9099-C40C66FF867C}">
                  <a14:compatExt spid="_x0000_s123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33</xdr:row>
          <xdr:rowOff>161925</xdr:rowOff>
        </xdr:from>
        <xdr:to>
          <xdr:col>6</xdr:col>
          <xdr:colOff>57150</xdr:colOff>
          <xdr:row>34</xdr:row>
          <xdr:rowOff>161925</xdr:rowOff>
        </xdr:to>
        <xdr:sp macro="" textlink="">
          <xdr:nvSpPr>
            <xdr:cNvPr id="12367" name="Option Button 79" hidden="1">
              <a:extLst>
                <a:ext uri="{63B3BB69-23CF-44E3-9099-C40C66FF867C}">
                  <a14:compatExt spid="_x0000_s123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9525</xdr:colOff>
          <xdr:row>30</xdr:row>
          <xdr:rowOff>171450</xdr:rowOff>
        </xdr:from>
        <xdr:to>
          <xdr:col>21</xdr:col>
          <xdr:colOff>95250</xdr:colOff>
          <xdr:row>31</xdr:row>
          <xdr:rowOff>161925</xdr:rowOff>
        </xdr:to>
        <xdr:sp macro="" textlink="">
          <xdr:nvSpPr>
            <xdr:cNvPr id="12369" name="Option Button 81" hidden="1">
              <a:extLst>
                <a:ext uri="{63B3BB69-23CF-44E3-9099-C40C66FF867C}">
                  <a14:compatExt spid="_x0000_s123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9525</xdr:colOff>
          <xdr:row>31</xdr:row>
          <xdr:rowOff>161925</xdr:rowOff>
        </xdr:from>
        <xdr:to>
          <xdr:col>21</xdr:col>
          <xdr:colOff>85725</xdr:colOff>
          <xdr:row>33</xdr:row>
          <xdr:rowOff>9525</xdr:rowOff>
        </xdr:to>
        <xdr:sp macro="" textlink="">
          <xdr:nvSpPr>
            <xdr:cNvPr id="12370" name="Option Button 82" hidden="1">
              <a:extLst>
                <a:ext uri="{63B3BB69-23CF-44E3-9099-C40C66FF867C}">
                  <a14:compatExt spid="_x0000_s123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9525</xdr:colOff>
          <xdr:row>33</xdr:row>
          <xdr:rowOff>0</xdr:rowOff>
        </xdr:from>
        <xdr:to>
          <xdr:col>21</xdr:col>
          <xdr:colOff>76200</xdr:colOff>
          <xdr:row>33</xdr:row>
          <xdr:rowOff>152400</xdr:rowOff>
        </xdr:to>
        <xdr:sp macro="" textlink="">
          <xdr:nvSpPr>
            <xdr:cNvPr id="12371" name="Option Button 83" hidden="1">
              <a:extLst>
                <a:ext uri="{63B3BB69-23CF-44E3-9099-C40C66FF867C}">
                  <a14:compatExt spid="_x0000_s123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9525</xdr:colOff>
          <xdr:row>35</xdr:row>
          <xdr:rowOff>9525</xdr:rowOff>
        </xdr:from>
        <xdr:to>
          <xdr:col>21</xdr:col>
          <xdr:colOff>85725</xdr:colOff>
          <xdr:row>35</xdr:row>
          <xdr:rowOff>161925</xdr:rowOff>
        </xdr:to>
        <xdr:sp macro="" textlink="">
          <xdr:nvSpPr>
            <xdr:cNvPr id="12372" name="Option Button 84" hidden="1">
              <a:extLst>
                <a:ext uri="{63B3BB69-23CF-44E3-9099-C40C66FF867C}">
                  <a14:compatExt spid="_x0000_s123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9525</xdr:colOff>
          <xdr:row>35</xdr:row>
          <xdr:rowOff>161925</xdr:rowOff>
        </xdr:from>
        <xdr:to>
          <xdr:col>21</xdr:col>
          <xdr:colOff>76200</xdr:colOff>
          <xdr:row>36</xdr:row>
          <xdr:rowOff>171450</xdr:rowOff>
        </xdr:to>
        <xdr:sp macro="" textlink="">
          <xdr:nvSpPr>
            <xdr:cNvPr id="12373" name="Option Button 85" hidden="1">
              <a:extLst>
                <a:ext uri="{63B3BB69-23CF-44E3-9099-C40C66FF867C}">
                  <a14:compatExt spid="_x0000_s123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47625</xdr:colOff>
          <xdr:row>30</xdr:row>
          <xdr:rowOff>171450</xdr:rowOff>
        </xdr:from>
        <xdr:to>
          <xdr:col>28</xdr:col>
          <xdr:colOff>47625</xdr:colOff>
          <xdr:row>31</xdr:row>
          <xdr:rowOff>171450</xdr:rowOff>
        </xdr:to>
        <xdr:sp macro="" textlink="">
          <xdr:nvSpPr>
            <xdr:cNvPr id="12374" name="Option Button 86" hidden="1">
              <a:extLst>
                <a:ext uri="{63B3BB69-23CF-44E3-9099-C40C66FF867C}">
                  <a14:compatExt spid="_x0000_s123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47625</xdr:colOff>
          <xdr:row>31</xdr:row>
          <xdr:rowOff>152400</xdr:rowOff>
        </xdr:from>
        <xdr:to>
          <xdr:col>28</xdr:col>
          <xdr:colOff>76200</xdr:colOff>
          <xdr:row>32</xdr:row>
          <xdr:rowOff>171450</xdr:rowOff>
        </xdr:to>
        <xdr:sp macro="" textlink="">
          <xdr:nvSpPr>
            <xdr:cNvPr id="12375" name="Option Button 87" hidden="1">
              <a:extLst>
                <a:ext uri="{63B3BB69-23CF-44E3-9099-C40C66FF867C}">
                  <a14:compatExt spid="_x0000_s123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47625</xdr:colOff>
          <xdr:row>32</xdr:row>
          <xdr:rowOff>152400</xdr:rowOff>
        </xdr:from>
        <xdr:to>
          <xdr:col>28</xdr:col>
          <xdr:colOff>66675</xdr:colOff>
          <xdr:row>34</xdr:row>
          <xdr:rowOff>0</xdr:rowOff>
        </xdr:to>
        <xdr:sp macro="" textlink="">
          <xdr:nvSpPr>
            <xdr:cNvPr id="12376" name="Option Button 88" hidden="1">
              <a:extLst>
                <a:ext uri="{63B3BB69-23CF-44E3-9099-C40C66FF867C}">
                  <a14:compatExt spid="_x0000_s123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9525</xdr:colOff>
          <xdr:row>35</xdr:row>
          <xdr:rowOff>9525</xdr:rowOff>
        </xdr:from>
        <xdr:to>
          <xdr:col>28</xdr:col>
          <xdr:colOff>38100</xdr:colOff>
          <xdr:row>35</xdr:row>
          <xdr:rowOff>171450</xdr:rowOff>
        </xdr:to>
        <xdr:sp macro="" textlink="">
          <xdr:nvSpPr>
            <xdr:cNvPr id="12377" name="Option Button 89" hidden="1">
              <a:extLst>
                <a:ext uri="{63B3BB69-23CF-44E3-9099-C40C66FF867C}">
                  <a14:compatExt spid="_x0000_s123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0</xdr:colOff>
          <xdr:row>35</xdr:row>
          <xdr:rowOff>152400</xdr:rowOff>
        </xdr:from>
        <xdr:to>
          <xdr:col>28</xdr:col>
          <xdr:colOff>19050</xdr:colOff>
          <xdr:row>37</xdr:row>
          <xdr:rowOff>9525</xdr:rowOff>
        </xdr:to>
        <xdr:sp macro="" textlink="">
          <xdr:nvSpPr>
            <xdr:cNvPr id="12378" name="Option Button 90" hidden="1">
              <a:extLst>
                <a:ext uri="{63B3BB69-23CF-44E3-9099-C40C66FF867C}">
                  <a14:compatExt spid="_x0000_s123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28575</xdr:colOff>
          <xdr:row>9</xdr:row>
          <xdr:rowOff>152400</xdr:rowOff>
        </xdr:from>
        <xdr:to>
          <xdr:col>23</xdr:col>
          <xdr:colOff>142875</xdr:colOff>
          <xdr:row>10</xdr:row>
          <xdr:rowOff>142875</xdr:rowOff>
        </xdr:to>
        <xdr:sp macro="" textlink="">
          <xdr:nvSpPr>
            <xdr:cNvPr id="23553" name="Флажок 2" descr="Наличие колон, выступов" hidden="1">
              <a:extLst>
                <a:ext uri="{63B3BB69-23CF-44E3-9099-C40C66FF867C}">
                  <a14:compatExt spid="_x0000_s23553"/>
                </a:ext>
                <a:ext uri="{FF2B5EF4-FFF2-40B4-BE49-F238E27FC236}">
                  <a16:creationId xmlns="" xmlns:a16="http://schemas.microsoft.com/office/drawing/2014/main" id="{00000000-0008-0000-0A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123825</xdr:colOff>
          <xdr:row>18</xdr:row>
          <xdr:rowOff>9525</xdr:rowOff>
        </xdr:from>
        <xdr:to>
          <xdr:col>2</xdr:col>
          <xdr:colOff>0</xdr:colOff>
          <xdr:row>19</xdr:row>
          <xdr:rowOff>38100</xdr:rowOff>
        </xdr:to>
        <xdr:sp macro="" textlink="">
          <xdr:nvSpPr>
            <xdr:cNvPr id="23554" name="Флажок 2" descr="Наличие колон, выступов" hidden="1">
              <a:extLst>
                <a:ext uri="{63B3BB69-23CF-44E3-9099-C40C66FF867C}">
                  <a14:compatExt spid="_x0000_s235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22</xdr:row>
          <xdr:rowOff>19050</xdr:rowOff>
        </xdr:from>
        <xdr:to>
          <xdr:col>1</xdr:col>
          <xdr:colOff>304800</xdr:colOff>
          <xdr:row>23</xdr:row>
          <xdr:rowOff>47625</xdr:rowOff>
        </xdr:to>
        <xdr:sp macro="" textlink="">
          <xdr:nvSpPr>
            <xdr:cNvPr id="23558" name="Check Box 6" descr="Наличие колон, выступов" hidden="1">
              <a:extLst>
                <a:ext uri="{63B3BB69-23CF-44E3-9099-C40C66FF867C}">
                  <a14:compatExt spid="_x0000_s235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26</xdr:row>
          <xdr:rowOff>19050</xdr:rowOff>
        </xdr:from>
        <xdr:to>
          <xdr:col>1</xdr:col>
          <xdr:colOff>304800</xdr:colOff>
          <xdr:row>27</xdr:row>
          <xdr:rowOff>47625</xdr:rowOff>
        </xdr:to>
        <xdr:sp macro="" textlink="">
          <xdr:nvSpPr>
            <xdr:cNvPr id="23560" name="Check Box 8" descr="Наличие колон, выступов" hidden="1">
              <a:extLst>
                <a:ext uri="{63B3BB69-23CF-44E3-9099-C40C66FF867C}">
                  <a14:compatExt spid="_x0000_s235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30</xdr:row>
          <xdr:rowOff>19050</xdr:rowOff>
        </xdr:from>
        <xdr:to>
          <xdr:col>1</xdr:col>
          <xdr:colOff>304800</xdr:colOff>
          <xdr:row>31</xdr:row>
          <xdr:rowOff>47625</xdr:rowOff>
        </xdr:to>
        <xdr:sp macro="" textlink="">
          <xdr:nvSpPr>
            <xdr:cNvPr id="23561" name="Check Box 9" descr="Наличие колон, выступов" hidden="1">
              <a:extLst>
                <a:ext uri="{63B3BB69-23CF-44E3-9099-C40C66FF867C}">
                  <a14:compatExt spid="_x0000_s235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26</xdr:row>
          <xdr:rowOff>19050</xdr:rowOff>
        </xdr:from>
        <xdr:to>
          <xdr:col>1</xdr:col>
          <xdr:colOff>304800</xdr:colOff>
          <xdr:row>27</xdr:row>
          <xdr:rowOff>47625</xdr:rowOff>
        </xdr:to>
        <xdr:sp macro="" textlink="">
          <xdr:nvSpPr>
            <xdr:cNvPr id="23562" name="Check Box 10" descr="Наличие колон, выступов" hidden="1">
              <a:extLst>
                <a:ext uri="{63B3BB69-23CF-44E3-9099-C40C66FF867C}">
                  <a14:compatExt spid="_x0000_s235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30</xdr:row>
          <xdr:rowOff>19050</xdr:rowOff>
        </xdr:from>
        <xdr:to>
          <xdr:col>1</xdr:col>
          <xdr:colOff>304800</xdr:colOff>
          <xdr:row>31</xdr:row>
          <xdr:rowOff>47625</xdr:rowOff>
        </xdr:to>
        <xdr:sp macro="" textlink="">
          <xdr:nvSpPr>
            <xdr:cNvPr id="23563" name="Check Box 11" descr="Наличие колон, выступов" hidden="1">
              <a:extLst>
                <a:ext uri="{63B3BB69-23CF-44E3-9099-C40C66FF867C}">
                  <a14:compatExt spid="_x0000_s235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104775</xdr:colOff>
          <xdr:row>34</xdr:row>
          <xdr:rowOff>19050</xdr:rowOff>
        </xdr:from>
        <xdr:to>
          <xdr:col>1</xdr:col>
          <xdr:colOff>295275</xdr:colOff>
          <xdr:row>35</xdr:row>
          <xdr:rowOff>38100</xdr:rowOff>
        </xdr:to>
        <xdr:sp macro="" textlink="">
          <xdr:nvSpPr>
            <xdr:cNvPr id="23564" name="Check Box 12" descr="Наличие колон, выступов" hidden="1">
              <a:extLst>
                <a:ext uri="{63B3BB69-23CF-44E3-9099-C40C66FF867C}">
                  <a14:compatExt spid="_x0000_s235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0.xml"/><Relationship Id="rId13" Type="http://schemas.openxmlformats.org/officeDocument/2006/relationships/ctrlProp" Target="../ctrlProps/ctrlProp15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9.xml"/><Relationship Id="rId12" Type="http://schemas.openxmlformats.org/officeDocument/2006/relationships/ctrlProp" Target="../ctrlProps/ctrlProp14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Relationship Id="rId6" Type="http://schemas.openxmlformats.org/officeDocument/2006/relationships/ctrlProp" Target="../ctrlProps/ctrlProp8.xml"/><Relationship Id="rId11" Type="http://schemas.openxmlformats.org/officeDocument/2006/relationships/ctrlProp" Target="../ctrlProps/ctrlProp13.xml"/><Relationship Id="rId5" Type="http://schemas.openxmlformats.org/officeDocument/2006/relationships/ctrlProp" Target="../ctrlProps/ctrlProp7.xml"/><Relationship Id="rId10" Type="http://schemas.openxmlformats.org/officeDocument/2006/relationships/ctrlProp" Target="../ctrlProps/ctrlProp12.xml"/><Relationship Id="rId4" Type="http://schemas.openxmlformats.org/officeDocument/2006/relationships/ctrlProp" Target="../ctrlProps/ctrlProp6.xml"/><Relationship Id="rId9" Type="http://schemas.openxmlformats.org/officeDocument/2006/relationships/ctrlProp" Target="../ctrlProps/ctrlProp11.xml"/><Relationship Id="rId14" Type="http://schemas.openxmlformats.org/officeDocument/2006/relationships/ctrlProp" Target="../ctrlProps/ctrlProp16.xml"/></Relationships>
</file>

<file path=xl/worksheets/_rels/sheet12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26.xml"/><Relationship Id="rId18" Type="http://schemas.openxmlformats.org/officeDocument/2006/relationships/ctrlProp" Target="../ctrlProps/ctrlProp31.xml"/><Relationship Id="rId26" Type="http://schemas.openxmlformats.org/officeDocument/2006/relationships/ctrlProp" Target="../ctrlProps/ctrlProp39.xml"/><Relationship Id="rId39" Type="http://schemas.openxmlformats.org/officeDocument/2006/relationships/ctrlProp" Target="../ctrlProps/ctrlProp52.xml"/><Relationship Id="rId21" Type="http://schemas.openxmlformats.org/officeDocument/2006/relationships/ctrlProp" Target="../ctrlProps/ctrlProp34.xml"/><Relationship Id="rId34" Type="http://schemas.openxmlformats.org/officeDocument/2006/relationships/ctrlProp" Target="../ctrlProps/ctrlProp47.xml"/><Relationship Id="rId42" Type="http://schemas.openxmlformats.org/officeDocument/2006/relationships/ctrlProp" Target="../ctrlProps/ctrlProp55.xml"/><Relationship Id="rId47" Type="http://schemas.openxmlformats.org/officeDocument/2006/relationships/ctrlProp" Target="../ctrlProps/ctrlProp60.xml"/><Relationship Id="rId50" Type="http://schemas.openxmlformats.org/officeDocument/2006/relationships/ctrlProp" Target="../ctrlProps/ctrlProp63.xml"/><Relationship Id="rId55" Type="http://schemas.openxmlformats.org/officeDocument/2006/relationships/ctrlProp" Target="../ctrlProps/ctrlProp68.xml"/><Relationship Id="rId7" Type="http://schemas.openxmlformats.org/officeDocument/2006/relationships/ctrlProp" Target="../ctrlProps/ctrlProp20.xml"/><Relationship Id="rId2" Type="http://schemas.openxmlformats.org/officeDocument/2006/relationships/drawing" Target="../drawings/drawing3.xml"/><Relationship Id="rId16" Type="http://schemas.openxmlformats.org/officeDocument/2006/relationships/ctrlProp" Target="../ctrlProps/ctrlProp29.xml"/><Relationship Id="rId29" Type="http://schemas.openxmlformats.org/officeDocument/2006/relationships/ctrlProp" Target="../ctrlProps/ctrlProp42.xml"/><Relationship Id="rId11" Type="http://schemas.openxmlformats.org/officeDocument/2006/relationships/ctrlProp" Target="../ctrlProps/ctrlProp24.xml"/><Relationship Id="rId24" Type="http://schemas.openxmlformats.org/officeDocument/2006/relationships/ctrlProp" Target="../ctrlProps/ctrlProp37.xml"/><Relationship Id="rId32" Type="http://schemas.openxmlformats.org/officeDocument/2006/relationships/ctrlProp" Target="../ctrlProps/ctrlProp45.xml"/><Relationship Id="rId37" Type="http://schemas.openxmlformats.org/officeDocument/2006/relationships/ctrlProp" Target="../ctrlProps/ctrlProp50.xml"/><Relationship Id="rId40" Type="http://schemas.openxmlformats.org/officeDocument/2006/relationships/ctrlProp" Target="../ctrlProps/ctrlProp53.xml"/><Relationship Id="rId45" Type="http://schemas.openxmlformats.org/officeDocument/2006/relationships/ctrlProp" Target="../ctrlProps/ctrlProp58.xml"/><Relationship Id="rId53" Type="http://schemas.openxmlformats.org/officeDocument/2006/relationships/ctrlProp" Target="../ctrlProps/ctrlProp66.xml"/><Relationship Id="rId58" Type="http://schemas.openxmlformats.org/officeDocument/2006/relationships/ctrlProp" Target="../ctrlProps/ctrlProp71.xml"/><Relationship Id="rId5" Type="http://schemas.openxmlformats.org/officeDocument/2006/relationships/ctrlProp" Target="../ctrlProps/ctrlProp18.xml"/><Relationship Id="rId61" Type="http://schemas.openxmlformats.org/officeDocument/2006/relationships/ctrlProp" Target="../ctrlProps/ctrlProp74.xml"/><Relationship Id="rId19" Type="http://schemas.openxmlformats.org/officeDocument/2006/relationships/ctrlProp" Target="../ctrlProps/ctrlProp32.xml"/><Relationship Id="rId14" Type="http://schemas.openxmlformats.org/officeDocument/2006/relationships/ctrlProp" Target="../ctrlProps/ctrlProp27.xml"/><Relationship Id="rId22" Type="http://schemas.openxmlformats.org/officeDocument/2006/relationships/ctrlProp" Target="../ctrlProps/ctrlProp35.xml"/><Relationship Id="rId27" Type="http://schemas.openxmlformats.org/officeDocument/2006/relationships/ctrlProp" Target="../ctrlProps/ctrlProp40.xml"/><Relationship Id="rId30" Type="http://schemas.openxmlformats.org/officeDocument/2006/relationships/ctrlProp" Target="../ctrlProps/ctrlProp43.xml"/><Relationship Id="rId35" Type="http://schemas.openxmlformats.org/officeDocument/2006/relationships/ctrlProp" Target="../ctrlProps/ctrlProp48.xml"/><Relationship Id="rId43" Type="http://schemas.openxmlformats.org/officeDocument/2006/relationships/ctrlProp" Target="../ctrlProps/ctrlProp56.xml"/><Relationship Id="rId48" Type="http://schemas.openxmlformats.org/officeDocument/2006/relationships/ctrlProp" Target="../ctrlProps/ctrlProp61.xml"/><Relationship Id="rId56" Type="http://schemas.openxmlformats.org/officeDocument/2006/relationships/ctrlProp" Target="../ctrlProps/ctrlProp69.xml"/><Relationship Id="rId8" Type="http://schemas.openxmlformats.org/officeDocument/2006/relationships/ctrlProp" Target="../ctrlProps/ctrlProp21.xml"/><Relationship Id="rId51" Type="http://schemas.openxmlformats.org/officeDocument/2006/relationships/ctrlProp" Target="../ctrlProps/ctrlProp64.xml"/><Relationship Id="rId3" Type="http://schemas.openxmlformats.org/officeDocument/2006/relationships/vmlDrawing" Target="../drawings/vmlDrawing3.vml"/><Relationship Id="rId12" Type="http://schemas.openxmlformats.org/officeDocument/2006/relationships/ctrlProp" Target="../ctrlProps/ctrlProp25.xml"/><Relationship Id="rId17" Type="http://schemas.openxmlformats.org/officeDocument/2006/relationships/ctrlProp" Target="../ctrlProps/ctrlProp30.xml"/><Relationship Id="rId25" Type="http://schemas.openxmlformats.org/officeDocument/2006/relationships/ctrlProp" Target="../ctrlProps/ctrlProp38.xml"/><Relationship Id="rId33" Type="http://schemas.openxmlformats.org/officeDocument/2006/relationships/ctrlProp" Target="../ctrlProps/ctrlProp46.xml"/><Relationship Id="rId38" Type="http://schemas.openxmlformats.org/officeDocument/2006/relationships/ctrlProp" Target="../ctrlProps/ctrlProp51.xml"/><Relationship Id="rId46" Type="http://schemas.openxmlformats.org/officeDocument/2006/relationships/ctrlProp" Target="../ctrlProps/ctrlProp59.xml"/><Relationship Id="rId59" Type="http://schemas.openxmlformats.org/officeDocument/2006/relationships/ctrlProp" Target="../ctrlProps/ctrlProp72.xml"/><Relationship Id="rId20" Type="http://schemas.openxmlformats.org/officeDocument/2006/relationships/ctrlProp" Target="../ctrlProps/ctrlProp33.xml"/><Relationship Id="rId41" Type="http://schemas.openxmlformats.org/officeDocument/2006/relationships/ctrlProp" Target="../ctrlProps/ctrlProp54.xml"/><Relationship Id="rId54" Type="http://schemas.openxmlformats.org/officeDocument/2006/relationships/ctrlProp" Target="../ctrlProps/ctrlProp67.xml"/><Relationship Id="rId62" Type="http://schemas.openxmlformats.org/officeDocument/2006/relationships/ctrlProp" Target="../ctrlProps/ctrlProp75.xml"/><Relationship Id="rId1" Type="http://schemas.openxmlformats.org/officeDocument/2006/relationships/printerSettings" Target="../printerSettings/printerSettings9.bin"/><Relationship Id="rId6" Type="http://schemas.openxmlformats.org/officeDocument/2006/relationships/ctrlProp" Target="../ctrlProps/ctrlProp19.xml"/><Relationship Id="rId15" Type="http://schemas.openxmlformats.org/officeDocument/2006/relationships/ctrlProp" Target="../ctrlProps/ctrlProp28.xml"/><Relationship Id="rId23" Type="http://schemas.openxmlformats.org/officeDocument/2006/relationships/ctrlProp" Target="../ctrlProps/ctrlProp36.xml"/><Relationship Id="rId28" Type="http://schemas.openxmlformats.org/officeDocument/2006/relationships/ctrlProp" Target="../ctrlProps/ctrlProp41.xml"/><Relationship Id="rId36" Type="http://schemas.openxmlformats.org/officeDocument/2006/relationships/ctrlProp" Target="../ctrlProps/ctrlProp49.xml"/><Relationship Id="rId49" Type="http://schemas.openxmlformats.org/officeDocument/2006/relationships/ctrlProp" Target="../ctrlProps/ctrlProp62.xml"/><Relationship Id="rId57" Type="http://schemas.openxmlformats.org/officeDocument/2006/relationships/ctrlProp" Target="../ctrlProps/ctrlProp70.xml"/><Relationship Id="rId10" Type="http://schemas.openxmlformats.org/officeDocument/2006/relationships/ctrlProp" Target="../ctrlProps/ctrlProp23.xml"/><Relationship Id="rId31" Type="http://schemas.openxmlformats.org/officeDocument/2006/relationships/ctrlProp" Target="../ctrlProps/ctrlProp44.xml"/><Relationship Id="rId44" Type="http://schemas.openxmlformats.org/officeDocument/2006/relationships/ctrlProp" Target="../ctrlProps/ctrlProp57.xml"/><Relationship Id="rId52" Type="http://schemas.openxmlformats.org/officeDocument/2006/relationships/ctrlProp" Target="../ctrlProps/ctrlProp65.xml"/><Relationship Id="rId60" Type="http://schemas.openxmlformats.org/officeDocument/2006/relationships/ctrlProp" Target="../ctrlProps/ctrlProp73.xml"/><Relationship Id="rId4" Type="http://schemas.openxmlformats.org/officeDocument/2006/relationships/ctrlProp" Target="../ctrlProps/ctrlProp17.xml"/><Relationship Id="rId9" Type="http://schemas.openxmlformats.org/officeDocument/2006/relationships/ctrlProp" Target="../ctrlProps/ctrlProp22.xm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80.xml"/><Relationship Id="rId3" Type="http://schemas.openxmlformats.org/officeDocument/2006/relationships/vmlDrawing" Target="../drawings/vmlDrawing4.vml"/><Relationship Id="rId7" Type="http://schemas.openxmlformats.org/officeDocument/2006/relationships/ctrlProp" Target="../ctrlProps/ctrlProp79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0.bin"/><Relationship Id="rId6" Type="http://schemas.openxmlformats.org/officeDocument/2006/relationships/ctrlProp" Target="../ctrlProps/ctrlProp78.xml"/><Relationship Id="rId11" Type="http://schemas.openxmlformats.org/officeDocument/2006/relationships/ctrlProp" Target="../ctrlProps/ctrlProp83.xml"/><Relationship Id="rId5" Type="http://schemas.openxmlformats.org/officeDocument/2006/relationships/ctrlProp" Target="../ctrlProps/ctrlProp77.xml"/><Relationship Id="rId10" Type="http://schemas.openxmlformats.org/officeDocument/2006/relationships/ctrlProp" Target="../ctrlProps/ctrlProp82.xml"/><Relationship Id="rId4" Type="http://schemas.openxmlformats.org/officeDocument/2006/relationships/ctrlProp" Target="../ctrlProps/ctrlProp76.xml"/><Relationship Id="rId9" Type="http://schemas.openxmlformats.org/officeDocument/2006/relationships/ctrlProp" Target="../ctrlProps/ctrlProp8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Q69"/>
  <sheetViews>
    <sheetView workbookViewId="0">
      <selection activeCell="F8" sqref="F8"/>
    </sheetView>
  </sheetViews>
  <sheetFormatPr defaultRowHeight="15" x14ac:dyDescent="0.25"/>
  <cols>
    <col min="1" max="2" width="9.140625" style="6"/>
    <col min="3" max="6" width="12.85546875" style="6" customWidth="1"/>
    <col min="7" max="8" width="12.7109375" style="6" customWidth="1"/>
    <col min="9" max="11" width="19" style="6" customWidth="1"/>
    <col min="12" max="12" width="12.42578125" style="6" customWidth="1"/>
    <col min="13" max="14" width="16.7109375" style="6" customWidth="1"/>
    <col min="15" max="15" width="13" style="6" customWidth="1"/>
    <col min="16" max="16" width="18.85546875" style="6" customWidth="1"/>
    <col min="17" max="17" width="18.7109375" style="6" customWidth="1"/>
    <col min="18" max="16384" width="9.140625" style="6"/>
  </cols>
  <sheetData>
    <row r="1" spans="1:17" ht="15.75" thickBot="1" x14ac:dyDescent="0.3">
      <c r="A1" s="3"/>
      <c r="B1" s="4" t="s">
        <v>0</v>
      </c>
      <c r="C1" s="209" t="s">
        <v>2</v>
      </c>
      <c r="D1" s="209"/>
      <c r="E1" s="209"/>
      <c r="F1" s="209"/>
      <c r="G1" s="209" t="s">
        <v>8</v>
      </c>
      <c r="H1" s="209"/>
      <c r="I1" s="209"/>
      <c r="J1" s="209"/>
      <c r="K1" s="209"/>
      <c r="L1" s="209" t="s">
        <v>27</v>
      </c>
      <c r="M1" s="209"/>
      <c r="N1" s="210"/>
      <c r="O1" s="209" t="s">
        <v>28</v>
      </c>
      <c r="P1" s="209"/>
      <c r="Q1" s="209"/>
    </row>
    <row r="2" spans="1:17" ht="15.75" thickBot="1" x14ac:dyDescent="0.3">
      <c r="A2" s="7" t="s">
        <v>1</v>
      </c>
      <c r="B2" s="8"/>
      <c r="C2" s="9" t="s">
        <v>5</v>
      </c>
      <c r="D2" s="9" t="s">
        <v>4</v>
      </c>
      <c r="E2" s="9" t="s">
        <v>6</v>
      </c>
      <c r="F2" s="10" t="s">
        <v>7</v>
      </c>
      <c r="G2" s="9" t="s">
        <v>9</v>
      </c>
      <c r="H2" s="9" t="s">
        <v>10</v>
      </c>
      <c r="I2" s="9" t="s">
        <v>11</v>
      </c>
      <c r="J2" s="9" t="s">
        <v>12</v>
      </c>
      <c r="K2" s="9" t="s">
        <v>13</v>
      </c>
      <c r="L2" s="9"/>
      <c r="M2" s="9" t="s">
        <v>9</v>
      </c>
      <c r="N2" s="18" t="s">
        <v>3</v>
      </c>
      <c r="O2" s="9"/>
      <c r="P2" s="9" t="s">
        <v>9</v>
      </c>
      <c r="Q2" s="9" t="s">
        <v>3</v>
      </c>
    </row>
    <row r="3" spans="1:17" x14ac:dyDescent="0.25">
      <c r="A3" s="218">
        <v>0.05</v>
      </c>
      <c r="B3" s="219"/>
      <c r="C3" s="12" t="str">
        <f>$C$1&amp;"-"&amp;$A3&amp;"-"&amp;C$2</f>
        <v>БВ-0,05-xx</v>
      </c>
      <c r="D3" s="11" t="str">
        <f>$C$1&amp;"-"&amp;$A3&amp;"-"&amp;D$2</f>
        <v>БВ-0,05-РП</v>
      </c>
      <c r="E3" s="11" t="str">
        <f t="shared" ref="E3:F18" si="0">$C$1&amp;"-"&amp;$A3&amp;"-"&amp;E$2</f>
        <v>БВ-0,05-Рх</v>
      </c>
      <c r="F3" s="13" t="str">
        <f t="shared" si="0"/>
        <v>БВ-0,05-хП</v>
      </c>
      <c r="G3" s="15" t="str">
        <f>$G$1&amp;"-"&amp;$A3&amp;"-"&amp;G$2</f>
        <v>БОВ-0,05-С</v>
      </c>
      <c r="H3" s="15" t="str">
        <f>$G$1&amp;"-"&amp;$A3&amp;"-"&amp;H$2</f>
        <v>БОВ-0,05-Т</v>
      </c>
      <c r="I3" s="15" t="str">
        <f t="shared" ref="I3:K18" si="1">$G$1&amp;"-"&amp;$A3&amp;"-"&amp;I$2</f>
        <v>БОВ-0,05-Т-2(50%)</v>
      </c>
      <c r="J3" s="15" t="str">
        <f t="shared" si="1"/>
        <v>БОВ-0,05-Т-2(75%)</v>
      </c>
      <c r="K3" s="15" t="str">
        <f t="shared" si="1"/>
        <v>БОВ-0,05-Т-2(100%)</v>
      </c>
      <c r="L3" s="13" t="str">
        <f>$L$1&amp;"-"&amp;$A3</f>
        <v>БГ-0,05</v>
      </c>
      <c r="M3" s="16" t="str">
        <f>$L$1&amp;"-"&amp;M$2&amp;"-"&amp;$A3&amp;"/"&amp;$A3</f>
        <v>БГ-С-0,05/0,05</v>
      </c>
      <c r="N3" s="16" t="str">
        <f>$L$1&amp;"-"&amp;N$2&amp;"-"&amp;$A3&amp;"/"&amp;$A3</f>
        <v>БГ-П-0,05/0,05</v>
      </c>
      <c r="O3" s="14" t="str">
        <f>$O$1&amp;"-"&amp;$A3</f>
        <v>БОВГ-0,05</v>
      </c>
      <c r="P3" s="14" t="str">
        <f>$O$1&amp;"-"&amp;P$2&amp;"-"&amp;$A3&amp;"/"&amp;$A3</f>
        <v>БОВГ-С-0,05/0,05</v>
      </c>
      <c r="Q3" s="14" t="str">
        <f>$O$1&amp;"-"&amp;Q$2&amp;"-"&amp;$A3&amp;"/"&amp;$A3</f>
        <v>БОВГ-П-0,05/0,05</v>
      </c>
    </row>
    <row r="4" spans="1:17" x14ac:dyDescent="0.25">
      <c r="A4" s="211">
        <v>0.06</v>
      </c>
      <c r="B4" s="212"/>
      <c r="C4" s="12" t="str">
        <f>$C$1&amp;"-"&amp;$A4&amp;"-"&amp;C$2</f>
        <v>БВ-0,06-xx</v>
      </c>
      <c r="D4" s="12" t="str">
        <f>$C$1&amp;"-"&amp;$A4&amp;"-"&amp;D$2</f>
        <v>БВ-0,06-РП</v>
      </c>
      <c r="E4" s="12" t="str">
        <f t="shared" si="0"/>
        <v>БВ-0,06-Рх</v>
      </c>
      <c r="F4" s="16" t="str">
        <f t="shared" si="0"/>
        <v>БВ-0,06-хП</v>
      </c>
      <c r="G4" s="17" t="str">
        <f>$G$1&amp;"-"&amp;$A4&amp;"-"&amp;G$2</f>
        <v>БОВ-0,06-С</v>
      </c>
      <c r="H4" s="16" t="str">
        <f>$G$1&amp;"-"&amp;$A4&amp;"-"&amp;H$2</f>
        <v>БОВ-0,06-Т</v>
      </c>
      <c r="I4" s="16" t="str">
        <f t="shared" si="1"/>
        <v>БОВ-0,06-Т-2(50%)</v>
      </c>
      <c r="J4" s="16" t="str">
        <f t="shared" si="1"/>
        <v>БОВ-0,06-Т-2(75%)</v>
      </c>
      <c r="K4" s="16" t="str">
        <f t="shared" si="1"/>
        <v>БОВ-0,06-Т-2(100%)</v>
      </c>
      <c r="L4" s="16" t="str">
        <f>$L$1&amp;"-"&amp;$A4</f>
        <v>БГ-0,06</v>
      </c>
      <c r="M4" s="16" t="str">
        <f>$L$1&amp;"-"&amp;M$2&amp;"-"&amp;$A4&amp;"/"&amp;$A4</f>
        <v>БГ-С-0,06/0,06</v>
      </c>
      <c r="N4" s="16" t="str">
        <f>$L$1&amp;"-"&amp;N$2&amp;"-"&amp;$A4&amp;"/"&amp;$A4</f>
        <v>БГ-П-0,06/0,06</v>
      </c>
      <c r="O4" s="16" t="str">
        <f>$O$1&amp;"-"&amp;$A4</f>
        <v>БОВГ-0,06</v>
      </c>
      <c r="P4" s="16" t="str">
        <f>$O$1&amp;"-"&amp;P$2&amp;"-"&amp;$A4&amp;"/"&amp;$A4</f>
        <v>БОВГ-С-0,06/0,06</v>
      </c>
      <c r="Q4" s="16" t="str">
        <f>$O$1&amp;"-"&amp;Q$2&amp;"-"&amp;$A4&amp;"/"&amp;$A4</f>
        <v>БОВГ-П-0,06/0,06</v>
      </c>
    </row>
    <row r="5" spans="1:17" x14ac:dyDescent="0.25">
      <c r="A5" s="211">
        <v>7.0000000000000007E-2</v>
      </c>
      <c r="B5" s="212"/>
      <c r="C5" s="12" t="str">
        <f t="shared" ref="C5:C56" si="2">$C$1&amp;"-"&amp;$A5&amp;"-"&amp;C$2</f>
        <v>БВ-0,07-xx</v>
      </c>
      <c r="D5" s="12" t="str">
        <f t="shared" ref="D5:F36" si="3">$C$1&amp;"-"&amp;$A5&amp;"-"&amp;D$2</f>
        <v>БВ-0,07-РП</v>
      </c>
      <c r="E5" s="12" t="str">
        <f t="shared" si="0"/>
        <v>БВ-0,07-Рх</v>
      </c>
      <c r="F5" s="14" t="str">
        <f t="shared" si="0"/>
        <v>БВ-0,07-хП</v>
      </c>
      <c r="G5" s="17" t="str">
        <f t="shared" ref="G5:K36" si="4">$G$1&amp;"-"&amp;$A5&amp;"-"&amp;G$2</f>
        <v>БОВ-0,07-С</v>
      </c>
      <c r="H5" s="16" t="str">
        <f t="shared" si="4"/>
        <v>БОВ-0,07-Т</v>
      </c>
      <c r="I5" s="16" t="str">
        <f t="shared" si="1"/>
        <v>БОВ-0,07-Т-2(50%)</v>
      </c>
      <c r="J5" s="16" t="str">
        <f t="shared" si="1"/>
        <v>БОВ-0,07-Т-2(75%)</v>
      </c>
      <c r="K5" s="16" t="str">
        <f t="shared" si="1"/>
        <v>БОВ-0,07-Т-2(100%)</v>
      </c>
      <c r="L5" s="16" t="str">
        <f t="shared" ref="L5:L56" si="5">$L$1&amp;"-"&amp;$A5</f>
        <v>БГ-0,07</v>
      </c>
      <c r="M5" s="16" t="str">
        <f t="shared" ref="M5:N56" si="6">$L$1&amp;"-"&amp;M$2&amp;"-"&amp;$A5&amp;"/"&amp;$A5</f>
        <v>БГ-С-0,07/0,07</v>
      </c>
      <c r="N5" s="16" t="str">
        <f t="shared" si="6"/>
        <v>БГ-П-0,07/0,07</v>
      </c>
      <c r="O5" s="16" t="str">
        <f t="shared" ref="O5:O56" si="7">$O$1&amp;"-"&amp;$A5</f>
        <v>БОВГ-0,07</v>
      </c>
      <c r="P5" s="16" t="str">
        <f t="shared" ref="P5:Q36" si="8">$O$1&amp;"-"&amp;P$2&amp;"-"&amp;$A5&amp;"/"&amp;$A5</f>
        <v>БОВГ-С-0,07/0,07</v>
      </c>
      <c r="Q5" s="16" t="str">
        <f t="shared" si="8"/>
        <v>БОВГ-П-0,07/0,07</v>
      </c>
    </row>
    <row r="6" spans="1:17" x14ac:dyDescent="0.25">
      <c r="A6" s="211">
        <v>0.08</v>
      </c>
      <c r="B6" s="212"/>
      <c r="C6" s="12" t="str">
        <f t="shared" si="2"/>
        <v>БВ-0,08-xx</v>
      </c>
      <c r="D6" s="12" t="str">
        <f t="shared" si="3"/>
        <v>БВ-0,08-РП</v>
      </c>
      <c r="E6" s="12" t="str">
        <f t="shared" si="0"/>
        <v>БВ-0,08-Рх</v>
      </c>
      <c r="F6" s="14" t="str">
        <f t="shared" si="0"/>
        <v>БВ-0,08-хП</v>
      </c>
      <c r="G6" s="17" t="str">
        <f t="shared" si="4"/>
        <v>БОВ-0,08-С</v>
      </c>
      <c r="H6" s="16" t="str">
        <f t="shared" si="4"/>
        <v>БОВ-0,08-Т</v>
      </c>
      <c r="I6" s="16" t="str">
        <f t="shared" si="1"/>
        <v>БОВ-0,08-Т-2(50%)</v>
      </c>
      <c r="J6" s="16" t="str">
        <f t="shared" si="1"/>
        <v>БОВ-0,08-Т-2(75%)</v>
      </c>
      <c r="K6" s="16" t="str">
        <f t="shared" si="1"/>
        <v>БОВ-0,08-Т-2(100%)</v>
      </c>
      <c r="L6" s="16" t="str">
        <f t="shared" si="5"/>
        <v>БГ-0,08</v>
      </c>
      <c r="M6" s="16" t="str">
        <f t="shared" si="6"/>
        <v>БГ-С-0,08/0,08</v>
      </c>
      <c r="N6" s="16" t="str">
        <f t="shared" si="6"/>
        <v>БГ-П-0,08/0,08</v>
      </c>
      <c r="O6" s="16" t="str">
        <f t="shared" si="7"/>
        <v>БОВГ-0,08</v>
      </c>
      <c r="P6" s="16" t="str">
        <f t="shared" si="8"/>
        <v>БОВГ-С-0,08/0,08</v>
      </c>
      <c r="Q6" s="16" t="str">
        <f t="shared" si="8"/>
        <v>БОВГ-П-0,08/0,08</v>
      </c>
    </row>
    <row r="7" spans="1:17" x14ac:dyDescent="0.25">
      <c r="A7" s="211">
        <v>0.09</v>
      </c>
      <c r="B7" s="212"/>
      <c r="C7" s="12" t="str">
        <f t="shared" si="2"/>
        <v>БВ-0,09-xx</v>
      </c>
      <c r="D7" s="12" t="str">
        <f t="shared" si="3"/>
        <v>БВ-0,09-РП</v>
      </c>
      <c r="E7" s="12" t="str">
        <f t="shared" si="0"/>
        <v>БВ-0,09-Рх</v>
      </c>
      <c r="F7" s="14" t="str">
        <f t="shared" si="0"/>
        <v>БВ-0,09-хП</v>
      </c>
      <c r="G7" s="17" t="str">
        <f t="shared" si="4"/>
        <v>БОВ-0,09-С</v>
      </c>
      <c r="H7" s="16" t="str">
        <f t="shared" si="4"/>
        <v>БОВ-0,09-Т</v>
      </c>
      <c r="I7" s="16" t="str">
        <f t="shared" si="1"/>
        <v>БОВ-0,09-Т-2(50%)</v>
      </c>
      <c r="J7" s="16" t="str">
        <f t="shared" si="1"/>
        <v>БОВ-0,09-Т-2(75%)</v>
      </c>
      <c r="K7" s="16" t="str">
        <f t="shared" si="1"/>
        <v>БОВ-0,09-Т-2(100%)</v>
      </c>
      <c r="L7" s="16" t="str">
        <f t="shared" si="5"/>
        <v>БГ-0,09</v>
      </c>
      <c r="M7" s="16" t="str">
        <f t="shared" si="6"/>
        <v>БГ-С-0,09/0,09</v>
      </c>
      <c r="N7" s="16" t="str">
        <f t="shared" si="6"/>
        <v>БГ-П-0,09/0,09</v>
      </c>
      <c r="O7" s="16" t="str">
        <f t="shared" si="7"/>
        <v>БОВГ-0,09</v>
      </c>
      <c r="P7" s="16" t="str">
        <f t="shared" si="8"/>
        <v>БОВГ-С-0,09/0,09</v>
      </c>
      <c r="Q7" s="16" t="str">
        <f t="shared" si="8"/>
        <v>БОВГ-П-0,09/0,09</v>
      </c>
    </row>
    <row r="8" spans="1:17" x14ac:dyDescent="0.25">
      <c r="A8" s="217" t="s">
        <v>18</v>
      </c>
      <c r="B8" s="216"/>
      <c r="C8" s="12" t="str">
        <f t="shared" si="2"/>
        <v>БВ-0,10-xx</v>
      </c>
      <c r="D8" s="12" t="str">
        <f t="shared" si="3"/>
        <v>БВ-0,10-РП</v>
      </c>
      <c r="E8" s="12" t="str">
        <f t="shared" si="0"/>
        <v>БВ-0,10-Рх</v>
      </c>
      <c r="F8" s="14" t="str">
        <f t="shared" si="0"/>
        <v>БВ-0,10-хП</v>
      </c>
      <c r="G8" s="17" t="str">
        <f t="shared" si="4"/>
        <v>БОВ-0,10-С</v>
      </c>
      <c r="H8" s="16" t="str">
        <f t="shared" si="4"/>
        <v>БОВ-0,10-Т</v>
      </c>
      <c r="I8" s="16" t="str">
        <f t="shared" si="1"/>
        <v>БОВ-0,10-Т-2(50%)</v>
      </c>
      <c r="J8" s="16" t="str">
        <f t="shared" si="1"/>
        <v>БОВ-0,10-Т-2(75%)</v>
      </c>
      <c r="K8" s="16" t="str">
        <f t="shared" si="1"/>
        <v>БОВ-0,10-Т-2(100%)</v>
      </c>
      <c r="L8" s="16" t="str">
        <f t="shared" si="5"/>
        <v>БГ-0,10</v>
      </c>
      <c r="M8" s="16" t="str">
        <f t="shared" si="6"/>
        <v>БГ-С-0,10/0,10</v>
      </c>
      <c r="N8" s="16" t="str">
        <f t="shared" si="6"/>
        <v>БГ-П-0,10/0,10</v>
      </c>
      <c r="O8" s="16" t="str">
        <f t="shared" si="7"/>
        <v>БОВГ-0,10</v>
      </c>
      <c r="P8" s="16" t="str">
        <f t="shared" si="8"/>
        <v>БОВГ-С-0,10/0,10</v>
      </c>
      <c r="Q8" s="16" t="str">
        <f t="shared" si="8"/>
        <v>БОВГ-П-0,10/0,10</v>
      </c>
    </row>
    <row r="9" spans="1:17" x14ac:dyDescent="0.25">
      <c r="A9" s="215">
        <v>0.15</v>
      </c>
      <c r="B9" s="216"/>
      <c r="C9" s="12" t="str">
        <f t="shared" si="2"/>
        <v>БВ-0,15-xx</v>
      </c>
      <c r="D9" s="12" t="str">
        <f t="shared" si="3"/>
        <v>БВ-0,15-РП</v>
      </c>
      <c r="E9" s="12" t="str">
        <f t="shared" si="0"/>
        <v>БВ-0,15-Рх</v>
      </c>
      <c r="F9" s="14" t="str">
        <f t="shared" si="0"/>
        <v>БВ-0,15-хП</v>
      </c>
      <c r="G9" s="17" t="str">
        <f t="shared" si="4"/>
        <v>БОВ-0,15-С</v>
      </c>
      <c r="H9" s="16" t="str">
        <f t="shared" si="4"/>
        <v>БОВ-0,15-Т</v>
      </c>
      <c r="I9" s="16" t="str">
        <f t="shared" si="1"/>
        <v>БОВ-0,15-Т-2(50%)</v>
      </c>
      <c r="J9" s="16" t="str">
        <f t="shared" si="1"/>
        <v>БОВ-0,15-Т-2(75%)</v>
      </c>
      <c r="K9" s="16" t="str">
        <f t="shared" si="1"/>
        <v>БОВ-0,15-Т-2(100%)</v>
      </c>
      <c r="L9" s="16" t="str">
        <f t="shared" si="5"/>
        <v>БГ-0,15</v>
      </c>
      <c r="M9" s="16" t="str">
        <f t="shared" si="6"/>
        <v>БГ-С-0,15/0,15</v>
      </c>
      <c r="N9" s="16" t="str">
        <f t="shared" si="6"/>
        <v>БГ-П-0,15/0,15</v>
      </c>
      <c r="O9" s="16" t="str">
        <f t="shared" si="7"/>
        <v>БОВГ-0,15</v>
      </c>
      <c r="P9" s="16" t="str">
        <f t="shared" si="8"/>
        <v>БОВГ-С-0,15/0,15</v>
      </c>
      <c r="Q9" s="16" t="str">
        <f t="shared" si="8"/>
        <v>БОВГ-П-0,15/0,15</v>
      </c>
    </row>
    <row r="10" spans="1:17" x14ac:dyDescent="0.25">
      <c r="A10" s="217" t="s">
        <v>19</v>
      </c>
      <c r="B10" s="216"/>
      <c r="C10" s="12" t="str">
        <f t="shared" si="2"/>
        <v>БВ-0,20-xx</v>
      </c>
      <c r="D10" s="12" t="str">
        <f t="shared" si="3"/>
        <v>БВ-0,20-РП</v>
      </c>
      <c r="E10" s="12" t="str">
        <f t="shared" si="0"/>
        <v>БВ-0,20-Рх</v>
      </c>
      <c r="F10" s="14" t="str">
        <f t="shared" si="0"/>
        <v>БВ-0,20-хП</v>
      </c>
      <c r="G10" s="17" t="str">
        <f t="shared" si="4"/>
        <v>БОВ-0,20-С</v>
      </c>
      <c r="H10" s="16" t="str">
        <f t="shared" si="4"/>
        <v>БОВ-0,20-Т</v>
      </c>
      <c r="I10" s="16" t="str">
        <f t="shared" si="1"/>
        <v>БОВ-0,20-Т-2(50%)</v>
      </c>
      <c r="J10" s="16" t="str">
        <f t="shared" si="1"/>
        <v>БОВ-0,20-Т-2(75%)</v>
      </c>
      <c r="K10" s="16" t="str">
        <f t="shared" si="1"/>
        <v>БОВ-0,20-Т-2(100%)</v>
      </c>
      <c r="L10" s="16" t="str">
        <f t="shared" si="5"/>
        <v>БГ-0,20</v>
      </c>
      <c r="M10" s="16" t="str">
        <f t="shared" si="6"/>
        <v>БГ-С-0,20/0,20</v>
      </c>
      <c r="N10" s="16" t="str">
        <f t="shared" si="6"/>
        <v>БГ-П-0,20/0,20</v>
      </c>
      <c r="O10" s="16" t="str">
        <f t="shared" si="7"/>
        <v>БОВГ-0,20</v>
      </c>
      <c r="P10" s="16" t="str">
        <f t="shared" si="8"/>
        <v>БОВГ-С-0,20/0,20</v>
      </c>
      <c r="Q10" s="16" t="str">
        <f t="shared" si="8"/>
        <v>БОВГ-П-0,20/0,20</v>
      </c>
    </row>
    <row r="11" spans="1:17" x14ac:dyDescent="0.25">
      <c r="A11" s="215">
        <v>0.25</v>
      </c>
      <c r="B11" s="216"/>
      <c r="C11" s="12" t="str">
        <f t="shared" si="2"/>
        <v>БВ-0,25-xx</v>
      </c>
      <c r="D11" s="12" t="str">
        <f t="shared" si="3"/>
        <v>БВ-0,25-РП</v>
      </c>
      <c r="E11" s="12" t="str">
        <f t="shared" si="0"/>
        <v>БВ-0,25-Рх</v>
      </c>
      <c r="F11" s="14" t="str">
        <f t="shared" si="0"/>
        <v>БВ-0,25-хП</v>
      </c>
      <c r="G11" s="17" t="str">
        <f t="shared" si="4"/>
        <v>БОВ-0,25-С</v>
      </c>
      <c r="H11" s="16" t="str">
        <f t="shared" si="4"/>
        <v>БОВ-0,25-Т</v>
      </c>
      <c r="I11" s="16" t="str">
        <f t="shared" si="1"/>
        <v>БОВ-0,25-Т-2(50%)</v>
      </c>
      <c r="J11" s="16" t="str">
        <f t="shared" si="1"/>
        <v>БОВ-0,25-Т-2(75%)</v>
      </c>
      <c r="K11" s="16" t="str">
        <f t="shared" si="1"/>
        <v>БОВ-0,25-Т-2(100%)</v>
      </c>
      <c r="L11" s="16" t="str">
        <f t="shared" si="5"/>
        <v>БГ-0,25</v>
      </c>
      <c r="M11" s="16" t="str">
        <f t="shared" si="6"/>
        <v>БГ-С-0,25/0,25</v>
      </c>
      <c r="N11" s="16" t="str">
        <f t="shared" si="6"/>
        <v>БГ-П-0,25/0,25</v>
      </c>
      <c r="O11" s="16" t="str">
        <f t="shared" si="7"/>
        <v>БОВГ-0,25</v>
      </c>
      <c r="P11" s="16" t="str">
        <f t="shared" si="8"/>
        <v>БОВГ-С-0,25/0,25</v>
      </c>
      <c r="Q11" s="16" t="str">
        <f t="shared" si="8"/>
        <v>БОВГ-П-0,25/0,25</v>
      </c>
    </row>
    <row r="12" spans="1:17" x14ac:dyDescent="0.25">
      <c r="A12" s="217" t="s">
        <v>20</v>
      </c>
      <c r="B12" s="216"/>
      <c r="C12" s="12" t="str">
        <f t="shared" si="2"/>
        <v>БВ-0,30-xx</v>
      </c>
      <c r="D12" s="12" t="str">
        <f t="shared" si="3"/>
        <v>БВ-0,30-РП</v>
      </c>
      <c r="E12" s="12" t="str">
        <f t="shared" si="0"/>
        <v>БВ-0,30-Рх</v>
      </c>
      <c r="F12" s="14" t="str">
        <f t="shared" si="0"/>
        <v>БВ-0,30-хП</v>
      </c>
      <c r="G12" s="17" t="str">
        <f t="shared" si="4"/>
        <v>БОВ-0,30-С</v>
      </c>
      <c r="H12" s="16" t="str">
        <f t="shared" si="4"/>
        <v>БОВ-0,30-Т</v>
      </c>
      <c r="I12" s="16" t="str">
        <f t="shared" si="1"/>
        <v>БОВ-0,30-Т-2(50%)</v>
      </c>
      <c r="J12" s="16" t="str">
        <f t="shared" si="1"/>
        <v>БОВ-0,30-Т-2(75%)</v>
      </c>
      <c r="K12" s="16" t="str">
        <f t="shared" si="1"/>
        <v>БОВ-0,30-Т-2(100%)</v>
      </c>
      <c r="L12" s="16" t="str">
        <f t="shared" si="5"/>
        <v>БГ-0,30</v>
      </c>
      <c r="M12" s="16" t="str">
        <f t="shared" si="6"/>
        <v>БГ-С-0,30/0,30</v>
      </c>
      <c r="N12" s="16" t="str">
        <f t="shared" si="6"/>
        <v>БГ-П-0,30/0,30</v>
      </c>
      <c r="O12" s="16" t="str">
        <f t="shared" si="7"/>
        <v>БОВГ-0,30</v>
      </c>
      <c r="P12" s="16" t="str">
        <f t="shared" si="8"/>
        <v>БОВГ-С-0,30/0,30</v>
      </c>
      <c r="Q12" s="16" t="str">
        <f t="shared" si="8"/>
        <v>БОВГ-П-0,30/0,30</v>
      </c>
    </row>
    <row r="13" spans="1:17" x14ac:dyDescent="0.25">
      <c r="A13" s="215">
        <v>0.35</v>
      </c>
      <c r="B13" s="216"/>
      <c r="C13" s="12" t="str">
        <f t="shared" si="2"/>
        <v>БВ-0,35-xx</v>
      </c>
      <c r="D13" s="12" t="str">
        <f t="shared" si="3"/>
        <v>БВ-0,35-РП</v>
      </c>
      <c r="E13" s="12" t="str">
        <f t="shared" si="0"/>
        <v>БВ-0,35-Рх</v>
      </c>
      <c r="F13" s="14" t="str">
        <f t="shared" si="0"/>
        <v>БВ-0,35-хП</v>
      </c>
      <c r="G13" s="17" t="str">
        <f t="shared" si="4"/>
        <v>БОВ-0,35-С</v>
      </c>
      <c r="H13" s="16" t="str">
        <f t="shared" si="4"/>
        <v>БОВ-0,35-Т</v>
      </c>
      <c r="I13" s="16" t="str">
        <f t="shared" si="1"/>
        <v>БОВ-0,35-Т-2(50%)</v>
      </c>
      <c r="J13" s="16" t="str">
        <f t="shared" si="1"/>
        <v>БОВ-0,35-Т-2(75%)</v>
      </c>
      <c r="K13" s="16" t="str">
        <f t="shared" si="1"/>
        <v>БОВ-0,35-Т-2(100%)</v>
      </c>
      <c r="L13" s="16" t="str">
        <f t="shared" si="5"/>
        <v>БГ-0,35</v>
      </c>
      <c r="M13" s="16" t="str">
        <f t="shared" si="6"/>
        <v>БГ-С-0,35/0,35</v>
      </c>
      <c r="N13" s="16" t="str">
        <f t="shared" si="6"/>
        <v>БГ-П-0,35/0,35</v>
      </c>
      <c r="O13" s="16" t="str">
        <f t="shared" si="7"/>
        <v>БОВГ-0,35</v>
      </c>
      <c r="P13" s="16" t="str">
        <f t="shared" si="8"/>
        <v>БОВГ-С-0,35/0,35</v>
      </c>
      <c r="Q13" s="16" t="str">
        <f t="shared" si="8"/>
        <v>БОВГ-П-0,35/0,35</v>
      </c>
    </row>
    <row r="14" spans="1:17" x14ac:dyDescent="0.25">
      <c r="A14" s="217" t="s">
        <v>21</v>
      </c>
      <c r="B14" s="216"/>
      <c r="C14" s="12" t="str">
        <f t="shared" si="2"/>
        <v>БВ-0,04-xx</v>
      </c>
      <c r="D14" s="12" t="str">
        <f t="shared" si="3"/>
        <v>БВ-0,04-РП</v>
      </c>
      <c r="E14" s="12" t="str">
        <f t="shared" si="0"/>
        <v>БВ-0,04-Рх</v>
      </c>
      <c r="F14" s="14" t="str">
        <f t="shared" si="0"/>
        <v>БВ-0,04-хП</v>
      </c>
      <c r="G14" s="17" t="str">
        <f t="shared" si="4"/>
        <v>БОВ-0,04-С</v>
      </c>
      <c r="H14" s="16" t="str">
        <f t="shared" si="4"/>
        <v>БОВ-0,04-Т</v>
      </c>
      <c r="I14" s="16" t="str">
        <f t="shared" si="1"/>
        <v>БОВ-0,04-Т-2(50%)</v>
      </c>
      <c r="J14" s="16" t="str">
        <f t="shared" si="1"/>
        <v>БОВ-0,04-Т-2(75%)</v>
      </c>
      <c r="K14" s="16" t="str">
        <f t="shared" si="1"/>
        <v>БОВ-0,04-Т-2(100%)</v>
      </c>
      <c r="L14" s="16" t="str">
        <f t="shared" si="5"/>
        <v>БГ-0,04</v>
      </c>
      <c r="M14" s="16" t="str">
        <f t="shared" si="6"/>
        <v>БГ-С-0,04/0,04</v>
      </c>
      <c r="N14" s="16" t="str">
        <f t="shared" si="6"/>
        <v>БГ-П-0,04/0,04</v>
      </c>
      <c r="O14" s="16" t="str">
        <f t="shared" si="7"/>
        <v>БОВГ-0,04</v>
      </c>
      <c r="P14" s="16" t="str">
        <f t="shared" si="8"/>
        <v>БОВГ-С-0,04/0,04</v>
      </c>
      <c r="Q14" s="16" t="str">
        <f t="shared" si="8"/>
        <v>БОВГ-П-0,04/0,04</v>
      </c>
    </row>
    <row r="15" spans="1:17" x14ac:dyDescent="0.25">
      <c r="A15" s="215">
        <v>0.45</v>
      </c>
      <c r="B15" s="216"/>
      <c r="C15" s="12" t="str">
        <f t="shared" si="2"/>
        <v>БВ-0,45-xx</v>
      </c>
      <c r="D15" s="12" t="str">
        <f t="shared" si="3"/>
        <v>БВ-0,45-РП</v>
      </c>
      <c r="E15" s="12" t="str">
        <f t="shared" si="0"/>
        <v>БВ-0,45-Рх</v>
      </c>
      <c r="F15" s="14" t="str">
        <f t="shared" si="0"/>
        <v>БВ-0,45-хП</v>
      </c>
      <c r="G15" s="17" t="str">
        <f t="shared" si="4"/>
        <v>БОВ-0,45-С</v>
      </c>
      <c r="H15" s="16" t="str">
        <f t="shared" si="4"/>
        <v>БОВ-0,45-Т</v>
      </c>
      <c r="I15" s="16" t="str">
        <f t="shared" si="1"/>
        <v>БОВ-0,45-Т-2(50%)</v>
      </c>
      <c r="J15" s="16" t="str">
        <f t="shared" si="1"/>
        <v>БОВ-0,45-Т-2(75%)</v>
      </c>
      <c r="K15" s="16" t="str">
        <f t="shared" si="1"/>
        <v>БОВ-0,45-Т-2(100%)</v>
      </c>
      <c r="L15" s="16" t="str">
        <f t="shared" si="5"/>
        <v>БГ-0,45</v>
      </c>
      <c r="M15" s="16" t="str">
        <f t="shared" si="6"/>
        <v>БГ-С-0,45/0,45</v>
      </c>
      <c r="N15" s="16" t="str">
        <f t="shared" si="6"/>
        <v>БГ-П-0,45/0,45</v>
      </c>
      <c r="O15" s="16" t="str">
        <f t="shared" si="7"/>
        <v>БОВГ-0,45</v>
      </c>
      <c r="P15" s="16" t="str">
        <f t="shared" si="8"/>
        <v>БОВГ-С-0,45/0,45</v>
      </c>
      <c r="Q15" s="16" t="str">
        <f t="shared" si="8"/>
        <v>БОВГ-П-0,45/0,45</v>
      </c>
    </row>
    <row r="16" spans="1:17" x14ac:dyDescent="0.25">
      <c r="A16" s="217" t="s">
        <v>14</v>
      </c>
      <c r="B16" s="216"/>
      <c r="C16" s="12" t="str">
        <f t="shared" si="2"/>
        <v>БВ-0,05-xx</v>
      </c>
      <c r="D16" s="12" t="str">
        <f t="shared" si="3"/>
        <v>БВ-0,05-РП</v>
      </c>
      <c r="E16" s="12" t="str">
        <f t="shared" si="0"/>
        <v>БВ-0,05-Рх</v>
      </c>
      <c r="F16" s="14" t="str">
        <f t="shared" si="0"/>
        <v>БВ-0,05-хП</v>
      </c>
      <c r="G16" s="17" t="str">
        <f t="shared" si="4"/>
        <v>БОВ-0,05-С</v>
      </c>
      <c r="H16" s="16" t="str">
        <f t="shared" si="4"/>
        <v>БОВ-0,05-Т</v>
      </c>
      <c r="I16" s="16" t="str">
        <f t="shared" si="1"/>
        <v>БОВ-0,05-Т-2(50%)</v>
      </c>
      <c r="J16" s="16" t="str">
        <f t="shared" si="1"/>
        <v>БОВ-0,05-Т-2(75%)</v>
      </c>
      <c r="K16" s="16" t="str">
        <f t="shared" si="1"/>
        <v>БОВ-0,05-Т-2(100%)</v>
      </c>
      <c r="L16" s="16" t="str">
        <f t="shared" si="5"/>
        <v>БГ-0,05</v>
      </c>
      <c r="M16" s="16" t="str">
        <f t="shared" si="6"/>
        <v>БГ-С-0,05/0,05</v>
      </c>
      <c r="N16" s="16" t="str">
        <f t="shared" si="6"/>
        <v>БГ-П-0,05/0,05</v>
      </c>
      <c r="O16" s="16" t="str">
        <f t="shared" si="7"/>
        <v>БОВГ-0,05</v>
      </c>
      <c r="P16" s="16" t="str">
        <f t="shared" si="8"/>
        <v>БОВГ-С-0,05/0,05</v>
      </c>
      <c r="Q16" s="16" t="str">
        <f t="shared" si="8"/>
        <v>БОВГ-П-0,05/0,05</v>
      </c>
    </row>
    <row r="17" spans="1:17" x14ac:dyDescent="0.25">
      <c r="A17" s="215">
        <v>0.55000000000000004</v>
      </c>
      <c r="B17" s="216"/>
      <c r="C17" s="12" t="str">
        <f t="shared" si="2"/>
        <v>БВ-0,55-xx</v>
      </c>
      <c r="D17" s="12" t="str">
        <f t="shared" si="3"/>
        <v>БВ-0,55-РП</v>
      </c>
      <c r="E17" s="12" t="str">
        <f t="shared" si="0"/>
        <v>БВ-0,55-Рх</v>
      </c>
      <c r="F17" s="14" t="str">
        <f t="shared" si="0"/>
        <v>БВ-0,55-хП</v>
      </c>
      <c r="G17" s="17" t="str">
        <f t="shared" si="4"/>
        <v>БОВ-0,55-С</v>
      </c>
      <c r="H17" s="16" t="str">
        <f t="shared" si="4"/>
        <v>БОВ-0,55-Т</v>
      </c>
      <c r="I17" s="16" t="str">
        <f t="shared" si="1"/>
        <v>БОВ-0,55-Т-2(50%)</v>
      </c>
      <c r="J17" s="16" t="str">
        <f t="shared" si="1"/>
        <v>БОВ-0,55-Т-2(75%)</v>
      </c>
      <c r="K17" s="16" t="str">
        <f t="shared" si="1"/>
        <v>БОВ-0,55-Т-2(100%)</v>
      </c>
      <c r="L17" s="16" t="str">
        <f t="shared" si="5"/>
        <v>БГ-0,55</v>
      </c>
      <c r="M17" s="16" t="str">
        <f t="shared" si="6"/>
        <v>БГ-С-0,55/0,55</v>
      </c>
      <c r="N17" s="16" t="str">
        <f t="shared" si="6"/>
        <v>БГ-П-0,55/0,55</v>
      </c>
      <c r="O17" s="16" t="str">
        <f t="shared" si="7"/>
        <v>БОВГ-0,55</v>
      </c>
      <c r="P17" s="16" t="str">
        <f t="shared" si="8"/>
        <v>БОВГ-С-0,55/0,55</v>
      </c>
      <c r="Q17" s="16" t="str">
        <f t="shared" si="8"/>
        <v>БОВГ-П-0,55/0,55</v>
      </c>
    </row>
    <row r="18" spans="1:17" x14ac:dyDescent="0.25">
      <c r="A18" s="217" t="s">
        <v>15</v>
      </c>
      <c r="B18" s="216"/>
      <c r="C18" s="12" t="str">
        <f t="shared" si="2"/>
        <v>БВ-0,06-xx</v>
      </c>
      <c r="D18" s="12" t="str">
        <f t="shared" si="3"/>
        <v>БВ-0,06-РП</v>
      </c>
      <c r="E18" s="12" t="str">
        <f t="shared" si="0"/>
        <v>БВ-0,06-Рх</v>
      </c>
      <c r="F18" s="14" t="str">
        <f t="shared" si="0"/>
        <v>БВ-0,06-хП</v>
      </c>
      <c r="G18" s="17" t="str">
        <f t="shared" si="4"/>
        <v>БОВ-0,06-С</v>
      </c>
      <c r="H18" s="16" t="str">
        <f t="shared" si="4"/>
        <v>БОВ-0,06-Т</v>
      </c>
      <c r="I18" s="16" t="str">
        <f t="shared" si="1"/>
        <v>БОВ-0,06-Т-2(50%)</v>
      </c>
      <c r="J18" s="16" t="str">
        <f t="shared" si="1"/>
        <v>БОВ-0,06-Т-2(75%)</v>
      </c>
      <c r="K18" s="16" t="str">
        <f t="shared" si="1"/>
        <v>БОВ-0,06-Т-2(100%)</v>
      </c>
      <c r="L18" s="16" t="str">
        <f t="shared" si="5"/>
        <v>БГ-0,06</v>
      </c>
      <c r="M18" s="16" t="str">
        <f t="shared" si="6"/>
        <v>БГ-С-0,06/0,06</v>
      </c>
      <c r="N18" s="16" t="str">
        <f t="shared" si="6"/>
        <v>БГ-П-0,06/0,06</v>
      </c>
      <c r="O18" s="16" t="str">
        <f t="shared" si="7"/>
        <v>БОВГ-0,06</v>
      </c>
      <c r="P18" s="16" t="str">
        <f t="shared" si="8"/>
        <v>БОВГ-С-0,06/0,06</v>
      </c>
      <c r="Q18" s="16" t="str">
        <f t="shared" si="8"/>
        <v>БОВГ-П-0,06/0,06</v>
      </c>
    </row>
    <row r="19" spans="1:17" x14ac:dyDescent="0.25">
      <c r="A19" s="215">
        <v>0.65</v>
      </c>
      <c r="B19" s="216"/>
      <c r="C19" s="12" t="str">
        <f t="shared" si="2"/>
        <v>БВ-0,65-xx</v>
      </c>
      <c r="D19" s="12" t="str">
        <f t="shared" si="3"/>
        <v>БВ-0,65-РП</v>
      </c>
      <c r="E19" s="12" t="str">
        <f t="shared" si="3"/>
        <v>БВ-0,65-Рх</v>
      </c>
      <c r="F19" s="14" t="str">
        <f t="shared" si="3"/>
        <v>БВ-0,65-хП</v>
      </c>
      <c r="G19" s="17" t="str">
        <f t="shared" si="4"/>
        <v>БОВ-0,65-С</v>
      </c>
      <c r="H19" s="16" t="str">
        <f t="shared" si="4"/>
        <v>БОВ-0,65-Т</v>
      </c>
      <c r="I19" s="16" t="str">
        <f t="shared" si="4"/>
        <v>БОВ-0,65-Т-2(50%)</v>
      </c>
      <c r="J19" s="16" t="str">
        <f t="shared" si="4"/>
        <v>БОВ-0,65-Т-2(75%)</v>
      </c>
      <c r="K19" s="16" t="str">
        <f t="shared" si="4"/>
        <v>БОВ-0,65-Т-2(100%)</v>
      </c>
      <c r="L19" s="16" t="str">
        <f t="shared" si="5"/>
        <v>БГ-0,65</v>
      </c>
      <c r="M19" s="16" t="str">
        <f t="shared" si="6"/>
        <v>БГ-С-0,65/0,65</v>
      </c>
      <c r="N19" s="16" t="str">
        <f t="shared" si="6"/>
        <v>БГ-П-0,65/0,65</v>
      </c>
      <c r="O19" s="16" t="str">
        <f t="shared" si="7"/>
        <v>БОВГ-0,65</v>
      </c>
      <c r="P19" s="16" t="str">
        <f t="shared" si="8"/>
        <v>БОВГ-С-0,65/0,65</v>
      </c>
      <c r="Q19" s="16" t="str">
        <f t="shared" si="8"/>
        <v>БОВГ-П-0,65/0,65</v>
      </c>
    </row>
    <row r="20" spans="1:17" x14ac:dyDescent="0.25">
      <c r="A20" s="217" t="s">
        <v>16</v>
      </c>
      <c r="B20" s="216"/>
      <c r="C20" s="12" t="str">
        <f t="shared" si="2"/>
        <v>БВ-0,07-xx</v>
      </c>
      <c r="D20" s="12" t="str">
        <f t="shared" si="3"/>
        <v>БВ-0,07-РП</v>
      </c>
      <c r="E20" s="12" t="str">
        <f t="shared" si="3"/>
        <v>БВ-0,07-Рх</v>
      </c>
      <c r="F20" s="14" t="str">
        <f t="shared" si="3"/>
        <v>БВ-0,07-хП</v>
      </c>
      <c r="G20" s="17" t="str">
        <f t="shared" si="4"/>
        <v>БОВ-0,07-С</v>
      </c>
      <c r="H20" s="16" t="str">
        <f t="shared" si="4"/>
        <v>БОВ-0,07-Т</v>
      </c>
      <c r="I20" s="16" t="str">
        <f t="shared" si="4"/>
        <v>БОВ-0,07-Т-2(50%)</v>
      </c>
      <c r="J20" s="16" t="str">
        <f t="shared" si="4"/>
        <v>БОВ-0,07-Т-2(75%)</v>
      </c>
      <c r="K20" s="16" t="str">
        <f t="shared" si="4"/>
        <v>БОВ-0,07-Т-2(100%)</v>
      </c>
      <c r="L20" s="16" t="str">
        <f t="shared" si="5"/>
        <v>БГ-0,07</v>
      </c>
      <c r="M20" s="16" t="str">
        <f t="shared" si="6"/>
        <v>БГ-С-0,07/0,07</v>
      </c>
      <c r="N20" s="16" t="str">
        <f t="shared" si="6"/>
        <v>БГ-П-0,07/0,07</v>
      </c>
      <c r="O20" s="16" t="str">
        <f t="shared" si="7"/>
        <v>БОВГ-0,07</v>
      </c>
      <c r="P20" s="16" t="str">
        <f t="shared" si="8"/>
        <v>БОВГ-С-0,07/0,07</v>
      </c>
      <c r="Q20" s="16" t="str">
        <f t="shared" si="8"/>
        <v>БОВГ-П-0,07/0,07</v>
      </c>
    </row>
    <row r="21" spans="1:17" x14ac:dyDescent="0.25">
      <c r="A21" s="215">
        <v>0.75</v>
      </c>
      <c r="B21" s="216"/>
      <c r="C21" s="12" t="str">
        <f t="shared" si="2"/>
        <v>БВ-0,75-xx</v>
      </c>
      <c r="D21" s="12" t="str">
        <f t="shared" si="3"/>
        <v>БВ-0,75-РП</v>
      </c>
      <c r="E21" s="12" t="str">
        <f t="shared" si="3"/>
        <v>БВ-0,75-Рх</v>
      </c>
      <c r="F21" s="14" t="str">
        <f t="shared" si="3"/>
        <v>БВ-0,75-хП</v>
      </c>
      <c r="G21" s="17" t="str">
        <f t="shared" si="4"/>
        <v>БОВ-0,75-С</v>
      </c>
      <c r="H21" s="16" t="str">
        <f t="shared" si="4"/>
        <v>БОВ-0,75-Т</v>
      </c>
      <c r="I21" s="16" t="str">
        <f t="shared" si="4"/>
        <v>БОВ-0,75-Т-2(50%)</v>
      </c>
      <c r="J21" s="16" t="str">
        <f t="shared" si="4"/>
        <v>БОВ-0,75-Т-2(75%)</v>
      </c>
      <c r="K21" s="16" t="str">
        <f t="shared" si="4"/>
        <v>БОВ-0,75-Т-2(100%)</v>
      </c>
      <c r="L21" s="16" t="str">
        <f t="shared" si="5"/>
        <v>БГ-0,75</v>
      </c>
      <c r="M21" s="16" t="str">
        <f t="shared" si="6"/>
        <v>БГ-С-0,75/0,75</v>
      </c>
      <c r="N21" s="16" t="str">
        <f t="shared" si="6"/>
        <v>БГ-П-0,75/0,75</v>
      </c>
      <c r="O21" s="16" t="str">
        <f t="shared" si="7"/>
        <v>БОВГ-0,75</v>
      </c>
      <c r="P21" s="16" t="str">
        <f t="shared" si="8"/>
        <v>БОВГ-С-0,75/0,75</v>
      </c>
      <c r="Q21" s="16" t="str">
        <f t="shared" si="8"/>
        <v>БОВГ-П-0,75/0,75</v>
      </c>
    </row>
    <row r="22" spans="1:17" x14ac:dyDescent="0.25">
      <c r="A22" s="217" t="s">
        <v>17</v>
      </c>
      <c r="B22" s="216"/>
      <c r="C22" s="12" t="str">
        <f t="shared" si="2"/>
        <v>БВ-0,08-xx</v>
      </c>
      <c r="D22" s="12" t="str">
        <f t="shared" si="3"/>
        <v>БВ-0,08-РП</v>
      </c>
      <c r="E22" s="12" t="str">
        <f t="shared" si="3"/>
        <v>БВ-0,08-Рх</v>
      </c>
      <c r="F22" s="14" t="str">
        <f t="shared" si="3"/>
        <v>БВ-0,08-хП</v>
      </c>
      <c r="G22" s="17" t="str">
        <f t="shared" si="4"/>
        <v>БОВ-0,08-С</v>
      </c>
      <c r="H22" s="16" t="str">
        <f t="shared" si="4"/>
        <v>БОВ-0,08-Т</v>
      </c>
      <c r="I22" s="16" t="str">
        <f t="shared" si="4"/>
        <v>БОВ-0,08-Т-2(50%)</v>
      </c>
      <c r="J22" s="16" t="str">
        <f t="shared" si="4"/>
        <v>БОВ-0,08-Т-2(75%)</v>
      </c>
      <c r="K22" s="16" t="str">
        <f t="shared" si="4"/>
        <v>БОВ-0,08-Т-2(100%)</v>
      </c>
      <c r="L22" s="16" t="str">
        <f t="shared" si="5"/>
        <v>БГ-0,08</v>
      </c>
      <c r="M22" s="16" t="str">
        <f t="shared" si="6"/>
        <v>БГ-С-0,08/0,08</v>
      </c>
      <c r="N22" s="16" t="str">
        <f t="shared" si="6"/>
        <v>БГ-П-0,08/0,08</v>
      </c>
      <c r="O22" s="16" t="str">
        <f t="shared" si="7"/>
        <v>БОВГ-0,08</v>
      </c>
      <c r="P22" s="16" t="str">
        <f t="shared" si="8"/>
        <v>БОВГ-С-0,08/0,08</v>
      </c>
      <c r="Q22" s="16" t="str">
        <f t="shared" si="8"/>
        <v>БОВГ-П-0,08/0,08</v>
      </c>
    </row>
    <row r="23" spans="1:17" x14ac:dyDescent="0.25">
      <c r="A23" s="215">
        <v>0.85</v>
      </c>
      <c r="B23" s="216"/>
      <c r="C23" s="12" t="str">
        <f t="shared" si="2"/>
        <v>БВ-0,85-xx</v>
      </c>
      <c r="D23" s="12" t="str">
        <f t="shared" si="3"/>
        <v>БВ-0,85-РП</v>
      </c>
      <c r="E23" s="12" t="str">
        <f t="shared" si="3"/>
        <v>БВ-0,85-Рх</v>
      </c>
      <c r="F23" s="14" t="str">
        <f t="shared" si="3"/>
        <v>БВ-0,85-хП</v>
      </c>
      <c r="G23" s="17" t="str">
        <f t="shared" si="4"/>
        <v>БОВ-0,85-С</v>
      </c>
      <c r="H23" s="16" t="str">
        <f t="shared" si="4"/>
        <v>БОВ-0,85-Т</v>
      </c>
      <c r="I23" s="16" t="str">
        <f t="shared" si="4"/>
        <v>БОВ-0,85-Т-2(50%)</v>
      </c>
      <c r="J23" s="16" t="str">
        <f t="shared" si="4"/>
        <v>БОВ-0,85-Т-2(75%)</v>
      </c>
      <c r="K23" s="16" t="str">
        <f t="shared" si="4"/>
        <v>БОВ-0,85-Т-2(100%)</v>
      </c>
      <c r="L23" s="16" t="str">
        <f t="shared" si="5"/>
        <v>БГ-0,85</v>
      </c>
      <c r="M23" s="16" t="str">
        <f t="shared" si="6"/>
        <v>БГ-С-0,85/0,85</v>
      </c>
      <c r="N23" s="16" t="str">
        <f t="shared" si="6"/>
        <v>БГ-П-0,85/0,85</v>
      </c>
      <c r="O23" s="16" t="str">
        <f t="shared" si="7"/>
        <v>БОВГ-0,85</v>
      </c>
      <c r="P23" s="16" t="str">
        <f t="shared" si="8"/>
        <v>БОВГ-С-0,85/0,85</v>
      </c>
      <c r="Q23" s="16" t="str">
        <f t="shared" si="8"/>
        <v>БОВГ-П-0,85/0,85</v>
      </c>
    </row>
    <row r="24" spans="1:17" x14ac:dyDescent="0.25">
      <c r="A24" s="217" t="s">
        <v>22</v>
      </c>
      <c r="B24" s="216"/>
      <c r="C24" s="12" t="str">
        <f t="shared" si="2"/>
        <v>БВ-0,09-xx</v>
      </c>
      <c r="D24" s="12" t="str">
        <f t="shared" si="3"/>
        <v>БВ-0,09-РП</v>
      </c>
      <c r="E24" s="12" t="str">
        <f t="shared" si="3"/>
        <v>БВ-0,09-Рх</v>
      </c>
      <c r="F24" s="14" t="str">
        <f t="shared" si="3"/>
        <v>БВ-0,09-хП</v>
      </c>
      <c r="G24" s="17" t="str">
        <f t="shared" si="4"/>
        <v>БОВ-0,09-С</v>
      </c>
      <c r="H24" s="16" t="str">
        <f t="shared" si="4"/>
        <v>БОВ-0,09-Т</v>
      </c>
      <c r="I24" s="16" t="str">
        <f t="shared" si="4"/>
        <v>БОВ-0,09-Т-2(50%)</v>
      </c>
      <c r="J24" s="16" t="str">
        <f t="shared" si="4"/>
        <v>БОВ-0,09-Т-2(75%)</v>
      </c>
      <c r="K24" s="16" t="str">
        <f t="shared" si="4"/>
        <v>БОВ-0,09-Т-2(100%)</v>
      </c>
      <c r="L24" s="16" t="str">
        <f t="shared" si="5"/>
        <v>БГ-0,09</v>
      </c>
      <c r="M24" s="16" t="str">
        <f t="shared" si="6"/>
        <v>БГ-С-0,09/0,09</v>
      </c>
      <c r="N24" s="16" t="str">
        <f t="shared" si="6"/>
        <v>БГ-П-0,09/0,09</v>
      </c>
      <c r="O24" s="16" t="str">
        <f t="shared" si="7"/>
        <v>БОВГ-0,09</v>
      </c>
      <c r="P24" s="16" t="str">
        <f t="shared" si="8"/>
        <v>БОВГ-С-0,09/0,09</v>
      </c>
      <c r="Q24" s="16" t="str">
        <f t="shared" si="8"/>
        <v>БОВГ-П-0,09/0,09</v>
      </c>
    </row>
    <row r="25" spans="1:17" x14ac:dyDescent="0.25">
      <c r="A25" s="215">
        <v>0.95</v>
      </c>
      <c r="B25" s="216"/>
      <c r="C25" s="12" t="str">
        <f t="shared" si="2"/>
        <v>БВ-0,95-xx</v>
      </c>
      <c r="D25" s="12" t="str">
        <f t="shared" si="3"/>
        <v>БВ-0,95-РП</v>
      </c>
      <c r="E25" s="12" t="str">
        <f t="shared" si="3"/>
        <v>БВ-0,95-Рх</v>
      </c>
      <c r="F25" s="14" t="str">
        <f t="shared" si="3"/>
        <v>БВ-0,95-хП</v>
      </c>
      <c r="G25" s="17" t="str">
        <f t="shared" si="4"/>
        <v>БОВ-0,95-С</v>
      </c>
      <c r="H25" s="16" t="str">
        <f t="shared" si="4"/>
        <v>БОВ-0,95-Т</v>
      </c>
      <c r="I25" s="16" t="str">
        <f t="shared" si="4"/>
        <v>БОВ-0,95-Т-2(50%)</v>
      </c>
      <c r="J25" s="16" t="str">
        <f t="shared" si="4"/>
        <v>БОВ-0,95-Т-2(75%)</v>
      </c>
      <c r="K25" s="16" t="str">
        <f t="shared" si="4"/>
        <v>БОВ-0,95-Т-2(100%)</v>
      </c>
      <c r="L25" s="16" t="str">
        <f t="shared" si="5"/>
        <v>БГ-0,95</v>
      </c>
      <c r="M25" s="16" t="str">
        <f t="shared" si="6"/>
        <v>БГ-С-0,95/0,95</v>
      </c>
      <c r="N25" s="16" t="str">
        <f t="shared" si="6"/>
        <v>БГ-П-0,95/0,95</v>
      </c>
      <c r="O25" s="16" t="str">
        <f t="shared" si="7"/>
        <v>БОВГ-0,95</v>
      </c>
      <c r="P25" s="16" t="str">
        <f t="shared" si="8"/>
        <v>БОВГ-С-0,95/0,95</v>
      </c>
      <c r="Q25" s="16" t="str">
        <f t="shared" si="8"/>
        <v>БОВГ-П-0,95/0,95</v>
      </c>
    </row>
    <row r="26" spans="1:17" x14ac:dyDescent="0.25">
      <c r="A26" s="208" t="s">
        <v>23</v>
      </c>
      <c r="B26" s="207"/>
      <c r="C26" s="12" t="str">
        <f t="shared" si="2"/>
        <v>БВ-1,0-xx</v>
      </c>
      <c r="D26" s="12" t="str">
        <f t="shared" si="3"/>
        <v>БВ-1,0-РП</v>
      </c>
      <c r="E26" s="12" t="str">
        <f t="shared" si="3"/>
        <v>БВ-1,0-Рх</v>
      </c>
      <c r="F26" s="14" t="str">
        <f t="shared" si="3"/>
        <v>БВ-1,0-хП</v>
      </c>
      <c r="G26" s="17" t="str">
        <f t="shared" si="4"/>
        <v>БОВ-1,0-С</v>
      </c>
      <c r="H26" s="16" t="str">
        <f t="shared" si="4"/>
        <v>БОВ-1,0-Т</v>
      </c>
      <c r="I26" s="16" t="str">
        <f t="shared" si="4"/>
        <v>БОВ-1,0-Т-2(50%)</v>
      </c>
      <c r="J26" s="16" t="str">
        <f t="shared" si="4"/>
        <v>БОВ-1,0-Т-2(75%)</v>
      </c>
      <c r="K26" s="16" t="str">
        <f t="shared" si="4"/>
        <v>БОВ-1,0-Т-2(100%)</v>
      </c>
      <c r="L26" s="16" t="str">
        <f t="shared" si="5"/>
        <v>БГ-1,0</v>
      </c>
      <c r="M26" s="16" t="str">
        <f t="shared" si="6"/>
        <v>БГ-С-1,0/1,0</v>
      </c>
      <c r="N26" s="16" t="str">
        <f t="shared" si="6"/>
        <v>БГ-П-1,0/1,0</v>
      </c>
      <c r="O26" s="16" t="str">
        <f t="shared" si="7"/>
        <v>БОВГ-1,0</v>
      </c>
      <c r="P26" s="16" t="str">
        <f t="shared" si="8"/>
        <v>БОВГ-С-1,0/1,0</v>
      </c>
      <c r="Q26" s="16" t="str">
        <f t="shared" si="8"/>
        <v>БОВГ-П-1,0/1,0</v>
      </c>
    </row>
    <row r="27" spans="1:17" x14ac:dyDescent="0.25">
      <c r="A27" s="206">
        <v>1.1000000000000001</v>
      </c>
      <c r="B27" s="207"/>
      <c r="C27" s="12" t="str">
        <f t="shared" si="2"/>
        <v>БВ-1,1-xx</v>
      </c>
      <c r="D27" s="12" t="str">
        <f t="shared" si="3"/>
        <v>БВ-1,1-РП</v>
      </c>
      <c r="E27" s="12" t="str">
        <f t="shared" si="3"/>
        <v>БВ-1,1-Рх</v>
      </c>
      <c r="F27" s="14" t="str">
        <f t="shared" si="3"/>
        <v>БВ-1,1-хП</v>
      </c>
      <c r="G27" s="17" t="str">
        <f t="shared" si="4"/>
        <v>БОВ-1,1-С</v>
      </c>
      <c r="H27" s="16" t="str">
        <f t="shared" si="4"/>
        <v>БОВ-1,1-Т</v>
      </c>
      <c r="I27" s="16" t="str">
        <f t="shared" si="4"/>
        <v>БОВ-1,1-Т-2(50%)</v>
      </c>
      <c r="J27" s="16" t="str">
        <f t="shared" si="4"/>
        <v>БОВ-1,1-Т-2(75%)</v>
      </c>
      <c r="K27" s="16" t="str">
        <f t="shared" si="4"/>
        <v>БОВ-1,1-Т-2(100%)</v>
      </c>
      <c r="L27" s="16" t="str">
        <f t="shared" si="5"/>
        <v>БГ-1,1</v>
      </c>
      <c r="M27" s="16" t="str">
        <f t="shared" si="6"/>
        <v>БГ-С-1,1/1,1</v>
      </c>
      <c r="N27" s="16" t="str">
        <f t="shared" si="6"/>
        <v>БГ-П-1,1/1,1</v>
      </c>
      <c r="O27" s="16" t="str">
        <f t="shared" si="7"/>
        <v>БОВГ-1,1</v>
      </c>
      <c r="P27" s="16" t="str">
        <f t="shared" si="8"/>
        <v>БОВГ-С-1,1/1,1</v>
      </c>
      <c r="Q27" s="16" t="str">
        <f t="shared" si="8"/>
        <v>БОВГ-П-1,1/1,1</v>
      </c>
    </row>
    <row r="28" spans="1:17" x14ac:dyDescent="0.25">
      <c r="A28" s="206">
        <v>1.2</v>
      </c>
      <c r="B28" s="207"/>
      <c r="C28" s="12" t="str">
        <f t="shared" si="2"/>
        <v>БВ-1,2-xx</v>
      </c>
      <c r="D28" s="12" t="str">
        <f t="shared" si="3"/>
        <v>БВ-1,2-РП</v>
      </c>
      <c r="E28" s="12" t="str">
        <f t="shared" si="3"/>
        <v>БВ-1,2-Рх</v>
      </c>
      <c r="F28" s="14" t="str">
        <f t="shared" si="3"/>
        <v>БВ-1,2-хП</v>
      </c>
      <c r="G28" s="17" t="str">
        <f t="shared" si="4"/>
        <v>БОВ-1,2-С</v>
      </c>
      <c r="H28" s="16" t="str">
        <f t="shared" si="4"/>
        <v>БОВ-1,2-Т</v>
      </c>
      <c r="I28" s="16" t="str">
        <f t="shared" si="4"/>
        <v>БОВ-1,2-Т-2(50%)</v>
      </c>
      <c r="J28" s="16" t="str">
        <f t="shared" si="4"/>
        <v>БОВ-1,2-Т-2(75%)</v>
      </c>
      <c r="K28" s="16" t="str">
        <f t="shared" si="4"/>
        <v>БОВ-1,2-Т-2(100%)</v>
      </c>
      <c r="L28" s="16" t="str">
        <f t="shared" si="5"/>
        <v>БГ-1,2</v>
      </c>
      <c r="M28" s="16" t="str">
        <f t="shared" si="6"/>
        <v>БГ-С-1,2/1,2</v>
      </c>
      <c r="N28" s="16" t="str">
        <f t="shared" si="6"/>
        <v>БГ-П-1,2/1,2</v>
      </c>
      <c r="O28" s="16" t="str">
        <f t="shared" si="7"/>
        <v>БОВГ-1,2</v>
      </c>
      <c r="P28" s="16" t="str">
        <f t="shared" si="8"/>
        <v>БОВГ-С-1,2/1,2</v>
      </c>
      <c r="Q28" s="16" t="str">
        <f t="shared" si="8"/>
        <v>БОВГ-П-1,2/1,2</v>
      </c>
    </row>
    <row r="29" spans="1:17" x14ac:dyDescent="0.25">
      <c r="A29" s="206">
        <v>1.3</v>
      </c>
      <c r="B29" s="207"/>
      <c r="C29" s="12" t="str">
        <f t="shared" si="2"/>
        <v>БВ-1,3-xx</v>
      </c>
      <c r="D29" s="12" t="str">
        <f t="shared" si="3"/>
        <v>БВ-1,3-РП</v>
      </c>
      <c r="E29" s="12" t="str">
        <f t="shared" si="3"/>
        <v>БВ-1,3-Рх</v>
      </c>
      <c r="F29" s="14" t="str">
        <f t="shared" si="3"/>
        <v>БВ-1,3-хП</v>
      </c>
      <c r="G29" s="17" t="str">
        <f t="shared" si="4"/>
        <v>БОВ-1,3-С</v>
      </c>
      <c r="H29" s="16" t="str">
        <f t="shared" si="4"/>
        <v>БОВ-1,3-Т</v>
      </c>
      <c r="I29" s="16" t="str">
        <f t="shared" si="4"/>
        <v>БОВ-1,3-Т-2(50%)</v>
      </c>
      <c r="J29" s="16" t="str">
        <f t="shared" si="4"/>
        <v>БОВ-1,3-Т-2(75%)</v>
      </c>
      <c r="K29" s="16" t="str">
        <f t="shared" si="4"/>
        <v>БОВ-1,3-Т-2(100%)</v>
      </c>
      <c r="L29" s="16" t="str">
        <f t="shared" si="5"/>
        <v>БГ-1,3</v>
      </c>
      <c r="M29" s="16" t="str">
        <f t="shared" si="6"/>
        <v>БГ-С-1,3/1,3</v>
      </c>
      <c r="N29" s="16" t="str">
        <f t="shared" si="6"/>
        <v>БГ-П-1,3/1,3</v>
      </c>
      <c r="O29" s="16" t="str">
        <f t="shared" si="7"/>
        <v>БОВГ-1,3</v>
      </c>
      <c r="P29" s="16" t="str">
        <f t="shared" si="8"/>
        <v>БОВГ-С-1,3/1,3</v>
      </c>
      <c r="Q29" s="16" t="str">
        <f t="shared" si="8"/>
        <v>БОВГ-П-1,3/1,3</v>
      </c>
    </row>
    <row r="30" spans="1:17" x14ac:dyDescent="0.25">
      <c r="A30" s="206">
        <v>1.4</v>
      </c>
      <c r="B30" s="207"/>
      <c r="C30" s="12" t="str">
        <f t="shared" si="2"/>
        <v>БВ-1,4-xx</v>
      </c>
      <c r="D30" s="12" t="str">
        <f t="shared" si="3"/>
        <v>БВ-1,4-РП</v>
      </c>
      <c r="E30" s="12" t="str">
        <f t="shared" si="3"/>
        <v>БВ-1,4-Рх</v>
      </c>
      <c r="F30" s="14" t="str">
        <f t="shared" si="3"/>
        <v>БВ-1,4-хП</v>
      </c>
      <c r="G30" s="17" t="str">
        <f t="shared" si="4"/>
        <v>БОВ-1,4-С</v>
      </c>
      <c r="H30" s="16" t="str">
        <f t="shared" si="4"/>
        <v>БОВ-1,4-Т</v>
      </c>
      <c r="I30" s="16" t="str">
        <f t="shared" si="4"/>
        <v>БОВ-1,4-Т-2(50%)</v>
      </c>
      <c r="J30" s="16" t="str">
        <f t="shared" si="4"/>
        <v>БОВ-1,4-Т-2(75%)</v>
      </c>
      <c r="K30" s="16" t="str">
        <f t="shared" si="4"/>
        <v>БОВ-1,4-Т-2(100%)</v>
      </c>
      <c r="L30" s="16" t="str">
        <f t="shared" si="5"/>
        <v>БГ-1,4</v>
      </c>
      <c r="M30" s="16" t="str">
        <f t="shared" si="6"/>
        <v>БГ-С-1,4/1,4</v>
      </c>
      <c r="N30" s="16" t="str">
        <f t="shared" si="6"/>
        <v>БГ-П-1,4/1,4</v>
      </c>
      <c r="O30" s="16" t="str">
        <f t="shared" si="7"/>
        <v>БОВГ-1,4</v>
      </c>
      <c r="P30" s="16" t="str">
        <f t="shared" si="8"/>
        <v>БОВГ-С-1,4/1,4</v>
      </c>
      <c r="Q30" s="16" t="str">
        <f t="shared" si="8"/>
        <v>БОВГ-П-1,4/1,4</v>
      </c>
    </row>
    <row r="31" spans="1:17" x14ac:dyDescent="0.25">
      <c r="A31" s="206">
        <v>1.5</v>
      </c>
      <c r="B31" s="207"/>
      <c r="C31" s="12" t="str">
        <f t="shared" si="2"/>
        <v>БВ-1,5-xx</v>
      </c>
      <c r="D31" s="12" t="str">
        <f t="shared" si="3"/>
        <v>БВ-1,5-РП</v>
      </c>
      <c r="E31" s="12" t="str">
        <f t="shared" si="3"/>
        <v>БВ-1,5-Рх</v>
      </c>
      <c r="F31" s="14" t="str">
        <f t="shared" si="3"/>
        <v>БВ-1,5-хП</v>
      </c>
      <c r="G31" s="17" t="str">
        <f t="shared" si="4"/>
        <v>БОВ-1,5-С</v>
      </c>
      <c r="H31" s="16" t="str">
        <f t="shared" si="4"/>
        <v>БОВ-1,5-Т</v>
      </c>
      <c r="I31" s="16" t="str">
        <f t="shared" si="4"/>
        <v>БОВ-1,5-Т-2(50%)</v>
      </c>
      <c r="J31" s="16" t="str">
        <f t="shared" si="4"/>
        <v>БОВ-1,5-Т-2(75%)</v>
      </c>
      <c r="K31" s="16" t="str">
        <f t="shared" si="4"/>
        <v>БОВ-1,5-Т-2(100%)</v>
      </c>
      <c r="L31" s="16" t="str">
        <f t="shared" si="5"/>
        <v>БГ-1,5</v>
      </c>
      <c r="M31" s="16" t="str">
        <f t="shared" si="6"/>
        <v>БГ-С-1,5/1,5</v>
      </c>
      <c r="N31" s="16" t="str">
        <f t="shared" si="6"/>
        <v>БГ-П-1,5/1,5</v>
      </c>
      <c r="O31" s="16" t="str">
        <f t="shared" si="7"/>
        <v>БОВГ-1,5</v>
      </c>
      <c r="P31" s="16" t="str">
        <f t="shared" si="8"/>
        <v>БОВГ-С-1,5/1,5</v>
      </c>
      <c r="Q31" s="16" t="str">
        <f t="shared" si="8"/>
        <v>БОВГ-П-1,5/1,5</v>
      </c>
    </row>
    <row r="32" spans="1:17" x14ac:dyDescent="0.25">
      <c r="A32" s="206">
        <v>1.6</v>
      </c>
      <c r="B32" s="207"/>
      <c r="C32" s="12" t="str">
        <f t="shared" si="2"/>
        <v>БВ-1,6-xx</v>
      </c>
      <c r="D32" s="12" t="str">
        <f t="shared" si="3"/>
        <v>БВ-1,6-РП</v>
      </c>
      <c r="E32" s="12" t="str">
        <f t="shared" si="3"/>
        <v>БВ-1,6-Рх</v>
      </c>
      <c r="F32" s="14" t="str">
        <f t="shared" si="3"/>
        <v>БВ-1,6-хП</v>
      </c>
      <c r="G32" s="17" t="str">
        <f t="shared" si="4"/>
        <v>БОВ-1,6-С</v>
      </c>
      <c r="H32" s="16" t="str">
        <f t="shared" si="4"/>
        <v>БОВ-1,6-Т</v>
      </c>
      <c r="I32" s="16" t="str">
        <f t="shared" si="4"/>
        <v>БОВ-1,6-Т-2(50%)</v>
      </c>
      <c r="J32" s="16" t="str">
        <f t="shared" si="4"/>
        <v>БОВ-1,6-Т-2(75%)</v>
      </c>
      <c r="K32" s="16" t="str">
        <f t="shared" si="4"/>
        <v>БОВ-1,6-Т-2(100%)</v>
      </c>
      <c r="L32" s="16" t="str">
        <f t="shared" si="5"/>
        <v>БГ-1,6</v>
      </c>
      <c r="M32" s="16" t="str">
        <f t="shared" si="6"/>
        <v>БГ-С-1,6/1,6</v>
      </c>
      <c r="N32" s="16" t="str">
        <f t="shared" si="6"/>
        <v>БГ-П-1,6/1,6</v>
      </c>
      <c r="O32" s="16" t="str">
        <f t="shared" si="7"/>
        <v>БОВГ-1,6</v>
      </c>
      <c r="P32" s="16" t="str">
        <f t="shared" si="8"/>
        <v>БОВГ-С-1,6/1,6</v>
      </c>
      <c r="Q32" s="16" t="str">
        <f t="shared" si="8"/>
        <v>БОВГ-П-1,6/1,6</v>
      </c>
    </row>
    <row r="33" spans="1:17" x14ac:dyDescent="0.25">
      <c r="A33" s="206">
        <v>1.7</v>
      </c>
      <c r="B33" s="207"/>
      <c r="C33" s="12" t="str">
        <f t="shared" si="2"/>
        <v>БВ-1,7-xx</v>
      </c>
      <c r="D33" s="12" t="str">
        <f t="shared" si="3"/>
        <v>БВ-1,7-РП</v>
      </c>
      <c r="E33" s="12" t="str">
        <f t="shared" si="3"/>
        <v>БВ-1,7-Рх</v>
      </c>
      <c r="F33" s="14" t="str">
        <f t="shared" si="3"/>
        <v>БВ-1,7-хП</v>
      </c>
      <c r="G33" s="17" t="str">
        <f t="shared" si="4"/>
        <v>БОВ-1,7-С</v>
      </c>
      <c r="H33" s="16" t="str">
        <f t="shared" si="4"/>
        <v>БОВ-1,7-Т</v>
      </c>
      <c r="I33" s="16" t="str">
        <f t="shared" si="4"/>
        <v>БОВ-1,7-Т-2(50%)</v>
      </c>
      <c r="J33" s="16" t="str">
        <f t="shared" si="4"/>
        <v>БОВ-1,7-Т-2(75%)</v>
      </c>
      <c r="K33" s="16" t="str">
        <f t="shared" si="4"/>
        <v>БОВ-1,7-Т-2(100%)</v>
      </c>
      <c r="L33" s="16" t="str">
        <f t="shared" si="5"/>
        <v>БГ-1,7</v>
      </c>
      <c r="M33" s="16" t="str">
        <f t="shared" si="6"/>
        <v>БГ-С-1,7/1,7</v>
      </c>
      <c r="N33" s="16" t="str">
        <f t="shared" si="6"/>
        <v>БГ-П-1,7/1,7</v>
      </c>
      <c r="O33" s="16" t="str">
        <f t="shared" si="7"/>
        <v>БОВГ-1,7</v>
      </c>
      <c r="P33" s="16" t="str">
        <f t="shared" si="8"/>
        <v>БОВГ-С-1,7/1,7</v>
      </c>
      <c r="Q33" s="16" t="str">
        <f t="shared" si="8"/>
        <v>БОВГ-П-1,7/1,7</v>
      </c>
    </row>
    <row r="34" spans="1:17" x14ac:dyDescent="0.25">
      <c r="A34" s="206">
        <v>1.8</v>
      </c>
      <c r="B34" s="207"/>
      <c r="C34" s="12" t="str">
        <f t="shared" si="2"/>
        <v>БВ-1,8-xx</v>
      </c>
      <c r="D34" s="12" t="str">
        <f t="shared" si="3"/>
        <v>БВ-1,8-РП</v>
      </c>
      <c r="E34" s="12" t="str">
        <f t="shared" si="3"/>
        <v>БВ-1,8-Рх</v>
      </c>
      <c r="F34" s="14" t="str">
        <f t="shared" si="3"/>
        <v>БВ-1,8-хП</v>
      </c>
      <c r="G34" s="17" t="str">
        <f t="shared" si="4"/>
        <v>БОВ-1,8-С</v>
      </c>
      <c r="H34" s="16" t="str">
        <f t="shared" si="4"/>
        <v>БОВ-1,8-Т</v>
      </c>
      <c r="I34" s="16" t="str">
        <f t="shared" si="4"/>
        <v>БОВ-1,8-Т-2(50%)</v>
      </c>
      <c r="J34" s="16" t="str">
        <f t="shared" si="4"/>
        <v>БОВ-1,8-Т-2(75%)</v>
      </c>
      <c r="K34" s="16" t="str">
        <f t="shared" si="4"/>
        <v>БОВ-1,8-Т-2(100%)</v>
      </c>
      <c r="L34" s="16" t="str">
        <f t="shared" si="5"/>
        <v>БГ-1,8</v>
      </c>
      <c r="M34" s="16" t="str">
        <f t="shared" si="6"/>
        <v>БГ-С-1,8/1,8</v>
      </c>
      <c r="N34" s="16" t="str">
        <f t="shared" si="6"/>
        <v>БГ-П-1,8/1,8</v>
      </c>
      <c r="O34" s="16" t="str">
        <f t="shared" si="7"/>
        <v>БОВГ-1,8</v>
      </c>
      <c r="P34" s="16" t="str">
        <f t="shared" si="8"/>
        <v>БОВГ-С-1,8/1,8</v>
      </c>
      <c r="Q34" s="16" t="str">
        <f t="shared" si="8"/>
        <v>БОВГ-П-1,8/1,8</v>
      </c>
    </row>
    <row r="35" spans="1:17" x14ac:dyDescent="0.25">
      <c r="A35" s="206">
        <v>1.9</v>
      </c>
      <c r="B35" s="207"/>
      <c r="C35" s="12" t="str">
        <f t="shared" si="2"/>
        <v>БВ-1,9-xx</v>
      </c>
      <c r="D35" s="12" t="str">
        <f t="shared" si="3"/>
        <v>БВ-1,9-РП</v>
      </c>
      <c r="E35" s="12" t="str">
        <f t="shared" si="3"/>
        <v>БВ-1,9-Рх</v>
      </c>
      <c r="F35" s="14" t="str">
        <f t="shared" si="3"/>
        <v>БВ-1,9-хП</v>
      </c>
      <c r="G35" s="17" t="str">
        <f t="shared" si="4"/>
        <v>БОВ-1,9-С</v>
      </c>
      <c r="H35" s="16" t="str">
        <f t="shared" si="4"/>
        <v>БОВ-1,9-Т</v>
      </c>
      <c r="I35" s="16" t="str">
        <f t="shared" si="4"/>
        <v>БОВ-1,9-Т-2(50%)</v>
      </c>
      <c r="J35" s="16" t="str">
        <f t="shared" si="4"/>
        <v>БОВ-1,9-Т-2(75%)</v>
      </c>
      <c r="K35" s="16" t="str">
        <f t="shared" si="4"/>
        <v>БОВ-1,9-Т-2(100%)</v>
      </c>
      <c r="L35" s="16" t="str">
        <f t="shared" si="5"/>
        <v>БГ-1,9</v>
      </c>
      <c r="M35" s="16" t="str">
        <f t="shared" si="6"/>
        <v>БГ-С-1,9/1,9</v>
      </c>
      <c r="N35" s="16" t="str">
        <f t="shared" si="6"/>
        <v>БГ-П-1,9/1,9</v>
      </c>
      <c r="O35" s="16" t="str">
        <f t="shared" si="7"/>
        <v>БОВГ-1,9</v>
      </c>
      <c r="P35" s="16" t="str">
        <f t="shared" si="8"/>
        <v>БОВГ-С-1,9/1,9</v>
      </c>
      <c r="Q35" s="16" t="str">
        <f t="shared" si="8"/>
        <v>БОВГ-П-1,9/1,9</v>
      </c>
    </row>
    <row r="36" spans="1:17" x14ac:dyDescent="0.25">
      <c r="A36" s="208" t="s">
        <v>24</v>
      </c>
      <c r="B36" s="207"/>
      <c r="C36" s="12" t="str">
        <f t="shared" si="2"/>
        <v>БВ-2,0-xx</v>
      </c>
      <c r="D36" s="12" t="str">
        <f t="shared" si="3"/>
        <v>БВ-2,0-РП</v>
      </c>
      <c r="E36" s="12" t="str">
        <f t="shared" si="3"/>
        <v>БВ-2,0-Рх</v>
      </c>
      <c r="F36" s="14" t="str">
        <f t="shared" si="3"/>
        <v>БВ-2,0-хП</v>
      </c>
      <c r="G36" s="17" t="str">
        <f t="shared" si="4"/>
        <v>БОВ-2,0-С</v>
      </c>
      <c r="H36" s="16" t="str">
        <f t="shared" si="4"/>
        <v>БОВ-2,0-Т</v>
      </c>
      <c r="I36" s="16" t="str">
        <f t="shared" si="4"/>
        <v>БОВ-2,0-Т-2(50%)</v>
      </c>
      <c r="J36" s="16" t="str">
        <f t="shared" si="4"/>
        <v>БОВ-2,0-Т-2(75%)</v>
      </c>
      <c r="K36" s="16" t="str">
        <f t="shared" si="4"/>
        <v>БОВ-2,0-Т-2(100%)</v>
      </c>
      <c r="L36" s="16" t="str">
        <f t="shared" si="5"/>
        <v>БГ-2,0</v>
      </c>
      <c r="M36" s="16" t="str">
        <f t="shared" si="6"/>
        <v>БГ-С-2,0/2,0</v>
      </c>
      <c r="N36" s="16" t="str">
        <f t="shared" si="6"/>
        <v>БГ-П-2,0/2,0</v>
      </c>
      <c r="O36" s="16" t="str">
        <f t="shared" si="7"/>
        <v>БОВГ-2,0</v>
      </c>
      <c r="P36" s="16" t="str">
        <f t="shared" si="8"/>
        <v>БОВГ-С-2,0/2,0</v>
      </c>
      <c r="Q36" s="16" t="str">
        <f t="shared" si="8"/>
        <v>БОВГ-П-2,0/2,0</v>
      </c>
    </row>
    <row r="37" spans="1:17" x14ac:dyDescent="0.25">
      <c r="A37" s="206">
        <v>2.1</v>
      </c>
      <c r="B37" s="207"/>
      <c r="C37" s="12" t="str">
        <f t="shared" si="2"/>
        <v>БВ-2,1-xx</v>
      </c>
      <c r="D37" s="12" t="str">
        <f t="shared" ref="D37:F56" si="9">$C$1&amp;"-"&amp;$A37&amp;"-"&amp;D$2</f>
        <v>БВ-2,1-РП</v>
      </c>
      <c r="E37" s="12" t="str">
        <f t="shared" si="9"/>
        <v>БВ-2,1-Рх</v>
      </c>
      <c r="F37" s="14" t="str">
        <f t="shared" si="9"/>
        <v>БВ-2,1-хП</v>
      </c>
      <c r="G37" s="17" t="str">
        <f t="shared" ref="G37:K56" si="10">$G$1&amp;"-"&amp;$A37&amp;"-"&amp;G$2</f>
        <v>БОВ-2,1-С</v>
      </c>
      <c r="H37" s="16" t="str">
        <f t="shared" si="10"/>
        <v>БОВ-2,1-Т</v>
      </c>
      <c r="I37" s="16" t="str">
        <f t="shared" si="10"/>
        <v>БОВ-2,1-Т-2(50%)</v>
      </c>
      <c r="J37" s="16" t="str">
        <f t="shared" si="10"/>
        <v>БОВ-2,1-Т-2(75%)</v>
      </c>
      <c r="K37" s="16" t="str">
        <f t="shared" si="10"/>
        <v>БОВ-2,1-Т-2(100%)</v>
      </c>
      <c r="L37" s="16" t="str">
        <f t="shared" si="5"/>
        <v>БГ-2,1</v>
      </c>
      <c r="M37" s="16" t="str">
        <f t="shared" si="6"/>
        <v>БГ-С-2,1/2,1</v>
      </c>
      <c r="N37" s="16" t="str">
        <f t="shared" si="6"/>
        <v>БГ-П-2,1/2,1</v>
      </c>
      <c r="O37" s="16" t="str">
        <f t="shared" si="7"/>
        <v>БОВГ-2,1</v>
      </c>
      <c r="P37" s="16" t="str">
        <f t="shared" ref="P37:Q56" si="11">$O$1&amp;"-"&amp;P$2&amp;"-"&amp;$A37&amp;"/"&amp;$A37</f>
        <v>БОВГ-С-2,1/2,1</v>
      </c>
      <c r="Q37" s="16" t="str">
        <f t="shared" si="11"/>
        <v>БОВГ-П-2,1/2,1</v>
      </c>
    </row>
    <row r="38" spans="1:17" x14ac:dyDescent="0.25">
      <c r="A38" s="206">
        <v>2.2000000000000002</v>
      </c>
      <c r="B38" s="207"/>
      <c r="C38" s="12" t="str">
        <f t="shared" si="2"/>
        <v>БВ-2,2-xx</v>
      </c>
      <c r="D38" s="12" t="str">
        <f t="shared" si="9"/>
        <v>БВ-2,2-РП</v>
      </c>
      <c r="E38" s="12" t="str">
        <f t="shared" si="9"/>
        <v>БВ-2,2-Рх</v>
      </c>
      <c r="F38" s="14" t="str">
        <f t="shared" si="9"/>
        <v>БВ-2,2-хП</v>
      </c>
      <c r="G38" s="17" t="str">
        <f t="shared" si="10"/>
        <v>БОВ-2,2-С</v>
      </c>
      <c r="H38" s="16" t="str">
        <f t="shared" si="10"/>
        <v>БОВ-2,2-Т</v>
      </c>
      <c r="I38" s="16" t="str">
        <f t="shared" si="10"/>
        <v>БОВ-2,2-Т-2(50%)</v>
      </c>
      <c r="J38" s="16" t="str">
        <f t="shared" si="10"/>
        <v>БОВ-2,2-Т-2(75%)</v>
      </c>
      <c r="K38" s="16" t="str">
        <f t="shared" si="10"/>
        <v>БОВ-2,2-Т-2(100%)</v>
      </c>
      <c r="L38" s="16" t="str">
        <f t="shared" si="5"/>
        <v>БГ-2,2</v>
      </c>
      <c r="M38" s="16" t="str">
        <f t="shared" si="6"/>
        <v>БГ-С-2,2/2,2</v>
      </c>
      <c r="N38" s="16" t="str">
        <f t="shared" si="6"/>
        <v>БГ-П-2,2/2,2</v>
      </c>
      <c r="O38" s="16" t="str">
        <f t="shared" si="7"/>
        <v>БОВГ-2,2</v>
      </c>
      <c r="P38" s="16" t="str">
        <f t="shared" si="11"/>
        <v>БОВГ-С-2,2/2,2</v>
      </c>
      <c r="Q38" s="16" t="str">
        <f t="shared" si="11"/>
        <v>БОВГ-П-2,2/2,2</v>
      </c>
    </row>
    <row r="39" spans="1:17" x14ac:dyDescent="0.25">
      <c r="A39" s="206">
        <v>2.2999999999999998</v>
      </c>
      <c r="B39" s="207"/>
      <c r="C39" s="12" t="str">
        <f t="shared" si="2"/>
        <v>БВ-2,3-xx</v>
      </c>
      <c r="D39" s="12" t="str">
        <f t="shared" si="9"/>
        <v>БВ-2,3-РП</v>
      </c>
      <c r="E39" s="12" t="str">
        <f t="shared" si="9"/>
        <v>БВ-2,3-Рх</v>
      </c>
      <c r="F39" s="14" t="str">
        <f t="shared" si="9"/>
        <v>БВ-2,3-хП</v>
      </c>
      <c r="G39" s="17" t="str">
        <f t="shared" si="10"/>
        <v>БОВ-2,3-С</v>
      </c>
      <c r="H39" s="16" t="str">
        <f t="shared" si="10"/>
        <v>БОВ-2,3-Т</v>
      </c>
      <c r="I39" s="16" t="str">
        <f t="shared" si="10"/>
        <v>БОВ-2,3-Т-2(50%)</v>
      </c>
      <c r="J39" s="16" t="str">
        <f t="shared" si="10"/>
        <v>БОВ-2,3-Т-2(75%)</v>
      </c>
      <c r="K39" s="16" t="str">
        <f t="shared" si="10"/>
        <v>БОВ-2,3-Т-2(100%)</v>
      </c>
      <c r="L39" s="16" t="str">
        <f t="shared" si="5"/>
        <v>БГ-2,3</v>
      </c>
      <c r="M39" s="16" t="str">
        <f t="shared" si="6"/>
        <v>БГ-С-2,3/2,3</v>
      </c>
      <c r="N39" s="16" t="str">
        <f t="shared" si="6"/>
        <v>БГ-П-2,3/2,3</v>
      </c>
      <c r="O39" s="16" t="str">
        <f t="shared" si="7"/>
        <v>БОВГ-2,3</v>
      </c>
      <c r="P39" s="16" t="str">
        <f t="shared" si="11"/>
        <v>БОВГ-С-2,3/2,3</v>
      </c>
      <c r="Q39" s="16" t="str">
        <f t="shared" si="11"/>
        <v>БОВГ-П-2,3/2,3</v>
      </c>
    </row>
    <row r="40" spans="1:17" x14ac:dyDescent="0.25">
      <c r="A40" s="206">
        <v>2.4</v>
      </c>
      <c r="B40" s="207"/>
      <c r="C40" s="12" t="str">
        <f t="shared" si="2"/>
        <v>БВ-2,4-xx</v>
      </c>
      <c r="D40" s="12" t="str">
        <f t="shared" si="9"/>
        <v>БВ-2,4-РП</v>
      </c>
      <c r="E40" s="12" t="str">
        <f t="shared" si="9"/>
        <v>БВ-2,4-Рх</v>
      </c>
      <c r="F40" s="14" t="str">
        <f t="shared" si="9"/>
        <v>БВ-2,4-хП</v>
      </c>
      <c r="G40" s="17" t="str">
        <f t="shared" si="10"/>
        <v>БОВ-2,4-С</v>
      </c>
      <c r="H40" s="16" t="str">
        <f t="shared" si="10"/>
        <v>БОВ-2,4-Т</v>
      </c>
      <c r="I40" s="16" t="str">
        <f t="shared" si="10"/>
        <v>БОВ-2,4-Т-2(50%)</v>
      </c>
      <c r="J40" s="16" t="str">
        <f t="shared" si="10"/>
        <v>БОВ-2,4-Т-2(75%)</v>
      </c>
      <c r="K40" s="16" t="str">
        <f t="shared" si="10"/>
        <v>БОВ-2,4-Т-2(100%)</v>
      </c>
      <c r="L40" s="16" t="str">
        <f t="shared" si="5"/>
        <v>БГ-2,4</v>
      </c>
      <c r="M40" s="16" t="str">
        <f t="shared" si="6"/>
        <v>БГ-С-2,4/2,4</v>
      </c>
      <c r="N40" s="16" t="str">
        <f t="shared" si="6"/>
        <v>БГ-П-2,4/2,4</v>
      </c>
      <c r="O40" s="16" t="str">
        <f t="shared" si="7"/>
        <v>БОВГ-2,4</v>
      </c>
      <c r="P40" s="16" t="str">
        <f t="shared" si="11"/>
        <v>БОВГ-С-2,4/2,4</v>
      </c>
      <c r="Q40" s="16" t="str">
        <f t="shared" si="11"/>
        <v>БОВГ-П-2,4/2,4</v>
      </c>
    </row>
    <row r="41" spans="1:17" x14ac:dyDescent="0.25">
      <c r="A41" s="206">
        <v>2.5</v>
      </c>
      <c r="B41" s="207"/>
      <c r="C41" s="12" t="str">
        <f t="shared" si="2"/>
        <v>БВ-2,5-xx</v>
      </c>
      <c r="D41" s="12" t="str">
        <f t="shared" si="9"/>
        <v>БВ-2,5-РП</v>
      </c>
      <c r="E41" s="12" t="str">
        <f t="shared" si="9"/>
        <v>БВ-2,5-Рх</v>
      </c>
      <c r="F41" s="14" t="str">
        <f t="shared" si="9"/>
        <v>БВ-2,5-хП</v>
      </c>
      <c r="G41" s="17" t="str">
        <f t="shared" si="10"/>
        <v>БОВ-2,5-С</v>
      </c>
      <c r="H41" s="16" t="str">
        <f t="shared" si="10"/>
        <v>БОВ-2,5-Т</v>
      </c>
      <c r="I41" s="16" t="str">
        <f t="shared" si="10"/>
        <v>БОВ-2,5-Т-2(50%)</v>
      </c>
      <c r="J41" s="16" t="str">
        <f t="shared" si="10"/>
        <v>БОВ-2,5-Т-2(75%)</v>
      </c>
      <c r="K41" s="16" t="str">
        <f t="shared" si="10"/>
        <v>БОВ-2,5-Т-2(100%)</v>
      </c>
      <c r="L41" s="16" t="str">
        <f t="shared" si="5"/>
        <v>БГ-2,5</v>
      </c>
      <c r="M41" s="16" t="str">
        <f t="shared" si="6"/>
        <v>БГ-С-2,5/2,5</v>
      </c>
      <c r="N41" s="16" t="str">
        <f t="shared" si="6"/>
        <v>БГ-П-2,5/2,5</v>
      </c>
      <c r="O41" s="16" t="str">
        <f t="shared" si="7"/>
        <v>БОВГ-2,5</v>
      </c>
      <c r="P41" s="16" t="str">
        <f t="shared" si="11"/>
        <v>БОВГ-С-2,5/2,5</v>
      </c>
      <c r="Q41" s="16" t="str">
        <f t="shared" si="11"/>
        <v>БОВГ-П-2,5/2,5</v>
      </c>
    </row>
    <row r="42" spans="1:17" x14ac:dyDescent="0.25">
      <c r="A42" s="206">
        <v>2.6</v>
      </c>
      <c r="B42" s="207"/>
      <c r="C42" s="12" t="str">
        <f t="shared" si="2"/>
        <v>БВ-2,6-xx</v>
      </c>
      <c r="D42" s="12" t="str">
        <f t="shared" si="9"/>
        <v>БВ-2,6-РП</v>
      </c>
      <c r="E42" s="12" t="str">
        <f t="shared" si="9"/>
        <v>БВ-2,6-Рх</v>
      </c>
      <c r="F42" s="14" t="str">
        <f t="shared" si="9"/>
        <v>БВ-2,6-хП</v>
      </c>
      <c r="G42" s="17" t="str">
        <f t="shared" si="10"/>
        <v>БОВ-2,6-С</v>
      </c>
      <c r="H42" s="16" t="str">
        <f t="shared" si="10"/>
        <v>БОВ-2,6-Т</v>
      </c>
      <c r="I42" s="16" t="str">
        <f t="shared" si="10"/>
        <v>БОВ-2,6-Т-2(50%)</v>
      </c>
      <c r="J42" s="16" t="str">
        <f t="shared" si="10"/>
        <v>БОВ-2,6-Т-2(75%)</v>
      </c>
      <c r="K42" s="16" t="str">
        <f t="shared" si="10"/>
        <v>БОВ-2,6-Т-2(100%)</v>
      </c>
      <c r="L42" s="16" t="str">
        <f t="shared" si="5"/>
        <v>БГ-2,6</v>
      </c>
      <c r="M42" s="16" t="str">
        <f t="shared" si="6"/>
        <v>БГ-С-2,6/2,6</v>
      </c>
      <c r="N42" s="16" t="str">
        <f t="shared" si="6"/>
        <v>БГ-П-2,6/2,6</v>
      </c>
      <c r="O42" s="16" t="str">
        <f t="shared" si="7"/>
        <v>БОВГ-2,6</v>
      </c>
      <c r="P42" s="16" t="str">
        <f t="shared" si="11"/>
        <v>БОВГ-С-2,6/2,6</v>
      </c>
      <c r="Q42" s="16" t="str">
        <f t="shared" si="11"/>
        <v>БОВГ-П-2,6/2,6</v>
      </c>
    </row>
    <row r="43" spans="1:17" x14ac:dyDescent="0.25">
      <c r="A43" s="206">
        <v>2.7</v>
      </c>
      <c r="B43" s="207"/>
      <c r="C43" s="12" t="str">
        <f t="shared" si="2"/>
        <v>БВ-2,7-xx</v>
      </c>
      <c r="D43" s="12" t="str">
        <f t="shared" si="9"/>
        <v>БВ-2,7-РП</v>
      </c>
      <c r="E43" s="12" t="str">
        <f t="shared" si="9"/>
        <v>БВ-2,7-Рх</v>
      </c>
      <c r="F43" s="14" t="str">
        <f t="shared" si="9"/>
        <v>БВ-2,7-хП</v>
      </c>
      <c r="G43" s="17" t="str">
        <f t="shared" si="10"/>
        <v>БОВ-2,7-С</v>
      </c>
      <c r="H43" s="16" t="str">
        <f t="shared" si="10"/>
        <v>БОВ-2,7-Т</v>
      </c>
      <c r="I43" s="16" t="str">
        <f t="shared" si="10"/>
        <v>БОВ-2,7-Т-2(50%)</v>
      </c>
      <c r="J43" s="16" t="str">
        <f t="shared" si="10"/>
        <v>БОВ-2,7-Т-2(75%)</v>
      </c>
      <c r="K43" s="16" t="str">
        <f t="shared" si="10"/>
        <v>БОВ-2,7-Т-2(100%)</v>
      </c>
      <c r="L43" s="16" t="str">
        <f t="shared" si="5"/>
        <v>БГ-2,7</v>
      </c>
      <c r="M43" s="16" t="str">
        <f t="shared" si="6"/>
        <v>БГ-С-2,7/2,7</v>
      </c>
      <c r="N43" s="16" t="str">
        <f t="shared" si="6"/>
        <v>БГ-П-2,7/2,7</v>
      </c>
      <c r="O43" s="16" t="str">
        <f t="shared" si="7"/>
        <v>БОВГ-2,7</v>
      </c>
      <c r="P43" s="16" t="str">
        <f t="shared" si="11"/>
        <v>БОВГ-С-2,7/2,7</v>
      </c>
      <c r="Q43" s="16" t="str">
        <f t="shared" si="11"/>
        <v>БОВГ-П-2,7/2,7</v>
      </c>
    </row>
    <row r="44" spans="1:17" x14ac:dyDescent="0.25">
      <c r="A44" s="206">
        <v>2.8</v>
      </c>
      <c r="B44" s="207"/>
      <c r="C44" s="12" t="str">
        <f t="shared" si="2"/>
        <v>БВ-2,8-xx</v>
      </c>
      <c r="D44" s="12" t="str">
        <f t="shared" si="9"/>
        <v>БВ-2,8-РП</v>
      </c>
      <c r="E44" s="12" t="str">
        <f t="shared" si="9"/>
        <v>БВ-2,8-Рх</v>
      </c>
      <c r="F44" s="14" t="str">
        <f t="shared" si="9"/>
        <v>БВ-2,8-хП</v>
      </c>
      <c r="G44" s="17" t="str">
        <f t="shared" si="10"/>
        <v>БОВ-2,8-С</v>
      </c>
      <c r="H44" s="16" t="str">
        <f t="shared" si="10"/>
        <v>БОВ-2,8-Т</v>
      </c>
      <c r="I44" s="16" t="str">
        <f t="shared" si="10"/>
        <v>БОВ-2,8-Т-2(50%)</v>
      </c>
      <c r="J44" s="16" t="str">
        <f t="shared" si="10"/>
        <v>БОВ-2,8-Т-2(75%)</v>
      </c>
      <c r="K44" s="16" t="str">
        <f t="shared" si="10"/>
        <v>БОВ-2,8-Т-2(100%)</v>
      </c>
      <c r="L44" s="16" t="str">
        <f t="shared" si="5"/>
        <v>БГ-2,8</v>
      </c>
      <c r="M44" s="16" t="str">
        <f t="shared" si="6"/>
        <v>БГ-С-2,8/2,8</v>
      </c>
      <c r="N44" s="16" t="str">
        <f t="shared" si="6"/>
        <v>БГ-П-2,8/2,8</v>
      </c>
      <c r="O44" s="16" t="str">
        <f t="shared" si="7"/>
        <v>БОВГ-2,8</v>
      </c>
      <c r="P44" s="16" t="str">
        <f t="shared" si="11"/>
        <v>БОВГ-С-2,8/2,8</v>
      </c>
      <c r="Q44" s="16" t="str">
        <f t="shared" si="11"/>
        <v>БОВГ-П-2,8/2,8</v>
      </c>
    </row>
    <row r="45" spans="1:17" x14ac:dyDescent="0.25">
      <c r="A45" s="206">
        <v>2.9</v>
      </c>
      <c r="B45" s="207"/>
      <c r="C45" s="12" t="str">
        <f t="shared" si="2"/>
        <v>БВ-2,9-xx</v>
      </c>
      <c r="D45" s="12" t="str">
        <f t="shared" si="9"/>
        <v>БВ-2,9-РП</v>
      </c>
      <c r="E45" s="12" t="str">
        <f t="shared" si="9"/>
        <v>БВ-2,9-Рх</v>
      </c>
      <c r="F45" s="14" t="str">
        <f t="shared" si="9"/>
        <v>БВ-2,9-хП</v>
      </c>
      <c r="G45" s="17" t="str">
        <f t="shared" si="10"/>
        <v>БОВ-2,9-С</v>
      </c>
      <c r="H45" s="16" t="str">
        <f t="shared" si="10"/>
        <v>БОВ-2,9-Т</v>
      </c>
      <c r="I45" s="16" t="str">
        <f t="shared" si="10"/>
        <v>БОВ-2,9-Т-2(50%)</v>
      </c>
      <c r="J45" s="16" t="str">
        <f t="shared" si="10"/>
        <v>БОВ-2,9-Т-2(75%)</v>
      </c>
      <c r="K45" s="16" t="str">
        <f t="shared" si="10"/>
        <v>БОВ-2,9-Т-2(100%)</v>
      </c>
      <c r="L45" s="16" t="str">
        <f t="shared" si="5"/>
        <v>БГ-2,9</v>
      </c>
      <c r="M45" s="16" t="str">
        <f t="shared" si="6"/>
        <v>БГ-С-2,9/2,9</v>
      </c>
      <c r="N45" s="16" t="str">
        <f t="shared" si="6"/>
        <v>БГ-П-2,9/2,9</v>
      </c>
      <c r="O45" s="16" t="str">
        <f t="shared" si="7"/>
        <v>БОВГ-2,9</v>
      </c>
      <c r="P45" s="16" t="str">
        <f t="shared" si="11"/>
        <v>БОВГ-С-2,9/2,9</v>
      </c>
      <c r="Q45" s="16" t="str">
        <f t="shared" si="11"/>
        <v>БОВГ-П-2,9/2,9</v>
      </c>
    </row>
    <row r="46" spans="1:17" x14ac:dyDescent="0.25">
      <c r="A46" s="208" t="s">
        <v>25</v>
      </c>
      <c r="B46" s="207"/>
      <c r="C46" s="12" t="str">
        <f t="shared" si="2"/>
        <v>БВ-3,0-xx</v>
      </c>
      <c r="D46" s="12" t="str">
        <f t="shared" si="9"/>
        <v>БВ-3,0-РП</v>
      </c>
      <c r="E46" s="12" t="str">
        <f t="shared" si="9"/>
        <v>БВ-3,0-Рх</v>
      </c>
      <c r="F46" s="14" t="str">
        <f t="shared" si="9"/>
        <v>БВ-3,0-хП</v>
      </c>
      <c r="G46" s="17" t="str">
        <f t="shared" si="10"/>
        <v>БОВ-3,0-С</v>
      </c>
      <c r="H46" s="16" t="str">
        <f t="shared" si="10"/>
        <v>БОВ-3,0-Т</v>
      </c>
      <c r="I46" s="16" t="str">
        <f t="shared" si="10"/>
        <v>БОВ-3,0-Т-2(50%)</v>
      </c>
      <c r="J46" s="16" t="str">
        <f t="shared" si="10"/>
        <v>БОВ-3,0-Т-2(75%)</v>
      </c>
      <c r="K46" s="16" t="str">
        <f t="shared" si="10"/>
        <v>БОВ-3,0-Т-2(100%)</v>
      </c>
      <c r="L46" s="16" t="str">
        <f t="shared" si="5"/>
        <v>БГ-3,0</v>
      </c>
      <c r="M46" s="16" t="str">
        <f t="shared" si="6"/>
        <v>БГ-С-3,0/3,0</v>
      </c>
      <c r="N46" s="16" t="str">
        <f t="shared" si="6"/>
        <v>БГ-П-3,0/3,0</v>
      </c>
      <c r="O46" s="16" t="str">
        <f t="shared" si="7"/>
        <v>БОВГ-3,0</v>
      </c>
      <c r="P46" s="16" t="str">
        <f t="shared" si="11"/>
        <v>БОВГ-С-3,0/3,0</v>
      </c>
      <c r="Q46" s="16" t="str">
        <f t="shared" si="11"/>
        <v>БОВГ-П-3,0/3,0</v>
      </c>
    </row>
    <row r="47" spans="1:17" x14ac:dyDescent="0.25">
      <c r="A47" s="206">
        <v>3.1</v>
      </c>
      <c r="B47" s="207"/>
      <c r="C47" s="12" t="str">
        <f t="shared" si="2"/>
        <v>БВ-3,1-xx</v>
      </c>
      <c r="D47" s="12" t="str">
        <f t="shared" si="9"/>
        <v>БВ-3,1-РП</v>
      </c>
      <c r="E47" s="12" t="str">
        <f t="shared" si="9"/>
        <v>БВ-3,1-Рх</v>
      </c>
      <c r="F47" s="14" t="str">
        <f t="shared" si="9"/>
        <v>БВ-3,1-хП</v>
      </c>
      <c r="G47" s="17" t="str">
        <f t="shared" si="10"/>
        <v>БОВ-3,1-С</v>
      </c>
      <c r="H47" s="16" t="str">
        <f t="shared" si="10"/>
        <v>БОВ-3,1-Т</v>
      </c>
      <c r="I47" s="16" t="str">
        <f t="shared" si="10"/>
        <v>БОВ-3,1-Т-2(50%)</v>
      </c>
      <c r="J47" s="16" t="str">
        <f t="shared" si="10"/>
        <v>БОВ-3,1-Т-2(75%)</v>
      </c>
      <c r="K47" s="16" t="str">
        <f t="shared" si="10"/>
        <v>БОВ-3,1-Т-2(100%)</v>
      </c>
      <c r="L47" s="16" t="str">
        <f t="shared" si="5"/>
        <v>БГ-3,1</v>
      </c>
      <c r="M47" s="16" t="str">
        <f t="shared" si="6"/>
        <v>БГ-С-3,1/3,1</v>
      </c>
      <c r="N47" s="16" t="str">
        <f t="shared" si="6"/>
        <v>БГ-П-3,1/3,1</v>
      </c>
      <c r="O47" s="16" t="str">
        <f t="shared" si="7"/>
        <v>БОВГ-3,1</v>
      </c>
      <c r="P47" s="16" t="str">
        <f t="shared" si="11"/>
        <v>БОВГ-С-3,1/3,1</v>
      </c>
      <c r="Q47" s="16" t="str">
        <f t="shared" si="11"/>
        <v>БОВГ-П-3,1/3,1</v>
      </c>
    </row>
    <row r="48" spans="1:17" x14ac:dyDescent="0.25">
      <c r="A48" s="206">
        <v>3.2</v>
      </c>
      <c r="B48" s="207"/>
      <c r="C48" s="12" t="str">
        <f t="shared" si="2"/>
        <v>БВ-3,2-xx</v>
      </c>
      <c r="D48" s="12" t="str">
        <f t="shared" si="9"/>
        <v>БВ-3,2-РП</v>
      </c>
      <c r="E48" s="12" t="str">
        <f t="shared" si="9"/>
        <v>БВ-3,2-Рх</v>
      </c>
      <c r="F48" s="14" t="str">
        <f t="shared" si="9"/>
        <v>БВ-3,2-хП</v>
      </c>
      <c r="G48" s="17" t="str">
        <f t="shared" si="10"/>
        <v>БОВ-3,2-С</v>
      </c>
      <c r="H48" s="16" t="str">
        <f t="shared" si="10"/>
        <v>БОВ-3,2-Т</v>
      </c>
      <c r="I48" s="16" t="str">
        <f t="shared" si="10"/>
        <v>БОВ-3,2-Т-2(50%)</v>
      </c>
      <c r="J48" s="16" t="str">
        <f t="shared" si="10"/>
        <v>БОВ-3,2-Т-2(75%)</v>
      </c>
      <c r="K48" s="16" t="str">
        <f t="shared" si="10"/>
        <v>БОВ-3,2-Т-2(100%)</v>
      </c>
      <c r="L48" s="16" t="str">
        <f t="shared" si="5"/>
        <v>БГ-3,2</v>
      </c>
      <c r="M48" s="16" t="str">
        <f t="shared" si="6"/>
        <v>БГ-С-3,2/3,2</v>
      </c>
      <c r="N48" s="16" t="str">
        <f t="shared" si="6"/>
        <v>БГ-П-3,2/3,2</v>
      </c>
      <c r="O48" s="16" t="str">
        <f t="shared" si="7"/>
        <v>БОВГ-3,2</v>
      </c>
      <c r="P48" s="16" t="str">
        <f t="shared" si="11"/>
        <v>БОВГ-С-3,2/3,2</v>
      </c>
      <c r="Q48" s="16" t="str">
        <f t="shared" si="11"/>
        <v>БОВГ-П-3,2/3,2</v>
      </c>
    </row>
    <row r="49" spans="1:17" x14ac:dyDescent="0.25">
      <c r="A49" s="206">
        <v>3.3</v>
      </c>
      <c r="B49" s="207"/>
      <c r="C49" s="12" t="str">
        <f t="shared" si="2"/>
        <v>БВ-3,3-xx</v>
      </c>
      <c r="D49" s="12" t="str">
        <f t="shared" si="9"/>
        <v>БВ-3,3-РП</v>
      </c>
      <c r="E49" s="12" t="str">
        <f t="shared" si="9"/>
        <v>БВ-3,3-Рх</v>
      </c>
      <c r="F49" s="14" t="str">
        <f t="shared" si="9"/>
        <v>БВ-3,3-хП</v>
      </c>
      <c r="G49" s="17" t="str">
        <f t="shared" si="10"/>
        <v>БОВ-3,3-С</v>
      </c>
      <c r="H49" s="16" t="str">
        <f t="shared" si="10"/>
        <v>БОВ-3,3-Т</v>
      </c>
      <c r="I49" s="16" t="str">
        <f t="shared" si="10"/>
        <v>БОВ-3,3-Т-2(50%)</v>
      </c>
      <c r="J49" s="16" t="str">
        <f t="shared" si="10"/>
        <v>БОВ-3,3-Т-2(75%)</v>
      </c>
      <c r="K49" s="16" t="str">
        <f t="shared" si="10"/>
        <v>БОВ-3,3-Т-2(100%)</v>
      </c>
      <c r="L49" s="16" t="str">
        <f t="shared" si="5"/>
        <v>БГ-3,3</v>
      </c>
      <c r="M49" s="16" t="str">
        <f t="shared" si="6"/>
        <v>БГ-С-3,3/3,3</v>
      </c>
      <c r="N49" s="16" t="str">
        <f t="shared" si="6"/>
        <v>БГ-П-3,3/3,3</v>
      </c>
      <c r="O49" s="16" t="str">
        <f t="shared" si="7"/>
        <v>БОВГ-3,3</v>
      </c>
      <c r="P49" s="16" t="str">
        <f t="shared" si="11"/>
        <v>БОВГ-С-3,3/3,3</v>
      </c>
      <c r="Q49" s="16" t="str">
        <f t="shared" si="11"/>
        <v>БОВГ-П-3,3/3,3</v>
      </c>
    </row>
    <row r="50" spans="1:17" x14ac:dyDescent="0.25">
      <c r="A50" s="206">
        <v>3.4</v>
      </c>
      <c r="B50" s="207"/>
      <c r="C50" s="12" t="str">
        <f t="shared" si="2"/>
        <v>БВ-3,4-xx</v>
      </c>
      <c r="D50" s="12" t="str">
        <f t="shared" si="9"/>
        <v>БВ-3,4-РП</v>
      </c>
      <c r="E50" s="12" t="str">
        <f t="shared" si="9"/>
        <v>БВ-3,4-Рх</v>
      </c>
      <c r="F50" s="14" t="str">
        <f t="shared" si="9"/>
        <v>БВ-3,4-хП</v>
      </c>
      <c r="G50" s="17" t="str">
        <f t="shared" si="10"/>
        <v>БОВ-3,4-С</v>
      </c>
      <c r="H50" s="16" t="str">
        <f t="shared" si="10"/>
        <v>БОВ-3,4-Т</v>
      </c>
      <c r="I50" s="16" t="str">
        <f t="shared" si="10"/>
        <v>БОВ-3,4-Т-2(50%)</v>
      </c>
      <c r="J50" s="16" t="str">
        <f t="shared" si="10"/>
        <v>БОВ-3,4-Т-2(75%)</v>
      </c>
      <c r="K50" s="16" t="str">
        <f t="shared" si="10"/>
        <v>БОВ-3,4-Т-2(100%)</v>
      </c>
      <c r="L50" s="16" t="str">
        <f t="shared" si="5"/>
        <v>БГ-3,4</v>
      </c>
      <c r="M50" s="16" t="str">
        <f t="shared" si="6"/>
        <v>БГ-С-3,4/3,4</v>
      </c>
      <c r="N50" s="16" t="str">
        <f t="shared" si="6"/>
        <v>БГ-П-3,4/3,4</v>
      </c>
      <c r="O50" s="16" t="str">
        <f t="shared" si="7"/>
        <v>БОВГ-3,4</v>
      </c>
      <c r="P50" s="16" t="str">
        <f t="shared" si="11"/>
        <v>БОВГ-С-3,4/3,4</v>
      </c>
      <c r="Q50" s="16" t="str">
        <f t="shared" si="11"/>
        <v>БОВГ-П-3,4/3,4</v>
      </c>
    </row>
    <row r="51" spans="1:17" x14ac:dyDescent="0.25">
      <c r="A51" s="206">
        <v>3.5</v>
      </c>
      <c r="B51" s="207"/>
      <c r="C51" s="12" t="str">
        <f t="shared" si="2"/>
        <v>БВ-3,5-xx</v>
      </c>
      <c r="D51" s="12" t="str">
        <f t="shared" si="9"/>
        <v>БВ-3,5-РП</v>
      </c>
      <c r="E51" s="12" t="str">
        <f t="shared" si="9"/>
        <v>БВ-3,5-Рх</v>
      </c>
      <c r="F51" s="14" t="str">
        <f t="shared" si="9"/>
        <v>БВ-3,5-хП</v>
      </c>
      <c r="G51" s="17" t="str">
        <f t="shared" si="10"/>
        <v>БОВ-3,5-С</v>
      </c>
      <c r="H51" s="16" t="str">
        <f t="shared" si="10"/>
        <v>БОВ-3,5-Т</v>
      </c>
      <c r="I51" s="16" t="str">
        <f t="shared" si="10"/>
        <v>БОВ-3,5-Т-2(50%)</v>
      </c>
      <c r="J51" s="16" t="str">
        <f t="shared" si="10"/>
        <v>БОВ-3,5-Т-2(75%)</v>
      </c>
      <c r="K51" s="16" t="str">
        <f t="shared" si="10"/>
        <v>БОВ-3,5-Т-2(100%)</v>
      </c>
      <c r="L51" s="16" t="str">
        <f t="shared" si="5"/>
        <v>БГ-3,5</v>
      </c>
      <c r="M51" s="16" t="str">
        <f t="shared" si="6"/>
        <v>БГ-С-3,5/3,5</v>
      </c>
      <c r="N51" s="16" t="str">
        <f t="shared" si="6"/>
        <v>БГ-П-3,5/3,5</v>
      </c>
      <c r="O51" s="16" t="str">
        <f t="shared" si="7"/>
        <v>БОВГ-3,5</v>
      </c>
      <c r="P51" s="16" t="str">
        <f t="shared" si="11"/>
        <v>БОВГ-С-3,5/3,5</v>
      </c>
      <c r="Q51" s="16" t="str">
        <f t="shared" si="11"/>
        <v>БОВГ-П-3,5/3,5</v>
      </c>
    </row>
    <row r="52" spans="1:17" x14ac:dyDescent="0.25">
      <c r="A52" s="206">
        <v>3.6</v>
      </c>
      <c r="B52" s="207"/>
      <c r="C52" s="12" t="str">
        <f t="shared" si="2"/>
        <v>БВ-3,6-xx</v>
      </c>
      <c r="D52" s="12" t="str">
        <f t="shared" si="9"/>
        <v>БВ-3,6-РП</v>
      </c>
      <c r="E52" s="12" t="str">
        <f t="shared" si="9"/>
        <v>БВ-3,6-Рх</v>
      </c>
      <c r="F52" s="14" t="str">
        <f t="shared" si="9"/>
        <v>БВ-3,6-хП</v>
      </c>
      <c r="G52" s="17" t="str">
        <f t="shared" si="10"/>
        <v>БОВ-3,6-С</v>
      </c>
      <c r="H52" s="16" t="str">
        <f t="shared" si="10"/>
        <v>БОВ-3,6-Т</v>
      </c>
      <c r="I52" s="16" t="str">
        <f t="shared" si="10"/>
        <v>БОВ-3,6-Т-2(50%)</v>
      </c>
      <c r="J52" s="16" t="str">
        <f t="shared" si="10"/>
        <v>БОВ-3,6-Т-2(75%)</v>
      </c>
      <c r="K52" s="16" t="str">
        <f t="shared" si="10"/>
        <v>БОВ-3,6-Т-2(100%)</v>
      </c>
      <c r="L52" s="16" t="str">
        <f t="shared" si="5"/>
        <v>БГ-3,6</v>
      </c>
      <c r="M52" s="16" t="str">
        <f t="shared" si="6"/>
        <v>БГ-С-3,6/3,6</v>
      </c>
      <c r="N52" s="16" t="str">
        <f t="shared" si="6"/>
        <v>БГ-П-3,6/3,6</v>
      </c>
      <c r="O52" s="16" t="str">
        <f t="shared" si="7"/>
        <v>БОВГ-3,6</v>
      </c>
      <c r="P52" s="16" t="str">
        <f t="shared" si="11"/>
        <v>БОВГ-С-3,6/3,6</v>
      </c>
      <c r="Q52" s="16" t="str">
        <f t="shared" si="11"/>
        <v>БОВГ-П-3,6/3,6</v>
      </c>
    </row>
    <row r="53" spans="1:17" x14ac:dyDescent="0.25">
      <c r="A53" s="206">
        <v>3.7</v>
      </c>
      <c r="B53" s="207"/>
      <c r="C53" s="12" t="str">
        <f t="shared" si="2"/>
        <v>БВ-3,7-xx</v>
      </c>
      <c r="D53" s="12" t="str">
        <f t="shared" si="9"/>
        <v>БВ-3,7-РП</v>
      </c>
      <c r="E53" s="12" t="str">
        <f t="shared" si="9"/>
        <v>БВ-3,7-Рх</v>
      </c>
      <c r="F53" s="14" t="str">
        <f t="shared" si="9"/>
        <v>БВ-3,7-хП</v>
      </c>
      <c r="G53" s="17" t="str">
        <f t="shared" si="10"/>
        <v>БОВ-3,7-С</v>
      </c>
      <c r="H53" s="16" t="str">
        <f t="shared" si="10"/>
        <v>БОВ-3,7-Т</v>
      </c>
      <c r="I53" s="16" t="str">
        <f t="shared" si="10"/>
        <v>БОВ-3,7-Т-2(50%)</v>
      </c>
      <c r="J53" s="16" t="str">
        <f t="shared" si="10"/>
        <v>БОВ-3,7-Т-2(75%)</v>
      </c>
      <c r="K53" s="16" t="str">
        <f t="shared" si="10"/>
        <v>БОВ-3,7-Т-2(100%)</v>
      </c>
      <c r="L53" s="16" t="str">
        <f t="shared" si="5"/>
        <v>БГ-3,7</v>
      </c>
      <c r="M53" s="16" t="str">
        <f t="shared" si="6"/>
        <v>БГ-С-3,7/3,7</v>
      </c>
      <c r="N53" s="16" t="str">
        <f t="shared" si="6"/>
        <v>БГ-П-3,7/3,7</v>
      </c>
      <c r="O53" s="16" t="str">
        <f t="shared" si="7"/>
        <v>БОВГ-3,7</v>
      </c>
      <c r="P53" s="16" t="str">
        <f t="shared" si="11"/>
        <v>БОВГ-С-3,7/3,7</v>
      </c>
      <c r="Q53" s="16" t="str">
        <f t="shared" si="11"/>
        <v>БОВГ-П-3,7/3,7</v>
      </c>
    </row>
    <row r="54" spans="1:17" x14ac:dyDescent="0.25">
      <c r="A54" s="206">
        <v>3.8</v>
      </c>
      <c r="B54" s="207"/>
      <c r="C54" s="12" t="str">
        <f t="shared" si="2"/>
        <v>БВ-3,8-xx</v>
      </c>
      <c r="D54" s="12" t="str">
        <f t="shared" si="9"/>
        <v>БВ-3,8-РП</v>
      </c>
      <c r="E54" s="12" t="str">
        <f t="shared" si="9"/>
        <v>БВ-3,8-Рх</v>
      </c>
      <c r="F54" s="14" t="str">
        <f t="shared" si="9"/>
        <v>БВ-3,8-хП</v>
      </c>
      <c r="G54" s="17" t="str">
        <f t="shared" si="10"/>
        <v>БОВ-3,8-С</v>
      </c>
      <c r="H54" s="16" t="str">
        <f t="shared" si="10"/>
        <v>БОВ-3,8-Т</v>
      </c>
      <c r="I54" s="16" t="str">
        <f t="shared" si="10"/>
        <v>БОВ-3,8-Т-2(50%)</v>
      </c>
      <c r="J54" s="16" t="str">
        <f t="shared" si="10"/>
        <v>БОВ-3,8-Т-2(75%)</v>
      </c>
      <c r="K54" s="16" t="str">
        <f t="shared" si="10"/>
        <v>БОВ-3,8-Т-2(100%)</v>
      </c>
      <c r="L54" s="16" t="str">
        <f t="shared" si="5"/>
        <v>БГ-3,8</v>
      </c>
      <c r="M54" s="16" t="str">
        <f t="shared" si="6"/>
        <v>БГ-С-3,8/3,8</v>
      </c>
      <c r="N54" s="16" t="str">
        <f t="shared" si="6"/>
        <v>БГ-П-3,8/3,8</v>
      </c>
      <c r="O54" s="16" t="str">
        <f t="shared" si="7"/>
        <v>БОВГ-3,8</v>
      </c>
      <c r="P54" s="16" t="str">
        <f t="shared" si="11"/>
        <v>БОВГ-С-3,8/3,8</v>
      </c>
      <c r="Q54" s="16" t="str">
        <f t="shared" si="11"/>
        <v>БОВГ-П-3,8/3,8</v>
      </c>
    </row>
    <row r="55" spans="1:17" x14ac:dyDescent="0.25">
      <c r="A55" s="206">
        <v>3.9</v>
      </c>
      <c r="B55" s="207"/>
      <c r="C55" s="12" t="str">
        <f t="shared" si="2"/>
        <v>БВ-3,9-xx</v>
      </c>
      <c r="D55" s="12" t="str">
        <f t="shared" si="9"/>
        <v>БВ-3,9-РП</v>
      </c>
      <c r="E55" s="12" t="str">
        <f t="shared" si="9"/>
        <v>БВ-3,9-Рх</v>
      </c>
      <c r="F55" s="14" t="str">
        <f t="shared" si="9"/>
        <v>БВ-3,9-хП</v>
      </c>
      <c r="G55" s="17" t="str">
        <f t="shared" si="10"/>
        <v>БОВ-3,9-С</v>
      </c>
      <c r="H55" s="16" t="str">
        <f t="shared" si="10"/>
        <v>БОВ-3,9-Т</v>
      </c>
      <c r="I55" s="16" t="str">
        <f t="shared" si="10"/>
        <v>БОВ-3,9-Т-2(50%)</v>
      </c>
      <c r="J55" s="16" t="str">
        <f t="shared" si="10"/>
        <v>БОВ-3,9-Т-2(75%)</v>
      </c>
      <c r="K55" s="16" t="str">
        <f t="shared" si="10"/>
        <v>БОВ-3,9-Т-2(100%)</v>
      </c>
      <c r="L55" s="16" t="str">
        <f t="shared" si="5"/>
        <v>БГ-3,9</v>
      </c>
      <c r="M55" s="16" t="str">
        <f t="shared" si="6"/>
        <v>БГ-С-3,9/3,9</v>
      </c>
      <c r="N55" s="16" t="str">
        <f t="shared" si="6"/>
        <v>БГ-П-3,9/3,9</v>
      </c>
      <c r="O55" s="16" t="str">
        <f t="shared" si="7"/>
        <v>БОВГ-3,9</v>
      </c>
      <c r="P55" s="16" t="str">
        <f t="shared" si="11"/>
        <v>БОВГ-С-3,9/3,9</v>
      </c>
      <c r="Q55" s="16" t="str">
        <f t="shared" si="11"/>
        <v>БОВГ-П-3,9/3,9</v>
      </c>
    </row>
    <row r="56" spans="1:17" x14ac:dyDescent="0.25">
      <c r="A56" s="208" t="s">
        <v>26</v>
      </c>
      <c r="B56" s="207"/>
      <c r="C56" s="12" t="str">
        <f t="shared" si="2"/>
        <v>БВ-4,0-xx</v>
      </c>
      <c r="D56" s="12" t="str">
        <f t="shared" si="9"/>
        <v>БВ-4,0-РП</v>
      </c>
      <c r="E56" s="12" t="str">
        <f t="shared" si="9"/>
        <v>БВ-4,0-Рх</v>
      </c>
      <c r="F56" s="14" t="str">
        <f t="shared" si="9"/>
        <v>БВ-4,0-хП</v>
      </c>
      <c r="G56" s="17" t="str">
        <f t="shared" si="10"/>
        <v>БОВ-4,0-С</v>
      </c>
      <c r="H56" s="16" t="str">
        <f t="shared" si="10"/>
        <v>БОВ-4,0-Т</v>
      </c>
      <c r="I56" s="16" t="str">
        <f t="shared" si="10"/>
        <v>БОВ-4,0-Т-2(50%)</v>
      </c>
      <c r="J56" s="16" t="str">
        <f t="shared" si="10"/>
        <v>БОВ-4,0-Т-2(75%)</v>
      </c>
      <c r="K56" s="16" t="str">
        <f t="shared" si="10"/>
        <v>БОВ-4,0-Т-2(100%)</v>
      </c>
      <c r="L56" s="16" t="str">
        <f t="shared" si="5"/>
        <v>БГ-4,0</v>
      </c>
      <c r="M56" s="16" t="str">
        <f t="shared" si="6"/>
        <v>БГ-С-4,0/4,0</v>
      </c>
      <c r="N56" s="16" t="str">
        <f t="shared" si="6"/>
        <v>БГ-П-4,0/4,0</v>
      </c>
      <c r="O56" s="16" t="str">
        <f t="shared" si="7"/>
        <v>БОВГ-4,0</v>
      </c>
      <c r="P56" s="16" t="str">
        <f t="shared" si="11"/>
        <v>БОВГ-С-4,0/4,0</v>
      </c>
      <c r="Q56" s="16" t="str">
        <f t="shared" si="11"/>
        <v>БОВГ-П-4,0/4,0</v>
      </c>
    </row>
    <row r="57" spans="1:17" x14ac:dyDescent="0.25">
      <c r="A57" s="1"/>
      <c r="B57" s="2"/>
      <c r="C57" s="5"/>
      <c r="D57" s="5"/>
    </row>
    <row r="58" spans="1:17" x14ac:dyDescent="0.25">
      <c r="A58" s="1"/>
      <c r="B58" s="2"/>
      <c r="C58" s="5"/>
      <c r="D58" s="5"/>
    </row>
    <row r="59" spans="1:17" x14ac:dyDescent="0.25">
      <c r="A59" s="1"/>
      <c r="B59" s="2"/>
      <c r="C59" s="5"/>
      <c r="D59" s="5"/>
    </row>
    <row r="60" spans="1:17" x14ac:dyDescent="0.25">
      <c r="A60" s="211"/>
      <c r="B60" s="212"/>
      <c r="C60" s="5"/>
      <c r="D60" s="5"/>
    </row>
    <row r="61" spans="1:17" x14ac:dyDescent="0.25">
      <c r="A61" s="211"/>
      <c r="B61" s="212"/>
      <c r="C61" s="5"/>
      <c r="D61" s="5"/>
    </row>
    <row r="62" spans="1:17" x14ac:dyDescent="0.25">
      <c r="A62" s="211"/>
      <c r="B62" s="212"/>
      <c r="C62" s="5"/>
      <c r="D62" s="5"/>
    </row>
    <row r="63" spans="1:17" x14ac:dyDescent="0.25">
      <c r="A63" s="211"/>
      <c r="B63" s="212"/>
      <c r="C63" s="5"/>
      <c r="D63" s="5"/>
    </row>
    <row r="64" spans="1:17" x14ac:dyDescent="0.25">
      <c r="A64" s="211"/>
      <c r="B64" s="212"/>
      <c r="C64" s="5"/>
      <c r="D64" s="5"/>
    </row>
    <row r="65" spans="1:4" x14ac:dyDescent="0.25">
      <c r="A65" s="211"/>
      <c r="B65" s="212"/>
      <c r="C65" s="5"/>
      <c r="D65" s="5"/>
    </row>
    <row r="66" spans="1:4" x14ac:dyDescent="0.25">
      <c r="A66" s="211"/>
      <c r="B66" s="212"/>
      <c r="C66" s="5"/>
      <c r="D66" s="5"/>
    </row>
    <row r="67" spans="1:4" x14ac:dyDescent="0.25">
      <c r="A67" s="211"/>
      <c r="B67" s="212"/>
      <c r="C67" s="5"/>
      <c r="D67" s="5"/>
    </row>
    <row r="68" spans="1:4" x14ac:dyDescent="0.25">
      <c r="A68" s="211"/>
      <c r="B68" s="212"/>
      <c r="C68" s="5"/>
      <c r="D68" s="5"/>
    </row>
    <row r="69" spans="1:4" ht="15.75" thickBot="1" x14ac:dyDescent="0.3">
      <c r="A69" s="213"/>
      <c r="B69" s="214"/>
      <c r="C69" s="5"/>
      <c r="D69" s="5"/>
    </row>
  </sheetData>
  <mergeCells count="68">
    <mergeCell ref="A14:B14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26:B26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66:B66"/>
    <mergeCell ref="A67:B67"/>
    <mergeCell ref="A68:B68"/>
    <mergeCell ref="A69:B69"/>
    <mergeCell ref="A60:B60"/>
    <mergeCell ref="A61:B61"/>
    <mergeCell ref="A62:B62"/>
    <mergeCell ref="A63:B63"/>
    <mergeCell ref="A64:B64"/>
    <mergeCell ref="A65:B65"/>
    <mergeCell ref="C1:F1"/>
    <mergeCell ref="G1:K1"/>
    <mergeCell ref="L1:N1"/>
    <mergeCell ref="O1:Q1"/>
    <mergeCell ref="A51:B51"/>
    <mergeCell ref="A32:B32"/>
    <mergeCell ref="A33:B33"/>
    <mergeCell ref="A34:B34"/>
    <mergeCell ref="A35:B35"/>
    <mergeCell ref="A45:B45"/>
    <mergeCell ref="A46:B46"/>
    <mergeCell ref="A47:B47"/>
    <mergeCell ref="A48:B48"/>
    <mergeCell ref="A49:B49"/>
    <mergeCell ref="A50:B50"/>
    <mergeCell ref="A39:B39"/>
    <mergeCell ref="A27:B27"/>
    <mergeCell ref="A28:B28"/>
    <mergeCell ref="A29:B29"/>
    <mergeCell ref="A30:B30"/>
    <mergeCell ref="A31:B31"/>
    <mergeCell ref="A55:B55"/>
    <mergeCell ref="A56:B56"/>
    <mergeCell ref="A36:B36"/>
    <mergeCell ref="A37:B37"/>
    <mergeCell ref="A38:B38"/>
    <mergeCell ref="A52:B52"/>
    <mergeCell ref="A53:B53"/>
    <mergeCell ref="A54:B54"/>
    <mergeCell ref="A40:B40"/>
    <mergeCell ref="A41:B41"/>
    <mergeCell ref="A42:B42"/>
    <mergeCell ref="A43:B43"/>
    <mergeCell ref="A44:B4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B1:AJ35"/>
  <sheetViews>
    <sheetView workbookViewId="0">
      <selection activeCell="U8" sqref="I8:U8"/>
    </sheetView>
  </sheetViews>
  <sheetFormatPr defaultRowHeight="15" x14ac:dyDescent="0.25"/>
  <cols>
    <col min="1" max="16384" width="9.140625" style="19"/>
  </cols>
  <sheetData>
    <row r="1" spans="2:36" x14ac:dyDescent="0.25">
      <c r="C1" s="19">
        <v>0.05</v>
      </c>
      <c r="D1" s="19">
        <v>0.06</v>
      </c>
      <c r="E1" s="19">
        <v>7.0000000000000007E-2</v>
      </c>
      <c r="F1" s="19">
        <v>0.08</v>
      </c>
      <c r="G1" s="19">
        <v>0.09</v>
      </c>
      <c r="H1" s="19">
        <v>0.1</v>
      </c>
      <c r="I1" s="19">
        <v>0.15</v>
      </c>
      <c r="J1" s="19">
        <v>0.2</v>
      </c>
      <c r="K1" s="19">
        <v>0.25</v>
      </c>
      <c r="L1" s="19">
        <v>0.3</v>
      </c>
      <c r="M1" s="19">
        <v>0.35</v>
      </c>
      <c r="N1" s="19">
        <v>0.4</v>
      </c>
      <c r="O1" s="19">
        <v>0.45</v>
      </c>
      <c r="P1" s="19">
        <v>0.5</v>
      </c>
      <c r="Q1" s="19">
        <v>0.55000000000000004</v>
      </c>
      <c r="R1" s="19">
        <v>0.6</v>
      </c>
      <c r="S1" s="19">
        <v>0.65</v>
      </c>
      <c r="T1" s="19">
        <v>0.7</v>
      </c>
      <c r="U1" s="19">
        <v>0.75</v>
      </c>
      <c r="V1" s="19">
        <v>0.8</v>
      </c>
      <c r="W1" s="19">
        <v>0.85</v>
      </c>
      <c r="X1" s="19">
        <v>0.9</v>
      </c>
      <c r="Y1" s="19">
        <v>0.95</v>
      </c>
      <c r="Z1" s="19">
        <v>1</v>
      </c>
      <c r="AA1" s="19">
        <v>1.1000000000000001</v>
      </c>
      <c r="AB1" s="19">
        <v>1.2</v>
      </c>
      <c r="AC1" s="19">
        <v>1.3</v>
      </c>
      <c r="AD1" s="19">
        <v>1.4</v>
      </c>
      <c r="AE1" s="19">
        <v>1.5</v>
      </c>
      <c r="AF1" s="19">
        <v>1.6</v>
      </c>
      <c r="AG1" s="19">
        <v>1.7</v>
      </c>
      <c r="AH1" s="19">
        <v>1.8</v>
      </c>
      <c r="AI1" s="19">
        <v>1.9</v>
      </c>
      <c r="AJ1" s="19">
        <v>2</v>
      </c>
    </row>
    <row r="2" spans="2:36" x14ac:dyDescent="0.25">
      <c r="B2" s="19">
        <v>0.05</v>
      </c>
      <c r="C2" s="20">
        <f>$B2/C$1</f>
        <v>1</v>
      </c>
      <c r="D2" s="20">
        <f t="shared" ref="D2:AJ16" si="0">$B2/D$1</f>
        <v>0.83333333333333337</v>
      </c>
      <c r="E2" s="20">
        <f t="shared" si="0"/>
        <v>0.7142857142857143</v>
      </c>
      <c r="F2" s="20">
        <f t="shared" si="0"/>
        <v>0.625</v>
      </c>
      <c r="G2" s="20">
        <f t="shared" si="0"/>
        <v>0.55555555555555558</v>
      </c>
      <c r="H2" s="20">
        <f t="shared" si="0"/>
        <v>0.5</v>
      </c>
      <c r="I2" s="20">
        <f t="shared" si="0"/>
        <v>0.33333333333333337</v>
      </c>
      <c r="J2" s="20">
        <f t="shared" si="0"/>
        <v>0.25</v>
      </c>
      <c r="K2" s="20">
        <f t="shared" si="0"/>
        <v>0.2</v>
      </c>
    </row>
    <row r="3" spans="2:36" x14ac:dyDescent="0.25">
      <c r="B3" s="19">
        <v>0.06</v>
      </c>
      <c r="D3" s="20">
        <f t="shared" si="0"/>
        <v>1</v>
      </c>
      <c r="E3" s="20">
        <f t="shared" si="0"/>
        <v>0.85714285714285698</v>
      </c>
      <c r="F3" s="20">
        <f t="shared" si="0"/>
        <v>0.75</v>
      </c>
      <c r="G3" s="20">
        <f t="shared" si="0"/>
        <v>0.66666666666666663</v>
      </c>
      <c r="H3" s="20">
        <f t="shared" si="0"/>
        <v>0.6</v>
      </c>
      <c r="I3" s="20">
        <f t="shared" si="0"/>
        <v>0.4</v>
      </c>
      <c r="J3" s="20">
        <f t="shared" si="0"/>
        <v>0.3</v>
      </c>
      <c r="K3" s="20">
        <f t="shared" si="0"/>
        <v>0.24</v>
      </c>
      <c r="L3" s="20">
        <f t="shared" si="0"/>
        <v>0.2</v>
      </c>
      <c r="M3" s="21"/>
    </row>
    <row r="4" spans="2:36" x14ac:dyDescent="0.25">
      <c r="B4" s="19">
        <v>7.0000000000000007E-2</v>
      </c>
      <c r="E4" s="20">
        <f t="shared" si="0"/>
        <v>1</v>
      </c>
      <c r="F4" s="20">
        <f t="shared" si="0"/>
        <v>0.87500000000000011</v>
      </c>
      <c r="G4" s="20">
        <f t="shared" si="0"/>
        <v>0.7777777777777779</v>
      </c>
      <c r="H4" s="20">
        <f t="shared" si="0"/>
        <v>0.70000000000000007</v>
      </c>
      <c r="I4" s="20">
        <f t="shared" si="0"/>
        <v>0.46666666666666673</v>
      </c>
      <c r="J4" s="20">
        <f t="shared" si="0"/>
        <v>0.35000000000000003</v>
      </c>
      <c r="K4" s="20">
        <f t="shared" si="0"/>
        <v>0.28000000000000003</v>
      </c>
      <c r="L4" s="20">
        <f t="shared" si="0"/>
        <v>0.23333333333333336</v>
      </c>
      <c r="M4" s="20">
        <f t="shared" si="0"/>
        <v>0.20000000000000004</v>
      </c>
    </row>
    <row r="5" spans="2:36" x14ac:dyDescent="0.25">
      <c r="B5" s="19">
        <v>0.08</v>
      </c>
      <c r="F5" s="20">
        <f t="shared" si="0"/>
        <v>1</v>
      </c>
      <c r="G5" s="20">
        <f t="shared" si="0"/>
        <v>0.88888888888888895</v>
      </c>
      <c r="H5" s="20">
        <f t="shared" si="0"/>
        <v>0.79999999999999993</v>
      </c>
      <c r="I5" s="20">
        <f t="shared" si="0"/>
        <v>0.53333333333333333</v>
      </c>
      <c r="J5" s="20">
        <f t="shared" si="0"/>
        <v>0.39999999999999997</v>
      </c>
      <c r="K5" s="20">
        <f t="shared" si="0"/>
        <v>0.32</v>
      </c>
      <c r="L5" s="20">
        <f t="shared" si="0"/>
        <v>0.26666666666666666</v>
      </c>
      <c r="M5" s="20">
        <f t="shared" si="0"/>
        <v>0.22857142857142859</v>
      </c>
      <c r="N5" s="20">
        <f t="shared" si="0"/>
        <v>0.19999999999999998</v>
      </c>
    </row>
    <row r="6" spans="2:36" x14ac:dyDescent="0.25">
      <c r="B6" s="19">
        <v>0.09</v>
      </c>
      <c r="G6" s="20">
        <f t="shared" si="0"/>
        <v>1</v>
      </c>
      <c r="H6" s="20">
        <f t="shared" si="0"/>
        <v>0.89999999999999991</v>
      </c>
      <c r="I6" s="20">
        <f t="shared" si="0"/>
        <v>0.6</v>
      </c>
      <c r="J6" s="20">
        <f t="shared" si="0"/>
        <v>0.44999999999999996</v>
      </c>
      <c r="K6" s="20">
        <f t="shared" si="0"/>
        <v>0.36</v>
      </c>
      <c r="L6" s="20">
        <f t="shared" si="0"/>
        <v>0.3</v>
      </c>
      <c r="M6" s="20">
        <f t="shared" si="0"/>
        <v>0.25714285714285717</v>
      </c>
      <c r="N6" s="20">
        <f t="shared" si="0"/>
        <v>0.22499999999999998</v>
      </c>
      <c r="O6" s="20">
        <f t="shared" si="0"/>
        <v>0.19999999999999998</v>
      </c>
    </row>
    <row r="7" spans="2:36" x14ac:dyDescent="0.25">
      <c r="B7" s="19">
        <v>0.1</v>
      </c>
      <c r="H7" s="20">
        <f t="shared" si="0"/>
        <v>1</v>
      </c>
      <c r="I7" s="20">
        <f t="shared" si="0"/>
        <v>0.66666666666666674</v>
      </c>
      <c r="J7" s="20">
        <f t="shared" si="0"/>
        <v>0.5</v>
      </c>
      <c r="K7" s="20">
        <f t="shared" si="0"/>
        <v>0.4</v>
      </c>
      <c r="L7" s="20">
        <f t="shared" si="0"/>
        <v>0.33333333333333337</v>
      </c>
      <c r="M7" s="20">
        <f t="shared" si="0"/>
        <v>0.28571428571428575</v>
      </c>
      <c r="N7" s="20">
        <f t="shared" si="0"/>
        <v>0.25</v>
      </c>
      <c r="O7" s="20">
        <f t="shared" si="0"/>
        <v>0.22222222222222224</v>
      </c>
      <c r="P7" s="20">
        <f t="shared" si="0"/>
        <v>0.2</v>
      </c>
    </row>
    <row r="8" spans="2:36" x14ac:dyDescent="0.25">
      <c r="B8" s="19">
        <v>0.15</v>
      </c>
      <c r="I8" s="20">
        <f t="shared" si="0"/>
        <v>1</v>
      </c>
      <c r="J8" s="20">
        <f t="shared" si="0"/>
        <v>0.74999999999999989</v>
      </c>
      <c r="K8" s="20">
        <f t="shared" si="0"/>
        <v>0.6</v>
      </c>
      <c r="L8" s="20">
        <f t="shared" si="0"/>
        <v>0.5</v>
      </c>
      <c r="M8" s="20">
        <f t="shared" si="0"/>
        <v>0.4285714285714286</v>
      </c>
      <c r="N8" s="20">
        <f t="shared" si="0"/>
        <v>0.37499999999999994</v>
      </c>
      <c r="O8" s="20">
        <f t="shared" si="0"/>
        <v>0.33333333333333331</v>
      </c>
      <c r="P8" s="20">
        <f t="shared" si="0"/>
        <v>0.3</v>
      </c>
      <c r="Q8" s="20">
        <f t="shared" si="0"/>
        <v>0.27272727272727271</v>
      </c>
      <c r="R8" s="20">
        <f t="shared" si="0"/>
        <v>0.25</v>
      </c>
      <c r="S8" s="20">
        <f t="shared" si="0"/>
        <v>0.23076923076923075</v>
      </c>
      <c r="T8" s="20">
        <f t="shared" si="0"/>
        <v>0.2142857142857143</v>
      </c>
      <c r="U8" s="20">
        <f t="shared" si="0"/>
        <v>0.19999999999999998</v>
      </c>
    </row>
    <row r="9" spans="2:36" x14ac:dyDescent="0.25">
      <c r="B9" s="19">
        <v>0.2</v>
      </c>
      <c r="J9" s="20">
        <f t="shared" si="0"/>
        <v>1</v>
      </c>
      <c r="K9" s="20">
        <f t="shared" si="0"/>
        <v>0.8</v>
      </c>
      <c r="L9" s="20">
        <f t="shared" si="0"/>
        <v>0.66666666666666674</v>
      </c>
      <c r="M9" s="20">
        <f t="shared" si="0"/>
        <v>0.57142857142857151</v>
      </c>
      <c r="N9" s="20">
        <f t="shared" si="0"/>
        <v>0.5</v>
      </c>
      <c r="O9" s="20">
        <f t="shared" si="0"/>
        <v>0.44444444444444448</v>
      </c>
      <c r="P9" s="20">
        <f t="shared" si="0"/>
        <v>0.4</v>
      </c>
      <c r="Q9" s="20">
        <f t="shared" si="0"/>
        <v>0.36363636363636365</v>
      </c>
      <c r="R9" s="20">
        <f t="shared" si="0"/>
        <v>0.33333333333333337</v>
      </c>
      <c r="S9" s="20">
        <f t="shared" si="0"/>
        <v>0.30769230769230771</v>
      </c>
      <c r="T9" s="20">
        <f t="shared" si="0"/>
        <v>0.28571428571428575</v>
      </c>
      <c r="U9" s="20">
        <f t="shared" si="0"/>
        <v>0.26666666666666666</v>
      </c>
      <c r="V9" s="20">
        <f t="shared" si="0"/>
        <v>0.25</v>
      </c>
      <c r="W9" s="20">
        <f t="shared" si="0"/>
        <v>0.23529411764705885</v>
      </c>
      <c r="X9" s="20">
        <f t="shared" si="0"/>
        <v>0.22222222222222224</v>
      </c>
      <c r="Y9" s="20">
        <f t="shared" si="0"/>
        <v>0.2105263157894737</v>
      </c>
      <c r="Z9" s="20">
        <f t="shared" si="0"/>
        <v>0.2</v>
      </c>
    </row>
    <row r="10" spans="2:36" x14ac:dyDescent="0.25">
      <c r="B10" s="19">
        <v>0.25</v>
      </c>
      <c r="K10" s="20">
        <f t="shared" si="0"/>
        <v>1</v>
      </c>
      <c r="L10" s="20">
        <f t="shared" si="0"/>
        <v>0.83333333333333337</v>
      </c>
      <c r="M10" s="20">
        <f t="shared" si="0"/>
        <v>0.7142857142857143</v>
      </c>
      <c r="N10" s="20">
        <f t="shared" si="0"/>
        <v>0.625</v>
      </c>
      <c r="O10" s="20">
        <f t="shared" si="0"/>
        <v>0.55555555555555558</v>
      </c>
      <c r="P10" s="20">
        <f t="shared" si="0"/>
        <v>0.5</v>
      </c>
      <c r="Q10" s="20">
        <f t="shared" si="0"/>
        <v>0.45454545454545453</v>
      </c>
      <c r="R10" s="20">
        <f t="shared" si="0"/>
        <v>0.41666666666666669</v>
      </c>
      <c r="S10" s="20">
        <f t="shared" si="0"/>
        <v>0.38461538461538458</v>
      </c>
      <c r="T10" s="20">
        <f t="shared" si="0"/>
        <v>0.35714285714285715</v>
      </c>
      <c r="U10" s="20">
        <f t="shared" si="0"/>
        <v>0.33333333333333331</v>
      </c>
      <c r="V10" s="20">
        <f t="shared" si="0"/>
        <v>0.3125</v>
      </c>
      <c r="W10" s="20">
        <f t="shared" si="0"/>
        <v>0.29411764705882354</v>
      </c>
      <c r="X10" s="20">
        <f t="shared" si="0"/>
        <v>0.27777777777777779</v>
      </c>
      <c r="Y10" s="20">
        <f t="shared" si="0"/>
        <v>0.26315789473684209</v>
      </c>
      <c r="Z10" s="20">
        <f t="shared" si="0"/>
        <v>0.25</v>
      </c>
      <c r="AA10" s="20">
        <f t="shared" si="0"/>
        <v>0.22727272727272727</v>
      </c>
      <c r="AB10" s="20">
        <f t="shared" si="0"/>
        <v>0.20833333333333334</v>
      </c>
    </row>
    <row r="11" spans="2:36" x14ac:dyDescent="0.25">
      <c r="B11" s="19">
        <v>0.3</v>
      </c>
      <c r="L11" s="20">
        <f t="shared" si="0"/>
        <v>1</v>
      </c>
      <c r="M11" s="20">
        <f t="shared" si="0"/>
        <v>0.85714285714285721</v>
      </c>
      <c r="N11" s="20">
        <f t="shared" si="0"/>
        <v>0.74999999999999989</v>
      </c>
      <c r="O11" s="20">
        <f t="shared" si="0"/>
        <v>0.66666666666666663</v>
      </c>
      <c r="P11" s="20">
        <f t="shared" si="0"/>
        <v>0.6</v>
      </c>
      <c r="Q11" s="20">
        <f t="shared" si="0"/>
        <v>0.54545454545454541</v>
      </c>
      <c r="R11" s="20">
        <f t="shared" si="0"/>
        <v>0.5</v>
      </c>
      <c r="S11" s="20">
        <f t="shared" si="0"/>
        <v>0.46153846153846151</v>
      </c>
      <c r="T11" s="20">
        <f t="shared" si="0"/>
        <v>0.4285714285714286</v>
      </c>
      <c r="U11" s="20">
        <f t="shared" si="0"/>
        <v>0.39999999999999997</v>
      </c>
      <c r="V11" s="20">
        <f t="shared" si="0"/>
        <v>0.37499999999999994</v>
      </c>
      <c r="W11" s="20">
        <f t="shared" si="0"/>
        <v>0.35294117647058826</v>
      </c>
      <c r="X11" s="20">
        <f t="shared" si="0"/>
        <v>0.33333333333333331</v>
      </c>
      <c r="Y11" s="20">
        <f t="shared" si="0"/>
        <v>0.31578947368421051</v>
      </c>
      <c r="Z11" s="20">
        <f t="shared" si="0"/>
        <v>0.3</v>
      </c>
      <c r="AA11" s="20">
        <f t="shared" si="0"/>
        <v>0.27272727272727271</v>
      </c>
      <c r="AB11" s="20">
        <f t="shared" si="0"/>
        <v>0.25</v>
      </c>
      <c r="AC11" s="20">
        <f t="shared" si="0"/>
        <v>0.23076923076923075</v>
      </c>
      <c r="AD11" s="20">
        <f t="shared" si="0"/>
        <v>0.2142857142857143</v>
      </c>
      <c r="AE11" s="20">
        <f t="shared" si="0"/>
        <v>0.19999999999999998</v>
      </c>
    </row>
    <row r="12" spans="2:36" x14ac:dyDescent="0.25">
      <c r="B12" s="19">
        <v>0.35</v>
      </c>
      <c r="M12" s="20">
        <f t="shared" si="0"/>
        <v>1</v>
      </c>
      <c r="N12" s="20">
        <f t="shared" si="0"/>
        <v>0.87499999999999989</v>
      </c>
      <c r="O12" s="20">
        <f t="shared" si="0"/>
        <v>0.77777777777777768</v>
      </c>
      <c r="P12" s="20">
        <f t="shared" si="0"/>
        <v>0.7</v>
      </c>
      <c r="Q12" s="20">
        <f t="shared" si="0"/>
        <v>0.63636363636363624</v>
      </c>
      <c r="R12" s="20">
        <f t="shared" si="0"/>
        <v>0.58333333333333337</v>
      </c>
      <c r="S12" s="20">
        <f t="shared" si="0"/>
        <v>0.53846153846153844</v>
      </c>
      <c r="T12" s="20">
        <f t="shared" si="0"/>
        <v>0.5</v>
      </c>
      <c r="U12" s="20">
        <f t="shared" si="0"/>
        <v>0.46666666666666662</v>
      </c>
      <c r="V12" s="20">
        <f t="shared" si="0"/>
        <v>0.43749999999999994</v>
      </c>
      <c r="W12" s="20">
        <f t="shared" si="0"/>
        <v>0.41176470588235292</v>
      </c>
      <c r="X12" s="20">
        <f t="shared" si="0"/>
        <v>0.38888888888888884</v>
      </c>
      <c r="Y12" s="20">
        <f t="shared" si="0"/>
        <v>0.36842105263157893</v>
      </c>
      <c r="Z12" s="20">
        <f t="shared" si="0"/>
        <v>0.35</v>
      </c>
      <c r="AA12" s="20">
        <f t="shared" si="0"/>
        <v>0.31818181818181812</v>
      </c>
      <c r="AB12" s="20">
        <f t="shared" si="0"/>
        <v>0.29166666666666669</v>
      </c>
      <c r="AC12" s="20">
        <f t="shared" si="0"/>
        <v>0.26923076923076922</v>
      </c>
      <c r="AD12" s="20">
        <f t="shared" si="0"/>
        <v>0.25</v>
      </c>
      <c r="AE12" s="20">
        <f t="shared" si="0"/>
        <v>0.23333333333333331</v>
      </c>
      <c r="AF12" s="20">
        <f t="shared" si="0"/>
        <v>0.21874999999999997</v>
      </c>
      <c r="AG12" s="20">
        <f t="shared" si="0"/>
        <v>0.20588235294117646</v>
      </c>
    </row>
    <row r="13" spans="2:36" x14ac:dyDescent="0.25">
      <c r="B13" s="19">
        <v>0.4</v>
      </c>
      <c r="N13" s="20">
        <f t="shared" si="0"/>
        <v>1</v>
      </c>
      <c r="O13" s="20">
        <f t="shared" si="0"/>
        <v>0.88888888888888895</v>
      </c>
      <c r="P13" s="20">
        <f t="shared" si="0"/>
        <v>0.8</v>
      </c>
      <c r="Q13" s="20">
        <f t="shared" si="0"/>
        <v>0.72727272727272729</v>
      </c>
      <c r="R13" s="20">
        <f t="shared" si="0"/>
        <v>0.66666666666666674</v>
      </c>
      <c r="S13" s="20">
        <f t="shared" si="0"/>
        <v>0.61538461538461542</v>
      </c>
      <c r="T13" s="20">
        <f t="shared" si="0"/>
        <v>0.57142857142857151</v>
      </c>
      <c r="U13" s="20">
        <f t="shared" si="0"/>
        <v>0.53333333333333333</v>
      </c>
      <c r="V13" s="20">
        <f t="shared" si="0"/>
        <v>0.5</v>
      </c>
      <c r="W13" s="20">
        <f t="shared" si="0"/>
        <v>0.4705882352941177</v>
      </c>
      <c r="X13" s="20">
        <f t="shared" si="0"/>
        <v>0.44444444444444448</v>
      </c>
      <c r="Y13" s="20">
        <f t="shared" si="0"/>
        <v>0.4210526315789474</v>
      </c>
      <c r="Z13" s="20">
        <f t="shared" si="0"/>
        <v>0.4</v>
      </c>
      <c r="AA13" s="20">
        <f t="shared" si="0"/>
        <v>0.36363636363636365</v>
      </c>
      <c r="AB13" s="20">
        <f t="shared" si="0"/>
        <v>0.33333333333333337</v>
      </c>
      <c r="AC13" s="20">
        <f t="shared" si="0"/>
        <v>0.30769230769230771</v>
      </c>
      <c r="AD13" s="20">
        <f t="shared" si="0"/>
        <v>0.28571428571428575</v>
      </c>
      <c r="AE13" s="20">
        <f t="shared" si="0"/>
        <v>0.26666666666666666</v>
      </c>
      <c r="AF13" s="20">
        <f t="shared" si="0"/>
        <v>0.25</v>
      </c>
      <c r="AG13" s="20">
        <f t="shared" si="0"/>
        <v>0.23529411764705885</v>
      </c>
      <c r="AH13" s="20">
        <f t="shared" si="0"/>
        <v>0.22222222222222224</v>
      </c>
      <c r="AI13" s="20">
        <f t="shared" si="0"/>
        <v>0.2105263157894737</v>
      </c>
      <c r="AJ13" s="20">
        <f t="shared" si="0"/>
        <v>0.2</v>
      </c>
    </row>
    <row r="14" spans="2:36" x14ac:dyDescent="0.25">
      <c r="B14" s="19">
        <v>0.45</v>
      </c>
      <c r="O14" s="20">
        <f t="shared" si="0"/>
        <v>1</v>
      </c>
      <c r="P14" s="20">
        <f t="shared" si="0"/>
        <v>0.9</v>
      </c>
      <c r="Q14" s="20">
        <f t="shared" si="0"/>
        <v>0.81818181818181812</v>
      </c>
      <c r="R14" s="20">
        <f t="shared" si="0"/>
        <v>0.75</v>
      </c>
      <c r="S14" s="20">
        <f t="shared" si="0"/>
        <v>0.69230769230769229</v>
      </c>
      <c r="T14" s="20">
        <f t="shared" si="0"/>
        <v>0.6428571428571429</v>
      </c>
      <c r="U14" s="20">
        <f t="shared" si="0"/>
        <v>0.6</v>
      </c>
      <c r="V14" s="20">
        <f t="shared" si="0"/>
        <v>0.5625</v>
      </c>
      <c r="W14" s="20">
        <f t="shared" si="0"/>
        <v>0.52941176470588236</v>
      </c>
      <c r="X14" s="20">
        <f t="shared" si="0"/>
        <v>0.5</v>
      </c>
      <c r="Y14" s="20">
        <f t="shared" si="0"/>
        <v>0.47368421052631582</v>
      </c>
      <c r="Z14" s="20">
        <f t="shared" si="0"/>
        <v>0.45</v>
      </c>
      <c r="AA14" s="20">
        <f t="shared" si="0"/>
        <v>0.40909090909090906</v>
      </c>
      <c r="AB14" s="20">
        <f t="shared" si="0"/>
        <v>0.375</v>
      </c>
      <c r="AC14" s="20">
        <f t="shared" si="0"/>
        <v>0.34615384615384615</v>
      </c>
      <c r="AD14" s="20">
        <f t="shared" si="0"/>
        <v>0.32142857142857145</v>
      </c>
      <c r="AE14" s="20">
        <f t="shared" si="0"/>
        <v>0.3</v>
      </c>
      <c r="AF14" s="20">
        <f t="shared" si="0"/>
        <v>0.28125</v>
      </c>
      <c r="AG14" s="20">
        <f t="shared" si="0"/>
        <v>0.26470588235294118</v>
      </c>
      <c r="AH14" s="20">
        <f t="shared" si="0"/>
        <v>0.25</v>
      </c>
      <c r="AI14" s="20">
        <f t="shared" si="0"/>
        <v>0.23684210526315791</v>
      </c>
      <c r="AJ14" s="20">
        <f t="shared" si="0"/>
        <v>0.22500000000000001</v>
      </c>
    </row>
    <row r="15" spans="2:36" x14ac:dyDescent="0.25">
      <c r="B15" s="19">
        <v>0.5</v>
      </c>
      <c r="P15" s="20">
        <f t="shared" si="0"/>
        <v>1</v>
      </c>
      <c r="Q15" s="20">
        <f t="shared" si="0"/>
        <v>0.90909090909090906</v>
      </c>
      <c r="R15" s="20">
        <f t="shared" si="0"/>
        <v>0.83333333333333337</v>
      </c>
      <c r="S15" s="20">
        <f t="shared" si="0"/>
        <v>0.76923076923076916</v>
      </c>
      <c r="T15" s="20">
        <f t="shared" si="0"/>
        <v>0.7142857142857143</v>
      </c>
      <c r="U15" s="20">
        <f t="shared" si="0"/>
        <v>0.66666666666666663</v>
      </c>
      <c r="V15" s="20">
        <f t="shared" si="0"/>
        <v>0.625</v>
      </c>
      <c r="W15" s="20">
        <f t="shared" si="0"/>
        <v>0.58823529411764708</v>
      </c>
      <c r="X15" s="20">
        <f t="shared" si="0"/>
        <v>0.55555555555555558</v>
      </c>
      <c r="Y15" s="20">
        <f t="shared" si="0"/>
        <v>0.52631578947368418</v>
      </c>
      <c r="Z15" s="20">
        <f t="shared" si="0"/>
        <v>0.5</v>
      </c>
      <c r="AA15" s="20">
        <f t="shared" si="0"/>
        <v>0.45454545454545453</v>
      </c>
      <c r="AB15" s="20">
        <f t="shared" si="0"/>
        <v>0.41666666666666669</v>
      </c>
      <c r="AC15" s="20">
        <f t="shared" si="0"/>
        <v>0.38461538461538458</v>
      </c>
      <c r="AD15" s="20">
        <f t="shared" si="0"/>
        <v>0.35714285714285715</v>
      </c>
      <c r="AE15" s="20">
        <f t="shared" si="0"/>
        <v>0.33333333333333331</v>
      </c>
      <c r="AF15" s="20">
        <f t="shared" si="0"/>
        <v>0.3125</v>
      </c>
      <c r="AG15" s="20">
        <f t="shared" si="0"/>
        <v>0.29411764705882354</v>
      </c>
      <c r="AH15" s="20">
        <f t="shared" si="0"/>
        <v>0.27777777777777779</v>
      </c>
      <c r="AI15" s="20">
        <f t="shared" si="0"/>
        <v>0.26315789473684209</v>
      </c>
      <c r="AJ15" s="20">
        <f t="shared" si="0"/>
        <v>0.25</v>
      </c>
    </row>
    <row r="16" spans="2:36" x14ac:dyDescent="0.25">
      <c r="B16" s="19">
        <v>0.55000000000000004</v>
      </c>
      <c r="Q16" s="20">
        <f t="shared" si="0"/>
        <v>1</v>
      </c>
      <c r="R16" s="20">
        <f t="shared" si="0"/>
        <v>0.91666666666666674</v>
      </c>
      <c r="S16" s="20">
        <f t="shared" si="0"/>
        <v>0.84615384615384615</v>
      </c>
      <c r="T16" s="20">
        <f t="shared" si="0"/>
        <v>0.78571428571428581</v>
      </c>
      <c r="U16" s="20">
        <f t="shared" si="0"/>
        <v>0.73333333333333339</v>
      </c>
      <c r="V16" s="20">
        <f t="shared" si="0"/>
        <v>0.6875</v>
      </c>
      <c r="W16" s="20">
        <f t="shared" si="0"/>
        <v>0.6470588235294118</v>
      </c>
      <c r="X16" s="20">
        <f t="shared" si="0"/>
        <v>0.61111111111111116</v>
      </c>
      <c r="Y16" s="20">
        <f t="shared" si="0"/>
        <v>0.57894736842105265</v>
      </c>
      <c r="Z16" s="20">
        <f t="shared" si="0"/>
        <v>0.55000000000000004</v>
      </c>
      <c r="AA16" s="20">
        <f t="shared" si="0"/>
        <v>0.5</v>
      </c>
      <c r="AB16" s="20">
        <f t="shared" si="0"/>
        <v>0.45833333333333337</v>
      </c>
      <c r="AC16" s="20">
        <f t="shared" si="0"/>
        <v>0.42307692307692307</v>
      </c>
      <c r="AD16" s="20">
        <f t="shared" si="0"/>
        <v>0.3928571428571429</v>
      </c>
      <c r="AE16" s="20">
        <f t="shared" si="0"/>
        <v>0.3666666666666667</v>
      </c>
      <c r="AF16" s="20">
        <f t="shared" si="0"/>
        <v>0.34375</v>
      </c>
      <c r="AG16" s="20">
        <f t="shared" si="0"/>
        <v>0.3235294117647059</v>
      </c>
      <c r="AH16" s="20">
        <f t="shared" si="0"/>
        <v>0.30555555555555558</v>
      </c>
      <c r="AI16" s="20">
        <f t="shared" ref="AI16:AJ16" si="1">$B16/AI$1</f>
        <v>0.28947368421052633</v>
      </c>
      <c r="AJ16" s="20">
        <f t="shared" si="1"/>
        <v>0.27500000000000002</v>
      </c>
    </row>
    <row r="17" spans="2:36" x14ac:dyDescent="0.25">
      <c r="B17" s="19">
        <v>0.6</v>
      </c>
      <c r="R17" s="20">
        <f t="shared" ref="R17:AJ35" si="2">$B17/R$1</f>
        <v>1</v>
      </c>
      <c r="S17" s="20">
        <f t="shared" si="2"/>
        <v>0.92307692307692302</v>
      </c>
      <c r="T17" s="20">
        <f t="shared" si="2"/>
        <v>0.85714285714285721</v>
      </c>
      <c r="U17" s="20">
        <f t="shared" si="2"/>
        <v>0.79999999999999993</v>
      </c>
      <c r="V17" s="20">
        <f t="shared" si="2"/>
        <v>0.74999999999999989</v>
      </c>
      <c r="W17" s="20">
        <f t="shared" si="2"/>
        <v>0.70588235294117652</v>
      </c>
      <c r="X17" s="20">
        <f t="shared" si="2"/>
        <v>0.66666666666666663</v>
      </c>
      <c r="Y17" s="20">
        <f t="shared" si="2"/>
        <v>0.63157894736842102</v>
      </c>
      <c r="Z17" s="20">
        <f t="shared" si="2"/>
        <v>0.6</v>
      </c>
      <c r="AA17" s="20">
        <f t="shared" si="2"/>
        <v>0.54545454545454541</v>
      </c>
      <c r="AB17" s="20">
        <f t="shared" si="2"/>
        <v>0.5</v>
      </c>
      <c r="AC17" s="20">
        <f t="shared" si="2"/>
        <v>0.46153846153846151</v>
      </c>
      <c r="AD17" s="20">
        <f t="shared" si="2"/>
        <v>0.4285714285714286</v>
      </c>
      <c r="AE17" s="20">
        <f t="shared" si="2"/>
        <v>0.39999999999999997</v>
      </c>
      <c r="AF17" s="20">
        <f t="shared" si="2"/>
        <v>0.37499999999999994</v>
      </c>
      <c r="AG17" s="20">
        <f t="shared" si="2"/>
        <v>0.35294117647058826</v>
      </c>
      <c r="AH17" s="20">
        <f t="shared" si="2"/>
        <v>0.33333333333333331</v>
      </c>
      <c r="AI17" s="20">
        <f t="shared" si="2"/>
        <v>0.31578947368421051</v>
      </c>
      <c r="AJ17" s="20">
        <f t="shared" si="2"/>
        <v>0.3</v>
      </c>
    </row>
    <row r="18" spans="2:36" x14ac:dyDescent="0.25">
      <c r="B18" s="19">
        <v>0.65</v>
      </c>
      <c r="S18" s="20">
        <f t="shared" si="2"/>
        <v>1</v>
      </c>
      <c r="T18" s="20">
        <f t="shared" si="2"/>
        <v>0.92857142857142871</v>
      </c>
      <c r="U18" s="20">
        <f t="shared" si="2"/>
        <v>0.8666666666666667</v>
      </c>
      <c r="V18" s="20">
        <f t="shared" si="2"/>
        <v>0.8125</v>
      </c>
      <c r="W18" s="20">
        <f t="shared" si="2"/>
        <v>0.76470588235294124</v>
      </c>
      <c r="X18" s="20">
        <f t="shared" si="2"/>
        <v>0.72222222222222221</v>
      </c>
      <c r="Y18" s="20">
        <f t="shared" si="2"/>
        <v>0.68421052631578949</v>
      </c>
      <c r="Z18" s="20">
        <f t="shared" si="2"/>
        <v>0.65</v>
      </c>
      <c r="AA18" s="20">
        <f t="shared" si="2"/>
        <v>0.59090909090909083</v>
      </c>
      <c r="AB18" s="20">
        <f t="shared" si="2"/>
        <v>0.54166666666666674</v>
      </c>
      <c r="AC18" s="20">
        <f t="shared" si="2"/>
        <v>0.5</v>
      </c>
      <c r="AD18" s="20">
        <f t="shared" si="2"/>
        <v>0.46428571428571436</v>
      </c>
      <c r="AE18" s="20">
        <f t="shared" si="2"/>
        <v>0.43333333333333335</v>
      </c>
      <c r="AF18" s="20">
        <f t="shared" si="2"/>
        <v>0.40625</v>
      </c>
      <c r="AG18" s="20">
        <f t="shared" si="2"/>
        <v>0.38235294117647062</v>
      </c>
      <c r="AH18" s="20">
        <f t="shared" si="2"/>
        <v>0.3611111111111111</v>
      </c>
      <c r="AI18" s="20">
        <f t="shared" si="2"/>
        <v>0.34210526315789475</v>
      </c>
      <c r="AJ18" s="20">
        <f t="shared" si="2"/>
        <v>0.32500000000000001</v>
      </c>
    </row>
    <row r="19" spans="2:36" x14ac:dyDescent="0.25">
      <c r="B19" s="19">
        <v>0.7</v>
      </c>
      <c r="T19" s="20">
        <f t="shared" si="2"/>
        <v>1</v>
      </c>
      <c r="U19" s="20">
        <f t="shared" si="2"/>
        <v>0.93333333333333324</v>
      </c>
      <c r="V19" s="20">
        <f t="shared" si="2"/>
        <v>0.87499999999999989</v>
      </c>
      <c r="W19" s="20">
        <f t="shared" si="2"/>
        <v>0.82352941176470584</v>
      </c>
      <c r="X19" s="20">
        <f t="shared" si="2"/>
        <v>0.77777777777777768</v>
      </c>
      <c r="Y19" s="20">
        <f t="shared" si="2"/>
        <v>0.73684210526315785</v>
      </c>
      <c r="Z19" s="20">
        <f t="shared" si="2"/>
        <v>0.7</v>
      </c>
      <c r="AA19" s="20">
        <f t="shared" si="2"/>
        <v>0.63636363636363624</v>
      </c>
      <c r="AB19" s="20">
        <f t="shared" si="2"/>
        <v>0.58333333333333337</v>
      </c>
      <c r="AC19" s="20">
        <f t="shared" si="2"/>
        <v>0.53846153846153844</v>
      </c>
      <c r="AD19" s="20">
        <f t="shared" si="2"/>
        <v>0.5</v>
      </c>
      <c r="AE19" s="20">
        <f t="shared" si="2"/>
        <v>0.46666666666666662</v>
      </c>
      <c r="AF19" s="20">
        <f t="shared" si="2"/>
        <v>0.43749999999999994</v>
      </c>
      <c r="AG19" s="20">
        <f t="shared" si="2"/>
        <v>0.41176470588235292</v>
      </c>
      <c r="AH19" s="20">
        <f t="shared" si="2"/>
        <v>0.38888888888888884</v>
      </c>
      <c r="AI19" s="20">
        <f t="shared" si="2"/>
        <v>0.36842105263157893</v>
      </c>
      <c r="AJ19" s="20">
        <f t="shared" si="2"/>
        <v>0.35</v>
      </c>
    </row>
    <row r="20" spans="2:36" x14ac:dyDescent="0.25">
      <c r="B20" s="19">
        <v>0.75</v>
      </c>
      <c r="U20" s="20">
        <f t="shared" si="2"/>
        <v>1</v>
      </c>
      <c r="V20" s="20">
        <f t="shared" si="2"/>
        <v>0.9375</v>
      </c>
      <c r="W20" s="20">
        <f t="shared" si="2"/>
        <v>0.88235294117647056</v>
      </c>
      <c r="X20" s="20">
        <f t="shared" si="2"/>
        <v>0.83333333333333326</v>
      </c>
      <c r="Y20" s="20">
        <f t="shared" si="2"/>
        <v>0.78947368421052633</v>
      </c>
      <c r="Z20" s="20">
        <f t="shared" si="2"/>
        <v>0.75</v>
      </c>
      <c r="AA20" s="20">
        <f t="shared" si="2"/>
        <v>0.68181818181818177</v>
      </c>
      <c r="AB20" s="20">
        <f t="shared" si="2"/>
        <v>0.625</v>
      </c>
      <c r="AC20" s="20">
        <f t="shared" si="2"/>
        <v>0.57692307692307687</v>
      </c>
      <c r="AD20" s="20">
        <f t="shared" si="2"/>
        <v>0.5357142857142857</v>
      </c>
      <c r="AE20" s="20">
        <f t="shared" si="2"/>
        <v>0.5</v>
      </c>
      <c r="AF20" s="20">
        <f t="shared" si="2"/>
        <v>0.46875</v>
      </c>
      <c r="AG20" s="20">
        <f t="shared" si="2"/>
        <v>0.44117647058823528</v>
      </c>
      <c r="AH20" s="20">
        <f t="shared" si="2"/>
        <v>0.41666666666666663</v>
      </c>
      <c r="AI20" s="20">
        <f t="shared" si="2"/>
        <v>0.39473684210526316</v>
      </c>
      <c r="AJ20" s="20">
        <f t="shared" si="2"/>
        <v>0.375</v>
      </c>
    </row>
    <row r="21" spans="2:36" x14ac:dyDescent="0.25">
      <c r="B21" s="19">
        <v>0.8</v>
      </c>
      <c r="V21" s="20">
        <f t="shared" si="2"/>
        <v>1</v>
      </c>
      <c r="W21" s="20">
        <f t="shared" si="2"/>
        <v>0.94117647058823539</v>
      </c>
      <c r="X21" s="20">
        <f t="shared" si="2"/>
        <v>0.88888888888888895</v>
      </c>
      <c r="Y21" s="20">
        <f t="shared" si="2"/>
        <v>0.8421052631578948</v>
      </c>
      <c r="Z21" s="20">
        <f t="shared" si="2"/>
        <v>0.8</v>
      </c>
      <c r="AA21" s="20">
        <f t="shared" si="2"/>
        <v>0.72727272727272729</v>
      </c>
      <c r="AB21" s="20">
        <f t="shared" si="2"/>
        <v>0.66666666666666674</v>
      </c>
      <c r="AC21" s="20">
        <f t="shared" si="2"/>
        <v>0.61538461538461542</v>
      </c>
      <c r="AD21" s="20">
        <f t="shared" si="2"/>
        <v>0.57142857142857151</v>
      </c>
      <c r="AE21" s="20">
        <f t="shared" si="2"/>
        <v>0.53333333333333333</v>
      </c>
      <c r="AF21" s="20">
        <f t="shared" si="2"/>
        <v>0.5</v>
      </c>
      <c r="AG21" s="20">
        <f t="shared" si="2"/>
        <v>0.4705882352941177</v>
      </c>
      <c r="AH21" s="20">
        <f t="shared" si="2"/>
        <v>0.44444444444444448</v>
      </c>
      <c r="AI21" s="20">
        <f t="shared" si="2"/>
        <v>0.4210526315789474</v>
      </c>
      <c r="AJ21" s="20">
        <f t="shared" si="2"/>
        <v>0.4</v>
      </c>
    </row>
    <row r="22" spans="2:36" x14ac:dyDescent="0.25">
      <c r="B22" s="19">
        <v>0.85</v>
      </c>
      <c r="W22" s="20">
        <f t="shared" si="2"/>
        <v>1</v>
      </c>
      <c r="X22" s="20">
        <f t="shared" si="2"/>
        <v>0.94444444444444442</v>
      </c>
      <c r="Y22" s="20">
        <f t="shared" si="2"/>
        <v>0.89473684210526316</v>
      </c>
      <c r="Z22" s="20">
        <f t="shared" si="2"/>
        <v>0.85</v>
      </c>
      <c r="AA22" s="20">
        <f t="shared" si="2"/>
        <v>0.7727272727272726</v>
      </c>
      <c r="AB22" s="20">
        <f t="shared" si="2"/>
        <v>0.70833333333333337</v>
      </c>
      <c r="AC22" s="20">
        <f t="shared" si="2"/>
        <v>0.65384615384615385</v>
      </c>
      <c r="AD22" s="20">
        <f t="shared" si="2"/>
        <v>0.60714285714285721</v>
      </c>
      <c r="AE22" s="20">
        <f t="shared" si="2"/>
        <v>0.56666666666666665</v>
      </c>
      <c r="AF22" s="20">
        <f t="shared" si="2"/>
        <v>0.53125</v>
      </c>
      <c r="AG22" s="20">
        <f t="shared" si="2"/>
        <v>0.5</v>
      </c>
      <c r="AH22" s="20">
        <f t="shared" si="2"/>
        <v>0.47222222222222221</v>
      </c>
      <c r="AI22" s="20">
        <f t="shared" si="2"/>
        <v>0.44736842105263158</v>
      </c>
      <c r="AJ22" s="20">
        <f t="shared" si="2"/>
        <v>0.42499999999999999</v>
      </c>
    </row>
    <row r="23" spans="2:36" x14ac:dyDescent="0.25">
      <c r="B23" s="19">
        <v>0.9</v>
      </c>
      <c r="X23" s="20">
        <f t="shared" si="2"/>
        <v>1</v>
      </c>
      <c r="Y23" s="20">
        <f t="shared" si="2"/>
        <v>0.94736842105263164</v>
      </c>
      <c r="Z23" s="20">
        <f t="shared" si="2"/>
        <v>0.9</v>
      </c>
      <c r="AA23" s="20">
        <f t="shared" si="2"/>
        <v>0.81818181818181812</v>
      </c>
      <c r="AB23" s="20">
        <f t="shared" si="2"/>
        <v>0.75</v>
      </c>
      <c r="AC23" s="20">
        <f t="shared" si="2"/>
        <v>0.69230769230769229</v>
      </c>
      <c r="AD23" s="20">
        <f t="shared" si="2"/>
        <v>0.6428571428571429</v>
      </c>
      <c r="AE23" s="20">
        <f t="shared" si="2"/>
        <v>0.6</v>
      </c>
      <c r="AF23" s="20">
        <f t="shared" si="2"/>
        <v>0.5625</v>
      </c>
      <c r="AG23" s="20">
        <f t="shared" si="2"/>
        <v>0.52941176470588236</v>
      </c>
      <c r="AH23" s="20">
        <f t="shared" si="2"/>
        <v>0.5</v>
      </c>
      <c r="AI23" s="20">
        <f t="shared" si="2"/>
        <v>0.47368421052631582</v>
      </c>
      <c r="AJ23" s="20">
        <f t="shared" si="2"/>
        <v>0.45</v>
      </c>
    </row>
    <row r="24" spans="2:36" x14ac:dyDescent="0.25">
      <c r="B24" s="19">
        <v>0.95</v>
      </c>
      <c r="Y24" s="20">
        <f t="shared" si="2"/>
        <v>1</v>
      </c>
      <c r="Z24" s="20">
        <f t="shared" si="2"/>
        <v>0.95</v>
      </c>
      <c r="AA24" s="20">
        <f t="shared" si="2"/>
        <v>0.86363636363636354</v>
      </c>
      <c r="AB24" s="20">
        <f t="shared" si="2"/>
        <v>0.79166666666666663</v>
      </c>
      <c r="AC24" s="20">
        <f t="shared" si="2"/>
        <v>0.73076923076923073</v>
      </c>
      <c r="AD24" s="20">
        <f t="shared" si="2"/>
        <v>0.6785714285714286</v>
      </c>
      <c r="AE24" s="20">
        <f t="shared" si="2"/>
        <v>0.6333333333333333</v>
      </c>
      <c r="AF24" s="20">
        <f t="shared" si="2"/>
        <v>0.59374999999999989</v>
      </c>
      <c r="AG24" s="20">
        <f t="shared" si="2"/>
        <v>0.55882352941176472</v>
      </c>
      <c r="AH24" s="20">
        <f t="shared" si="2"/>
        <v>0.52777777777777779</v>
      </c>
      <c r="AI24" s="20">
        <f t="shared" si="2"/>
        <v>0.5</v>
      </c>
      <c r="AJ24" s="20">
        <f t="shared" si="2"/>
        <v>0.47499999999999998</v>
      </c>
    </row>
    <row r="25" spans="2:36" x14ac:dyDescent="0.25">
      <c r="B25" s="19">
        <v>1</v>
      </c>
      <c r="Z25" s="20">
        <f t="shared" si="2"/>
        <v>1</v>
      </c>
      <c r="AA25" s="20">
        <f t="shared" si="2"/>
        <v>0.90909090909090906</v>
      </c>
      <c r="AB25" s="20">
        <f t="shared" si="2"/>
        <v>0.83333333333333337</v>
      </c>
      <c r="AC25" s="20">
        <f t="shared" si="2"/>
        <v>0.76923076923076916</v>
      </c>
      <c r="AD25" s="20">
        <f t="shared" si="2"/>
        <v>0.7142857142857143</v>
      </c>
      <c r="AE25" s="20">
        <f t="shared" si="2"/>
        <v>0.66666666666666663</v>
      </c>
      <c r="AF25" s="20">
        <f t="shared" si="2"/>
        <v>0.625</v>
      </c>
      <c r="AG25" s="20">
        <f t="shared" si="2"/>
        <v>0.58823529411764708</v>
      </c>
      <c r="AH25" s="20">
        <f t="shared" si="2"/>
        <v>0.55555555555555558</v>
      </c>
      <c r="AI25" s="20">
        <f t="shared" si="2"/>
        <v>0.52631578947368418</v>
      </c>
      <c r="AJ25" s="20">
        <f t="shared" si="2"/>
        <v>0.5</v>
      </c>
    </row>
    <row r="26" spans="2:36" x14ac:dyDescent="0.25">
      <c r="B26" s="19">
        <v>1.1000000000000001</v>
      </c>
      <c r="AA26" s="20">
        <f t="shared" si="2"/>
        <v>1</v>
      </c>
      <c r="AB26" s="20">
        <f t="shared" si="2"/>
        <v>0.91666666666666674</v>
      </c>
      <c r="AC26" s="20">
        <f t="shared" si="2"/>
        <v>0.84615384615384615</v>
      </c>
      <c r="AD26" s="20">
        <f t="shared" si="2"/>
        <v>0.78571428571428581</v>
      </c>
      <c r="AE26" s="20">
        <f t="shared" si="2"/>
        <v>0.73333333333333339</v>
      </c>
      <c r="AF26" s="20">
        <f t="shared" si="2"/>
        <v>0.6875</v>
      </c>
      <c r="AG26" s="20">
        <f t="shared" si="2"/>
        <v>0.6470588235294118</v>
      </c>
      <c r="AH26" s="20">
        <f t="shared" si="2"/>
        <v>0.61111111111111116</v>
      </c>
      <c r="AI26" s="20">
        <f t="shared" si="2"/>
        <v>0.57894736842105265</v>
      </c>
      <c r="AJ26" s="20">
        <f t="shared" si="2"/>
        <v>0.55000000000000004</v>
      </c>
    </row>
    <row r="27" spans="2:36" x14ac:dyDescent="0.25">
      <c r="B27" s="19">
        <v>1.2</v>
      </c>
      <c r="AB27" s="20">
        <f t="shared" si="2"/>
        <v>1</v>
      </c>
      <c r="AC27" s="20">
        <f t="shared" si="2"/>
        <v>0.92307692307692302</v>
      </c>
      <c r="AD27" s="20">
        <f t="shared" si="2"/>
        <v>0.85714285714285721</v>
      </c>
      <c r="AE27" s="20">
        <f t="shared" si="2"/>
        <v>0.79999999999999993</v>
      </c>
      <c r="AF27" s="20">
        <f t="shared" si="2"/>
        <v>0.74999999999999989</v>
      </c>
      <c r="AG27" s="20">
        <f t="shared" si="2"/>
        <v>0.70588235294117652</v>
      </c>
      <c r="AH27" s="20">
        <f t="shared" si="2"/>
        <v>0.66666666666666663</v>
      </c>
      <c r="AI27" s="20">
        <f t="shared" si="2"/>
        <v>0.63157894736842102</v>
      </c>
      <c r="AJ27" s="20">
        <f t="shared" si="2"/>
        <v>0.6</v>
      </c>
    </row>
    <row r="28" spans="2:36" x14ac:dyDescent="0.25">
      <c r="B28" s="19">
        <v>1.3</v>
      </c>
      <c r="AC28" s="20">
        <f t="shared" si="2"/>
        <v>1</v>
      </c>
      <c r="AD28" s="20">
        <f t="shared" si="2"/>
        <v>0.92857142857142871</v>
      </c>
      <c r="AE28" s="20">
        <f t="shared" si="2"/>
        <v>0.8666666666666667</v>
      </c>
      <c r="AF28" s="20">
        <f t="shared" si="2"/>
        <v>0.8125</v>
      </c>
      <c r="AG28" s="20">
        <f t="shared" si="2"/>
        <v>0.76470588235294124</v>
      </c>
      <c r="AH28" s="20">
        <f t="shared" si="2"/>
        <v>0.72222222222222221</v>
      </c>
      <c r="AI28" s="20">
        <f t="shared" si="2"/>
        <v>0.68421052631578949</v>
      </c>
      <c r="AJ28" s="20">
        <f t="shared" si="2"/>
        <v>0.65</v>
      </c>
    </row>
    <row r="29" spans="2:36" x14ac:dyDescent="0.25">
      <c r="B29" s="19">
        <v>1.4</v>
      </c>
      <c r="AD29" s="20">
        <f t="shared" si="2"/>
        <v>1</v>
      </c>
      <c r="AE29" s="20">
        <f t="shared" si="2"/>
        <v>0.93333333333333324</v>
      </c>
      <c r="AF29" s="20">
        <f t="shared" si="2"/>
        <v>0.87499999999999989</v>
      </c>
      <c r="AG29" s="20">
        <f t="shared" si="2"/>
        <v>0.82352941176470584</v>
      </c>
      <c r="AH29" s="20">
        <f t="shared" si="2"/>
        <v>0.77777777777777768</v>
      </c>
      <c r="AI29" s="20">
        <f t="shared" si="2"/>
        <v>0.73684210526315785</v>
      </c>
      <c r="AJ29" s="20">
        <f t="shared" si="2"/>
        <v>0.7</v>
      </c>
    </row>
    <row r="30" spans="2:36" x14ac:dyDescent="0.25">
      <c r="B30" s="19">
        <v>1.5</v>
      </c>
      <c r="AE30" s="20">
        <f t="shared" si="2"/>
        <v>1</v>
      </c>
      <c r="AF30" s="20">
        <f t="shared" si="2"/>
        <v>0.9375</v>
      </c>
      <c r="AG30" s="20">
        <f t="shared" si="2"/>
        <v>0.88235294117647056</v>
      </c>
      <c r="AH30" s="20">
        <f t="shared" si="2"/>
        <v>0.83333333333333326</v>
      </c>
      <c r="AI30" s="20">
        <f t="shared" si="2"/>
        <v>0.78947368421052633</v>
      </c>
      <c r="AJ30" s="20">
        <f t="shared" si="2"/>
        <v>0.75</v>
      </c>
    </row>
    <row r="31" spans="2:36" x14ac:dyDescent="0.25">
      <c r="B31" s="19">
        <v>1.6</v>
      </c>
      <c r="AF31" s="20">
        <f t="shared" si="2"/>
        <v>1</v>
      </c>
      <c r="AG31" s="20">
        <f t="shared" si="2"/>
        <v>0.94117647058823539</v>
      </c>
      <c r="AH31" s="20">
        <f t="shared" si="2"/>
        <v>0.88888888888888895</v>
      </c>
      <c r="AI31" s="20">
        <f t="shared" si="2"/>
        <v>0.8421052631578948</v>
      </c>
      <c r="AJ31" s="20">
        <f t="shared" si="2"/>
        <v>0.8</v>
      </c>
    </row>
    <row r="32" spans="2:36" x14ac:dyDescent="0.25">
      <c r="B32" s="19">
        <v>1.7</v>
      </c>
      <c r="AG32" s="20">
        <f t="shared" si="2"/>
        <v>1</v>
      </c>
      <c r="AH32" s="20">
        <f t="shared" si="2"/>
        <v>0.94444444444444442</v>
      </c>
      <c r="AI32" s="20">
        <f t="shared" si="2"/>
        <v>0.89473684210526316</v>
      </c>
      <c r="AJ32" s="20">
        <f t="shared" si="2"/>
        <v>0.85</v>
      </c>
    </row>
    <row r="33" spans="2:36" x14ac:dyDescent="0.25">
      <c r="B33" s="19">
        <v>1.8</v>
      </c>
      <c r="AH33" s="20">
        <f t="shared" si="2"/>
        <v>1</v>
      </c>
      <c r="AI33" s="20">
        <f t="shared" si="2"/>
        <v>0.94736842105263164</v>
      </c>
      <c r="AJ33" s="20">
        <f t="shared" si="2"/>
        <v>0.9</v>
      </c>
    </row>
    <row r="34" spans="2:36" x14ac:dyDescent="0.25">
      <c r="B34" s="19">
        <v>1.9</v>
      </c>
      <c r="AI34" s="20">
        <f t="shared" si="2"/>
        <v>1</v>
      </c>
      <c r="AJ34" s="20">
        <f t="shared" si="2"/>
        <v>0.95</v>
      </c>
    </row>
    <row r="35" spans="2:36" s="21" customFormat="1" x14ac:dyDescent="0.25">
      <c r="B35" s="21">
        <v>2</v>
      </c>
      <c r="AJ35" s="20">
        <f t="shared" si="2"/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DL26"/>
  <sheetViews>
    <sheetView zoomScale="85" zoomScaleNormal="85" workbookViewId="0">
      <selection activeCell="O27" sqref="O27"/>
    </sheetView>
  </sheetViews>
  <sheetFormatPr defaultRowHeight="15" x14ac:dyDescent="0.25"/>
  <cols>
    <col min="1" max="1" width="7.7109375" customWidth="1"/>
    <col min="2" max="2" width="8" customWidth="1"/>
    <col min="5" max="6" width="12.5703125" customWidth="1"/>
    <col min="9" max="9" width="9.140625" customWidth="1"/>
    <col min="10" max="10" width="6" customWidth="1"/>
    <col min="11" max="12" width="8" customWidth="1"/>
    <col min="13" max="13" width="4.7109375" customWidth="1"/>
    <col min="14" max="14" width="6" customWidth="1"/>
    <col min="15" max="17" width="9.140625" customWidth="1"/>
    <col min="18" max="18" width="6" customWidth="1"/>
    <col min="19" max="35" width="9.140625" customWidth="1"/>
    <col min="36" max="37" width="9.85546875" customWidth="1"/>
    <col min="38" max="38" width="15.7109375" customWidth="1"/>
    <col min="39" max="39" width="9.140625" customWidth="1"/>
    <col min="40" max="40" width="25.140625" customWidth="1"/>
    <col min="41" max="41" width="11" customWidth="1"/>
    <col min="42" max="42" width="18.28515625" customWidth="1"/>
    <col min="43" max="48" width="9.140625" customWidth="1"/>
    <col min="49" max="49" width="9.140625" style="153" customWidth="1"/>
    <col min="50" max="64" width="9.140625" customWidth="1"/>
    <col min="66" max="66" width="4.85546875" customWidth="1"/>
    <col min="67" max="67" width="12.85546875" bestFit="1" customWidth="1"/>
    <col min="68" max="68" width="3.28515625" customWidth="1"/>
    <col min="69" max="69" width="11.28515625" customWidth="1"/>
    <col min="70" max="71" width="6.28515625" customWidth="1"/>
    <col min="72" max="72" width="3.5703125" customWidth="1"/>
    <col min="73" max="73" width="8.28515625" customWidth="1"/>
    <col min="74" max="76" width="6.140625" customWidth="1"/>
    <col min="77" max="77" width="3.28515625" customWidth="1"/>
    <col min="78" max="78" width="9.5703125" customWidth="1"/>
    <col min="79" max="79" width="6.140625" customWidth="1"/>
    <col min="80" max="80" width="15.28515625" bestFit="1" customWidth="1"/>
    <col min="81" max="81" width="3.28515625" customWidth="1"/>
    <col min="82" max="82" width="8.7109375" customWidth="1"/>
    <col min="83" max="84" width="6.28515625" customWidth="1"/>
    <col min="85" max="85" width="3.28515625" customWidth="1"/>
    <col min="86" max="86" width="9.5703125" customWidth="1"/>
    <col min="87" max="87" width="6.140625" customWidth="1"/>
    <col min="88" max="88" width="16.85546875" customWidth="1"/>
    <col min="89" max="89" width="8.5703125" customWidth="1"/>
    <col min="90" max="90" width="7" customWidth="1"/>
    <col min="91" max="91" width="25.140625" customWidth="1"/>
    <col min="92" max="92" width="8.5703125" bestFit="1" customWidth="1"/>
    <col min="93" max="93" width="6.7109375" customWidth="1"/>
    <col min="94" max="94" width="18.28515625" customWidth="1"/>
    <col min="95" max="95" width="3.5703125" customWidth="1"/>
    <col min="96" max="96" width="8.5703125" bestFit="1" customWidth="1"/>
    <col min="97" max="97" width="5.85546875" customWidth="1"/>
    <col min="98" max="98" width="16.140625" customWidth="1"/>
    <col min="99" max="99" width="3.7109375" customWidth="1"/>
    <col min="100" max="100" width="3.28515625" customWidth="1"/>
    <col min="101" max="101" width="8.5703125" bestFit="1" customWidth="1"/>
    <col min="102" max="102" width="6.28515625" customWidth="1"/>
    <col min="103" max="103" width="11.42578125" bestFit="1" customWidth="1"/>
    <col min="104" max="104" width="3.5703125" customWidth="1"/>
    <col min="105" max="105" width="8.7109375" customWidth="1"/>
    <col min="106" max="106" width="6.28515625" customWidth="1"/>
    <col min="107" max="107" width="11.42578125" bestFit="1" customWidth="1"/>
    <col min="108" max="108" width="3.5703125" customWidth="1"/>
    <col min="109" max="109" width="8.7109375" customWidth="1"/>
    <col min="110" max="110" width="6.28515625" customWidth="1"/>
    <col min="111" max="111" width="11.42578125" bestFit="1" customWidth="1"/>
    <col min="112" max="112" width="3.5703125" customWidth="1"/>
    <col min="113" max="113" width="8.5703125" bestFit="1" customWidth="1"/>
    <col min="114" max="114" width="6.28515625" customWidth="1"/>
    <col min="115" max="115" width="13.7109375" customWidth="1"/>
    <col min="116" max="116" width="3.5703125" customWidth="1"/>
  </cols>
  <sheetData>
    <row r="1" spans="1:116" ht="15.75" thickBot="1" x14ac:dyDescent="0.3"/>
    <row r="2" spans="1:116" ht="15.75" thickBot="1" x14ac:dyDescent="0.3">
      <c r="B2" t="s">
        <v>259</v>
      </c>
      <c r="I2" s="223" t="s">
        <v>47</v>
      </c>
      <c r="J2" s="224"/>
      <c r="K2" s="224"/>
      <c r="L2" s="224"/>
      <c r="M2" s="224"/>
      <c r="N2" s="224"/>
      <c r="O2" s="224"/>
      <c r="P2" s="224"/>
      <c r="Q2" s="225"/>
      <c r="R2" s="45"/>
      <c r="S2" s="45"/>
      <c r="T2" s="45"/>
      <c r="U2" s="45"/>
      <c r="W2" s="223" t="s">
        <v>52</v>
      </c>
      <c r="X2" s="224"/>
      <c r="Y2" s="224"/>
      <c r="Z2" s="224"/>
      <c r="AA2" s="224"/>
      <c r="AB2" s="224"/>
      <c r="AC2" s="224"/>
      <c r="AD2" s="224"/>
      <c r="AE2" s="224"/>
      <c r="AF2" s="224"/>
      <c r="AG2" s="224"/>
      <c r="AH2" s="225"/>
      <c r="AJ2" s="223" t="s">
        <v>59</v>
      </c>
      <c r="AK2" s="224"/>
      <c r="AL2" s="224"/>
      <c r="AM2" s="225"/>
      <c r="AN2" s="127" t="s">
        <v>149</v>
      </c>
      <c r="AO2" s="127" t="s">
        <v>285</v>
      </c>
      <c r="AP2" s="128" t="s">
        <v>151</v>
      </c>
      <c r="AS2" s="226" t="s">
        <v>286</v>
      </c>
      <c r="AT2" s="227"/>
      <c r="AU2" s="227"/>
      <c r="AV2" s="227"/>
      <c r="AW2" s="227"/>
      <c r="AX2" s="227"/>
      <c r="AY2" s="227"/>
      <c r="AZ2" s="227"/>
      <c r="BA2" s="227"/>
      <c r="BB2" s="227"/>
      <c r="BC2" s="227"/>
      <c r="BD2" s="227"/>
      <c r="BE2" s="227"/>
      <c r="BF2" s="227"/>
      <c r="BG2" s="227"/>
      <c r="BH2" s="227"/>
      <c r="BI2" s="227"/>
      <c r="BJ2" s="227"/>
      <c r="BK2" s="227"/>
      <c r="BL2" s="228"/>
      <c r="BN2" s="210" t="s">
        <v>93</v>
      </c>
      <c r="BO2" s="220"/>
      <c r="BP2" s="96"/>
      <c r="BQ2" s="138"/>
      <c r="BR2" s="220" t="s">
        <v>94</v>
      </c>
      <c r="BS2" s="220"/>
      <c r="BT2" s="141"/>
      <c r="BU2" s="158"/>
      <c r="BV2" s="220" t="s">
        <v>95</v>
      </c>
      <c r="BW2" s="220"/>
      <c r="BX2" s="221"/>
      <c r="BY2" s="96"/>
      <c r="BZ2" s="138"/>
      <c r="CA2" s="220" t="s">
        <v>97</v>
      </c>
      <c r="CB2" s="220"/>
      <c r="CC2" s="96"/>
      <c r="CD2" s="138"/>
      <c r="CE2" s="220" t="s">
        <v>98</v>
      </c>
      <c r="CF2" s="220"/>
      <c r="CG2" s="112"/>
      <c r="CH2" s="138"/>
      <c r="CI2" s="224" t="s">
        <v>99</v>
      </c>
      <c r="CJ2" s="224"/>
      <c r="CK2" s="224"/>
      <c r="CL2" s="224"/>
      <c r="CM2" s="224"/>
      <c r="CN2" s="224"/>
      <c r="CO2" s="224"/>
      <c r="CP2" s="224"/>
      <c r="CQ2" s="141"/>
      <c r="CR2" s="210" t="s">
        <v>100</v>
      </c>
      <c r="CS2" s="220"/>
      <c r="CT2" s="221"/>
      <c r="CU2" s="142"/>
      <c r="CV2" s="96"/>
      <c r="CW2" s="210" t="s">
        <v>219</v>
      </c>
      <c r="CX2" s="220"/>
      <c r="CY2" s="221"/>
      <c r="CZ2" s="141"/>
      <c r="DA2" s="210" t="s">
        <v>229</v>
      </c>
      <c r="DB2" s="220"/>
      <c r="DC2" s="221"/>
      <c r="DD2" s="141"/>
      <c r="DE2" s="210" t="s">
        <v>230</v>
      </c>
      <c r="DF2" s="220"/>
      <c r="DG2" s="221"/>
      <c r="DH2" s="141"/>
      <c r="DI2" s="210" t="s">
        <v>231</v>
      </c>
      <c r="DJ2" s="220"/>
      <c r="DK2" s="221"/>
      <c r="DL2" s="60"/>
    </row>
    <row r="3" spans="1:116" ht="15.75" thickBot="1" x14ac:dyDescent="0.3">
      <c r="I3" s="35"/>
      <c r="J3" s="36" t="s">
        <v>42</v>
      </c>
      <c r="K3" s="37" t="s">
        <v>41</v>
      </c>
      <c r="L3" s="36" t="s">
        <v>46</v>
      </c>
      <c r="M3" s="36"/>
      <c r="N3" s="36"/>
      <c r="O3" s="36" t="s">
        <v>43</v>
      </c>
      <c r="P3" s="37" t="s">
        <v>41</v>
      </c>
      <c r="Q3" s="38" t="s">
        <v>46</v>
      </c>
      <c r="R3" s="36"/>
      <c r="S3" s="36" t="s">
        <v>346</v>
      </c>
      <c r="T3" s="37" t="s">
        <v>41</v>
      </c>
      <c r="U3" s="38" t="s">
        <v>46</v>
      </c>
      <c r="W3" s="35" t="s">
        <v>55</v>
      </c>
      <c r="X3" s="36" t="s">
        <v>56</v>
      </c>
      <c r="Y3" s="38" t="s">
        <v>57</v>
      </c>
      <c r="Z3" s="223" t="s">
        <v>55</v>
      </c>
      <c r="AA3" s="224"/>
      <c r="AB3" s="225"/>
      <c r="AC3" s="223" t="s">
        <v>56</v>
      </c>
      <c r="AD3" s="224"/>
      <c r="AE3" s="225"/>
      <c r="AF3" s="223" t="s">
        <v>57</v>
      </c>
      <c r="AG3" s="224"/>
      <c r="AH3" s="225"/>
      <c r="AJ3" s="98" t="s">
        <v>49</v>
      </c>
      <c r="AK3" s="99"/>
      <c r="AL3" s="100"/>
      <c r="AM3" s="100"/>
      <c r="AN3" s="67"/>
      <c r="AO3" s="67"/>
      <c r="AP3" s="67"/>
      <c r="AS3" s="223" t="s">
        <v>287</v>
      </c>
      <c r="AT3" s="224"/>
      <c r="AU3" s="224"/>
      <c r="AV3" s="224"/>
      <c r="AW3" s="225"/>
      <c r="AX3" s="224" t="s">
        <v>288</v>
      </c>
      <c r="AY3" s="224"/>
      <c r="AZ3" s="224"/>
      <c r="BA3" s="224"/>
      <c r="BB3" s="225"/>
      <c r="BC3" s="223" t="s">
        <v>289</v>
      </c>
      <c r="BD3" s="224"/>
      <c r="BE3" s="224"/>
      <c r="BF3" s="224"/>
      <c r="BG3" s="225"/>
      <c r="BH3" s="223" t="s">
        <v>290</v>
      </c>
      <c r="BI3" s="224"/>
      <c r="BJ3" s="224"/>
      <c r="BK3" s="224"/>
      <c r="BL3" s="225"/>
      <c r="BN3" s="133" t="s">
        <v>102</v>
      </c>
      <c r="BO3" s="45" t="s">
        <v>124</v>
      </c>
      <c r="BP3" s="139"/>
      <c r="BQ3" s="45"/>
      <c r="BR3" s="134" t="s">
        <v>102</v>
      </c>
      <c r="BS3" s="103" t="s">
        <v>103</v>
      </c>
      <c r="BT3" s="64"/>
      <c r="BU3" s="27"/>
      <c r="BV3" s="134" t="s">
        <v>102</v>
      </c>
      <c r="BW3" s="113" t="s">
        <v>103</v>
      </c>
      <c r="BX3" s="53" t="s">
        <v>127</v>
      </c>
      <c r="BY3" s="139"/>
      <c r="BZ3" s="45"/>
      <c r="CA3" s="114" t="s">
        <v>102</v>
      </c>
      <c r="CB3" s="45" t="s">
        <v>133</v>
      </c>
      <c r="CC3" s="139"/>
      <c r="CD3" s="45"/>
      <c r="CE3" s="134" t="s">
        <v>102</v>
      </c>
      <c r="CF3" s="103" t="s">
        <v>103</v>
      </c>
      <c r="CG3" s="139"/>
      <c r="CH3" s="45"/>
      <c r="CI3" s="134" t="s">
        <v>102</v>
      </c>
      <c r="CJ3" s="45" t="s">
        <v>148</v>
      </c>
      <c r="CK3" s="45"/>
      <c r="CL3" s="45"/>
      <c r="CM3" s="45" t="s">
        <v>148</v>
      </c>
      <c r="CN3" s="45"/>
      <c r="CO3" s="45"/>
      <c r="CP3" s="45" t="s">
        <v>148</v>
      </c>
      <c r="CQ3" s="64"/>
      <c r="CR3" s="28"/>
      <c r="CS3" s="114" t="s">
        <v>102</v>
      </c>
      <c r="CT3" s="45" t="s">
        <v>148</v>
      </c>
      <c r="CU3" s="64"/>
      <c r="CV3" s="139"/>
      <c r="CW3" s="45"/>
      <c r="CX3" s="134" t="s">
        <v>102</v>
      </c>
      <c r="CY3" s="103" t="s">
        <v>220</v>
      </c>
      <c r="CZ3" s="64"/>
      <c r="DA3" s="45"/>
      <c r="DB3" s="134" t="s">
        <v>102</v>
      </c>
      <c r="DC3" s="154" t="s">
        <v>293</v>
      </c>
      <c r="DD3" s="64"/>
      <c r="DE3" s="45"/>
      <c r="DF3" s="134" t="s">
        <v>102</v>
      </c>
      <c r="DG3" s="103" t="s">
        <v>293</v>
      </c>
      <c r="DH3" s="64"/>
      <c r="DI3" s="45"/>
      <c r="DJ3" s="134" t="s">
        <v>102</v>
      </c>
      <c r="DK3" s="97" t="s">
        <v>294</v>
      </c>
    </row>
    <row r="4" spans="1:116" x14ac:dyDescent="0.25">
      <c r="A4" s="22" t="s">
        <v>29</v>
      </c>
      <c r="B4" s="132">
        <f>'ОЛ(4)'!C14</f>
        <v>0.2</v>
      </c>
      <c r="C4" t="s">
        <v>36</v>
      </c>
      <c r="E4" t="s">
        <v>44</v>
      </c>
      <c r="F4" s="130">
        <f>B4*1000/(B5-B6)</f>
        <v>3.6363636363636362</v>
      </c>
      <c r="I4" s="27">
        <f>IF($B$12&lt;12,(IF((L4&gt;4)*AND(L4&lt;16),2,0)),IF((L4&gt;4)*AND(L4&lt;20),2,0))</f>
        <v>0</v>
      </c>
      <c r="J4" s="28">
        <v>15</v>
      </c>
      <c r="K4" s="28">
        <f t="shared" ref="K4:K17" si="0">1/POWER(1.14+2*LOG10((J4/1000)/($K$21/1000)),2)</f>
        <v>5.9655827422120798E-2</v>
      </c>
      <c r="L4" s="28">
        <f>0.00638*K4*POWER($F$4,2)/(POWER(J4/1000,5)*$K$20)</f>
        <v>6915.2050833854037</v>
      </c>
      <c r="M4" s="28"/>
      <c r="N4" s="28">
        <f>IF((Q4&gt;4)*AND(Q4&lt;20),1,0)</f>
        <v>0</v>
      </c>
      <c r="O4" s="28">
        <v>15</v>
      </c>
      <c r="P4" s="28">
        <f t="shared" ref="P4:P17" si="1">1/POWER(1.14+2*LOG10((O4/1000)/($K$21/1000)),2)</f>
        <v>5.9655827422120798E-2</v>
      </c>
      <c r="Q4" s="29">
        <f t="shared" ref="Q4:Q17" si="2">0.00638*P4*POWER($F$11,2)/(POWER(O4/1000,5)*$K$20)</f>
        <v>33469.592603585355</v>
      </c>
      <c r="R4" s="28">
        <f>IF((U4&gt;4)*AND(U4&lt;20),1,0)</f>
        <v>0</v>
      </c>
      <c r="S4" s="28">
        <v>15</v>
      </c>
      <c r="T4" s="28">
        <f t="shared" ref="T4:T17" si="3">1/POWER(1.14+2*LOG10((S4/1000)/($K$21/1000)),2)</f>
        <v>5.9655827422120798E-2</v>
      </c>
      <c r="U4" s="29">
        <f>0.00638*T4*POWER($F$16,2)/(POWER(S4/1000,5)*$K$20)</f>
        <v>79.54257867195831</v>
      </c>
      <c r="W4" s="41" t="s">
        <v>53</v>
      </c>
      <c r="X4" s="28">
        <f>IF(B12=0,0,IF(B12&gt;12,3,1.8))</f>
        <v>3</v>
      </c>
      <c r="Y4" s="28"/>
      <c r="Z4" s="40" t="b">
        <f t="shared" ref="Z4:Z21" si="4">IF(AB4&gt;$X$5,TRUE,FALSE)</f>
        <v>0</v>
      </c>
      <c r="AA4" s="47">
        <v>15</v>
      </c>
      <c r="AB4" s="39">
        <v>1.6</v>
      </c>
      <c r="AC4" s="40" t="b">
        <f t="shared" ref="AC4:AC22" si="5">IF(AE4&gt;$X$5,TRUE,FALSE)</f>
        <v>0</v>
      </c>
      <c r="AD4" s="47">
        <v>15</v>
      </c>
      <c r="AE4" s="39">
        <v>1.6</v>
      </c>
      <c r="AF4" s="28" t="b">
        <f t="shared" ref="AF4:AF16" si="6">IF(AH4&gt;$X$5,TRUE,FALSE)</f>
        <v>0</v>
      </c>
      <c r="AG4" s="42">
        <v>15</v>
      </c>
      <c r="AH4" s="29">
        <v>1.6</v>
      </c>
      <c r="AJ4" s="149">
        <v>4</v>
      </c>
      <c r="AK4" s="40" t="b">
        <f>IF($F$13&lt;AJ4,TRUE,FALSE)</f>
        <v>0</v>
      </c>
      <c r="AL4" s="39" t="s">
        <v>60</v>
      </c>
      <c r="AM4" s="164" t="b">
        <f t="shared" ref="AM4:AM13" si="7">IF($F$13&lt;AJ4,TRUE,FALSE)</f>
        <v>0</v>
      </c>
      <c r="AN4" s="165" t="s">
        <v>135</v>
      </c>
      <c r="AO4" s="40" t="b">
        <f>IF($F$13&lt;AJ4,TRUE,FALSE)</f>
        <v>0</v>
      </c>
      <c r="AP4" s="166" t="s">
        <v>141</v>
      </c>
      <c r="AS4" s="40">
        <v>0.1</v>
      </c>
      <c r="AT4" s="54" t="b">
        <f>IF($B$4&lt;AS4,TRUE,FALSE)</f>
        <v>0</v>
      </c>
      <c r="AU4" s="54" t="s">
        <v>221</v>
      </c>
      <c r="AV4" s="54" t="b">
        <f>IF($B$4&lt;AS4,TRUE,FALSE)</f>
        <v>0</v>
      </c>
      <c r="AW4" s="146">
        <v>1</v>
      </c>
      <c r="AX4" s="40">
        <v>0.1</v>
      </c>
      <c r="AY4" s="54" t="b">
        <f>IF($B$4&lt;AX4,TRUE,FALSE)</f>
        <v>0</v>
      </c>
      <c r="AZ4" s="54" t="s">
        <v>221</v>
      </c>
      <c r="BA4" s="54" t="b">
        <f>IF($B$4&lt;AX4,TRUE,FALSE)</f>
        <v>0</v>
      </c>
      <c r="BB4" s="146">
        <v>1</v>
      </c>
      <c r="BC4" s="27">
        <v>0.14000000000000001</v>
      </c>
      <c r="BD4" s="28" t="b">
        <f>IF($B$4&lt;BC4,TRUE,FALSE)</f>
        <v>0</v>
      </c>
      <c r="BE4" s="54" t="s">
        <v>221</v>
      </c>
      <c r="BF4" s="28" t="b">
        <f>IF($B$4&lt;BC4,TRUE,FALSE)</f>
        <v>0</v>
      </c>
      <c r="BG4" s="53">
        <v>1</v>
      </c>
      <c r="BH4" s="28">
        <v>0.05</v>
      </c>
      <c r="BI4" s="28" t="b">
        <f>IF($B$4&lt;BH4,TRUE,FALSE)</f>
        <v>0</v>
      </c>
      <c r="BJ4" s="28" t="s">
        <v>221</v>
      </c>
      <c r="BK4" s="28" t="b">
        <f>IF($B$4&lt;BH4,TRUE,FALSE)</f>
        <v>0</v>
      </c>
      <c r="BL4" s="29">
        <v>1</v>
      </c>
      <c r="BN4" s="133" t="s">
        <v>130</v>
      </c>
      <c r="BO4" s="45" t="s">
        <v>125</v>
      </c>
      <c r="BP4" s="139"/>
      <c r="BQ4" s="45" t="b">
        <f>IF($F$5=BS4,TRUE,FALSE)</f>
        <v>0</v>
      </c>
      <c r="BR4" s="114" t="s">
        <v>101</v>
      </c>
      <c r="BS4" s="45">
        <v>15</v>
      </c>
      <c r="BT4" s="64"/>
      <c r="BU4" s="120" t="b">
        <f>IF($F$7=BX4,TRUE,FALSE)</f>
        <v>0</v>
      </c>
      <c r="BV4" s="114" t="s">
        <v>101</v>
      </c>
      <c r="BW4" s="45">
        <v>15</v>
      </c>
      <c r="BX4" s="53">
        <v>0.63</v>
      </c>
      <c r="BY4" s="139"/>
      <c r="BZ4" s="45" t="b">
        <f>IF($B$14=CB4,TRUE,FALSE)</f>
        <v>1</v>
      </c>
      <c r="CA4" s="114" t="s">
        <v>130</v>
      </c>
      <c r="CB4" s="45" t="s">
        <v>55</v>
      </c>
      <c r="CC4" s="139"/>
      <c r="CD4" s="45" t="b">
        <f>IF($F$12=CF4,TRUE,FALSE)</f>
        <v>0</v>
      </c>
      <c r="CE4" s="114" t="s">
        <v>101</v>
      </c>
      <c r="CF4" s="45">
        <v>15</v>
      </c>
      <c r="CG4" s="139"/>
      <c r="CH4" s="45" t="b">
        <f>IF($E$14=CJ4,TRUE,FALSE)</f>
        <v>0</v>
      </c>
      <c r="CI4" s="103">
        <v>1</v>
      </c>
      <c r="CJ4" s="103" t="s">
        <v>60</v>
      </c>
      <c r="CK4" s="154" t="b">
        <f>IF($E$14=CM4,TRUE,FALSE)</f>
        <v>0</v>
      </c>
      <c r="CL4" s="113">
        <v>1</v>
      </c>
      <c r="CM4" s="104" t="s">
        <v>135</v>
      </c>
      <c r="CN4" s="155" t="b">
        <f>IF($E$14=CP4,TRUE,FALSE)</f>
        <v>0</v>
      </c>
      <c r="CO4" s="113">
        <v>1</v>
      </c>
      <c r="CP4" s="104" t="s">
        <v>141</v>
      </c>
      <c r="CQ4" s="64"/>
      <c r="CR4" t="b">
        <f>IF(OR(E14="DPL 80/115-2,2/2",E14="DPL 100/175-3/4"),TRUE,FALSE)</f>
        <v>0</v>
      </c>
      <c r="CS4" s="153">
        <v>5</v>
      </c>
      <c r="CU4" s="64"/>
      <c r="CV4" s="139"/>
      <c r="CW4" s="45" t="b">
        <f>IF($E$9=CY4,TRUE,FALSE)</f>
        <v>0</v>
      </c>
      <c r="CX4" s="114" t="s">
        <v>225</v>
      </c>
      <c r="CY4" s="28" t="s">
        <v>228</v>
      </c>
      <c r="CZ4" s="64"/>
      <c r="DA4" s="45" t="b">
        <f>IF($F$9=DC4,TRUE,FALSE)</f>
        <v>0</v>
      </c>
      <c r="DB4" s="114" t="s">
        <v>225</v>
      </c>
      <c r="DC4" s="28" t="s">
        <v>228</v>
      </c>
      <c r="DD4" s="64"/>
      <c r="DE4" s="45" t="b">
        <f>IF($B$16=DG4,TRUE,FALSE)</f>
        <v>1</v>
      </c>
      <c r="DF4" s="114" t="s">
        <v>130</v>
      </c>
      <c r="DG4" s="45" t="s">
        <v>248</v>
      </c>
      <c r="DH4" s="64"/>
      <c r="DI4" s="45" t="b">
        <f>IF($B$17=DK4,TRUE,FALSE)</f>
        <v>1</v>
      </c>
      <c r="DJ4" s="114" t="s">
        <v>130</v>
      </c>
      <c r="DK4" s="29" t="s">
        <v>298</v>
      </c>
    </row>
    <row r="5" spans="1:116" x14ac:dyDescent="0.25">
      <c r="A5" s="22" t="s">
        <v>30</v>
      </c>
      <c r="B5" s="24">
        <f>'ОЛ(4)'!N13</f>
        <v>130</v>
      </c>
      <c r="C5" s="23" t="s">
        <v>37</v>
      </c>
      <c r="E5" t="s">
        <v>42</v>
      </c>
      <c r="F5" s="131">
        <f>VLOOKUP(2,I4:L17,2,FALSE)</f>
        <v>50</v>
      </c>
      <c r="I5" s="27">
        <f t="shared" ref="I5:I17" si="8">IF($B$12&lt;12,(IF((L5&gt;4)*AND(L5&lt;16),2,0)),IF((L5&gt;4)*AND(L5&lt;20),2,0))</f>
        <v>0</v>
      </c>
      <c r="J5" s="28">
        <v>20</v>
      </c>
      <c r="K5" s="28">
        <f t="shared" si="0"/>
        <v>5.2990299783484442E-2</v>
      </c>
      <c r="L5" s="28">
        <f t="shared" ref="L5:L17" si="9">0.00638*K5*POWER($F$4,2)/(POWER(J5/1000,5)*$K$20)</f>
        <v>1457.6554614898398</v>
      </c>
      <c r="M5" s="28"/>
      <c r="N5" s="28">
        <f t="shared" ref="N5:N17" si="10">IF((Q5&gt;4)*AND(Q5&lt;20),1,0)</f>
        <v>0</v>
      </c>
      <c r="O5" s="28">
        <v>20</v>
      </c>
      <c r="P5" s="28">
        <f t="shared" si="1"/>
        <v>5.2990299783484442E-2</v>
      </c>
      <c r="Q5" s="29">
        <f t="shared" si="2"/>
        <v>7055.0524336108247</v>
      </c>
      <c r="R5" s="28">
        <f t="shared" ref="R5:R17" si="11">IF((U5&gt;4)*AND(U5&lt;20),1,0)</f>
        <v>1</v>
      </c>
      <c r="S5" s="28">
        <v>20</v>
      </c>
      <c r="T5" s="28">
        <f t="shared" si="3"/>
        <v>5.2990299783484442E-2</v>
      </c>
      <c r="U5" s="29">
        <f t="shared" ref="U5:U17" si="12">0.00638*T5*POWER($F$16,2)/(POWER(S5/1000,5)*$K$20)</f>
        <v>16.766773049253221</v>
      </c>
      <c r="W5" s="41" t="s">
        <v>54</v>
      </c>
      <c r="X5" s="43">
        <f>F4/SQRT(0.1*X4)</f>
        <v>6.6390613030929213</v>
      </c>
      <c r="Y5" s="43"/>
      <c r="Z5" s="27" t="b">
        <f t="shared" si="4"/>
        <v>0</v>
      </c>
      <c r="AA5" s="42">
        <v>15</v>
      </c>
      <c r="AB5" s="29">
        <v>2.5</v>
      </c>
      <c r="AC5" s="27" t="b">
        <f t="shared" si="5"/>
        <v>0</v>
      </c>
      <c r="AD5" s="42">
        <v>15</v>
      </c>
      <c r="AE5" s="29">
        <v>2.5</v>
      </c>
      <c r="AF5" s="28" t="b">
        <f t="shared" si="6"/>
        <v>0</v>
      </c>
      <c r="AG5" s="42">
        <v>15</v>
      </c>
      <c r="AH5" s="29">
        <v>2.5</v>
      </c>
      <c r="AJ5" s="120">
        <v>6</v>
      </c>
      <c r="AK5" s="27" t="b">
        <f t="shared" ref="AK5:AK13" si="13">IF($F$13&lt;AJ5,TRUE,FALSE)</f>
        <v>0</v>
      </c>
      <c r="AL5" s="29" t="s">
        <v>61</v>
      </c>
      <c r="AM5" s="64" t="b">
        <f t="shared" si="7"/>
        <v>0</v>
      </c>
      <c r="AN5" s="64" t="s">
        <v>134</v>
      </c>
      <c r="AO5" s="27" t="b">
        <f t="shared" ref="AO5:AO13" si="14">IF($F$13&lt;AJ5,TRUE,FALSE)</f>
        <v>0</v>
      </c>
      <c r="AP5" s="66" t="s">
        <v>142</v>
      </c>
      <c r="AS5" s="27">
        <v>0.25</v>
      </c>
      <c r="AT5" s="28" t="b">
        <f t="shared" ref="AT5:AT6" si="15">IF($B$4&lt;AS5,TRUE,FALSE)</f>
        <v>1</v>
      </c>
      <c r="AU5" s="28" t="s">
        <v>222</v>
      </c>
      <c r="AV5" s="28" t="b">
        <f>IF($B$4&lt;AS5,TRUE,FALSE)</f>
        <v>1</v>
      </c>
      <c r="AW5" s="144">
        <v>1</v>
      </c>
      <c r="AX5" s="27">
        <v>0.25</v>
      </c>
      <c r="AY5" s="28" t="b">
        <f t="shared" ref="AY5:AY11" si="16">IF($B$4&lt;AX5,TRUE,FALSE)</f>
        <v>1</v>
      </c>
      <c r="AZ5" s="28" t="s">
        <v>222</v>
      </c>
      <c r="BA5" s="28" t="b">
        <f>IF($B$4&lt;AX5,TRUE,FALSE)</f>
        <v>1</v>
      </c>
      <c r="BB5" s="144">
        <v>1</v>
      </c>
      <c r="BC5" s="27">
        <v>0.45</v>
      </c>
      <c r="BD5" s="28" t="b">
        <f t="shared" ref="BD5:BD8" si="17">IF($B$4&lt;BC5,TRUE,FALSE)</f>
        <v>1</v>
      </c>
      <c r="BE5" s="28" t="s">
        <v>223</v>
      </c>
      <c r="BF5" s="28" t="b">
        <f t="shared" ref="BF5:BF10" si="18">IF($B$4&lt;BC5,TRUE,FALSE)</f>
        <v>1</v>
      </c>
      <c r="BG5" s="53">
        <v>1</v>
      </c>
      <c r="BH5" s="28">
        <v>0.09</v>
      </c>
      <c r="BI5" s="28" t="b">
        <f t="shared" ref="BI5:BI9" si="19">IF($B$4&lt;BH5,TRUE,FALSE)</f>
        <v>0</v>
      </c>
      <c r="BJ5" s="28" t="s">
        <v>292</v>
      </c>
      <c r="BK5" s="28" t="b">
        <f t="shared" ref="BK5:BK12" si="20">IF($B$4&lt;BH5,TRUE,FALSE)</f>
        <v>0</v>
      </c>
      <c r="BL5" s="29">
        <v>1</v>
      </c>
      <c r="BN5" s="133" t="s">
        <v>131</v>
      </c>
      <c r="BO5" s="45" t="s">
        <v>126</v>
      </c>
      <c r="BP5" s="139"/>
      <c r="BQ5" s="45" t="b">
        <f t="shared" ref="BQ5:BQ15" si="21">IF($F$5=BS5,TRUE,FALSE)</f>
        <v>0</v>
      </c>
      <c r="BR5" s="114" t="s">
        <v>104</v>
      </c>
      <c r="BS5" s="45">
        <v>20</v>
      </c>
      <c r="BT5" s="64"/>
      <c r="BU5" s="120" t="b">
        <f t="shared" ref="BU5:BU26" si="22">IF($F$7=BX5,TRUE,FALSE)</f>
        <v>0</v>
      </c>
      <c r="BV5" s="114" t="s">
        <v>104</v>
      </c>
      <c r="BW5" s="45">
        <v>15</v>
      </c>
      <c r="BX5" s="53">
        <v>1.25</v>
      </c>
      <c r="BY5" s="139"/>
      <c r="BZ5" s="45" t="b">
        <f t="shared" ref="BZ5:BZ6" si="23">IF($B$14=CB5,TRUE,FALSE)</f>
        <v>0</v>
      </c>
      <c r="CA5" s="114" t="s">
        <v>131</v>
      </c>
      <c r="CB5" s="45" t="s">
        <v>57</v>
      </c>
      <c r="CC5" s="139"/>
      <c r="CD5" s="45" t="b">
        <f t="shared" ref="CD5:CD15" si="24">IF($F$12=CF5,TRUE,FALSE)</f>
        <v>0</v>
      </c>
      <c r="CE5" s="114" t="s">
        <v>104</v>
      </c>
      <c r="CF5" s="45">
        <v>20</v>
      </c>
      <c r="CG5" s="139"/>
      <c r="CH5" s="45" t="b">
        <f t="shared" ref="CH5:CH14" si="25">IF($E$14=CJ5,TRUE,FALSE)</f>
        <v>0</v>
      </c>
      <c r="CI5" s="103">
        <v>2</v>
      </c>
      <c r="CJ5" s="103" t="s">
        <v>61</v>
      </c>
      <c r="CK5" s="154" t="b">
        <f t="shared" ref="CK5:CK10" si="26">IF($E$14=CM5,TRUE,FALSE)</f>
        <v>0</v>
      </c>
      <c r="CL5" s="113">
        <v>2</v>
      </c>
      <c r="CM5" s="103" t="s">
        <v>134</v>
      </c>
      <c r="CN5" s="155" t="b">
        <f t="shared" ref="CN5:CN10" si="27">IF($E$14=CP5,TRUE,FALSE)</f>
        <v>0</v>
      </c>
      <c r="CO5" s="113">
        <v>2</v>
      </c>
      <c r="CP5" s="104" t="s">
        <v>142</v>
      </c>
      <c r="CQ5" s="64"/>
      <c r="CR5" s="28" t="b">
        <f>IF($B$15=CT5,TRUE,FALSE)</f>
        <v>0</v>
      </c>
      <c r="CS5" s="113">
        <v>1</v>
      </c>
      <c r="CT5" s="113" t="s">
        <v>149</v>
      </c>
      <c r="CU5" s="64"/>
      <c r="CV5" s="139"/>
      <c r="CW5" s="45" t="b">
        <f t="shared" ref="CW5:CW10" si="28">IF($E$9=CY5,TRUE,FALSE)</f>
        <v>0</v>
      </c>
      <c r="CX5" s="114" t="s">
        <v>130</v>
      </c>
      <c r="CY5" s="45" t="s">
        <v>221</v>
      </c>
      <c r="CZ5" s="64"/>
      <c r="DA5" s="45" t="b">
        <f t="shared" ref="DA5:DA9" si="29">IF($F$9=DC5,TRUE,FALSE)</f>
        <v>1</v>
      </c>
      <c r="DB5" s="114" t="s">
        <v>130</v>
      </c>
      <c r="DC5" s="45">
        <v>1</v>
      </c>
      <c r="DD5" s="64"/>
      <c r="DE5" s="45" t="b">
        <f t="shared" ref="DE5:DE6" si="30">IF($B$16=DG5,TRUE,FALSE)</f>
        <v>0</v>
      </c>
      <c r="DF5" s="114" t="s">
        <v>131</v>
      </c>
      <c r="DG5" s="45" t="s">
        <v>57</v>
      </c>
      <c r="DH5" s="64"/>
      <c r="DI5" s="45" t="b">
        <f>IF($B$17=DK5,TRUE,FALSE)</f>
        <v>0</v>
      </c>
      <c r="DJ5" s="114" t="s">
        <v>225</v>
      </c>
      <c r="DK5" s="53" t="s">
        <v>249</v>
      </c>
    </row>
    <row r="6" spans="1:116" x14ac:dyDescent="0.25">
      <c r="A6" s="22" t="s">
        <v>31</v>
      </c>
      <c r="B6" s="24">
        <f>IF(OR('ОЛ(4)'!C24="зависимая",'ОЛ(4)'!C24=0),'ОЛ(4)'!R13,IF(('ОЛ(4)'!R13-B8)&lt;5,B8+5,'ОЛ(4)'!R13))</f>
        <v>75</v>
      </c>
      <c r="C6" s="23" t="s">
        <v>37</v>
      </c>
      <c r="E6" t="s">
        <v>58</v>
      </c>
      <c r="F6" s="131">
        <f>VLOOKUP(TRUE,IF(B14="IMI Hydronic",Z4:AB21,IF(B14="Siemens",AC4:AE22,AF4:AH16)),2,FALSE)</f>
        <v>25</v>
      </c>
      <c r="I6" s="27">
        <f t="shared" si="8"/>
        <v>0</v>
      </c>
      <c r="J6" s="28">
        <v>25</v>
      </c>
      <c r="K6" s="28">
        <f t="shared" si="0"/>
        <v>4.8560427292756572E-2</v>
      </c>
      <c r="L6" s="28">
        <f t="shared" si="9"/>
        <v>437.71450869197099</v>
      </c>
      <c r="M6" s="28"/>
      <c r="N6" s="28">
        <f t="shared" si="10"/>
        <v>0</v>
      </c>
      <c r="O6" s="28">
        <v>25</v>
      </c>
      <c r="P6" s="28">
        <f t="shared" si="1"/>
        <v>4.8560427292756572E-2</v>
      </c>
      <c r="Q6" s="29">
        <f t="shared" si="2"/>
        <v>2118.5382220691395</v>
      </c>
      <c r="R6" s="28">
        <f t="shared" si="11"/>
        <v>1</v>
      </c>
      <c r="S6" s="28">
        <v>25</v>
      </c>
      <c r="T6" s="28">
        <f t="shared" si="3"/>
        <v>4.8560427292756572E-2</v>
      </c>
      <c r="U6" s="29">
        <f t="shared" si="12"/>
        <v>5.0348384933861885</v>
      </c>
      <c r="W6" s="27"/>
      <c r="X6" s="28"/>
      <c r="Y6" s="28"/>
      <c r="Z6" s="27" t="b">
        <f t="shared" si="4"/>
        <v>0</v>
      </c>
      <c r="AA6" s="42">
        <v>15</v>
      </c>
      <c r="AB6" s="29">
        <v>4</v>
      </c>
      <c r="AC6" s="27" t="b">
        <f t="shared" si="5"/>
        <v>0</v>
      </c>
      <c r="AD6" s="42">
        <v>15</v>
      </c>
      <c r="AE6" s="29">
        <v>4</v>
      </c>
      <c r="AF6" s="28" t="b">
        <f t="shared" si="6"/>
        <v>0</v>
      </c>
      <c r="AG6" s="42">
        <v>15</v>
      </c>
      <c r="AH6" s="29">
        <v>4</v>
      </c>
      <c r="AJ6" s="120">
        <v>10</v>
      </c>
      <c r="AK6" s="27" t="b">
        <f t="shared" si="13"/>
        <v>1</v>
      </c>
      <c r="AL6" s="29" t="s">
        <v>63</v>
      </c>
      <c r="AM6" s="64" t="b">
        <f t="shared" si="7"/>
        <v>1</v>
      </c>
      <c r="AN6" s="64" t="s">
        <v>137</v>
      </c>
      <c r="AO6" s="27" t="b">
        <f t="shared" si="14"/>
        <v>1</v>
      </c>
      <c r="AP6" s="66" t="s">
        <v>144</v>
      </c>
      <c r="AR6" s="28"/>
      <c r="AS6" s="27">
        <v>0.67</v>
      </c>
      <c r="AT6" s="28" t="b">
        <f t="shared" si="15"/>
        <v>1</v>
      </c>
      <c r="AU6" s="28" t="s">
        <v>223</v>
      </c>
      <c r="AV6" s="28" t="b">
        <f t="shared" ref="AV6:AV11" si="31">IF($B$4&lt;AS6,TRUE,FALSE)</f>
        <v>1</v>
      </c>
      <c r="AW6" s="144">
        <v>1</v>
      </c>
      <c r="AX6" s="27">
        <v>0.57499999999999996</v>
      </c>
      <c r="AY6" s="28" t="b">
        <f t="shared" si="16"/>
        <v>1</v>
      </c>
      <c r="AZ6" s="28" t="s">
        <v>223</v>
      </c>
      <c r="BA6" s="28" t="b">
        <f t="shared" ref="BA6:BA11" si="32">IF($B$4&lt;AX6,TRUE,FALSE)</f>
        <v>1</v>
      </c>
      <c r="BB6" s="144">
        <v>1</v>
      </c>
      <c r="BC6" s="27">
        <v>0.71</v>
      </c>
      <c r="BD6" s="28" t="b">
        <f t="shared" si="17"/>
        <v>1</v>
      </c>
      <c r="BE6" s="28" t="s">
        <v>223</v>
      </c>
      <c r="BF6" s="28" t="b">
        <f t="shared" si="18"/>
        <v>1</v>
      </c>
      <c r="BG6" s="53">
        <v>2</v>
      </c>
      <c r="BH6">
        <v>0.3</v>
      </c>
      <c r="BI6" s="28" t="b">
        <f t="shared" si="19"/>
        <v>1</v>
      </c>
      <c r="BJ6" s="28" t="s">
        <v>223</v>
      </c>
      <c r="BK6" s="28" t="b">
        <f t="shared" si="20"/>
        <v>1</v>
      </c>
      <c r="BL6" s="29">
        <v>1</v>
      </c>
      <c r="BN6" s="133"/>
      <c r="BO6" s="45"/>
      <c r="BP6" s="139"/>
      <c r="BQ6" s="45" t="b">
        <f t="shared" si="21"/>
        <v>0</v>
      </c>
      <c r="BR6" s="114" t="s">
        <v>105</v>
      </c>
      <c r="BS6" s="45">
        <v>25</v>
      </c>
      <c r="BT6" s="64"/>
      <c r="BU6" s="120" t="b">
        <f t="shared" si="22"/>
        <v>0</v>
      </c>
      <c r="BV6" s="114" t="s">
        <v>105</v>
      </c>
      <c r="BW6" s="45">
        <v>15</v>
      </c>
      <c r="BX6" s="53">
        <v>1.6</v>
      </c>
      <c r="BY6" s="139"/>
      <c r="BZ6" s="45" t="b">
        <f t="shared" si="23"/>
        <v>0</v>
      </c>
      <c r="CA6" s="114" t="s">
        <v>132</v>
      </c>
      <c r="CB6" s="45" t="s">
        <v>56</v>
      </c>
      <c r="CC6" s="139"/>
      <c r="CD6" s="45" t="b">
        <f t="shared" si="24"/>
        <v>0</v>
      </c>
      <c r="CE6" s="114" t="s">
        <v>105</v>
      </c>
      <c r="CF6" s="45">
        <v>25</v>
      </c>
      <c r="CG6" s="139"/>
      <c r="CH6" s="45" t="b">
        <f t="shared" si="25"/>
        <v>0</v>
      </c>
      <c r="CI6" s="103">
        <v>3</v>
      </c>
      <c r="CJ6" s="103" t="s">
        <v>63</v>
      </c>
      <c r="CK6" s="154" t="b">
        <f t="shared" si="26"/>
        <v>0</v>
      </c>
      <c r="CL6" s="113">
        <v>3</v>
      </c>
      <c r="CM6" s="103" t="s">
        <v>137</v>
      </c>
      <c r="CN6" s="155" t="b">
        <f t="shared" si="27"/>
        <v>1</v>
      </c>
      <c r="CO6" s="113">
        <v>3</v>
      </c>
      <c r="CP6" s="104" t="s">
        <v>144</v>
      </c>
      <c r="CQ6" s="64"/>
      <c r="CR6" s="28" t="b">
        <f>IF($B$15=CT6,TRUE,FALSE)</f>
        <v>0</v>
      </c>
      <c r="CS6" s="113">
        <v>2</v>
      </c>
      <c r="CT6" s="113" t="s">
        <v>285</v>
      </c>
      <c r="CU6" s="64"/>
      <c r="CV6" s="139"/>
      <c r="CW6" s="45" t="b">
        <f t="shared" si="28"/>
        <v>1</v>
      </c>
      <c r="CX6" s="114" t="s">
        <v>131</v>
      </c>
      <c r="CY6" s="45" t="s">
        <v>222</v>
      </c>
      <c r="CZ6" s="64"/>
      <c r="DA6" s="45" t="b">
        <f t="shared" si="29"/>
        <v>0</v>
      </c>
      <c r="DB6" s="114" t="s">
        <v>131</v>
      </c>
      <c r="DC6" s="45">
        <v>2</v>
      </c>
      <c r="DD6" s="64"/>
      <c r="DE6" s="45" t="b">
        <f t="shared" si="30"/>
        <v>0</v>
      </c>
      <c r="DF6" s="114" t="s">
        <v>132</v>
      </c>
      <c r="DG6" s="68" t="s">
        <v>56</v>
      </c>
      <c r="DH6" s="64"/>
      <c r="DI6" s="45"/>
      <c r="DJ6" s="114"/>
      <c r="DK6" s="53"/>
    </row>
    <row r="7" spans="1:116" x14ac:dyDescent="0.25">
      <c r="A7" s="22" t="s">
        <v>32</v>
      </c>
      <c r="B7" s="24">
        <f>'ОЛ(4)'!N14</f>
        <v>95</v>
      </c>
      <c r="C7" s="23" t="s">
        <v>37</v>
      </c>
      <c r="E7" t="s">
        <v>48</v>
      </c>
      <c r="F7" s="131">
        <f>VLOOKUP(TRUE,IF(B14="IMI Hydronic",Z4:AB21,IF(B14="Siemens",AC4:AE22,AF4:AH16)),3,FALSE)</f>
        <v>10</v>
      </c>
      <c r="I7" s="27">
        <f>IF($B$12&lt;12,(IF((L7&gt;4)*AND(L7&lt;16),2,0)),IF((L7&gt;4)*AND(L7&lt;20),2,0))</f>
        <v>0</v>
      </c>
      <c r="J7" s="28">
        <v>32</v>
      </c>
      <c r="K7" s="28">
        <f t="shared" si="0"/>
        <v>4.4277322004702871E-2</v>
      </c>
      <c r="L7" s="28">
        <f t="shared" si="9"/>
        <v>116.1555432405238</v>
      </c>
      <c r="M7" s="28"/>
      <c r="N7" s="28">
        <f t="shared" si="10"/>
        <v>0</v>
      </c>
      <c r="O7" s="28">
        <v>32</v>
      </c>
      <c r="P7" s="28">
        <f t="shared" si="1"/>
        <v>4.4277322004702871E-2</v>
      </c>
      <c r="Q7" s="29">
        <f t="shared" si="2"/>
        <v>562.19282928413531</v>
      </c>
      <c r="R7" s="28">
        <f t="shared" si="11"/>
        <v>0</v>
      </c>
      <c r="S7" s="28">
        <v>32</v>
      </c>
      <c r="T7" s="28">
        <f t="shared" si="3"/>
        <v>4.4277322004702871E-2</v>
      </c>
      <c r="U7" s="29">
        <f t="shared" si="12"/>
        <v>1.3360863958455773</v>
      </c>
      <c r="W7" s="27"/>
      <c r="X7" s="28"/>
      <c r="Y7" s="28"/>
      <c r="Z7" s="27" t="b">
        <f t="shared" si="4"/>
        <v>0</v>
      </c>
      <c r="AA7" s="42">
        <v>20</v>
      </c>
      <c r="AB7" s="29">
        <v>6.3</v>
      </c>
      <c r="AC7" s="27" t="b">
        <f t="shared" si="5"/>
        <v>0</v>
      </c>
      <c r="AD7" s="42">
        <v>20</v>
      </c>
      <c r="AE7" s="29">
        <v>6.3</v>
      </c>
      <c r="AF7" s="28" t="b">
        <f t="shared" si="6"/>
        <v>0</v>
      </c>
      <c r="AG7" s="42">
        <v>20</v>
      </c>
      <c r="AH7" s="29">
        <v>6.3</v>
      </c>
      <c r="AJ7" s="120">
        <v>14</v>
      </c>
      <c r="AK7" s="27" t="b">
        <f t="shared" si="13"/>
        <v>1</v>
      </c>
      <c r="AL7" s="29" t="s">
        <v>62</v>
      </c>
      <c r="AM7" s="64" t="b">
        <f t="shared" si="7"/>
        <v>1</v>
      </c>
      <c r="AN7" s="64" t="s">
        <v>136</v>
      </c>
      <c r="AO7" s="27" t="b">
        <f t="shared" si="14"/>
        <v>1</v>
      </c>
      <c r="AP7" s="64" t="s">
        <v>143</v>
      </c>
      <c r="AR7" s="28"/>
      <c r="AS7" s="27">
        <v>1</v>
      </c>
      <c r="AT7" s="28" t="b">
        <f t="shared" ref="AT7:AT9" si="33">IF($B$4&lt;AS7,TRUE,FALSE)</f>
        <v>1</v>
      </c>
      <c r="AU7" s="28" t="s">
        <v>223</v>
      </c>
      <c r="AV7" s="28" t="b">
        <f t="shared" si="31"/>
        <v>1</v>
      </c>
      <c r="AW7" s="144">
        <v>2</v>
      </c>
      <c r="AX7" s="48">
        <v>0.9</v>
      </c>
      <c r="AY7" s="28" t="b">
        <f t="shared" si="16"/>
        <v>1</v>
      </c>
      <c r="AZ7" s="28" t="s">
        <v>223</v>
      </c>
      <c r="BA7" s="28" t="b">
        <f t="shared" si="32"/>
        <v>1</v>
      </c>
      <c r="BB7" s="144">
        <v>2</v>
      </c>
      <c r="BC7" s="27">
        <v>0.95</v>
      </c>
      <c r="BD7" s="28" t="b">
        <f t="shared" si="17"/>
        <v>1</v>
      </c>
      <c r="BE7" s="28" t="s">
        <v>223</v>
      </c>
      <c r="BF7" s="28" t="b">
        <f t="shared" si="18"/>
        <v>1</v>
      </c>
      <c r="BG7" s="161">
        <v>3</v>
      </c>
      <c r="BH7">
        <v>0.48</v>
      </c>
      <c r="BI7" s="28" t="b">
        <f t="shared" si="19"/>
        <v>1</v>
      </c>
      <c r="BJ7" s="28" t="s">
        <v>223</v>
      </c>
      <c r="BK7" s="28" t="b">
        <f t="shared" si="20"/>
        <v>1</v>
      </c>
      <c r="BL7" s="29">
        <v>2</v>
      </c>
      <c r="BN7" s="133"/>
      <c r="BO7" s="45"/>
      <c r="BP7" s="139"/>
      <c r="BQ7" s="45" t="b">
        <f t="shared" si="21"/>
        <v>0</v>
      </c>
      <c r="BR7" s="114" t="s">
        <v>106</v>
      </c>
      <c r="BS7" s="45">
        <v>32</v>
      </c>
      <c r="BT7" s="64"/>
      <c r="BU7" s="120" t="b">
        <f t="shared" si="22"/>
        <v>0</v>
      </c>
      <c r="BV7" s="114" t="s">
        <v>106</v>
      </c>
      <c r="BW7" s="45">
        <v>15</v>
      </c>
      <c r="BX7" s="53">
        <v>2.5</v>
      </c>
      <c r="BY7" s="139"/>
      <c r="BZ7" s="45"/>
      <c r="CA7" s="114"/>
      <c r="CB7" s="45"/>
      <c r="CC7" s="139"/>
      <c r="CD7" s="45" t="b">
        <f t="shared" si="24"/>
        <v>0</v>
      </c>
      <c r="CE7" s="114" t="s">
        <v>106</v>
      </c>
      <c r="CF7" s="45">
        <v>32</v>
      </c>
      <c r="CG7" s="139"/>
      <c r="CH7" s="45" t="b">
        <f t="shared" si="25"/>
        <v>0</v>
      </c>
      <c r="CI7" s="68">
        <v>4</v>
      </c>
      <c r="CJ7" s="103" t="s">
        <v>62</v>
      </c>
      <c r="CK7" s="154" t="b">
        <f t="shared" si="26"/>
        <v>0</v>
      </c>
      <c r="CL7" s="68">
        <v>4</v>
      </c>
      <c r="CM7" s="103" t="s">
        <v>136</v>
      </c>
      <c r="CN7" s="155" t="b">
        <f t="shared" si="27"/>
        <v>0</v>
      </c>
      <c r="CO7" s="68">
        <v>4</v>
      </c>
      <c r="CP7" s="103" t="s">
        <v>143</v>
      </c>
      <c r="CQ7" s="64"/>
      <c r="CR7" s="28" t="b">
        <f>IF($B$15=CT7,TRUE,FALSE)</f>
        <v>1</v>
      </c>
      <c r="CS7" s="113">
        <v>3</v>
      </c>
      <c r="CT7" s="68" t="s">
        <v>151</v>
      </c>
      <c r="CU7" s="64"/>
      <c r="CV7" s="139"/>
      <c r="CW7" s="45" t="b">
        <f t="shared" si="28"/>
        <v>0</v>
      </c>
      <c r="CX7" s="114" t="s">
        <v>132</v>
      </c>
      <c r="CY7" s="68" t="s">
        <v>292</v>
      </c>
      <c r="CZ7" s="64"/>
      <c r="DA7" s="45" t="b">
        <f t="shared" si="29"/>
        <v>0</v>
      </c>
      <c r="DB7" s="114" t="s">
        <v>132</v>
      </c>
      <c r="DC7" s="45">
        <v>3</v>
      </c>
      <c r="DD7" s="64"/>
      <c r="DE7" s="45"/>
      <c r="DF7" s="28"/>
      <c r="DG7" s="28"/>
      <c r="DH7" s="64"/>
      <c r="DI7" s="45"/>
      <c r="DJ7" s="114"/>
      <c r="DK7" s="135"/>
    </row>
    <row r="8" spans="1:116" x14ac:dyDescent="0.25">
      <c r="A8" s="22" t="s">
        <v>33</v>
      </c>
      <c r="B8" s="24">
        <f>'ОЛ(4)'!R14</f>
        <v>70</v>
      </c>
      <c r="C8" s="23" t="s">
        <v>37</v>
      </c>
      <c r="E8" s="44" t="s">
        <v>53</v>
      </c>
      <c r="F8" s="130">
        <f>(F4^2/F7^2)*10</f>
        <v>1.3223140495867767</v>
      </c>
      <c r="I8" s="27">
        <f t="shared" si="8"/>
        <v>0</v>
      </c>
      <c r="J8" s="28">
        <v>40</v>
      </c>
      <c r="K8" s="28">
        <f t="shared" si="0"/>
        <v>4.0875226338606248E-2</v>
      </c>
      <c r="L8" s="28">
        <f t="shared" si="9"/>
        <v>35.137325342770062</v>
      </c>
      <c r="M8" s="28"/>
      <c r="N8" s="28">
        <f t="shared" si="10"/>
        <v>0</v>
      </c>
      <c r="O8" s="28">
        <v>40</v>
      </c>
      <c r="P8" s="28">
        <f t="shared" si="1"/>
        <v>4.0875226338606248E-2</v>
      </c>
      <c r="Q8" s="29">
        <f t="shared" si="2"/>
        <v>170.06465465900712</v>
      </c>
      <c r="R8" s="28">
        <f t="shared" si="11"/>
        <v>0</v>
      </c>
      <c r="S8" s="28">
        <v>40</v>
      </c>
      <c r="T8" s="28">
        <f t="shared" si="3"/>
        <v>4.0875226338606248E-2</v>
      </c>
      <c r="U8" s="29">
        <f t="shared" si="12"/>
        <v>0.40416928083804654</v>
      </c>
      <c r="W8" s="41"/>
      <c r="X8" s="28"/>
      <c r="Y8" s="43"/>
      <c r="Z8" s="27" t="b">
        <f t="shared" si="4"/>
        <v>1</v>
      </c>
      <c r="AA8" s="42">
        <v>25</v>
      </c>
      <c r="AB8" s="29">
        <v>10</v>
      </c>
      <c r="AC8" s="27" t="b">
        <f t="shared" si="5"/>
        <v>1</v>
      </c>
      <c r="AD8" s="42">
        <v>25</v>
      </c>
      <c r="AE8" s="29">
        <v>10</v>
      </c>
      <c r="AF8" s="28" t="b">
        <f t="shared" si="6"/>
        <v>1</v>
      </c>
      <c r="AG8" s="42">
        <v>25</v>
      </c>
      <c r="AH8" s="29">
        <v>10</v>
      </c>
      <c r="AJ8" s="120">
        <v>25</v>
      </c>
      <c r="AK8" s="27" t="b">
        <f t="shared" si="13"/>
        <v>1</v>
      </c>
      <c r="AL8" s="29" t="s">
        <v>64</v>
      </c>
      <c r="AM8" s="64" t="b">
        <f t="shared" si="7"/>
        <v>1</v>
      </c>
      <c r="AN8" s="64" t="s">
        <v>138</v>
      </c>
      <c r="AO8" s="27" t="b">
        <f t="shared" si="14"/>
        <v>1</v>
      </c>
      <c r="AP8" s="66" t="s">
        <v>145</v>
      </c>
      <c r="AR8" s="28"/>
      <c r="AS8" s="27">
        <v>1.25</v>
      </c>
      <c r="AT8" s="28" t="b">
        <f t="shared" si="33"/>
        <v>1</v>
      </c>
      <c r="AU8" s="28" t="s">
        <v>223</v>
      </c>
      <c r="AV8" s="28" t="b">
        <f t="shared" si="31"/>
        <v>1</v>
      </c>
      <c r="AW8" s="144">
        <v>3</v>
      </c>
      <c r="AX8" s="48">
        <v>1.1599999999999999</v>
      </c>
      <c r="AY8" s="28" t="b">
        <f t="shared" si="16"/>
        <v>1</v>
      </c>
      <c r="AZ8" s="28" t="s">
        <v>223</v>
      </c>
      <c r="BA8" s="28" t="b">
        <f t="shared" si="32"/>
        <v>1</v>
      </c>
      <c r="BB8" s="144">
        <v>3</v>
      </c>
      <c r="BC8" s="27">
        <v>1.25</v>
      </c>
      <c r="BD8" s="28" t="b">
        <f t="shared" si="17"/>
        <v>1</v>
      </c>
      <c r="BE8" s="28" t="s">
        <v>223</v>
      </c>
      <c r="BF8" s="28" t="b">
        <f t="shared" si="18"/>
        <v>1</v>
      </c>
      <c r="BG8" s="161">
        <v>4</v>
      </c>
      <c r="BH8">
        <v>0.66</v>
      </c>
      <c r="BI8" s="28" t="b">
        <f t="shared" si="19"/>
        <v>1</v>
      </c>
      <c r="BJ8" s="28" t="s">
        <v>223</v>
      </c>
      <c r="BK8" s="28" t="b">
        <f t="shared" si="20"/>
        <v>1</v>
      </c>
      <c r="BL8" s="29">
        <v>3</v>
      </c>
      <c r="BN8" s="133"/>
      <c r="BO8" s="45"/>
      <c r="BP8" s="139"/>
      <c r="BQ8" s="45" t="b">
        <f t="shared" si="21"/>
        <v>0</v>
      </c>
      <c r="BR8" s="114" t="s">
        <v>107</v>
      </c>
      <c r="BS8" s="45">
        <v>40</v>
      </c>
      <c r="BT8" s="64"/>
      <c r="BU8" s="120" t="b">
        <f t="shared" si="22"/>
        <v>0</v>
      </c>
      <c r="BV8" s="114" t="s">
        <v>107</v>
      </c>
      <c r="BW8" s="45">
        <v>15</v>
      </c>
      <c r="BX8" s="53">
        <v>4</v>
      </c>
      <c r="BY8" s="139"/>
      <c r="BZ8" s="45"/>
      <c r="CA8" s="114"/>
      <c r="CB8" s="45"/>
      <c r="CC8" s="139"/>
      <c r="CD8" s="45" t="b">
        <f t="shared" si="24"/>
        <v>0</v>
      </c>
      <c r="CE8" s="114" t="s">
        <v>107</v>
      </c>
      <c r="CF8" s="45">
        <v>40</v>
      </c>
      <c r="CG8" s="139"/>
      <c r="CH8" s="45" t="b">
        <f t="shared" si="25"/>
        <v>0</v>
      </c>
      <c r="CI8" s="68">
        <v>5</v>
      </c>
      <c r="CJ8" s="103" t="s">
        <v>64</v>
      </c>
      <c r="CK8" s="154" t="b">
        <f t="shared" si="26"/>
        <v>0</v>
      </c>
      <c r="CL8" s="68">
        <v>5</v>
      </c>
      <c r="CM8" s="103" t="s">
        <v>138</v>
      </c>
      <c r="CN8" s="155" t="b">
        <f t="shared" si="27"/>
        <v>0</v>
      </c>
      <c r="CO8" s="68">
        <v>5</v>
      </c>
      <c r="CP8" s="104" t="s">
        <v>145</v>
      </c>
      <c r="CQ8" s="64"/>
      <c r="CU8" s="64"/>
      <c r="CV8" s="139"/>
      <c r="CW8" s="45" t="b">
        <f t="shared" si="28"/>
        <v>0</v>
      </c>
      <c r="CX8" s="114" t="s">
        <v>226</v>
      </c>
      <c r="CY8" s="45" t="s">
        <v>223</v>
      </c>
      <c r="CZ8" s="64"/>
      <c r="DA8" s="45" t="b">
        <f t="shared" si="29"/>
        <v>0</v>
      </c>
      <c r="DB8" s="114" t="s">
        <v>226</v>
      </c>
      <c r="DC8" s="45">
        <v>4</v>
      </c>
      <c r="DD8" s="64"/>
      <c r="DE8" s="45"/>
      <c r="DF8" s="114"/>
      <c r="DG8" s="45"/>
      <c r="DH8" s="64"/>
      <c r="DI8" s="45"/>
      <c r="DJ8" s="114"/>
      <c r="DK8" s="53"/>
    </row>
    <row r="9" spans="1:116" x14ac:dyDescent="0.25">
      <c r="A9" s="22" t="s">
        <v>34</v>
      </c>
      <c r="B9" s="24">
        <f>'ОЛ(4)'!W13*100</f>
        <v>60</v>
      </c>
      <c r="C9" s="23" t="s">
        <v>38</v>
      </c>
      <c r="E9" s="150" t="str">
        <f>IF('ОЛ(4)'!C24="ЗАВИСИМАЯ","ОТСУТСТВУЕТ",VLOOKUP(TRUE,IF(B5=150,AT4:AU11,IF(B5=130,AY4:AZ11,IF(B5=115,BD4:BE10,IF(B5=105,BI4:BJ13,FALSE)))),2,FALSE))</f>
        <v>НН14</v>
      </c>
      <c r="F9" s="131">
        <f>IF('ОЛ(4)'!C24="ЗАВИСИМАЯ","ОТСУТСТВУЕТ",VLOOKUP(TRUE,IF(B5=150,AV4:AW11,IF(B5=130,BA4:BB11,IF(B5=115,BF4:BG10,IF(B5=105,BK4:BL13,FALSE)))),2,FALSE))</f>
        <v>1</v>
      </c>
      <c r="I9" s="27">
        <f t="shared" si="8"/>
        <v>2</v>
      </c>
      <c r="J9" s="28">
        <v>50</v>
      </c>
      <c r="K9" s="28">
        <f t="shared" si="0"/>
        <v>3.7850686611455138E-2</v>
      </c>
      <c r="L9" s="28">
        <f t="shared" si="9"/>
        <v>10.661841607354788</v>
      </c>
      <c r="M9" s="28"/>
      <c r="N9" s="28">
        <f t="shared" si="10"/>
        <v>0</v>
      </c>
      <c r="O9" s="28">
        <v>50</v>
      </c>
      <c r="P9" s="28">
        <f t="shared" si="1"/>
        <v>3.7850686611455138E-2</v>
      </c>
      <c r="Q9" s="29">
        <f t="shared" si="2"/>
        <v>51.603313379597175</v>
      </c>
      <c r="R9" s="28">
        <f t="shared" si="11"/>
        <v>0</v>
      </c>
      <c r="S9" s="28">
        <v>50</v>
      </c>
      <c r="T9" s="28">
        <f t="shared" si="3"/>
        <v>3.7850686611455138E-2</v>
      </c>
      <c r="U9" s="29">
        <f t="shared" si="12"/>
        <v>0.12263849945369888</v>
      </c>
      <c r="W9" s="41"/>
      <c r="X9" s="43"/>
      <c r="Y9" s="28"/>
      <c r="Z9" s="27" t="b">
        <f t="shared" si="4"/>
        <v>1</v>
      </c>
      <c r="AA9" s="42">
        <v>32</v>
      </c>
      <c r="AB9" s="29">
        <v>16</v>
      </c>
      <c r="AC9" s="27" t="b">
        <f t="shared" si="5"/>
        <v>1</v>
      </c>
      <c r="AD9" s="42">
        <v>32</v>
      </c>
      <c r="AE9" s="29">
        <v>16</v>
      </c>
      <c r="AF9" s="28" t="b">
        <f t="shared" si="6"/>
        <v>1</v>
      </c>
      <c r="AG9" s="42">
        <v>32</v>
      </c>
      <c r="AH9" s="29">
        <v>16</v>
      </c>
      <c r="AJ9" s="120">
        <v>30</v>
      </c>
      <c r="AK9" s="27" t="b">
        <f t="shared" si="13"/>
        <v>1</v>
      </c>
      <c r="AL9" s="29" t="s">
        <v>65</v>
      </c>
      <c r="AM9" s="64" t="b">
        <f t="shared" si="7"/>
        <v>1</v>
      </c>
      <c r="AN9" s="64" t="s">
        <v>139</v>
      </c>
      <c r="AO9" s="27" t="b">
        <f t="shared" si="14"/>
        <v>1</v>
      </c>
      <c r="AP9" s="66" t="s">
        <v>146</v>
      </c>
      <c r="AR9" s="28"/>
      <c r="AS9" s="27">
        <v>1.3</v>
      </c>
      <c r="AT9" s="28" t="b">
        <f t="shared" si="33"/>
        <v>1</v>
      </c>
      <c r="AU9" s="28" t="s">
        <v>223</v>
      </c>
      <c r="AV9" s="28" t="b">
        <f t="shared" si="31"/>
        <v>1</v>
      </c>
      <c r="AW9" s="144">
        <v>4</v>
      </c>
      <c r="AX9" s="27">
        <v>1.3</v>
      </c>
      <c r="AY9" s="28" t="b">
        <f t="shared" si="16"/>
        <v>1</v>
      </c>
      <c r="AZ9" s="28" t="s">
        <v>223</v>
      </c>
      <c r="BA9" s="28" t="b">
        <f t="shared" si="32"/>
        <v>1</v>
      </c>
      <c r="BB9" s="144">
        <v>4</v>
      </c>
      <c r="BC9" s="27">
        <v>1.8</v>
      </c>
      <c r="BD9" s="28" t="b">
        <f>IF($B$4&lt;BC9,TRUE,FALSE)</f>
        <v>1</v>
      </c>
      <c r="BE9" s="28" t="s">
        <v>224</v>
      </c>
      <c r="BF9" s="28" t="b">
        <f t="shared" si="18"/>
        <v>1</v>
      </c>
      <c r="BG9" s="161">
        <v>2</v>
      </c>
      <c r="BH9" s="28">
        <v>0.91</v>
      </c>
      <c r="BI9" s="28" t="b">
        <f t="shared" si="19"/>
        <v>1</v>
      </c>
      <c r="BJ9" s="28" t="s">
        <v>223</v>
      </c>
      <c r="BK9" s="28" t="b">
        <f t="shared" si="20"/>
        <v>1</v>
      </c>
      <c r="BL9" s="29">
        <v>4</v>
      </c>
      <c r="BN9" s="133"/>
      <c r="BO9" s="45"/>
      <c r="BP9" s="139"/>
      <c r="BQ9" s="45" t="b">
        <f t="shared" si="21"/>
        <v>1</v>
      </c>
      <c r="BR9" s="114" t="s">
        <v>108</v>
      </c>
      <c r="BS9" s="45">
        <v>50</v>
      </c>
      <c r="BT9" s="64"/>
      <c r="BU9" s="120" t="b">
        <f t="shared" si="22"/>
        <v>0</v>
      </c>
      <c r="BV9" s="114" t="s">
        <v>108</v>
      </c>
      <c r="BW9" s="45">
        <v>20</v>
      </c>
      <c r="BX9" s="53">
        <v>5</v>
      </c>
      <c r="BY9" s="139"/>
      <c r="BZ9" s="45"/>
      <c r="CA9" s="114"/>
      <c r="CB9" s="45"/>
      <c r="CC9" s="139"/>
      <c r="CD9" s="45" t="b">
        <f t="shared" si="24"/>
        <v>0</v>
      </c>
      <c r="CE9" s="114" t="s">
        <v>108</v>
      </c>
      <c r="CF9" s="45">
        <v>50</v>
      </c>
      <c r="CG9" s="139"/>
      <c r="CH9" s="45" t="b">
        <f t="shared" si="25"/>
        <v>0</v>
      </c>
      <c r="CI9" s="68">
        <v>6</v>
      </c>
      <c r="CJ9" s="103" t="s">
        <v>65</v>
      </c>
      <c r="CK9" s="154" t="b">
        <f t="shared" si="26"/>
        <v>0</v>
      </c>
      <c r="CL9" s="68">
        <v>6</v>
      </c>
      <c r="CM9" s="103" t="s">
        <v>139</v>
      </c>
      <c r="CN9" s="155" t="b">
        <f t="shared" si="27"/>
        <v>0</v>
      </c>
      <c r="CO9" s="68">
        <v>6</v>
      </c>
      <c r="CP9" s="104" t="s">
        <v>146</v>
      </c>
      <c r="CQ9" s="64"/>
      <c r="CR9" s="28"/>
      <c r="CS9" s="28"/>
      <c r="CT9" s="28"/>
      <c r="CU9" s="64"/>
      <c r="CV9" s="139"/>
      <c r="CW9" s="45" t="b">
        <f t="shared" si="28"/>
        <v>0</v>
      </c>
      <c r="CX9" s="114" t="s">
        <v>227</v>
      </c>
      <c r="CY9" s="45" t="s">
        <v>224</v>
      </c>
      <c r="CZ9" s="64"/>
      <c r="DA9" s="45" t="b">
        <f t="shared" si="29"/>
        <v>0</v>
      </c>
      <c r="DB9" s="114" t="s">
        <v>227</v>
      </c>
      <c r="DC9" s="45">
        <v>5</v>
      </c>
      <c r="DD9" s="64"/>
      <c r="DE9" s="45"/>
      <c r="DF9" s="114"/>
      <c r="DG9" s="45"/>
      <c r="DH9" s="64"/>
      <c r="DI9" s="45"/>
      <c r="DJ9" s="114"/>
      <c r="DK9" s="53"/>
    </row>
    <row r="10" spans="1:116" x14ac:dyDescent="0.25">
      <c r="A10" s="22" t="s">
        <v>35</v>
      </c>
      <c r="B10" s="24">
        <f>'ОЛ(4)'!AC13*100</f>
        <v>40</v>
      </c>
      <c r="C10" s="23" t="s">
        <v>38</v>
      </c>
      <c r="I10" s="27">
        <f t="shared" si="8"/>
        <v>0</v>
      </c>
      <c r="J10" s="28">
        <v>65</v>
      </c>
      <c r="K10" s="28">
        <f t="shared" si="0"/>
        <v>3.4705101432211748E-2</v>
      </c>
      <c r="L10" s="28">
        <f t="shared" si="9"/>
        <v>2.6329039790459161</v>
      </c>
      <c r="M10" s="28"/>
      <c r="N10" s="28">
        <f t="shared" si="10"/>
        <v>1</v>
      </c>
      <c r="O10" s="28">
        <v>65</v>
      </c>
      <c r="P10" s="28">
        <f t="shared" si="1"/>
        <v>3.4705101432211748E-2</v>
      </c>
      <c r="Q10" s="29">
        <f t="shared" si="2"/>
        <v>12.743255258582236</v>
      </c>
      <c r="R10" s="28">
        <f t="shared" si="11"/>
        <v>0</v>
      </c>
      <c r="S10" s="28">
        <v>65</v>
      </c>
      <c r="T10" s="28">
        <f t="shared" si="3"/>
        <v>3.4705101432211748E-2</v>
      </c>
      <c r="U10" s="29">
        <f t="shared" si="12"/>
        <v>3.0285142575474336E-2</v>
      </c>
      <c r="W10" s="27"/>
      <c r="X10" s="28"/>
      <c r="Y10" s="28"/>
      <c r="Z10" s="27" t="b">
        <f t="shared" si="4"/>
        <v>1</v>
      </c>
      <c r="AA10" s="42">
        <v>40</v>
      </c>
      <c r="AB10" s="29">
        <v>20</v>
      </c>
      <c r="AC10" s="27" t="b">
        <f t="shared" si="5"/>
        <v>1</v>
      </c>
      <c r="AD10" s="42">
        <v>40</v>
      </c>
      <c r="AE10" s="29">
        <v>25</v>
      </c>
      <c r="AF10" s="28" t="b">
        <f t="shared" si="6"/>
        <v>1</v>
      </c>
      <c r="AG10" s="42">
        <v>40</v>
      </c>
      <c r="AH10" s="29">
        <v>25</v>
      </c>
      <c r="AJ10" s="120">
        <v>40</v>
      </c>
      <c r="AK10" s="27" t="b">
        <f t="shared" si="13"/>
        <v>1</v>
      </c>
      <c r="AL10" s="29" t="s">
        <v>66</v>
      </c>
      <c r="AM10" s="64" t="b">
        <f t="shared" si="7"/>
        <v>1</v>
      </c>
      <c r="AN10" s="64" t="s">
        <v>140</v>
      </c>
      <c r="AO10" s="27" t="b">
        <f t="shared" si="14"/>
        <v>1</v>
      </c>
      <c r="AP10" s="66" t="s">
        <v>147</v>
      </c>
      <c r="AR10" s="28"/>
      <c r="AS10" s="27">
        <v>1.65</v>
      </c>
      <c r="AT10" s="28" t="b">
        <f t="shared" ref="AT10:AT11" si="34">IF($B$4&lt;AS10,TRUE,FALSE)</f>
        <v>1</v>
      </c>
      <c r="AU10" s="28" t="s">
        <v>224</v>
      </c>
      <c r="AV10" s="28" t="b">
        <f t="shared" si="31"/>
        <v>1</v>
      </c>
      <c r="AW10" s="144">
        <v>1</v>
      </c>
      <c r="AX10" s="48">
        <v>1.4</v>
      </c>
      <c r="AY10" s="28" t="b">
        <f t="shared" si="16"/>
        <v>1</v>
      </c>
      <c r="AZ10" s="28" t="s">
        <v>224</v>
      </c>
      <c r="BA10" s="28" t="b">
        <f t="shared" si="32"/>
        <v>1</v>
      </c>
      <c r="BB10" s="144">
        <v>1</v>
      </c>
      <c r="BC10" s="27">
        <v>2.0009999999999999</v>
      </c>
      <c r="BD10" s="28" t="b">
        <f>IF($B$4&lt;BC10,TRUE,FALSE)</f>
        <v>1</v>
      </c>
      <c r="BE10" s="28" t="s">
        <v>291</v>
      </c>
      <c r="BF10" s="28" t="b">
        <f t="shared" si="18"/>
        <v>1</v>
      </c>
      <c r="BG10" s="161">
        <v>1</v>
      </c>
      <c r="BH10" s="28">
        <v>1.1000000000000001</v>
      </c>
      <c r="BI10" s="28" t="b">
        <f>IF($B$4&lt;BH10,TRUE,FALSE)</f>
        <v>1</v>
      </c>
      <c r="BJ10" s="28" t="s">
        <v>223</v>
      </c>
      <c r="BK10" s="28" t="b">
        <f t="shared" si="20"/>
        <v>1</v>
      </c>
      <c r="BL10" s="29">
        <v>5</v>
      </c>
      <c r="BN10" s="133"/>
      <c r="BO10" s="45"/>
      <c r="BP10" s="139"/>
      <c r="BQ10" s="45" t="b">
        <f t="shared" si="21"/>
        <v>0</v>
      </c>
      <c r="BR10" s="114" t="s">
        <v>109</v>
      </c>
      <c r="BS10" s="45">
        <v>65</v>
      </c>
      <c r="BT10" s="64"/>
      <c r="BU10" s="120" t="b">
        <f t="shared" si="22"/>
        <v>0</v>
      </c>
      <c r="BV10" s="114" t="s">
        <v>109</v>
      </c>
      <c r="BW10" s="45">
        <v>20</v>
      </c>
      <c r="BX10" s="53">
        <v>6.3</v>
      </c>
      <c r="BY10" s="139"/>
      <c r="BZ10" s="45"/>
      <c r="CA10" s="114"/>
      <c r="CB10" s="45"/>
      <c r="CC10" s="139"/>
      <c r="CD10" s="45" t="b">
        <f t="shared" si="24"/>
        <v>1</v>
      </c>
      <c r="CE10" s="114" t="s">
        <v>109</v>
      </c>
      <c r="CF10" s="45">
        <v>65</v>
      </c>
      <c r="CG10" s="139"/>
      <c r="CH10" s="45" t="b">
        <f t="shared" si="25"/>
        <v>0</v>
      </c>
      <c r="CI10" s="68">
        <v>7</v>
      </c>
      <c r="CJ10" s="103" t="s">
        <v>66</v>
      </c>
      <c r="CK10" s="154" t="b">
        <f t="shared" si="26"/>
        <v>0</v>
      </c>
      <c r="CL10" s="68">
        <v>7</v>
      </c>
      <c r="CM10" s="103" t="s">
        <v>140</v>
      </c>
      <c r="CN10" s="155" t="b">
        <f t="shared" si="27"/>
        <v>0</v>
      </c>
      <c r="CO10" s="68">
        <v>7</v>
      </c>
      <c r="CP10" s="104" t="s">
        <v>147</v>
      </c>
      <c r="CQ10" s="64"/>
      <c r="CU10" s="64"/>
      <c r="CV10" s="139"/>
      <c r="CW10" s="45" t="b">
        <f t="shared" si="28"/>
        <v>0</v>
      </c>
      <c r="CX10" s="114" t="s">
        <v>296</v>
      </c>
      <c r="CY10" s="45" t="s">
        <v>291</v>
      </c>
      <c r="CZ10" s="64"/>
      <c r="DA10" s="45"/>
      <c r="DB10" s="114"/>
      <c r="DC10" s="45"/>
      <c r="DD10" s="64"/>
      <c r="DE10" s="45"/>
      <c r="DF10" s="114"/>
      <c r="DG10" s="45"/>
      <c r="DH10" s="64"/>
      <c r="DI10" s="45"/>
      <c r="DJ10" s="114"/>
      <c r="DK10" s="53"/>
    </row>
    <row r="11" spans="1:116" x14ac:dyDescent="0.25">
      <c r="A11" s="26" t="s">
        <v>51</v>
      </c>
      <c r="B11" s="24">
        <f>'ОЛ(4)'!Z14</f>
        <v>0</v>
      </c>
      <c r="C11" s="23" t="s">
        <v>38</v>
      </c>
      <c r="E11" t="s">
        <v>45</v>
      </c>
      <c r="F11" s="130">
        <f>B4*1000/(B7-B8)</f>
        <v>8</v>
      </c>
      <c r="I11" s="27">
        <f t="shared" si="8"/>
        <v>0</v>
      </c>
      <c r="J11" s="28">
        <v>80</v>
      </c>
      <c r="K11" s="28">
        <f t="shared" si="0"/>
        <v>3.248549788373601E-2</v>
      </c>
      <c r="L11" s="28">
        <f t="shared" si="9"/>
        <v>0.87266604547872617</v>
      </c>
      <c r="M11" s="28"/>
      <c r="N11" s="28">
        <f t="shared" si="10"/>
        <v>1</v>
      </c>
      <c r="O11" s="28">
        <v>80</v>
      </c>
      <c r="P11" s="28">
        <f t="shared" si="1"/>
        <v>3.248549788373601E-2</v>
      </c>
      <c r="Q11" s="29">
        <f t="shared" si="2"/>
        <v>4.2237036601170352</v>
      </c>
      <c r="R11" s="28">
        <f t="shared" si="11"/>
        <v>0</v>
      </c>
      <c r="S11" s="28">
        <v>80</v>
      </c>
      <c r="T11" s="28">
        <f t="shared" si="3"/>
        <v>3.248549788373601E-2</v>
      </c>
      <c r="U11" s="29">
        <f t="shared" si="12"/>
        <v>1.0037895729746889E-2</v>
      </c>
      <c r="W11" s="27"/>
      <c r="X11" s="28"/>
      <c r="Y11" s="43"/>
      <c r="Z11" s="27" t="b">
        <f t="shared" si="4"/>
        <v>1</v>
      </c>
      <c r="AA11" s="42">
        <v>40</v>
      </c>
      <c r="AB11" s="29">
        <v>25</v>
      </c>
      <c r="AC11" s="27" t="b">
        <f t="shared" si="5"/>
        <v>1</v>
      </c>
      <c r="AD11" s="42">
        <v>50</v>
      </c>
      <c r="AE11" s="49">
        <v>31.5</v>
      </c>
      <c r="AF11" s="28" t="b">
        <f t="shared" si="6"/>
        <v>1</v>
      </c>
      <c r="AG11" s="42">
        <v>50</v>
      </c>
      <c r="AH11" s="29">
        <v>40</v>
      </c>
      <c r="AJ11" s="120">
        <v>50</v>
      </c>
      <c r="AK11" s="27" t="b">
        <f t="shared" si="13"/>
        <v>1</v>
      </c>
      <c r="AL11" s="29" t="s">
        <v>67</v>
      </c>
      <c r="AM11" s="64" t="b">
        <f t="shared" si="7"/>
        <v>1</v>
      </c>
      <c r="AN11" s="64" t="s">
        <v>299</v>
      </c>
      <c r="AO11" s="27" t="b">
        <f t="shared" si="14"/>
        <v>1</v>
      </c>
      <c r="AP11" s="64" t="s">
        <v>299</v>
      </c>
      <c r="AS11" s="27">
        <v>2.0009999999999999</v>
      </c>
      <c r="AT11" s="28" t="b">
        <f t="shared" si="34"/>
        <v>1</v>
      </c>
      <c r="AU11" s="28" t="s">
        <v>224</v>
      </c>
      <c r="AV11" s="28" t="b">
        <f t="shared" si="31"/>
        <v>1</v>
      </c>
      <c r="AW11" s="144">
        <v>2</v>
      </c>
      <c r="AX11" s="27">
        <v>2.0009999999999999</v>
      </c>
      <c r="AY11" s="28" t="b">
        <f t="shared" si="16"/>
        <v>1</v>
      </c>
      <c r="AZ11" s="28" t="s">
        <v>224</v>
      </c>
      <c r="BA11" s="28" t="b">
        <f t="shared" si="32"/>
        <v>1</v>
      </c>
      <c r="BB11" s="144">
        <v>2</v>
      </c>
      <c r="BC11" s="27"/>
      <c r="BD11" s="28"/>
      <c r="BE11" s="28"/>
      <c r="BF11" s="28"/>
      <c r="BG11" s="29"/>
      <c r="BH11" s="28">
        <v>1.3</v>
      </c>
      <c r="BI11" s="28" t="b">
        <f>IF($B$4&lt;BH11,TRUE,FALSE)</f>
        <v>1</v>
      </c>
      <c r="BJ11" s="28" t="s">
        <v>224</v>
      </c>
      <c r="BK11" s="28" t="b">
        <f t="shared" si="20"/>
        <v>1</v>
      </c>
      <c r="BL11" s="29">
        <v>2</v>
      </c>
      <c r="BN11" s="133"/>
      <c r="BO11" s="45"/>
      <c r="BP11" s="139"/>
      <c r="BQ11" s="45" t="b">
        <f t="shared" si="21"/>
        <v>0</v>
      </c>
      <c r="BR11" s="114" t="s">
        <v>110</v>
      </c>
      <c r="BS11" s="45">
        <v>80</v>
      </c>
      <c r="BT11" s="64"/>
      <c r="BU11" s="120" t="b">
        <f t="shared" si="22"/>
        <v>0</v>
      </c>
      <c r="BV11" s="114" t="s">
        <v>110</v>
      </c>
      <c r="BW11" s="45">
        <v>25</v>
      </c>
      <c r="BX11" s="53">
        <v>8</v>
      </c>
      <c r="BY11" s="139"/>
      <c r="BZ11" s="45"/>
      <c r="CA11" s="114"/>
      <c r="CB11" s="45"/>
      <c r="CC11" s="139"/>
      <c r="CD11" s="45" t="b">
        <f t="shared" si="24"/>
        <v>0</v>
      </c>
      <c r="CE11" s="114" t="s">
        <v>110</v>
      </c>
      <c r="CF11" s="45">
        <v>80</v>
      </c>
      <c r="CG11" s="139"/>
      <c r="CH11" s="45" t="b">
        <f t="shared" si="25"/>
        <v>0</v>
      </c>
      <c r="CI11" s="68">
        <v>8</v>
      </c>
      <c r="CJ11" s="103" t="s">
        <v>67</v>
      </c>
      <c r="CK11" s="113"/>
      <c r="CL11" s="113"/>
      <c r="CM11" s="103"/>
      <c r="CN11" s="113"/>
      <c r="CO11" s="113"/>
      <c r="CP11" s="103"/>
      <c r="CQ11" s="64"/>
      <c r="CU11" s="64"/>
      <c r="CV11" s="139"/>
      <c r="CW11" s="45"/>
      <c r="CX11" s="114"/>
      <c r="CY11" s="45"/>
      <c r="CZ11" s="64"/>
      <c r="DA11" s="45"/>
      <c r="DB11" s="114"/>
      <c r="DC11" s="45"/>
      <c r="DD11" s="64"/>
      <c r="DE11" s="45"/>
      <c r="DF11" s="114"/>
      <c r="DG11" s="45"/>
      <c r="DH11" s="64"/>
      <c r="DI11" s="45"/>
      <c r="DJ11" s="114"/>
      <c r="DK11" s="53"/>
    </row>
    <row r="12" spans="1:116" x14ac:dyDescent="0.25">
      <c r="A12" s="26" t="s">
        <v>50</v>
      </c>
      <c r="B12">
        <f>B9-B10</f>
        <v>20</v>
      </c>
      <c r="C12" s="23" t="s">
        <v>38</v>
      </c>
      <c r="E12" t="s">
        <v>43</v>
      </c>
      <c r="F12" s="131">
        <f>VLOOKUP(1,N4:Q17,2,FALSE)</f>
        <v>65</v>
      </c>
      <c r="I12" s="27">
        <f t="shared" si="8"/>
        <v>0</v>
      </c>
      <c r="J12" s="28">
        <v>100</v>
      </c>
      <c r="K12" s="28">
        <f t="shared" si="0"/>
        <v>3.0329450982592862E-2</v>
      </c>
      <c r="L12" s="28">
        <f t="shared" si="9"/>
        <v>0.26697649977088861</v>
      </c>
      <c r="M12" s="28"/>
      <c r="N12" s="28">
        <f t="shared" si="10"/>
        <v>0</v>
      </c>
      <c r="O12" s="28">
        <v>100</v>
      </c>
      <c r="P12" s="28">
        <f t="shared" si="1"/>
        <v>3.0329450982592862E-2</v>
      </c>
      <c r="Q12" s="29">
        <f t="shared" si="2"/>
        <v>1.2921662588911009</v>
      </c>
      <c r="R12" s="28">
        <f t="shared" si="11"/>
        <v>0</v>
      </c>
      <c r="S12" s="28">
        <v>100</v>
      </c>
      <c r="T12" s="28">
        <f t="shared" si="3"/>
        <v>3.0329450982592862E-2</v>
      </c>
      <c r="U12" s="29">
        <f t="shared" si="12"/>
        <v>3.0709138746458811E-3</v>
      </c>
      <c r="W12" s="41"/>
      <c r="X12" s="28"/>
      <c r="Y12" s="28"/>
      <c r="Z12" s="27" t="b">
        <f t="shared" si="4"/>
        <v>1</v>
      </c>
      <c r="AA12" s="42">
        <v>50</v>
      </c>
      <c r="AB12" s="29">
        <v>31.5</v>
      </c>
      <c r="AC12" s="27" t="b">
        <f t="shared" si="5"/>
        <v>1</v>
      </c>
      <c r="AD12" s="42">
        <v>50</v>
      </c>
      <c r="AE12" s="49">
        <v>40</v>
      </c>
      <c r="AF12" s="28" t="b">
        <f t="shared" si="6"/>
        <v>1</v>
      </c>
      <c r="AG12" s="42">
        <v>65</v>
      </c>
      <c r="AH12" s="29">
        <v>63</v>
      </c>
      <c r="AJ12" s="162">
        <v>60</v>
      </c>
      <c r="AK12" s="48" t="b">
        <f t="shared" si="13"/>
        <v>1</v>
      </c>
      <c r="AL12" s="49" t="s">
        <v>299</v>
      </c>
      <c r="AM12" s="64" t="b">
        <f t="shared" si="7"/>
        <v>1</v>
      </c>
      <c r="AN12" s="163" t="s">
        <v>299</v>
      </c>
      <c r="AO12" s="27" t="b">
        <f t="shared" si="14"/>
        <v>1</v>
      </c>
      <c r="AP12" s="163" t="s">
        <v>299</v>
      </c>
      <c r="AS12" s="27"/>
      <c r="AT12" s="28"/>
      <c r="AU12" s="28"/>
      <c r="AV12" s="28"/>
      <c r="AW12" s="144"/>
      <c r="AX12" s="27"/>
      <c r="AY12" s="28"/>
      <c r="AZ12" s="28"/>
      <c r="BA12" s="28"/>
      <c r="BB12" s="29"/>
      <c r="BC12" s="27"/>
      <c r="BD12" s="28"/>
      <c r="BE12" s="28"/>
      <c r="BF12" s="28"/>
      <c r="BG12" s="29"/>
      <c r="BH12" s="42">
        <v>1.45</v>
      </c>
      <c r="BI12" s="28" t="b">
        <f>IF($B$4&lt;BH12,TRUE,FALSE)</f>
        <v>1</v>
      </c>
      <c r="BJ12" s="28" t="s">
        <v>291</v>
      </c>
      <c r="BK12" s="28" t="b">
        <f t="shared" si="20"/>
        <v>1</v>
      </c>
      <c r="BL12" s="29">
        <v>1</v>
      </c>
      <c r="BN12" s="133"/>
      <c r="BO12" s="45"/>
      <c r="BP12" s="139"/>
      <c r="BQ12" s="45" t="b">
        <f t="shared" si="21"/>
        <v>0</v>
      </c>
      <c r="BR12" s="114" t="s">
        <v>111</v>
      </c>
      <c r="BS12" s="45">
        <v>100</v>
      </c>
      <c r="BT12" s="64"/>
      <c r="BU12" s="120" t="b">
        <f t="shared" si="22"/>
        <v>1</v>
      </c>
      <c r="BV12" s="114" t="s">
        <v>111</v>
      </c>
      <c r="BW12" s="45">
        <v>25</v>
      </c>
      <c r="BX12" s="53">
        <v>10</v>
      </c>
      <c r="BY12" s="139"/>
      <c r="BZ12" s="45"/>
      <c r="CA12" s="114"/>
      <c r="CB12" s="45"/>
      <c r="CC12" s="139"/>
      <c r="CD12" s="45" t="b">
        <f t="shared" si="24"/>
        <v>0</v>
      </c>
      <c r="CE12" s="114" t="s">
        <v>111</v>
      </c>
      <c r="CF12" s="45">
        <v>100</v>
      </c>
      <c r="CG12" s="139"/>
      <c r="CH12" s="45" t="b">
        <f t="shared" si="25"/>
        <v>0</v>
      </c>
      <c r="CI12" s="103"/>
      <c r="CJ12" s="28"/>
      <c r="CK12" s="28"/>
      <c r="CL12" s="28"/>
      <c r="CM12" s="28"/>
      <c r="CN12" s="28"/>
      <c r="CO12" s="28"/>
      <c r="CP12" s="28"/>
      <c r="CQ12" s="64"/>
      <c r="CU12" s="64"/>
      <c r="CV12" s="139"/>
      <c r="CW12" s="45"/>
      <c r="CX12" s="114"/>
      <c r="CY12" s="45"/>
      <c r="CZ12" s="64"/>
      <c r="DA12" s="45"/>
      <c r="DB12" s="114"/>
      <c r="DC12" s="45"/>
      <c r="DD12" s="64"/>
      <c r="DE12" s="45"/>
      <c r="DF12" s="114"/>
      <c r="DG12" s="45"/>
      <c r="DH12" s="64"/>
      <c r="DI12" s="45"/>
      <c r="DJ12" s="114"/>
      <c r="DK12" s="53"/>
    </row>
    <row r="13" spans="1:116" ht="15.75" thickBot="1" x14ac:dyDescent="0.3">
      <c r="A13" s="22"/>
      <c r="C13" s="23"/>
      <c r="E13" t="s">
        <v>49</v>
      </c>
      <c r="F13" s="130">
        <f>F11*1.1</f>
        <v>8.8000000000000007</v>
      </c>
      <c r="I13" s="27">
        <f t="shared" si="8"/>
        <v>0</v>
      </c>
      <c r="J13" s="28">
        <v>125</v>
      </c>
      <c r="K13" s="28">
        <f t="shared" si="0"/>
        <v>2.8381135828692533E-2</v>
      </c>
      <c r="L13" s="28">
        <f t="shared" si="9"/>
        <v>8.1863101248150896E-2</v>
      </c>
      <c r="M13" s="28"/>
      <c r="N13" s="28">
        <f t="shared" si="10"/>
        <v>0</v>
      </c>
      <c r="O13" s="28">
        <v>125</v>
      </c>
      <c r="P13" s="28">
        <f t="shared" si="1"/>
        <v>2.8381135828692533E-2</v>
      </c>
      <c r="Q13" s="29">
        <f t="shared" si="2"/>
        <v>0.39621741004105038</v>
      </c>
      <c r="R13" s="28">
        <f t="shared" si="11"/>
        <v>0</v>
      </c>
      <c r="S13" s="28">
        <v>125</v>
      </c>
      <c r="T13" s="28">
        <f t="shared" si="3"/>
        <v>2.8381135828692533E-2</v>
      </c>
      <c r="U13" s="29">
        <f t="shared" si="12"/>
        <v>9.4163543855068353E-4</v>
      </c>
      <c r="W13" s="41"/>
      <c r="X13" s="43"/>
      <c r="Y13" s="28"/>
      <c r="Z13" s="27" t="b">
        <f t="shared" si="4"/>
        <v>1</v>
      </c>
      <c r="AA13" s="42">
        <v>50</v>
      </c>
      <c r="AB13" s="29">
        <v>40</v>
      </c>
      <c r="AC13" s="27" t="b">
        <f t="shared" si="5"/>
        <v>1</v>
      </c>
      <c r="AD13" s="42">
        <v>65</v>
      </c>
      <c r="AE13" s="49">
        <v>50</v>
      </c>
      <c r="AF13" s="28" t="b">
        <f t="shared" si="6"/>
        <v>1</v>
      </c>
      <c r="AG13" s="42">
        <v>80</v>
      </c>
      <c r="AH13" s="29">
        <v>100</v>
      </c>
      <c r="AJ13" s="167">
        <v>90</v>
      </c>
      <c r="AK13" s="50" t="b">
        <f t="shared" si="13"/>
        <v>1</v>
      </c>
      <c r="AL13" s="168" t="s">
        <v>300</v>
      </c>
      <c r="AM13" s="169" t="b">
        <f t="shared" si="7"/>
        <v>1</v>
      </c>
      <c r="AN13" s="168" t="s">
        <v>300</v>
      </c>
      <c r="AO13" s="50" t="b">
        <f t="shared" si="14"/>
        <v>1</v>
      </c>
      <c r="AP13" s="170" t="s">
        <v>300</v>
      </c>
      <c r="AS13" s="27"/>
      <c r="AT13" s="28"/>
      <c r="AU13" s="28"/>
      <c r="AV13" s="28"/>
      <c r="AW13" s="144"/>
      <c r="AX13" s="27"/>
      <c r="AY13" s="28"/>
      <c r="AZ13" s="28"/>
      <c r="BA13" s="28"/>
      <c r="BB13" s="29"/>
      <c r="BC13" s="27"/>
      <c r="BD13" s="28"/>
      <c r="BE13" s="28"/>
      <c r="BF13" s="28"/>
      <c r="BG13" s="29"/>
      <c r="BH13" s="27">
        <v>2.0009999999999999</v>
      </c>
      <c r="BI13" s="28" t="b">
        <f>IF($B$4&lt;BH13,TRUE,FALSE)</f>
        <v>1</v>
      </c>
      <c r="BJ13" s="28" t="s">
        <v>291</v>
      </c>
      <c r="BK13" s="28" t="b">
        <f t="shared" ref="BK13" si="35">IF($B$4&lt;BH13,TRUE,FALSE)</f>
        <v>1</v>
      </c>
      <c r="BL13" s="29">
        <v>2</v>
      </c>
      <c r="BN13" s="133"/>
      <c r="BO13" s="45"/>
      <c r="BP13" s="139"/>
      <c r="BQ13" s="45" t="b">
        <f t="shared" si="21"/>
        <v>0</v>
      </c>
      <c r="BR13" s="114" t="s">
        <v>112</v>
      </c>
      <c r="BS13" s="45">
        <v>125</v>
      </c>
      <c r="BT13" s="64"/>
      <c r="BU13" s="120" t="b">
        <f t="shared" si="22"/>
        <v>0</v>
      </c>
      <c r="BV13" s="114" t="s">
        <v>112</v>
      </c>
      <c r="BW13" s="45">
        <v>32</v>
      </c>
      <c r="BX13" s="53">
        <v>12.5</v>
      </c>
      <c r="BY13" s="139"/>
      <c r="BZ13" s="45"/>
      <c r="CA13" s="114"/>
      <c r="CB13" s="45"/>
      <c r="CC13" s="139"/>
      <c r="CD13" s="45" t="b">
        <f t="shared" si="24"/>
        <v>0</v>
      </c>
      <c r="CE13" s="114" t="s">
        <v>112</v>
      </c>
      <c r="CF13" s="45">
        <v>125</v>
      </c>
      <c r="CG13" s="139"/>
      <c r="CH13" s="45" t="b">
        <f t="shared" si="25"/>
        <v>0</v>
      </c>
      <c r="CI13" s="103">
        <v>10</v>
      </c>
      <c r="CJ13" s="68" t="s">
        <v>299</v>
      </c>
      <c r="CK13" s="45" t="b">
        <f t="shared" ref="CK13:CK14" si="36">IF($E$14=CM13,TRUE,FALSE)</f>
        <v>0</v>
      </c>
      <c r="CL13" s="154">
        <v>10</v>
      </c>
      <c r="CM13" s="68" t="s">
        <v>299</v>
      </c>
      <c r="CN13" s="45" t="b">
        <f t="shared" ref="CN13:CN14" si="37">IF($E$14=CP13,TRUE,FALSE)</f>
        <v>0</v>
      </c>
      <c r="CO13" s="154">
        <v>10</v>
      </c>
      <c r="CP13" s="68" t="s">
        <v>299</v>
      </c>
      <c r="CQ13" s="64"/>
      <c r="CR13" s="28"/>
      <c r="CS13" s="68"/>
      <c r="CT13" s="28"/>
      <c r="CU13" s="64"/>
      <c r="CV13" s="139"/>
      <c r="CW13" s="45"/>
      <c r="CX13" s="114"/>
      <c r="CY13" s="45"/>
      <c r="CZ13" s="64"/>
      <c r="DA13" s="45"/>
      <c r="DB13" s="114"/>
      <c r="DC13" s="45"/>
      <c r="DD13" s="64"/>
      <c r="DE13" s="45"/>
      <c r="DF13" s="114"/>
      <c r="DG13" s="45"/>
      <c r="DH13" s="64"/>
      <c r="DI13" s="45"/>
      <c r="DJ13" s="114"/>
      <c r="DK13" s="53"/>
    </row>
    <row r="14" spans="1:116" x14ac:dyDescent="0.25">
      <c r="A14" s="22" t="s">
        <v>52</v>
      </c>
      <c r="B14" s="222" t="str">
        <f>'ОЛ(4)'!O24</f>
        <v>IMI Hydronic</v>
      </c>
      <c r="C14" s="222"/>
      <c r="E14" s="222" t="str">
        <f>VLOOKUP(TRUE,IF(B15="TOP-SD",AK4:AL13,IF(B15="Yonos MAXO-D",AM4:AN13,IF(B15="Stratos-D",AO4:AP13,FALSE))),2,FALSE)</f>
        <v>Stratos-D 50/1-12</v>
      </c>
      <c r="F14" s="222"/>
      <c r="I14" s="27">
        <f t="shared" si="8"/>
        <v>0</v>
      </c>
      <c r="J14" s="28">
        <v>150</v>
      </c>
      <c r="K14" s="28">
        <f t="shared" si="0"/>
        <v>2.6925299052784474E-2</v>
      </c>
      <c r="L14" s="28">
        <f t="shared" si="9"/>
        <v>3.1211362397841013E-2</v>
      </c>
      <c r="M14" s="28"/>
      <c r="N14" s="28">
        <f t="shared" si="10"/>
        <v>0</v>
      </c>
      <c r="O14" s="28">
        <v>150</v>
      </c>
      <c r="P14" s="28">
        <f t="shared" si="1"/>
        <v>2.6925299052784474E-2</v>
      </c>
      <c r="Q14" s="29">
        <f t="shared" si="2"/>
        <v>0.15106299400555051</v>
      </c>
      <c r="R14" s="28">
        <f t="shared" si="11"/>
        <v>0</v>
      </c>
      <c r="S14" s="28">
        <v>150</v>
      </c>
      <c r="T14" s="28">
        <f t="shared" si="3"/>
        <v>2.6925299052784474E-2</v>
      </c>
      <c r="U14" s="29">
        <f t="shared" si="12"/>
        <v>3.59010646691316E-4</v>
      </c>
      <c r="W14" s="27"/>
      <c r="X14" s="28"/>
      <c r="Y14" s="28"/>
      <c r="Z14" s="27" t="b">
        <f t="shared" si="4"/>
        <v>1</v>
      </c>
      <c r="AA14" s="42">
        <v>65</v>
      </c>
      <c r="AB14" s="29">
        <v>50</v>
      </c>
      <c r="AC14" s="27" t="b">
        <f t="shared" si="5"/>
        <v>1</v>
      </c>
      <c r="AD14" s="42">
        <v>65</v>
      </c>
      <c r="AE14" s="49">
        <v>63</v>
      </c>
      <c r="AF14" s="28" t="b">
        <f t="shared" si="6"/>
        <v>1</v>
      </c>
      <c r="AG14" s="42">
        <v>100</v>
      </c>
      <c r="AH14" s="29">
        <v>160</v>
      </c>
      <c r="AS14" s="27"/>
      <c r="AT14" s="28"/>
      <c r="AU14" s="28"/>
      <c r="AV14" s="28"/>
      <c r="AW14" s="144"/>
      <c r="AX14" s="27"/>
      <c r="AY14" s="28"/>
      <c r="AZ14" s="28"/>
      <c r="BA14" s="28"/>
      <c r="BB14" s="29"/>
      <c r="BC14" s="27"/>
      <c r="BD14" s="28"/>
      <c r="BE14" s="28"/>
      <c r="BF14" s="28"/>
      <c r="BG14" s="29"/>
      <c r="BH14" s="28"/>
      <c r="BI14" s="28"/>
      <c r="BJ14" s="28"/>
      <c r="BK14" s="28"/>
      <c r="BL14" s="29"/>
      <c r="BN14" s="133"/>
      <c r="BO14" s="45"/>
      <c r="BP14" s="139"/>
      <c r="BQ14" s="45" t="b">
        <f t="shared" si="21"/>
        <v>0</v>
      </c>
      <c r="BR14" s="114" t="s">
        <v>113</v>
      </c>
      <c r="BS14" s="45">
        <v>150</v>
      </c>
      <c r="BT14" s="64"/>
      <c r="BU14" s="120" t="b">
        <f t="shared" si="22"/>
        <v>0</v>
      </c>
      <c r="BV14" s="114" t="s">
        <v>113</v>
      </c>
      <c r="BW14" s="45">
        <v>32</v>
      </c>
      <c r="BX14" s="53">
        <v>16</v>
      </c>
      <c r="BY14" s="139"/>
      <c r="BZ14" s="45"/>
      <c r="CA14" s="114"/>
      <c r="CB14" s="45"/>
      <c r="CC14" s="139"/>
      <c r="CD14" s="45" t="b">
        <f t="shared" si="24"/>
        <v>0</v>
      </c>
      <c r="CE14" s="114" t="s">
        <v>113</v>
      </c>
      <c r="CF14" s="45">
        <v>150</v>
      </c>
      <c r="CG14" s="139"/>
      <c r="CH14" s="45" t="b">
        <f t="shared" si="25"/>
        <v>0</v>
      </c>
      <c r="CI14" s="103">
        <v>11</v>
      </c>
      <c r="CJ14" s="68" t="s">
        <v>300</v>
      </c>
      <c r="CK14" s="45" t="b">
        <f t="shared" si="36"/>
        <v>0</v>
      </c>
      <c r="CL14" s="154">
        <v>11</v>
      </c>
      <c r="CM14" s="68" t="s">
        <v>300</v>
      </c>
      <c r="CN14" s="45" t="b">
        <f t="shared" si="37"/>
        <v>0</v>
      </c>
      <c r="CO14" s="154">
        <v>11</v>
      </c>
      <c r="CP14" s="68" t="s">
        <v>300</v>
      </c>
      <c r="CQ14" s="64"/>
      <c r="CR14" s="28"/>
      <c r="CS14" s="68"/>
      <c r="CT14" s="28"/>
      <c r="CU14" s="64"/>
      <c r="CV14" s="139"/>
      <c r="CW14" s="45"/>
      <c r="CX14" s="114"/>
      <c r="CY14" s="45"/>
      <c r="CZ14" s="64"/>
      <c r="DA14" s="45"/>
      <c r="DB14" s="114"/>
      <c r="DC14" s="45"/>
      <c r="DD14" s="64"/>
      <c r="DE14" s="45"/>
      <c r="DF14" s="114"/>
      <c r="DG14" s="45"/>
      <c r="DH14" s="64"/>
      <c r="DI14" s="45"/>
      <c r="DJ14" s="114"/>
      <c r="DK14" s="53"/>
    </row>
    <row r="15" spans="1:116" x14ac:dyDescent="0.25">
      <c r="A15" s="22" t="s">
        <v>59</v>
      </c>
      <c r="B15" s="222" t="str">
        <f>'ОЛ(4)'!I24</f>
        <v>Stratos-D</v>
      </c>
      <c r="C15" s="222"/>
      <c r="I15" s="27">
        <f t="shared" si="8"/>
        <v>0</v>
      </c>
      <c r="J15" s="28">
        <v>200</v>
      </c>
      <c r="K15" s="28">
        <f t="shared" si="0"/>
        <v>2.4846042519733526E-2</v>
      </c>
      <c r="L15" s="28">
        <f t="shared" si="9"/>
        <v>6.8346413821546497E-3</v>
      </c>
      <c r="M15" s="28"/>
      <c r="N15" s="28">
        <f t="shared" si="10"/>
        <v>0</v>
      </c>
      <c r="O15" s="28">
        <v>200</v>
      </c>
      <c r="P15" s="28">
        <f t="shared" si="1"/>
        <v>2.4846042519733526E-2</v>
      </c>
      <c r="Q15" s="29">
        <f t="shared" si="2"/>
        <v>3.3079664289628503E-2</v>
      </c>
      <c r="R15" s="28">
        <f t="shared" si="11"/>
        <v>0</v>
      </c>
      <c r="S15" s="28">
        <v>200</v>
      </c>
      <c r="T15" s="28">
        <f t="shared" si="3"/>
        <v>2.4846042519733526E-2</v>
      </c>
      <c r="U15" s="29">
        <f t="shared" si="12"/>
        <v>7.8615889663320219E-5</v>
      </c>
      <c r="W15" s="27"/>
      <c r="X15" s="28"/>
      <c r="Y15" s="28"/>
      <c r="Z15" s="27" t="b">
        <f t="shared" si="4"/>
        <v>1</v>
      </c>
      <c r="AA15" s="42">
        <v>65</v>
      </c>
      <c r="AB15" s="29">
        <v>63</v>
      </c>
      <c r="AC15" s="27" t="b">
        <f t="shared" si="5"/>
        <v>1</v>
      </c>
      <c r="AD15" s="42">
        <v>80</v>
      </c>
      <c r="AE15" s="49">
        <v>80</v>
      </c>
      <c r="AF15" s="28" t="b">
        <f t="shared" si="6"/>
        <v>1</v>
      </c>
      <c r="AG15" s="42">
        <v>125</v>
      </c>
      <c r="AH15" s="29">
        <v>250</v>
      </c>
      <c r="AS15" s="27"/>
      <c r="AT15" s="28"/>
      <c r="AU15" s="28"/>
      <c r="AV15" s="28"/>
      <c r="AW15" s="144"/>
      <c r="AX15" s="27"/>
      <c r="AY15" s="28"/>
      <c r="AZ15" s="28"/>
      <c r="BA15" s="28"/>
      <c r="BB15" s="29"/>
      <c r="BC15" s="27"/>
      <c r="BD15" s="28"/>
      <c r="BE15" s="28"/>
      <c r="BF15" s="28"/>
      <c r="BG15" s="29"/>
      <c r="BH15" s="28"/>
      <c r="BI15" s="28"/>
      <c r="BJ15" s="28"/>
      <c r="BK15" s="28"/>
      <c r="BL15" s="29"/>
      <c r="BN15" s="133"/>
      <c r="BO15" s="45"/>
      <c r="BP15" s="139"/>
      <c r="BQ15" s="45" t="b">
        <f t="shared" si="21"/>
        <v>0</v>
      </c>
      <c r="BR15" s="114" t="s">
        <v>114</v>
      </c>
      <c r="BS15" s="45">
        <v>200</v>
      </c>
      <c r="BT15" s="64"/>
      <c r="BU15" s="120" t="b">
        <f t="shared" si="22"/>
        <v>0</v>
      </c>
      <c r="BV15" s="114" t="s">
        <v>114</v>
      </c>
      <c r="BW15" s="45">
        <v>40</v>
      </c>
      <c r="BX15" s="53">
        <v>20</v>
      </c>
      <c r="BY15" s="139"/>
      <c r="BZ15" s="45"/>
      <c r="CA15" s="114"/>
      <c r="CB15" s="45"/>
      <c r="CC15" s="139"/>
      <c r="CD15" s="45" t="b">
        <f t="shared" si="24"/>
        <v>0</v>
      </c>
      <c r="CE15" s="114" t="s">
        <v>114</v>
      </c>
      <c r="CF15" s="45">
        <v>200</v>
      </c>
      <c r="CG15" s="139"/>
      <c r="CH15" s="45"/>
      <c r="CI15" s="103"/>
      <c r="CJ15" s="28"/>
      <c r="CK15" s="28"/>
      <c r="CL15" s="28"/>
      <c r="CM15" s="28"/>
      <c r="CN15" s="28"/>
      <c r="CO15" s="28"/>
      <c r="CP15" s="28"/>
      <c r="CQ15" s="64"/>
      <c r="CR15" s="28"/>
      <c r="CS15" s="28"/>
      <c r="CT15" s="28"/>
      <c r="CU15" s="64"/>
      <c r="CV15" s="139"/>
      <c r="CW15" s="45"/>
      <c r="CX15" s="114"/>
      <c r="CY15" s="45"/>
      <c r="CZ15" s="64"/>
      <c r="DA15" s="45"/>
      <c r="DB15" s="114"/>
      <c r="DC15" s="45"/>
      <c r="DD15" s="64"/>
      <c r="DE15" s="45"/>
      <c r="DF15" s="114"/>
      <c r="DG15" s="45"/>
      <c r="DH15" s="64"/>
      <c r="DI15" s="45"/>
      <c r="DJ15" s="114"/>
      <c r="DK15" s="53"/>
    </row>
    <row r="16" spans="1:116" ht="15.75" thickBot="1" x14ac:dyDescent="0.3">
      <c r="A16" s="22" t="s">
        <v>297</v>
      </c>
      <c r="B16" s="222" t="str">
        <f>'ОЛ(4)'!U24</f>
        <v>Segnetics</v>
      </c>
      <c r="C16" s="222"/>
      <c r="E16" t="s">
        <v>89</v>
      </c>
      <c r="F16">
        <f>IF(B18="Отопление",11.7,IF(B18="Вентиляция",8.6,30))*B4/6</f>
        <v>0.38999999999999996</v>
      </c>
      <c r="I16" s="27">
        <f t="shared" si="8"/>
        <v>0</v>
      </c>
      <c r="J16" s="28">
        <v>250</v>
      </c>
      <c r="K16" s="28">
        <f t="shared" si="0"/>
        <v>2.339473539768467E-2</v>
      </c>
      <c r="L16" s="28">
        <f t="shared" si="9"/>
        <v>2.1087572085889939E-3</v>
      </c>
      <c r="M16" s="28"/>
      <c r="N16" s="28">
        <f t="shared" si="10"/>
        <v>0</v>
      </c>
      <c r="O16" s="28">
        <v>250</v>
      </c>
      <c r="P16" s="28">
        <f t="shared" si="1"/>
        <v>2.339473539768467E-2</v>
      </c>
      <c r="Q16" s="29">
        <f t="shared" si="2"/>
        <v>1.020638488957073E-2</v>
      </c>
      <c r="R16" s="28">
        <f t="shared" si="11"/>
        <v>0</v>
      </c>
      <c r="S16" s="28">
        <v>250</v>
      </c>
      <c r="T16" s="28">
        <f t="shared" si="3"/>
        <v>2.339473539768467E-2</v>
      </c>
      <c r="U16" s="29">
        <f t="shared" si="12"/>
        <v>2.425611158912043E-5</v>
      </c>
      <c r="W16" s="27"/>
      <c r="X16" s="28"/>
      <c r="Y16" s="28"/>
      <c r="Z16" s="27" t="b">
        <f t="shared" si="4"/>
        <v>1</v>
      </c>
      <c r="AA16" s="42">
        <v>80</v>
      </c>
      <c r="AB16" s="29">
        <v>80</v>
      </c>
      <c r="AC16" s="27" t="b">
        <f t="shared" si="5"/>
        <v>1</v>
      </c>
      <c r="AD16" s="42">
        <v>80</v>
      </c>
      <c r="AE16" s="49">
        <v>100</v>
      </c>
      <c r="AF16" s="28" t="b">
        <f t="shared" si="6"/>
        <v>1</v>
      </c>
      <c r="AG16" s="42">
        <v>150</v>
      </c>
      <c r="AH16" s="29">
        <v>400</v>
      </c>
      <c r="AS16" s="31"/>
      <c r="AT16" s="33"/>
      <c r="AU16" s="33"/>
      <c r="AV16" s="33"/>
      <c r="AW16" s="145"/>
      <c r="AX16" s="31"/>
      <c r="AY16" s="33"/>
      <c r="AZ16" s="33"/>
      <c r="BA16" s="33"/>
      <c r="BB16" s="34"/>
      <c r="BC16" s="31"/>
      <c r="BD16" s="33"/>
      <c r="BE16" s="33"/>
      <c r="BF16" s="33"/>
      <c r="BG16" s="34"/>
      <c r="BH16" s="33"/>
      <c r="BI16" s="33"/>
      <c r="BJ16" s="33"/>
      <c r="BK16" s="33"/>
      <c r="BL16" s="34"/>
      <c r="BN16" s="133"/>
      <c r="BO16" s="45"/>
      <c r="BP16" s="139"/>
      <c r="BQ16" s="45"/>
      <c r="BR16" s="114"/>
      <c r="BS16" s="45"/>
      <c r="BT16" s="64"/>
      <c r="BU16" s="120" t="b">
        <f t="shared" si="22"/>
        <v>0</v>
      </c>
      <c r="BV16" s="114" t="s">
        <v>115</v>
      </c>
      <c r="BW16" s="45">
        <v>40</v>
      </c>
      <c r="BX16" s="53">
        <v>25</v>
      </c>
      <c r="BY16" s="139"/>
      <c r="BZ16" s="45"/>
      <c r="CA16" s="114"/>
      <c r="CB16" s="45"/>
      <c r="CC16" s="64"/>
      <c r="CD16" s="28"/>
      <c r="CE16" s="28"/>
      <c r="CF16" s="28"/>
      <c r="CG16" s="64"/>
      <c r="CH16" s="45"/>
      <c r="CI16" s="28"/>
      <c r="CJ16" s="28"/>
      <c r="CK16" s="28"/>
      <c r="CL16" s="28"/>
      <c r="CM16" s="28"/>
      <c r="CN16" s="28"/>
      <c r="CO16" s="28"/>
      <c r="CP16" s="28"/>
      <c r="CQ16" s="64"/>
      <c r="CR16" s="28"/>
      <c r="CS16" s="28"/>
      <c r="CT16" s="28"/>
      <c r="CU16" s="64"/>
      <c r="CV16" s="64"/>
      <c r="CW16" s="28"/>
      <c r="CX16" s="28"/>
      <c r="CY16" s="28"/>
      <c r="CZ16" s="64"/>
      <c r="DA16" s="28"/>
      <c r="DB16" s="28"/>
      <c r="DC16" s="28"/>
      <c r="DD16" s="64"/>
      <c r="DE16" s="28"/>
      <c r="DF16" s="28"/>
      <c r="DG16" s="28"/>
      <c r="DH16" s="64"/>
      <c r="DI16" s="28"/>
      <c r="DJ16" s="28"/>
      <c r="DK16" s="29"/>
    </row>
    <row r="17" spans="1:115" x14ac:dyDescent="0.25">
      <c r="A17" s="22" t="s">
        <v>294</v>
      </c>
      <c r="B17" s="222" t="str">
        <f>'ОЛ(4)'!AA24</f>
        <v>Отдельный</v>
      </c>
      <c r="C17" s="222"/>
      <c r="E17" t="s">
        <v>346</v>
      </c>
      <c r="F17">
        <f>VLOOKUP(1,R4:U17,2,FALSE)</f>
        <v>20</v>
      </c>
      <c r="I17" s="27">
        <f t="shared" si="8"/>
        <v>0</v>
      </c>
      <c r="J17" s="28">
        <v>300</v>
      </c>
      <c r="K17" s="28">
        <f t="shared" si="0"/>
        <v>2.2301284149115197E-2</v>
      </c>
      <c r="L17" s="28">
        <f t="shared" si="9"/>
        <v>8.0785251928715295E-4</v>
      </c>
      <c r="M17" s="28"/>
      <c r="N17" s="28">
        <f t="shared" si="10"/>
        <v>0</v>
      </c>
      <c r="O17" s="28">
        <v>300</v>
      </c>
      <c r="P17" s="28">
        <f t="shared" si="1"/>
        <v>2.2301284149115197E-2</v>
      </c>
      <c r="Q17" s="29">
        <f t="shared" si="2"/>
        <v>3.9100061933498211E-3</v>
      </c>
      <c r="R17" s="28">
        <f t="shared" si="11"/>
        <v>0</v>
      </c>
      <c r="S17" s="28">
        <v>300</v>
      </c>
      <c r="T17" s="28">
        <f t="shared" si="3"/>
        <v>2.2301284149115197E-2</v>
      </c>
      <c r="U17" s="29">
        <f t="shared" si="12"/>
        <v>9.2923740938829295E-6</v>
      </c>
      <c r="W17" s="27"/>
      <c r="X17" s="28"/>
      <c r="Y17" s="28"/>
      <c r="Z17" s="27" t="b">
        <f t="shared" si="4"/>
        <v>1</v>
      </c>
      <c r="AA17" s="42">
        <v>80</v>
      </c>
      <c r="AB17" s="29">
        <v>100</v>
      </c>
      <c r="AC17" s="48" t="b">
        <f t="shared" si="5"/>
        <v>1</v>
      </c>
      <c r="AD17" s="42">
        <v>100</v>
      </c>
      <c r="AE17" s="49">
        <v>125</v>
      </c>
      <c r="AF17" s="28"/>
      <c r="AG17" s="28"/>
      <c r="AH17" s="29"/>
      <c r="AS17" s="28"/>
      <c r="AT17" s="28"/>
      <c r="AU17" s="28"/>
      <c r="BN17" s="133"/>
      <c r="BO17" s="45"/>
      <c r="BP17" s="139"/>
      <c r="BQ17" s="45"/>
      <c r="BR17" s="114"/>
      <c r="BS17" s="45"/>
      <c r="BT17" s="64"/>
      <c r="BU17" s="120" t="b">
        <f t="shared" si="22"/>
        <v>0</v>
      </c>
      <c r="BV17" s="114" t="s">
        <v>116</v>
      </c>
      <c r="BW17" s="45">
        <v>50</v>
      </c>
      <c r="BX17" s="53">
        <v>31.5</v>
      </c>
      <c r="BY17" s="139"/>
      <c r="BZ17" s="45"/>
      <c r="CA17" s="114"/>
      <c r="CB17" s="45"/>
      <c r="CC17" s="64"/>
      <c r="CD17" s="28"/>
      <c r="CE17" s="28"/>
      <c r="CF17" s="28"/>
      <c r="CG17" s="64"/>
      <c r="CH17" s="45"/>
      <c r="CI17" s="28"/>
      <c r="CJ17" s="28"/>
      <c r="CK17" s="28"/>
      <c r="CL17" s="28"/>
      <c r="CM17" s="28"/>
      <c r="CN17" s="28"/>
      <c r="CO17" s="28"/>
      <c r="CP17" s="28"/>
      <c r="CQ17" s="64"/>
      <c r="CR17" s="28"/>
      <c r="CS17" s="28"/>
      <c r="CT17" s="28"/>
      <c r="CU17" s="64"/>
      <c r="CV17" s="64"/>
      <c r="CW17" s="28"/>
      <c r="CX17" s="28"/>
      <c r="CY17" s="28"/>
      <c r="CZ17" s="64"/>
      <c r="DA17" s="28"/>
      <c r="DB17" s="28"/>
      <c r="DC17" s="28"/>
      <c r="DD17" s="64"/>
      <c r="DE17" s="28"/>
      <c r="DF17" s="28"/>
      <c r="DG17" s="28"/>
      <c r="DH17" s="64"/>
      <c r="DI17" s="28"/>
      <c r="DJ17" s="28"/>
      <c r="DK17" s="29"/>
    </row>
    <row r="18" spans="1:115" x14ac:dyDescent="0.25">
      <c r="A18" s="22" t="s">
        <v>345</v>
      </c>
      <c r="B18" s="222" t="str">
        <f>'ОЛ(4)'!A14</f>
        <v>Отопление</v>
      </c>
      <c r="C18" s="222"/>
      <c r="I18" s="27"/>
      <c r="J18" s="28"/>
      <c r="K18" s="28"/>
      <c r="L18" s="28"/>
      <c r="M18" s="28"/>
      <c r="N18" s="28"/>
      <c r="O18" s="28"/>
      <c r="P18" s="28"/>
      <c r="Q18" s="29"/>
      <c r="R18" s="28"/>
      <c r="S18" s="28"/>
      <c r="T18" s="28"/>
      <c r="U18" s="29"/>
      <c r="W18" s="27"/>
      <c r="X18" s="28"/>
      <c r="Y18" s="28"/>
      <c r="Z18" s="48" t="b">
        <f t="shared" si="4"/>
        <v>1</v>
      </c>
      <c r="AA18" s="42">
        <v>100</v>
      </c>
      <c r="AB18" s="29">
        <v>125</v>
      </c>
      <c r="AC18" s="48" t="b">
        <f t="shared" si="5"/>
        <v>1</v>
      </c>
      <c r="AD18" s="42">
        <v>100</v>
      </c>
      <c r="AE18" s="49">
        <v>160</v>
      </c>
      <c r="AF18" s="28"/>
      <c r="AG18" s="28"/>
      <c r="AH18" s="29"/>
      <c r="BN18" s="133"/>
      <c r="BO18" s="45"/>
      <c r="BP18" s="139"/>
      <c r="BQ18" s="45"/>
      <c r="BR18" s="114"/>
      <c r="BS18" s="45"/>
      <c r="BT18" s="64"/>
      <c r="BU18" s="120" t="b">
        <f t="shared" si="22"/>
        <v>0</v>
      </c>
      <c r="BV18" s="114" t="s">
        <v>117</v>
      </c>
      <c r="BW18" s="45">
        <v>50</v>
      </c>
      <c r="BX18" s="53">
        <v>40</v>
      </c>
      <c r="BY18" s="139"/>
      <c r="BZ18" s="45"/>
      <c r="CA18" s="114"/>
      <c r="CB18" s="45"/>
      <c r="CC18" s="64"/>
      <c r="CD18" s="28"/>
      <c r="CE18" s="28"/>
      <c r="CF18" s="28"/>
      <c r="CG18" s="64"/>
      <c r="CH18" s="45"/>
      <c r="CI18" s="28"/>
      <c r="CJ18" s="28"/>
      <c r="CK18" s="28"/>
      <c r="CL18" s="28"/>
      <c r="CM18" s="28"/>
      <c r="CN18" s="28"/>
      <c r="CO18" s="28"/>
      <c r="CP18" s="28"/>
      <c r="CQ18" s="64"/>
      <c r="CR18" s="28"/>
      <c r="CS18" s="28"/>
      <c r="CT18" s="28"/>
      <c r="CU18" s="64"/>
      <c r="CV18" s="64"/>
      <c r="CW18" s="28"/>
      <c r="CX18" s="28"/>
      <c r="CY18" s="28"/>
      <c r="CZ18" s="64"/>
      <c r="DA18" s="28"/>
      <c r="DB18" s="28"/>
      <c r="DC18" s="28"/>
      <c r="DD18" s="64"/>
      <c r="DE18" s="28"/>
      <c r="DF18" s="28"/>
      <c r="DG18" s="28"/>
      <c r="DH18" s="64"/>
      <c r="DI18" s="28"/>
      <c r="DJ18" s="28"/>
      <c r="DK18" s="29"/>
    </row>
    <row r="19" spans="1:115" x14ac:dyDescent="0.25">
      <c r="A19" s="22"/>
      <c r="C19" s="23"/>
      <c r="I19" s="27"/>
      <c r="J19" s="30"/>
      <c r="K19" s="28"/>
      <c r="L19" s="28"/>
      <c r="M19" s="28"/>
      <c r="N19" s="28"/>
      <c r="O19" s="28"/>
      <c r="P19" s="28"/>
      <c r="Q19" s="29"/>
      <c r="R19" s="28"/>
      <c r="S19" s="28"/>
      <c r="T19" s="28"/>
      <c r="U19" s="29"/>
      <c r="W19" s="27"/>
      <c r="X19" s="28"/>
      <c r="Y19" s="28"/>
      <c r="Z19" s="48" t="b">
        <f t="shared" si="4"/>
        <v>1</v>
      </c>
      <c r="AA19" s="28">
        <v>100</v>
      </c>
      <c r="AB19" s="29">
        <v>160</v>
      </c>
      <c r="AC19" s="48" t="b">
        <f t="shared" si="5"/>
        <v>1</v>
      </c>
      <c r="AD19" s="42">
        <v>125</v>
      </c>
      <c r="AE19" s="49">
        <v>200</v>
      </c>
      <c r="AF19" s="28"/>
      <c r="AG19" s="28"/>
      <c r="AH19" s="29"/>
      <c r="BN19" s="133"/>
      <c r="BO19" s="45"/>
      <c r="BP19" s="139"/>
      <c r="BQ19" s="45"/>
      <c r="BR19" s="114"/>
      <c r="BS19" s="45"/>
      <c r="BT19" s="64"/>
      <c r="BU19" s="120" t="b">
        <f t="shared" si="22"/>
        <v>0</v>
      </c>
      <c r="BV19" s="114" t="s">
        <v>118</v>
      </c>
      <c r="BW19" s="45">
        <v>65</v>
      </c>
      <c r="BX19" s="53">
        <v>50</v>
      </c>
      <c r="BY19" s="139"/>
      <c r="BZ19" s="45"/>
      <c r="CA19" s="114"/>
      <c r="CB19" s="45"/>
      <c r="CC19" s="64"/>
      <c r="CD19" s="28"/>
      <c r="CE19" s="28"/>
      <c r="CF19" s="28"/>
      <c r="CG19" s="64"/>
      <c r="CH19" s="28"/>
      <c r="CI19" s="28"/>
      <c r="CJ19" s="28"/>
      <c r="CK19" s="28"/>
      <c r="CL19" s="28"/>
      <c r="CM19" s="28"/>
      <c r="CN19" s="28"/>
      <c r="CO19" s="28"/>
      <c r="CP19" s="28"/>
      <c r="CQ19" s="64"/>
      <c r="CR19" s="28"/>
      <c r="CS19" s="28"/>
      <c r="CT19" s="28"/>
      <c r="CU19" s="64"/>
      <c r="CV19" s="64"/>
      <c r="CW19" s="28"/>
      <c r="CX19" s="28"/>
      <c r="CY19" s="28"/>
      <c r="CZ19" s="64"/>
      <c r="DA19" s="28"/>
      <c r="DB19" s="28"/>
      <c r="DC19" s="28"/>
      <c r="DD19" s="64"/>
      <c r="DE19" s="28"/>
      <c r="DF19" s="28"/>
      <c r="DG19" s="28"/>
      <c r="DH19" s="64"/>
      <c r="DI19" s="28"/>
      <c r="DJ19" s="28"/>
      <c r="DK19" s="29"/>
    </row>
    <row r="20" spans="1:115" x14ac:dyDescent="0.25">
      <c r="A20" s="22"/>
      <c r="C20" s="23"/>
      <c r="I20" s="27"/>
      <c r="J20" s="30" t="s">
        <v>39</v>
      </c>
      <c r="K20" s="28">
        <v>958.4</v>
      </c>
      <c r="L20" s="28"/>
      <c r="M20" s="28"/>
      <c r="N20" s="28"/>
      <c r="O20" s="28"/>
      <c r="P20" s="28"/>
      <c r="Q20" s="29"/>
      <c r="R20" s="28"/>
      <c r="S20" s="28"/>
      <c r="T20" s="28"/>
      <c r="U20" s="29"/>
      <c r="W20" s="27"/>
      <c r="X20" s="28"/>
      <c r="Y20" s="28"/>
      <c r="Z20" s="48" t="b">
        <f t="shared" si="4"/>
        <v>1</v>
      </c>
      <c r="AA20" s="28">
        <v>125</v>
      </c>
      <c r="AB20" s="29">
        <v>250</v>
      </c>
      <c r="AC20" s="48" t="b">
        <f t="shared" si="5"/>
        <v>1</v>
      </c>
      <c r="AD20" s="42">
        <v>125</v>
      </c>
      <c r="AE20" s="49">
        <v>250</v>
      </c>
      <c r="AF20" s="28"/>
      <c r="AG20" s="28"/>
      <c r="AH20" s="29"/>
      <c r="BN20" s="133"/>
      <c r="BO20" s="45"/>
      <c r="BP20" s="139"/>
      <c r="BQ20" s="45"/>
      <c r="BR20" s="114"/>
      <c r="BS20" s="45"/>
      <c r="BT20" s="64"/>
      <c r="BU20" s="120" t="b">
        <f t="shared" si="22"/>
        <v>0</v>
      </c>
      <c r="BV20" s="114" t="s">
        <v>119</v>
      </c>
      <c r="BW20" s="45">
        <v>65</v>
      </c>
      <c r="BX20" s="53">
        <v>63</v>
      </c>
      <c r="BY20" s="139"/>
      <c r="BZ20" s="45"/>
      <c r="CA20" s="114"/>
      <c r="CB20" s="45"/>
      <c r="CC20" s="64"/>
      <c r="CD20" s="28"/>
      <c r="CE20" s="28"/>
      <c r="CF20" s="28"/>
      <c r="CG20" s="64"/>
      <c r="CH20" s="28"/>
      <c r="CI20" s="28"/>
      <c r="CJ20" s="28"/>
      <c r="CK20" s="28"/>
      <c r="CL20" s="28"/>
      <c r="CM20" s="28"/>
      <c r="CN20" s="28"/>
      <c r="CO20" s="28"/>
      <c r="CP20" s="28"/>
      <c r="CQ20" s="64"/>
      <c r="CR20" s="28"/>
      <c r="CS20" s="28"/>
      <c r="CT20" s="28"/>
      <c r="CU20" s="64"/>
      <c r="CV20" s="64"/>
      <c r="CW20" s="28"/>
      <c r="CX20" s="28"/>
      <c r="CY20" s="28"/>
      <c r="CZ20" s="64"/>
      <c r="DA20" s="28"/>
      <c r="DB20" s="28"/>
      <c r="DC20" s="28"/>
      <c r="DD20" s="64"/>
      <c r="DE20" s="28"/>
      <c r="DF20" s="28"/>
      <c r="DG20" s="28"/>
      <c r="DH20" s="64"/>
      <c r="DI20" s="28"/>
      <c r="DJ20" s="28"/>
      <c r="DK20" s="29"/>
    </row>
    <row r="21" spans="1:115" x14ac:dyDescent="0.25">
      <c r="I21" s="27"/>
      <c r="J21" s="30" t="s">
        <v>40</v>
      </c>
      <c r="K21" s="28">
        <v>0.5</v>
      </c>
      <c r="L21" s="28"/>
      <c r="M21" s="28"/>
      <c r="N21" s="28"/>
      <c r="O21" s="28"/>
      <c r="P21" s="28"/>
      <c r="Q21" s="29"/>
      <c r="R21" s="28"/>
      <c r="S21" s="28"/>
      <c r="T21" s="28"/>
      <c r="U21" s="29"/>
      <c r="W21" s="27"/>
      <c r="X21" s="28"/>
      <c r="Y21" s="28"/>
      <c r="Z21" s="48" t="b">
        <f t="shared" si="4"/>
        <v>1</v>
      </c>
      <c r="AA21" s="28">
        <v>150</v>
      </c>
      <c r="AB21" s="29">
        <v>315</v>
      </c>
      <c r="AC21" s="48" t="b">
        <f t="shared" si="5"/>
        <v>1</v>
      </c>
      <c r="AD21" s="42">
        <v>150</v>
      </c>
      <c r="AE21" s="49">
        <v>315</v>
      </c>
      <c r="AF21" s="28"/>
      <c r="AG21" s="28"/>
      <c r="AH21" s="29"/>
      <c r="BN21" s="133"/>
      <c r="BO21" s="45"/>
      <c r="BP21" s="139"/>
      <c r="BQ21" s="45"/>
      <c r="BR21" s="114"/>
      <c r="BS21" s="45"/>
      <c r="BT21" s="64"/>
      <c r="BU21" s="120" t="b">
        <f t="shared" si="22"/>
        <v>0</v>
      </c>
      <c r="BV21" s="114" t="s">
        <v>120</v>
      </c>
      <c r="BW21" s="45">
        <v>80</v>
      </c>
      <c r="BX21" s="53">
        <v>80</v>
      </c>
      <c r="BY21" s="139"/>
      <c r="BZ21" s="45"/>
      <c r="CA21" s="114"/>
      <c r="CB21" s="45"/>
      <c r="CC21" s="64"/>
      <c r="CD21" s="28"/>
      <c r="CE21" s="28"/>
      <c r="CF21" s="28"/>
      <c r="CG21" s="64"/>
      <c r="CH21" s="28"/>
      <c r="CI21" s="28"/>
      <c r="CJ21" s="28"/>
      <c r="CK21" s="28"/>
      <c r="CL21" s="28"/>
      <c r="CM21" s="28"/>
      <c r="CN21" s="28"/>
      <c r="CO21" s="28"/>
      <c r="CP21" s="28"/>
      <c r="CQ21" s="64"/>
      <c r="CR21" s="28"/>
      <c r="CS21" s="28"/>
      <c r="CT21" s="28"/>
      <c r="CU21" s="64"/>
      <c r="CV21" s="64"/>
      <c r="CW21" s="28"/>
      <c r="CX21" s="28"/>
      <c r="CY21" s="28"/>
      <c r="CZ21" s="64"/>
      <c r="DA21" s="28"/>
      <c r="DB21" s="28"/>
      <c r="DC21" s="28"/>
      <c r="DD21" s="64"/>
      <c r="DE21" s="28"/>
      <c r="DF21" s="28"/>
      <c r="DG21" s="28"/>
      <c r="DH21" s="64"/>
      <c r="DI21" s="28"/>
      <c r="DJ21" s="28"/>
      <c r="DK21" s="29"/>
    </row>
    <row r="22" spans="1:115" ht="15.75" thickBot="1" x14ac:dyDescent="0.3">
      <c r="I22" s="31"/>
      <c r="J22" s="32"/>
      <c r="K22" s="33"/>
      <c r="L22" s="33"/>
      <c r="M22" s="33"/>
      <c r="N22" s="33"/>
      <c r="O22" s="33"/>
      <c r="P22" s="33"/>
      <c r="Q22" s="34"/>
      <c r="R22" s="33"/>
      <c r="S22" s="33"/>
      <c r="T22" s="33"/>
      <c r="U22" s="34"/>
      <c r="W22" s="31"/>
      <c r="X22" s="33"/>
      <c r="Y22" s="33"/>
      <c r="Z22" s="31"/>
      <c r="AA22" s="33"/>
      <c r="AB22" s="34"/>
      <c r="AC22" s="50" t="b">
        <f t="shared" si="5"/>
        <v>1</v>
      </c>
      <c r="AD22" s="46">
        <v>150</v>
      </c>
      <c r="AE22" s="51">
        <v>400</v>
      </c>
      <c r="AF22" s="33"/>
      <c r="AG22" s="33"/>
      <c r="AH22" s="34"/>
      <c r="BN22" s="133"/>
      <c r="BO22" s="45"/>
      <c r="BP22" s="139"/>
      <c r="BQ22" s="45"/>
      <c r="BR22" s="114"/>
      <c r="BS22" s="45"/>
      <c r="BT22" s="64"/>
      <c r="BU22" s="120" t="b">
        <f t="shared" si="22"/>
        <v>0</v>
      </c>
      <c r="BV22" s="114" t="s">
        <v>121</v>
      </c>
      <c r="BW22" s="45">
        <v>80</v>
      </c>
      <c r="BX22" s="53">
        <v>100</v>
      </c>
      <c r="BY22" s="139"/>
      <c r="BZ22" s="45"/>
      <c r="CA22" s="114"/>
      <c r="CB22" s="45"/>
      <c r="CC22" s="64"/>
      <c r="CD22" s="28"/>
      <c r="CE22" s="28"/>
      <c r="CF22" s="28"/>
      <c r="CG22" s="64"/>
      <c r="CH22" s="28"/>
      <c r="CI22" s="28"/>
      <c r="CJ22" s="28"/>
      <c r="CK22" s="28"/>
      <c r="CL22" s="28"/>
      <c r="CM22" s="28"/>
      <c r="CN22" s="28"/>
      <c r="CO22" s="28"/>
      <c r="CP22" s="28"/>
      <c r="CQ22" s="64"/>
      <c r="CR22" s="28"/>
      <c r="CS22" s="28"/>
      <c r="CT22" s="28"/>
      <c r="CU22" s="64"/>
      <c r="CV22" s="64"/>
      <c r="CW22" s="28"/>
      <c r="CX22" s="28"/>
      <c r="CY22" s="28"/>
      <c r="CZ22" s="64"/>
      <c r="DA22" s="28"/>
      <c r="DB22" s="28"/>
      <c r="DC22" s="28"/>
      <c r="DD22" s="64"/>
      <c r="DE22" s="28"/>
      <c r="DF22" s="28"/>
      <c r="DG22" s="28"/>
      <c r="DH22" s="64"/>
      <c r="DI22" s="28"/>
      <c r="DJ22" s="28"/>
      <c r="DK22" s="29"/>
    </row>
    <row r="23" spans="1:115" x14ac:dyDescent="0.25">
      <c r="BN23" s="133"/>
      <c r="BO23" s="45"/>
      <c r="BP23" s="139"/>
      <c r="BQ23" s="45"/>
      <c r="BR23" s="114"/>
      <c r="BS23" s="45"/>
      <c r="BT23" s="64"/>
      <c r="BU23" s="120" t="b">
        <f t="shared" si="22"/>
        <v>0</v>
      </c>
      <c r="BV23" s="114" t="s">
        <v>122</v>
      </c>
      <c r="BW23" s="45">
        <v>100</v>
      </c>
      <c r="BX23" s="53">
        <v>125</v>
      </c>
      <c r="BY23" s="139"/>
      <c r="BZ23" s="45"/>
      <c r="CA23" s="114"/>
      <c r="CB23" s="45"/>
      <c r="CC23" s="64"/>
      <c r="CD23" s="28"/>
      <c r="CE23" s="28"/>
      <c r="CF23" s="28"/>
      <c r="CG23" s="64"/>
      <c r="CH23" s="28"/>
      <c r="CI23" s="28"/>
      <c r="CJ23" s="28"/>
      <c r="CK23" s="28"/>
      <c r="CL23" s="28"/>
      <c r="CM23" s="28"/>
      <c r="CN23" s="28"/>
      <c r="CO23" s="28"/>
      <c r="CP23" s="28"/>
      <c r="CQ23" s="64"/>
      <c r="CR23" s="28"/>
      <c r="CS23" s="28"/>
      <c r="CT23" s="28"/>
      <c r="CU23" s="64"/>
      <c r="CV23" s="64"/>
      <c r="CW23" s="28"/>
      <c r="CX23" s="28"/>
      <c r="CY23" s="28"/>
      <c r="CZ23" s="64"/>
      <c r="DA23" s="28"/>
      <c r="DB23" s="28"/>
      <c r="DC23" s="28"/>
      <c r="DD23" s="64"/>
      <c r="DE23" s="28"/>
      <c r="DF23" s="28"/>
      <c r="DG23" s="28"/>
      <c r="DH23" s="64"/>
      <c r="DI23" s="28"/>
      <c r="DJ23" s="28"/>
      <c r="DK23" s="29"/>
    </row>
    <row r="24" spans="1:115" x14ac:dyDescent="0.25">
      <c r="BN24" s="133"/>
      <c r="BO24" s="45"/>
      <c r="BP24" s="139"/>
      <c r="BQ24" s="45"/>
      <c r="BR24" s="114"/>
      <c r="BS24" s="45"/>
      <c r="BT24" s="64"/>
      <c r="BU24" s="120" t="b">
        <f t="shared" si="22"/>
        <v>0</v>
      </c>
      <c r="BV24" s="114" t="s">
        <v>123</v>
      </c>
      <c r="BW24" s="45">
        <v>100</v>
      </c>
      <c r="BX24" s="53">
        <v>160</v>
      </c>
      <c r="BY24" s="139"/>
      <c r="BZ24" s="45"/>
      <c r="CA24" s="114"/>
      <c r="CB24" s="45"/>
      <c r="CC24" s="64"/>
      <c r="CD24" s="28"/>
      <c r="CE24" s="28"/>
      <c r="CF24" s="28"/>
      <c r="CG24" s="64"/>
      <c r="CH24" s="28"/>
      <c r="CI24" s="28"/>
      <c r="CJ24" s="28"/>
      <c r="CK24" s="28"/>
      <c r="CL24" s="28"/>
      <c r="CM24" s="28"/>
      <c r="CN24" s="28"/>
      <c r="CO24" s="28"/>
      <c r="CP24" s="28"/>
      <c r="CQ24" s="64"/>
      <c r="CR24" s="28"/>
      <c r="CS24" s="28"/>
      <c r="CT24" s="28"/>
      <c r="CU24" s="64"/>
      <c r="CV24" s="64"/>
      <c r="CW24" s="28"/>
      <c r="CX24" s="28"/>
      <c r="CY24" s="28"/>
      <c r="CZ24" s="64"/>
      <c r="DA24" s="28"/>
      <c r="DB24" s="28"/>
      <c r="DC24" s="28"/>
      <c r="DD24" s="64"/>
      <c r="DE24" s="28"/>
      <c r="DF24" s="28"/>
      <c r="DG24" s="28"/>
      <c r="DH24" s="64"/>
      <c r="DI24" s="28"/>
      <c r="DJ24" s="28"/>
      <c r="DK24" s="29"/>
    </row>
    <row r="25" spans="1:115" x14ac:dyDescent="0.25">
      <c r="BN25" s="133"/>
      <c r="BO25" s="45"/>
      <c r="BP25" s="139"/>
      <c r="BQ25" s="45"/>
      <c r="BR25" s="114"/>
      <c r="BS25" s="45"/>
      <c r="BT25" s="64"/>
      <c r="BU25" s="120" t="b">
        <f t="shared" si="22"/>
        <v>0</v>
      </c>
      <c r="BV25" s="114" t="s">
        <v>128</v>
      </c>
      <c r="BW25" s="45">
        <v>125</v>
      </c>
      <c r="BX25" s="53">
        <v>250</v>
      </c>
      <c r="BY25" s="139"/>
      <c r="BZ25" s="45"/>
      <c r="CA25" s="114"/>
      <c r="CB25" s="45"/>
      <c r="CC25" s="64"/>
      <c r="CD25" s="28"/>
      <c r="CE25" s="28"/>
      <c r="CF25" s="28"/>
      <c r="CG25" s="64"/>
      <c r="CH25" s="28"/>
      <c r="CI25" s="28"/>
      <c r="CJ25" s="28"/>
      <c r="CK25" s="28"/>
      <c r="CL25" s="28"/>
      <c r="CM25" s="28"/>
      <c r="CN25" s="28"/>
      <c r="CO25" s="28"/>
      <c r="CP25" s="28"/>
      <c r="CQ25" s="64"/>
      <c r="CR25" s="28"/>
      <c r="CS25" s="28"/>
      <c r="CT25" s="28"/>
      <c r="CU25" s="64"/>
      <c r="CV25" s="64"/>
      <c r="CW25" s="28"/>
      <c r="CX25" s="28"/>
      <c r="CY25" s="28"/>
      <c r="CZ25" s="64"/>
      <c r="DA25" s="28"/>
      <c r="DB25" s="28"/>
      <c r="DC25" s="28"/>
      <c r="DD25" s="64"/>
      <c r="DE25" s="28"/>
      <c r="DF25" s="28"/>
      <c r="DG25" s="28"/>
      <c r="DH25" s="64"/>
      <c r="DI25" s="28"/>
      <c r="DJ25" s="28"/>
      <c r="DK25" s="29"/>
    </row>
    <row r="26" spans="1:115" ht="15.75" thickBot="1" x14ac:dyDescent="0.3">
      <c r="BN26" s="136"/>
      <c r="BO26" s="52"/>
      <c r="BP26" s="140"/>
      <c r="BQ26" s="52"/>
      <c r="BR26" s="137"/>
      <c r="BS26" s="52"/>
      <c r="BT26" s="65"/>
      <c r="BU26" s="129" t="b">
        <f t="shared" si="22"/>
        <v>0</v>
      </c>
      <c r="BV26" s="137" t="s">
        <v>129</v>
      </c>
      <c r="BW26" s="52">
        <v>150</v>
      </c>
      <c r="BX26" s="159">
        <v>315</v>
      </c>
      <c r="BY26" s="140"/>
      <c r="BZ26" s="52"/>
      <c r="CA26" s="137"/>
      <c r="CB26" s="52"/>
      <c r="CC26" s="65"/>
      <c r="CD26" s="33"/>
      <c r="CE26" s="33"/>
      <c r="CF26" s="33"/>
      <c r="CG26" s="65"/>
      <c r="CH26" s="33"/>
      <c r="CI26" s="33"/>
      <c r="CJ26" s="33"/>
      <c r="CK26" s="33"/>
      <c r="CL26" s="33"/>
      <c r="CM26" s="33"/>
      <c r="CN26" s="33"/>
      <c r="CO26" s="33"/>
      <c r="CP26" s="33"/>
      <c r="CQ26" s="65"/>
      <c r="CR26" s="33"/>
      <c r="CS26" s="33"/>
      <c r="CT26" s="33"/>
      <c r="CU26" s="65"/>
      <c r="CV26" s="65"/>
      <c r="CW26" s="33"/>
      <c r="CX26" s="33"/>
      <c r="CY26" s="33"/>
      <c r="CZ26" s="65"/>
      <c r="DA26" s="33"/>
      <c r="DB26" s="33"/>
      <c r="DC26" s="33"/>
      <c r="DD26" s="65"/>
      <c r="DE26" s="33"/>
      <c r="DF26" s="33"/>
      <c r="DG26" s="33"/>
      <c r="DH26" s="65"/>
      <c r="DI26" s="33"/>
      <c r="DJ26" s="33"/>
      <c r="DK26" s="34"/>
    </row>
  </sheetData>
  <mergeCells count="28">
    <mergeCell ref="B18:C18"/>
    <mergeCell ref="DE2:DG2"/>
    <mergeCell ref="DI2:DK2"/>
    <mergeCell ref="B15:C15"/>
    <mergeCell ref="AX3:BB3"/>
    <mergeCell ref="AF3:AH3"/>
    <mergeCell ref="AJ2:AM2"/>
    <mergeCell ref="W2:AH2"/>
    <mergeCell ref="E14:F14"/>
    <mergeCell ref="B14:C14"/>
    <mergeCell ref="I2:Q2"/>
    <mergeCell ref="Z3:AB3"/>
    <mergeCell ref="AC3:AE3"/>
    <mergeCell ref="BN2:BO2"/>
    <mergeCell ref="BR2:BS2"/>
    <mergeCell ref="BV2:BX2"/>
    <mergeCell ref="DA2:DC2"/>
    <mergeCell ref="B16:C16"/>
    <mergeCell ref="B17:C17"/>
    <mergeCell ref="AS3:AW3"/>
    <mergeCell ref="AS2:BL2"/>
    <mergeCell ref="BC3:BG3"/>
    <mergeCell ref="BH3:BL3"/>
    <mergeCell ref="CA2:CB2"/>
    <mergeCell ref="CE2:CF2"/>
    <mergeCell ref="CI2:CP2"/>
    <mergeCell ref="CR2:CT2"/>
    <mergeCell ref="CW2:CY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L26"/>
  <sheetViews>
    <sheetView zoomScale="85" zoomScaleNormal="85" workbookViewId="0">
      <selection activeCell="R1" sqref="R1:U1048576"/>
    </sheetView>
  </sheetViews>
  <sheetFormatPr defaultRowHeight="15" x14ac:dyDescent="0.25"/>
  <cols>
    <col min="1" max="1" width="7.7109375" customWidth="1"/>
    <col min="2" max="2" width="8" customWidth="1"/>
    <col min="5" max="6" width="12.5703125" customWidth="1"/>
    <col min="9" max="9" width="9.140625" customWidth="1"/>
    <col min="10" max="10" width="6" customWidth="1"/>
    <col min="11" max="12" width="8" customWidth="1"/>
    <col min="13" max="13" width="4.7109375" customWidth="1"/>
    <col min="14" max="14" width="6" customWidth="1"/>
    <col min="15" max="17" width="9.140625" customWidth="1"/>
    <col min="18" max="18" width="6" customWidth="1"/>
    <col min="19" max="35" width="9.140625" customWidth="1"/>
    <col min="36" max="37" width="9.85546875" customWidth="1"/>
    <col min="38" max="38" width="15.7109375" customWidth="1"/>
    <col min="39" max="39" width="9.140625" customWidth="1"/>
    <col min="40" max="40" width="25.140625" customWidth="1"/>
    <col min="41" max="41" width="11" customWidth="1"/>
    <col min="42" max="42" width="18.28515625" customWidth="1"/>
    <col min="43" max="48" width="9.140625" customWidth="1"/>
    <col min="49" max="49" width="9.140625" style="153" customWidth="1"/>
    <col min="50" max="64" width="9.140625" customWidth="1"/>
    <col min="66" max="66" width="4.85546875" customWidth="1"/>
    <col min="67" max="67" width="12.85546875" bestFit="1" customWidth="1"/>
    <col min="68" max="68" width="3.28515625" customWidth="1"/>
    <col min="69" max="69" width="11.28515625" customWidth="1"/>
    <col min="70" max="71" width="6.28515625" customWidth="1"/>
    <col min="72" max="72" width="3.5703125" customWidth="1"/>
    <col min="73" max="73" width="8.28515625" customWidth="1"/>
    <col min="74" max="76" width="6.140625" customWidth="1"/>
    <col min="77" max="77" width="3.28515625" customWidth="1"/>
    <col min="78" max="78" width="9.5703125" customWidth="1"/>
    <col min="79" max="79" width="6.140625" customWidth="1"/>
    <col min="80" max="80" width="15.28515625" bestFit="1" customWidth="1"/>
    <col min="81" max="81" width="3.28515625" customWidth="1"/>
    <col min="82" max="82" width="8.7109375" customWidth="1"/>
    <col min="83" max="84" width="6.28515625" customWidth="1"/>
    <col min="85" max="85" width="3.28515625" customWidth="1"/>
    <col min="86" max="86" width="9.5703125" customWidth="1"/>
    <col min="87" max="87" width="6.140625" customWidth="1"/>
    <col min="88" max="88" width="16.85546875" customWidth="1"/>
    <col min="89" max="89" width="8.5703125" customWidth="1"/>
    <col min="90" max="90" width="7" customWidth="1"/>
    <col min="91" max="91" width="25.140625" customWidth="1"/>
    <col min="92" max="92" width="8.5703125" bestFit="1" customWidth="1"/>
    <col min="93" max="93" width="6.7109375" customWidth="1"/>
    <col min="94" max="94" width="18.28515625" customWidth="1"/>
    <col min="95" max="95" width="3.5703125" customWidth="1"/>
    <col min="96" max="96" width="8.5703125" bestFit="1" customWidth="1"/>
    <col min="97" max="97" width="5.85546875" customWidth="1"/>
    <col min="98" max="98" width="16.140625" customWidth="1"/>
    <col min="99" max="99" width="3.7109375" customWidth="1"/>
    <col min="100" max="100" width="3.28515625" customWidth="1"/>
    <col min="101" max="101" width="8.5703125" bestFit="1" customWidth="1"/>
    <col min="102" max="102" width="6.28515625" customWidth="1"/>
    <col min="103" max="103" width="11.42578125" bestFit="1" customWidth="1"/>
    <col min="104" max="104" width="3.5703125" customWidth="1"/>
    <col min="105" max="105" width="8.7109375" customWidth="1"/>
    <col min="106" max="106" width="6.28515625" customWidth="1"/>
    <col min="107" max="107" width="11.42578125" bestFit="1" customWidth="1"/>
    <col min="108" max="108" width="3.5703125" customWidth="1"/>
    <col min="109" max="109" width="8.7109375" customWidth="1"/>
    <col min="110" max="110" width="6.28515625" customWidth="1"/>
    <col min="111" max="111" width="11.42578125" bestFit="1" customWidth="1"/>
    <col min="112" max="112" width="3.5703125" customWidth="1"/>
    <col min="113" max="113" width="8.5703125" bestFit="1" customWidth="1"/>
    <col min="114" max="114" width="6.28515625" customWidth="1"/>
    <col min="115" max="115" width="13.7109375" customWidth="1"/>
    <col min="116" max="116" width="3.5703125" customWidth="1"/>
  </cols>
  <sheetData>
    <row r="1" spans="1:116" ht="15.75" thickBot="1" x14ac:dyDescent="0.3"/>
    <row r="2" spans="1:116" ht="15.75" thickBot="1" x14ac:dyDescent="0.3">
      <c r="B2" t="s">
        <v>260</v>
      </c>
      <c r="I2" s="223" t="s">
        <v>47</v>
      </c>
      <c r="J2" s="224"/>
      <c r="K2" s="224"/>
      <c r="L2" s="224"/>
      <c r="M2" s="224"/>
      <c r="N2" s="224"/>
      <c r="O2" s="224"/>
      <c r="P2" s="224"/>
      <c r="Q2" s="225"/>
      <c r="R2" s="45"/>
      <c r="S2" s="45"/>
      <c r="T2" s="45"/>
      <c r="U2" s="45"/>
      <c r="W2" s="223" t="s">
        <v>52</v>
      </c>
      <c r="X2" s="224"/>
      <c r="Y2" s="224"/>
      <c r="Z2" s="224"/>
      <c r="AA2" s="224"/>
      <c r="AB2" s="224"/>
      <c r="AC2" s="224"/>
      <c r="AD2" s="224"/>
      <c r="AE2" s="224"/>
      <c r="AF2" s="224"/>
      <c r="AG2" s="224"/>
      <c r="AH2" s="225"/>
      <c r="AJ2" s="223" t="s">
        <v>59</v>
      </c>
      <c r="AK2" s="224"/>
      <c r="AL2" s="224"/>
      <c r="AM2" s="225"/>
      <c r="AN2" s="127" t="s">
        <v>149</v>
      </c>
      <c r="AO2" s="127" t="s">
        <v>285</v>
      </c>
      <c r="AP2" s="128" t="s">
        <v>151</v>
      </c>
      <c r="AS2" s="226" t="s">
        <v>286</v>
      </c>
      <c r="AT2" s="227"/>
      <c r="AU2" s="227"/>
      <c r="AV2" s="227"/>
      <c r="AW2" s="227"/>
      <c r="AX2" s="227"/>
      <c r="AY2" s="227"/>
      <c r="AZ2" s="227"/>
      <c r="BA2" s="227"/>
      <c r="BB2" s="227"/>
      <c r="BC2" s="227"/>
      <c r="BD2" s="227"/>
      <c r="BE2" s="227"/>
      <c r="BF2" s="227"/>
      <c r="BG2" s="227"/>
      <c r="BH2" s="227"/>
      <c r="BI2" s="227"/>
      <c r="BJ2" s="227"/>
      <c r="BK2" s="227"/>
      <c r="BL2" s="228"/>
      <c r="BN2" s="210" t="s">
        <v>93</v>
      </c>
      <c r="BO2" s="220"/>
      <c r="BP2" s="143"/>
      <c r="BQ2" s="147"/>
      <c r="BR2" s="220" t="s">
        <v>94</v>
      </c>
      <c r="BS2" s="220"/>
      <c r="BT2" s="141"/>
      <c r="BU2" s="158"/>
      <c r="BV2" s="220" t="s">
        <v>95</v>
      </c>
      <c r="BW2" s="220"/>
      <c r="BX2" s="221"/>
      <c r="BY2" s="143"/>
      <c r="BZ2" s="147"/>
      <c r="CA2" s="220" t="s">
        <v>97</v>
      </c>
      <c r="CB2" s="220"/>
      <c r="CC2" s="143"/>
      <c r="CD2" s="147"/>
      <c r="CE2" s="220" t="s">
        <v>98</v>
      </c>
      <c r="CF2" s="220"/>
      <c r="CG2" s="143"/>
      <c r="CH2" s="147"/>
      <c r="CI2" s="224" t="s">
        <v>99</v>
      </c>
      <c r="CJ2" s="224"/>
      <c r="CK2" s="224"/>
      <c r="CL2" s="224"/>
      <c r="CM2" s="224"/>
      <c r="CN2" s="224"/>
      <c r="CO2" s="224"/>
      <c r="CP2" s="224"/>
      <c r="CQ2" s="141"/>
      <c r="CR2" s="210" t="s">
        <v>100</v>
      </c>
      <c r="CS2" s="220"/>
      <c r="CT2" s="221"/>
      <c r="CU2" s="142"/>
      <c r="CV2" s="143"/>
      <c r="CW2" s="210" t="s">
        <v>219</v>
      </c>
      <c r="CX2" s="220"/>
      <c r="CY2" s="221"/>
      <c r="CZ2" s="141"/>
      <c r="DA2" s="210" t="s">
        <v>229</v>
      </c>
      <c r="DB2" s="220"/>
      <c r="DC2" s="221"/>
      <c r="DD2" s="141"/>
      <c r="DE2" s="210" t="s">
        <v>230</v>
      </c>
      <c r="DF2" s="220"/>
      <c r="DG2" s="221"/>
      <c r="DH2" s="141"/>
      <c r="DI2" s="210" t="s">
        <v>231</v>
      </c>
      <c r="DJ2" s="220"/>
      <c r="DK2" s="221"/>
      <c r="DL2" s="60"/>
    </row>
    <row r="3" spans="1:116" ht="15.75" thickBot="1" x14ac:dyDescent="0.3">
      <c r="I3" s="35"/>
      <c r="J3" s="36" t="s">
        <v>42</v>
      </c>
      <c r="K3" s="37" t="s">
        <v>41</v>
      </c>
      <c r="L3" s="36" t="s">
        <v>46</v>
      </c>
      <c r="M3" s="36"/>
      <c r="N3" s="36"/>
      <c r="O3" s="36" t="s">
        <v>43</v>
      </c>
      <c r="P3" s="37" t="s">
        <v>41</v>
      </c>
      <c r="Q3" s="38" t="s">
        <v>46</v>
      </c>
      <c r="R3" s="36"/>
      <c r="S3" s="36" t="s">
        <v>346</v>
      </c>
      <c r="T3" s="37" t="s">
        <v>41</v>
      </c>
      <c r="U3" s="38" t="s">
        <v>46</v>
      </c>
      <c r="W3" s="35" t="s">
        <v>55</v>
      </c>
      <c r="X3" s="36" t="s">
        <v>56</v>
      </c>
      <c r="Y3" s="38" t="s">
        <v>57</v>
      </c>
      <c r="Z3" s="223" t="s">
        <v>55</v>
      </c>
      <c r="AA3" s="224"/>
      <c r="AB3" s="225"/>
      <c r="AC3" s="223" t="s">
        <v>56</v>
      </c>
      <c r="AD3" s="224"/>
      <c r="AE3" s="225"/>
      <c r="AF3" s="223" t="s">
        <v>57</v>
      </c>
      <c r="AG3" s="224"/>
      <c r="AH3" s="225"/>
      <c r="AJ3" s="151" t="s">
        <v>49</v>
      </c>
      <c r="AK3" s="148"/>
      <c r="AL3" s="152"/>
      <c r="AM3" s="152"/>
      <c r="AN3" s="67"/>
      <c r="AO3" s="67"/>
      <c r="AP3" s="67"/>
      <c r="AS3" s="223" t="s">
        <v>287</v>
      </c>
      <c r="AT3" s="224"/>
      <c r="AU3" s="224"/>
      <c r="AV3" s="224"/>
      <c r="AW3" s="225"/>
      <c r="AX3" s="224" t="s">
        <v>288</v>
      </c>
      <c r="AY3" s="224"/>
      <c r="AZ3" s="224"/>
      <c r="BA3" s="224"/>
      <c r="BB3" s="225"/>
      <c r="BC3" s="223" t="s">
        <v>289</v>
      </c>
      <c r="BD3" s="224"/>
      <c r="BE3" s="224"/>
      <c r="BF3" s="224"/>
      <c r="BG3" s="225"/>
      <c r="BH3" s="223" t="s">
        <v>290</v>
      </c>
      <c r="BI3" s="224"/>
      <c r="BJ3" s="224"/>
      <c r="BK3" s="224"/>
      <c r="BL3" s="225"/>
      <c r="BN3" s="133" t="s">
        <v>102</v>
      </c>
      <c r="BO3" s="45" t="s">
        <v>124</v>
      </c>
      <c r="BP3" s="139"/>
      <c r="BQ3" s="45"/>
      <c r="BR3" s="134" t="s">
        <v>102</v>
      </c>
      <c r="BS3" s="154" t="s">
        <v>103</v>
      </c>
      <c r="BT3" s="64"/>
      <c r="BU3" s="27"/>
      <c r="BV3" s="134" t="s">
        <v>102</v>
      </c>
      <c r="BW3" s="154" t="s">
        <v>103</v>
      </c>
      <c r="BX3" s="53" t="s">
        <v>127</v>
      </c>
      <c r="BY3" s="139"/>
      <c r="BZ3" s="45"/>
      <c r="CA3" s="114" t="s">
        <v>102</v>
      </c>
      <c r="CB3" s="45" t="s">
        <v>133</v>
      </c>
      <c r="CC3" s="139"/>
      <c r="CD3" s="45"/>
      <c r="CE3" s="134" t="s">
        <v>102</v>
      </c>
      <c r="CF3" s="154" t="s">
        <v>103</v>
      </c>
      <c r="CG3" s="139"/>
      <c r="CH3" s="45"/>
      <c r="CI3" s="134" t="s">
        <v>102</v>
      </c>
      <c r="CJ3" s="45" t="s">
        <v>148</v>
      </c>
      <c r="CK3" s="45"/>
      <c r="CL3" s="45"/>
      <c r="CM3" s="45" t="s">
        <v>148</v>
      </c>
      <c r="CN3" s="45"/>
      <c r="CO3" s="45"/>
      <c r="CP3" s="45" t="s">
        <v>148</v>
      </c>
      <c r="CQ3" s="64"/>
      <c r="CR3" s="28"/>
      <c r="CS3" s="114" t="s">
        <v>102</v>
      </c>
      <c r="CT3" s="45" t="s">
        <v>148</v>
      </c>
      <c r="CU3" s="64"/>
      <c r="CV3" s="139"/>
      <c r="CW3" s="45"/>
      <c r="CX3" s="134" t="s">
        <v>102</v>
      </c>
      <c r="CY3" s="154" t="s">
        <v>220</v>
      </c>
      <c r="CZ3" s="64"/>
      <c r="DA3" s="45"/>
      <c r="DB3" s="134" t="s">
        <v>102</v>
      </c>
      <c r="DC3" s="154" t="s">
        <v>293</v>
      </c>
      <c r="DD3" s="64"/>
      <c r="DE3" s="45"/>
      <c r="DF3" s="134" t="s">
        <v>102</v>
      </c>
      <c r="DG3" s="154" t="s">
        <v>293</v>
      </c>
      <c r="DH3" s="64"/>
      <c r="DI3" s="45"/>
      <c r="DJ3" s="134" t="s">
        <v>102</v>
      </c>
      <c r="DK3" s="144" t="s">
        <v>294</v>
      </c>
    </row>
    <row r="4" spans="1:116" x14ac:dyDescent="0.25">
      <c r="A4" s="22" t="s">
        <v>29</v>
      </c>
      <c r="B4" s="132">
        <f>'ОЛ(4)'!C15</f>
        <v>0</v>
      </c>
      <c r="C4" t="s">
        <v>36</v>
      </c>
      <c r="E4" t="s">
        <v>44</v>
      </c>
      <c r="F4" s="130">
        <f>B4*1000/(B5-B6)</f>
        <v>0</v>
      </c>
      <c r="I4" s="27">
        <f>IF($B$12&lt;12,(IF((L4&gt;4)*AND(L4&lt;16),2,0)),IF((L4&gt;4)*AND(L4&lt;20),2,0))</f>
        <v>0</v>
      </c>
      <c r="J4" s="28">
        <v>15</v>
      </c>
      <c r="K4" s="28">
        <f t="shared" ref="K4:K17" si="0">1/POWER(1.14+2*LOG10((J4/1000)/($K$21/1000)),2)</f>
        <v>5.9655827422120798E-2</v>
      </c>
      <c r="L4" s="28">
        <f>0.00638*K4*POWER($F$4,2)/(POWER(J4/1000,5)*$K$20)</f>
        <v>0</v>
      </c>
      <c r="M4" s="28"/>
      <c r="N4" s="28" t="e">
        <f>IF((Q4&gt;4)*AND(Q4&lt;20),1,0)</f>
        <v>#DIV/0!</v>
      </c>
      <c r="O4" s="28">
        <v>15</v>
      </c>
      <c r="P4" s="28">
        <f t="shared" ref="P4:P17" si="1">1/POWER(1.14+2*LOG10((O4/1000)/($K$21/1000)),2)</f>
        <v>5.9655827422120798E-2</v>
      </c>
      <c r="Q4" s="29" t="e">
        <f t="shared" ref="Q4:Q17" si="2">0.00638*P4*POWER($F$11,2)/(POWER(O4/1000,5)*$K$20)</f>
        <v>#DIV/0!</v>
      </c>
      <c r="R4" s="28">
        <f>IF((U4&gt;4)*AND(U4&lt;20),1,0)</f>
        <v>0</v>
      </c>
      <c r="S4" s="28">
        <v>15</v>
      </c>
      <c r="T4" s="28">
        <f t="shared" ref="T4:T17" si="3">1/POWER(1.14+2*LOG10((S4/1000)/($K$21/1000)),2)</f>
        <v>5.9655827422120798E-2</v>
      </c>
      <c r="U4" s="29">
        <f>0.00638*T4*POWER($F$16,2)/(POWER(S4/1000,5)*$K$20)</f>
        <v>0</v>
      </c>
      <c r="W4" s="41" t="s">
        <v>53</v>
      </c>
      <c r="X4" s="28">
        <f>IF(B12=0,0,IF(B12&gt;12,3,1.8))</f>
        <v>3</v>
      </c>
      <c r="Y4" s="28"/>
      <c r="Z4" s="40" t="b">
        <f t="shared" ref="Z4:Z21" si="4">IF(AB4&gt;$X$5,TRUE,FALSE)</f>
        <v>1</v>
      </c>
      <c r="AA4" s="47">
        <v>15</v>
      </c>
      <c r="AB4" s="39">
        <v>1.6</v>
      </c>
      <c r="AC4" s="40" t="b">
        <f t="shared" ref="AC4:AC22" si="5">IF(AE4&gt;$X$5,TRUE,FALSE)</f>
        <v>1</v>
      </c>
      <c r="AD4" s="47">
        <v>15</v>
      </c>
      <c r="AE4" s="39">
        <v>1.6</v>
      </c>
      <c r="AF4" s="28" t="b">
        <f t="shared" ref="AF4:AF16" si="6">IF(AH4&gt;$X$5,TRUE,FALSE)</f>
        <v>1</v>
      </c>
      <c r="AG4" s="42">
        <v>15</v>
      </c>
      <c r="AH4" s="29">
        <v>1.6</v>
      </c>
      <c r="AJ4" s="149">
        <v>4</v>
      </c>
      <c r="AK4" s="40" t="e">
        <f>IF($F$13&lt;AJ4,TRUE,FALSE)</f>
        <v>#DIV/0!</v>
      </c>
      <c r="AL4" s="39" t="s">
        <v>60</v>
      </c>
      <c r="AM4" s="164" t="e">
        <f t="shared" ref="AM4:AM13" si="7">IF($F$13&lt;AJ4,TRUE,FALSE)</f>
        <v>#DIV/0!</v>
      </c>
      <c r="AN4" s="165" t="s">
        <v>135</v>
      </c>
      <c r="AO4" s="40" t="e">
        <f>IF($F$13&lt;AJ4,TRUE,FALSE)</f>
        <v>#DIV/0!</v>
      </c>
      <c r="AP4" s="166" t="s">
        <v>141</v>
      </c>
      <c r="AS4" s="40">
        <v>0.1</v>
      </c>
      <c r="AT4" s="54" t="b">
        <f>IF($B$4&lt;AS4,TRUE,FALSE)</f>
        <v>1</v>
      </c>
      <c r="AU4" s="54" t="s">
        <v>221</v>
      </c>
      <c r="AV4" s="54" t="b">
        <f>IF($B$4&lt;AS4,TRUE,FALSE)</f>
        <v>1</v>
      </c>
      <c r="AW4" s="146">
        <v>1</v>
      </c>
      <c r="AX4" s="40">
        <v>0.1</v>
      </c>
      <c r="AY4" s="54" t="b">
        <f>IF($B$4&lt;AX4,TRUE,FALSE)</f>
        <v>1</v>
      </c>
      <c r="AZ4" s="54" t="s">
        <v>221</v>
      </c>
      <c r="BA4" s="54" t="b">
        <f>IF($B$4&lt;AX4,TRUE,FALSE)</f>
        <v>1</v>
      </c>
      <c r="BB4" s="146">
        <v>1</v>
      </c>
      <c r="BC4" s="27">
        <v>0.14000000000000001</v>
      </c>
      <c r="BD4" s="28" t="b">
        <f>IF($B$4&lt;BC4,TRUE,FALSE)</f>
        <v>1</v>
      </c>
      <c r="BE4" s="54" t="s">
        <v>221</v>
      </c>
      <c r="BF4" s="28" t="b">
        <f>IF($B$4&lt;BC4,TRUE,FALSE)</f>
        <v>1</v>
      </c>
      <c r="BG4" s="53">
        <v>1</v>
      </c>
      <c r="BH4" s="28">
        <v>0.05</v>
      </c>
      <c r="BI4" s="28" t="b">
        <f>IF($B$4&lt;BH4,TRUE,FALSE)</f>
        <v>1</v>
      </c>
      <c r="BJ4" s="28" t="s">
        <v>221</v>
      </c>
      <c r="BK4" s="28" t="b">
        <f>IF($B$4&lt;BH4,TRUE,FALSE)</f>
        <v>1</v>
      </c>
      <c r="BL4" s="29">
        <v>1</v>
      </c>
      <c r="BN4" s="133" t="s">
        <v>130</v>
      </c>
      <c r="BO4" s="45" t="s">
        <v>125</v>
      </c>
      <c r="BP4" s="139"/>
      <c r="BQ4" s="45" t="e">
        <f>IF($F$5=BS4,TRUE,FALSE)</f>
        <v>#N/A</v>
      </c>
      <c r="BR4" s="114" t="s">
        <v>101</v>
      </c>
      <c r="BS4" s="45">
        <v>15</v>
      </c>
      <c r="BT4" s="64"/>
      <c r="BU4" s="120" t="b">
        <f>IF($F$7=BX4,TRUE,FALSE)</f>
        <v>0</v>
      </c>
      <c r="BV4" s="114" t="s">
        <v>101</v>
      </c>
      <c r="BW4" s="45">
        <v>15</v>
      </c>
      <c r="BX4" s="53">
        <v>0.63</v>
      </c>
      <c r="BY4" s="139"/>
      <c r="BZ4" s="45" t="b">
        <f>IF($B$14=CB4,TRUE,FALSE)</f>
        <v>0</v>
      </c>
      <c r="CA4" s="114" t="s">
        <v>130</v>
      </c>
      <c r="CB4" s="45" t="s">
        <v>55</v>
      </c>
      <c r="CC4" s="139"/>
      <c r="CD4" s="45" t="e">
        <f>IF($F$12=CF4,TRUE,FALSE)</f>
        <v>#N/A</v>
      </c>
      <c r="CE4" s="114" t="s">
        <v>101</v>
      </c>
      <c r="CF4" s="45">
        <v>15</v>
      </c>
      <c r="CG4" s="139"/>
      <c r="CH4" s="45" t="e">
        <f>IF($E$14=CJ4,TRUE,FALSE)</f>
        <v>#N/A</v>
      </c>
      <c r="CI4" s="154">
        <v>1</v>
      </c>
      <c r="CJ4" s="154" t="s">
        <v>60</v>
      </c>
      <c r="CK4" s="154" t="e">
        <f>IF($E$14=CM4,TRUE,FALSE)</f>
        <v>#N/A</v>
      </c>
      <c r="CL4" s="154">
        <v>1</v>
      </c>
      <c r="CM4" s="155" t="s">
        <v>135</v>
      </c>
      <c r="CN4" s="155" t="e">
        <f>IF($E$14=CP4,TRUE,FALSE)</f>
        <v>#N/A</v>
      </c>
      <c r="CO4" s="154">
        <v>1</v>
      </c>
      <c r="CP4" s="155" t="s">
        <v>141</v>
      </c>
      <c r="CQ4" s="64"/>
      <c r="CR4" t="e">
        <f>IF(OR(E14="DPL 80/115-2,2/2",E14="DPL 100/175-3/4"),TRUE,FALSE)</f>
        <v>#N/A</v>
      </c>
      <c r="CS4" s="153">
        <v>5</v>
      </c>
      <c r="CU4" s="64"/>
      <c r="CV4" s="139"/>
      <c r="CW4" s="45" t="b">
        <f>IF($E$9=CY4,TRUE,FALSE)</f>
        <v>0</v>
      </c>
      <c r="CX4" s="114" t="s">
        <v>225</v>
      </c>
      <c r="CY4" s="28" t="s">
        <v>228</v>
      </c>
      <c r="CZ4" s="64"/>
      <c r="DA4" s="45" t="b">
        <f>IF($F$9=DC4,TRUE,FALSE)</f>
        <v>0</v>
      </c>
      <c r="DB4" s="114" t="s">
        <v>225</v>
      </c>
      <c r="DC4" s="28" t="s">
        <v>228</v>
      </c>
      <c r="DD4" s="64"/>
      <c r="DE4" s="45" t="b">
        <f>IF($B$16=DG4,TRUE,FALSE)</f>
        <v>0</v>
      </c>
      <c r="DF4" s="114" t="s">
        <v>130</v>
      </c>
      <c r="DG4" s="45" t="s">
        <v>248</v>
      </c>
      <c r="DH4" s="64"/>
      <c r="DI4" s="45" t="b">
        <f>IF($B$17=DK4,TRUE,FALSE)</f>
        <v>0</v>
      </c>
      <c r="DJ4" s="114" t="s">
        <v>130</v>
      </c>
      <c r="DK4" s="29" t="s">
        <v>298</v>
      </c>
    </row>
    <row r="5" spans="1:116" x14ac:dyDescent="0.25">
      <c r="A5" s="22" t="s">
        <v>30</v>
      </c>
      <c r="B5" s="24">
        <f>'ОЛ(4)'!N13</f>
        <v>130</v>
      </c>
      <c r="C5" s="23" t="s">
        <v>37</v>
      </c>
      <c r="E5" t="s">
        <v>42</v>
      </c>
      <c r="F5" s="131" t="e">
        <f>VLOOKUP(2,I4:L17,2,FALSE)</f>
        <v>#N/A</v>
      </c>
      <c r="I5" s="27">
        <f t="shared" ref="I5:I17" si="8">IF($B$12&lt;12,(IF((L5&gt;4)*AND(L5&lt;16),2,0)),IF((L5&gt;4)*AND(L5&lt;20),2,0))</f>
        <v>0</v>
      </c>
      <c r="J5" s="28">
        <v>20</v>
      </c>
      <c r="K5" s="28">
        <f t="shared" si="0"/>
        <v>5.2990299783484442E-2</v>
      </c>
      <c r="L5" s="28">
        <f t="shared" ref="L5:L17" si="9">0.00638*K5*POWER($F$4,2)/(POWER(J5/1000,5)*$K$20)</f>
        <v>0</v>
      </c>
      <c r="M5" s="28"/>
      <c r="N5" s="28" t="e">
        <f t="shared" ref="N5:N17" si="10">IF((Q5&gt;4)*AND(Q5&lt;20),1,0)</f>
        <v>#DIV/0!</v>
      </c>
      <c r="O5" s="28">
        <v>20</v>
      </c>
      <c r="P5" s="28">
        <f t="shared" si="1"/>
        <v>5.2990299783484442E-2</v>
      </c>
      <c r="Q5" s="29" t="e">
        <f t="shared" si="2"/>
        <v>#DIV/0!</v>
      </c>
      <c r="R5" s="28">
        <f t="shared" ref="R5:R17" si="11">IF((U5&gt;4)*AND(U5&lt;20),1,0)</f>
        <v>0</v>
      </c>
      <c r="S5" s="28">
        <v>20</v>
      </c>
      <c r="T5" s="28">
        <f t="shared" si="3"/>
        <v>5.2990299783484442E-2</v>
      </c>
      <c r="U5" s="29">
        <f t="shared" ref="U5:U17" si="12">0.00638*T5*POWER($F$16,2)/(POWER(S5/1000,5)*$K$20)</f>
        <v>0</v>
      </c>
      <c r="W5" s="41" t="s">
        <v>54</v>
      </c>
      <c r="X5" s="43">
        <f>F4/SQRT(0.1*X4)</f>
        <v>0</v>
      </c>
      <c r="Y5" s="43"/>
      <c r="Z5" s="27" t="b">
        <f t="shared" si="4"/>
        <v>1</v>
      </c>
      <c r="AA5" s="42">
        <v>15</v>
      </c>
      <c r="AB5" s="29">
        <v>2.5</v>
      </c>
      <c r="AC5" s="27" t="b">
        <f t="shared" si="5"/>
        <v>1</v>
      </c>
      <c r="AD5" s="42">
        <v>15</v>
      </c>
      <c r="AE5" s="29">
        <v>2.5</v>
      </c>
      <c r="AF5" s="28" t="b">
        <f t="shared" si="6"/>
        <v>1</v>
      </c>
      <c r="AG5" s="42">
        <v>15</v>
      </c>
      <c r="AH5" s="29">
        <v>2.5</v>
      </c>
      <c r="AJ5" s="120">
        <v>6</v>
      </c>
      <c r="AK5" s="27" t="e">
        <f t="shared" ref="AK5:AK13" si="13">IF($F$13&lt;AJ5,TRUE,FALSE)</f>
        <v>#DIV/0!</v>
      </c>
      <c r="AL5" s="29" t="s">
        <v>61</v>
      </c>
      <c r="AM5" s="64" t="e">
        <f t="shared" si="7"/>
        <v>#DIV/0!</v>
      </c>
      <c r="AN5" s="64" t="s">
        <v>134</v>
      </c>
      <c r="AO5" s="27" t="e">
        <f t="shared" ref="AO5:AO13" si="14">IF($F$13&lt;AJ5,TRUE,FALSE)</f>
        <v>#DIV/0!</v>
      </c>
      <c r="AP5" s="66" t="s">
        <v>142</v>
      </c>
      <c r="AS5" s="27">
        <v>0.25</v>
      </c>
      <c r="AT5" s="28" t="b">
        <f t="shared" ref="AT5:AT11" si="15">IF($B$4&lt;AS5,TRUE,FALSE)</f>
        <v>1</v>
      </c>
      <c r="AU5" s="28" t="s">
        <v>222</v>
      </c>
      <c r="AV5" s="28" t="b">
        <f>IF($B$4&lt;AS5,TRUE,FALSE)</f>
        <v>1</v>
      </c>
      <c r="AW5" s="144">
        <v>1</v>
      </c>
      <c r="AX5" s="27">
        <v>0.25</v>
      </c>
      <c r="AY5" s="28" t="b">
        <f t="shared" ref="AY5:AY11" si="16">IF($B$4&lt;AX5,TRUE,FALSE)</f>
        <v>1</v>
      </c>
      <c r="AZ5" s="28" t="s">
        <v>222</v>
      </c>
      <c r="BA5" s="28" t="b">
        <f>IF($B$4&lt;AX5,TRUE,FALSE)</f>
        <v>1</v>
      </c>
      <c r="BB5" s="144">
        <v>1</v>
      </c>
      <c r="BC5" s="27">
        <v>0.45</v>
      </c>
      <c r="BD5" s="28" t="b">
        <f t="shared" ref="BD5:BD8" si="17">IF($B$4&lt;BC5,TRUE,FALSE)</f>
        <v>1</v>
      </c>
      <c r="BE5" s="28" t="s">
        <v>223</v>
      </c>
      <c r="BF5" s="28" t="b">
        <f t="shared" ref="BF5:BF10" si="18">IF($B$4&lt;BC5,TRUE,FALSE)</f>
        <v>1</v>
      </c>
      <c r="BG5" s="53">
        <v>1</v>
      </c>
      <c r="BH5" s="28">
        <v>0.09</v>
      </c>
      <c r="BI5" s="28" t="b">
        <f t="shared" ref="BI5:BI9" si="19">IF($B$4&lt;BH5,TRUE,FALSE)</f>
        <v>1</v>
      </c>
      <c r="BJ5" s="28" t="s">
        <v>292</v>
      </c>
      <c r="BK5" s="28" t="b">
        <f t="shared" ref="BK5:BK13" si="20">IF($B$4&lt;BH5,TRUE,FALSE)</f>
        <v>1</v>
      </c>
      <c r="BL5" s="29">
        <v>1</v>
      </c>
      <c r="BN5" s="133" t="s">
        <v>131</v>
      </c>
      <c r="BO5" s="45" t="s">
        <v>126</v>
      </c>
      <c r="BP5" s="139"/>
      <c r="BQ5" s="45" t="e">
        <f t="shared" ref="BQ5:BQ15" si="21">IF($F$5=BS5,TRUE,FALSE)</f>
        <v>#N/A</v>
      </c>
      <c r="BR5" s="114" t="s">
        <v>104</v>
      </c>
      <c r="BS5" s="45">
        <v>20</v>
      </c>
      <c r="BT5" s="64"/>
      <c r="BU5" s="120" t="b">
        <f t="shared" ref="BU5:BU26" si="22">IF($F$7=BX5,TRUE,FALSE)</f>
        <v>0</v>
      </c>
      <c r="BV5" s="114" t="s">
        <v>104</v>
      </c>
      <c r="BW5" s="45">
        <v>15</v>
      </c>
      <c r="BX5" s="53">
        <v>1.25</v>
      </c>
      <c r="BY5" s="139"/>
      <c r="BZ5" s="45" t="b">
        <f t="shared" ref="BZ5:BZ6" si="23">IF($B$14=CB5,TRUE,FALSE)</f>
        <v>0</v>
      </c>
      <c r="CA5" s="114" t="s">
        <v>131</v>
      </c>
      <c r="CB5" s="45" t="s">
        <v>57</v>
      </c>
      <c r="CC5" s="139"/>
      <c r="CD5" s="45" t="e">
        <f t="shared" ref="CD5:CD15" si="24">IF($F$12=CF5,TRUE,FALSE)</f>
        <v>#N/A</v>
      </c>
      <c r="CE5" s="114" t="s">
        <v>104</v>
      </c>
      <c r="CF5" s="45">
        <v>20</v>
      </c>
      <c r="CG5" s="139"/>
      <c r="CH5" s="45" t="e">
        <f t="shared" ref="CH5:CH14" si="25">IF($E$14=CJ5,TRUE,FALSE)</f>
        <v>#N/A</v>
      </c>
      <c r="CI5" s="154">
        <v>2</v>
      </c>
      <c r="CJ5" s="154" t="s">
        <v>61</v>
      </c>
      <c r="CK5" s="154" t="e">
        <f t="shared" ref="CK5:CK10" si="26">IF($E$14=CM5,TRUE,FALSE)</f>
        <v>#N/A</v>
      </c>
      <c r="CL5" s="154">
        <v>2</v>
      </c>
      <c r="CM5" s="154" t="s">
        <v>134</v>
      </c>
      <c r="CN5" s="155" t="e">
        <f t="shared" ref="CN5:CN10" si="27">IF($E$14=CP5,TRUE,FALSE)</f>
        <v>#N/A</v>
      </c>
      <c r="CO5" s="154">
        <v>2</v>
      </c>
      <c r="CP5" s="155" t="s">
        <v>142</v>
      </c>
      <c r="CQ5" s="64"/>
      <c r="CR5" s="28" t="b">
        <f>IF($B$15=CT5,TRUE,FALSE)</f>
        <v>0</v>
      </c>
      <c r="CS5" s="154">
        <v>1</v>
      </c>
      <c r="CT5" s="154" t="s">
        <v>149</v>
      </c>
      <c r="CU5" s="64"/>
      <c r="CV5" s="139"/>
      <c r="CW5" s="45" t="b">
        <f t="shared" ref="CW5:CW10" si="28">IF($E$9=CY5,TRUE,FALSE)</f>
        <v>1</v>
      </c>
      <c r="CX5" s="114" t="s">
        <v>130</v>
      </c>
      <c r="CY5" s="45" t="s">
        <v>221</v>
      </c>
      <c r="CZ5" s="64"/>
      <c r="DA5" s="45" t="b">
        <f t="shared" ref="DA5:DA9" si="29">IF($F$9=DC5,TRUE,FALSE)</f>
        <v>1</v>
      </c>
      <c r="DB5" s="114" t="s">
        <v>130</v>
      </c>
      <c r="DC5" s="45">
        <v>1</v>
      </c>
      <c r="DD5" s="64"/>
      <c r="DE5" s="45" t="b">
        <f t="shared" ref="DE5:DE6" si="30">IF($B$16=DG5,TRUE,FALSE)</f>
        <v>0</v>
      </c>
      <c r="DF5" s="114" t="s">
        <v>131</v>
      </c>
      <c r="DG5" s="45" t="s">
        <v>57</v>
      </c>
      <c r="DH5" s="64"/>
      <c r="DI5" s="45" t="b">
        <f>IF($B$17=DK5,TRUE,FALSE)</f>
        <v>0</v>
      </c>
      <c r="DJ5" s="114" t="s">
        <v>225</v>
      </c>
      <c r="DK5" s="53" t="s">
        <v>249</v>
      </c>
    </row>
    <row r="6" spans="1:116" x14ac:dyDescent="0.25">
      <c r="A6" s="22" t="s">
        <v>31</v>
      </c>
      <c r="B6" s="24">
        <f>IF(OR('ОЛ(4)'!C28="зависимая",'ОЛ(4)'!C28=0),'ОЛ(4)'!R13,IF(('ОЛ(4)'!R13-B8)&lt;5,B8+5,'ОЛ(4)'!R13))</f>
        <v>70</v>
      </c>
      <c r="C6" s="23" t="s">
        <v>37</v>
      </c>
      <c r="E6" t="s">
        <v>58</v>
      </c>
      <c r="F6" s="131">
        <f>VLOOKUP(TRUE,IF(B14="IMI Hydronic",Z4:AB21,IF(B14="Siemens",AC4:AE22,AF4:AH16)),2,FALSE)</f>
        <v>15</v>
      </c>
      <c r="I6" s="27">
        <f t="shared" si="8"/>
        <v>0</v>
      </c>
      <c r="J6" s="28">
        <v>25</v>
      </c>
      <c r="K6" s="28">
        <f t="shared" si="0"/>
        <v>4.8560427292756572E-2</v>
      </c>
      <c r="L6" s="28">
        <f t="shared" si="9"/>
        <v>0</v>
      </c>
      <c r="M6" s="28"/>
      <c r="N6" s="28" t="e">
        <f t="shared" si="10"/>
        <v>#DIV/0!</v>
      </c>
      <c r="O6" s="28">
        <v>25</v>
      </c>
      <c r="P6" s="28">
        <f t="shared" si="1"/>
        <v>4.8560427292756572E-2</v>
      </c>
      <c r="Q6" s="29" t="e">
        <f t="shared" si="2"/>
        <v>#DIV/0!</v>
      </c>
      <c r="R6" s="28">
        <f t="shared" si="11"/>
        <v>0</v>
      </c>
      <c r="S6" s="28">
        <v>25</v>
      </c>
      <c r="T6" s="28">
        <f t="shared" si="3"/>
        <v>4.8560427292756572E-2</v>
      </c>
      <c r="U6" s="29">
        <f t="shared" si="12"/>
        <v>0</v>
      </c>
      <c r="W6" s="27"/>
      <c r="X6" s="28"/>
      <c r="Y6" s="28"/>
      <c r="Z6" s="27" t="b">
        <f t="shared" si="4"/>
        <v>1</v>
      </c>
      <c r="AA6" s="42">
        <v>15</v>
      </c>
      <c r="AB6" s="29">
        <v>4</v>
      </c>
      <c r="AC6" s="27" t="b">
        <f t="shared" si="5"/>
        <v>1</v>
      </c>
      <c r="AD6" s="42">
        <v>15</v>
      </c>
      <c r="AE6" s="29">
        <v>4</v>
      </c>
      <c r="AF6" s="28" t="b">
        <f t="shared" si="6"/>
        <v>1</v>
      </c>
      <c r="AG6" s="42">
        <v>15</v>
      </c>
      <c r="AH6" s="29">
        <v>4</v>
      </c>
      <c r="AJ6" s="120">
        <v>10</v>
      </c>
      <c r="AK6" s="27" t="e">
        <f t="shared" si="13"/>
        <v>#DIV/0!</v>
      </c>
      <c r="AL6" s="29" t="s">
        <v>63</v>
      </c>
      <c r="AM6" s="64" t="e">
        <f t="shared" si="7"/>
        <v>#DIV/0!</v>
      </c>
      <c r="AN6" s="64" t="s">
        <v>137</v>
      </c>
      <c r="AO6" s="27" t="e">
        <f t="shared" si="14"/>
        <v>#DIV/0!</v>
      </c>
      <c r="AP6" s="66" t="s">
        <v>144</v>
      </c>
      <c r="AR6" s="28"/>
      <c r="AS6" s="27">
        <v>0.67</v>
      </c>
      <c r="AT6" s="28" t="b">
        <f t="shared" si="15"/>
        <v>1</v>
      </c>
      <c r="AU6" s="28" t="s">
        <v>223</v>
      </c>
      <c r="AV6" s="28" t="b">
        <f t="shared" ref="AV6:AV11" si="31">IF($B$4&lt;AS6,TRUE,FALSE)</f>
        <v>1</v>
      </c>
      <c r="AW6" s="144">
        <v>1</v>
      </c>
      <c r="AX6" s="27">
        <v>0.57499999999999996</v>
      </c>
      <c r="AY6" s="28" t="b">
        <f t="shared" si="16"/>
        <v>1</v>
      </c>
      <c r="AZ6" s="28" t="s">
        <v>223</v>
      </c>
      <c r="BA6" s="28" t="b">
        <f t="shared" ref="BA6:BA11" si="32">IF($B$4&lt;AX6,TRUE,FALSE)</f>
        <v>1</v>
      </c>
      <c r="BB6" s="144">
        <v>1</v>
      </c>
      <c r="BC6" s="27">
        <v>0.71</v>
      </c>
      <c r="BD6" s="28" t="b">
        <f t="shared" si="17"/>
        <v>1</v>
      </c>
      <c r="BE6" s="28" t="s">
        <v>223</v>
      </c>
      <c r="BF6" s="28" t="b">
        <f t="shared" si="18"/>
        <v>1</v>
      </c>
      <c r="BG6" s="53">
        <v>2</v>
      </c>
      <c r="BH6">
        <v>0.3</v>
      </c>
      <c r="BI6" s="28" t="b">
        <f t="shared" si="19"/>
        <v>1</v>
      </c>
      <c r="BJ6" s="28" t="s">
        <v>223</v>
      </c>
      <c r="BK6" s="28" t="b">
        <f t="shared" si="20"/>
        <v>1</v>
      </c>
      <c r="BL6" s="29">
        <v>1</v>
      </c>
      <c r="BN6" s="133"/>
      <c r="BO6" s="45"/>
      <c r="BP6" s="139"/>
      <c r="BQ6" s="45" t="e">
        <f t="shared" si="21"/>
        <v>#N/A</v>
      </c>
      <c r="BR6" s="114" t="s">
        <v>105</v>
      </c>
      <c r="BS6" s="45">
        <v>25</v>
      </c>
      <c r="BT6" s="64"/>
      <c r="BU6" s="120" t="b">
        <f t="shared" si="22"/>
        <v>1</v>
      </c>
      <c r="BV6" s="114" t="s">
        <v>105</v>
      </c>
      <c r="BW6" s="45">
        <v>15</v>
      </c>
      <c r="BX6" s="53">
        <v>1.6</v>
      </c>
      <c r="BY6" s="139"/>
      <c r="BZ6" s="45" t="b">
        <f t="shared" si="23"/>
        <v>0</v>
      </c>
      <c r="CA6" s="114" t="s">
        <v>132</v>
      </c>
      <c r="CB6" s="45" t="s">
        <v>56</v>
      </c>
      <c r="CC6" s="139"/>
      <c r="CD6" s="45" t="e">
        <f t="shared" si="24"/>
        <v>#N/A</v>
      </c>
      <c r="CE6" s="114" t="s">
        <v>105</v>
      </c>
      <c r="CF6" s="45">
        <v>25</v>
      </c>
      <c r="CG6" s="139"/>
      <c r="CH6" s="45" t="e">
        <f t="shared" si="25"/>
        <v>#N/A</v>
      </c>
      <c r="CI6" s="154">
        <v>3</v>
      </c>
      <c r="CJ6" s="154" t="s">
        <v>63</v>
      </c>
      <c r="CK6" s="154" t="e">
        <f t="shared" si="26"/>
        <v>#N/A</v>
      </c>
      <c r="CL6" s="154">
        <v>3</v>
      </c>
      <c r="CM6" s="154" t="s">
        <v>137</v>
      </c>
      <c r="CN6" s="155" t="e">
        <f t="shared" si="27"/>
        <v>#N/A</v>
      </c>
      <c r="CO6" s="154">
        <v>3</v>
      </c>
      <c r="CP6" s="155" t="s">
        <v>144</v>
      </c>
      <c r="CQ6" s="64"/>
      <c r="CR6" s="28" t="b">
        <f>IF($B$15=CT6,TRUE,FALSE)</f>
        <v>0</v>
      </c>
      <c r="CS6" s="154">
        <v>2</v>
      </c>
      <c r="CT6" s="154" t="s">
        <v>285</v>
      </c>
      <c r="CU6" s="64"/>
      <c r="CV6" s="139"/>
      <c r="CW6" s="45" t="b">
        <f t="shared" si="28"/>
        <v>0</v>
      </c>
      <c r="CX6" s="114" t="s">
        <v>131</v>
      </c>
      <c r="CY6" s="45" t="s">
        <v>222</v>
      </c>
      <c r="CZ6" s="64"/>
      <c r="DA6" s="45" t="b">
        <f t="shared" si="29"/>
        <v>0</v>
      </c>
      <c r="DB6" s="114" t="s">
        <v>131</v>
      </c>
      <c r="DC6" s="45">
        <v>2</v>
      </c>
      <c r="DD6" s="64"/>
      <c r="DE6" s="45" t="b">
        <f t="shared" si="30"/>
        <v>0</v>
      </c>
      <c r="DF6" s="114" t="s">
        <v>132</v>
      </c>
      <c r="DG6" s="68" t="s">
        <v>56</v>
      </c>
      <c r="DH6" s="64"/>
      <c r="DI6" s="45"/>
      <c r="DJ6" s="114"/>
      <c r="DK6" s="53"/>
    </row>
    <row r="7" spans="1:116" x14ac:dyDescent="0.25">
      <c r="A7" s="22" t="s">
        <v>32</v>
      </c>
      <c r="B7" s="24">
        <f>'ОЛ(4)'!N15</f>
        <v>0</v>
      </c>
      <c r="C7" s="23" t="s">
        <v>37</v>
      </c>
      <c r="E7" t="s">
        <v>48</v>
      </c>
      <c r="F7" s="131">
        <f>VLOOKUP(TRUE,IF(B14="IMI Hydronic",Z4:AB21,IF(B14="Siemens",AC4:AE22,AF4:AH16)),3,FALSE)</f>
        <v>1.6</v>
      </c>
      <c r="I7" s="27">
        <f>IF($B$12&lt;12,(IF((L7&gt;4)*AND(L7&lt;16),2,0)),IF((L7&gt;4)*AND(L7&lt;20),2,0))</f>
        <v>0</v>
      </c>
      <c r="J7" s="28">
        <v>32</v>
      </c>
      <c r="K7" s="28">
        <f t="shared" si="0"/>
        <v>4.4277322004702871E-2</v>
      </c>
      <c r="L7" s="28">
        <f t="shared" si="9"/>
        <v>0</v>
      </c>
      <c r="M7" s="28"/>
      <c r="N7" s="28" t="e">
        <f t="shared" si="10"/>
        <v>#DIV/0!</v>
      </c>
      <c r="O7" s="28">
        <v>32</v>
      </c>
      <c r="P7" s="28">
        <f t="shared" si="1"/>
        <v>4.4277322004702871E-2</v>
      </c>
      <c r="Q7" s="29" t="e">
        <f t="shared" si="2"/>
        <v>#DIV/0!</v>
      </c>
      <c r="R7" s="28">
        <f t="shared" si="11"/>
        <v>0</v>
      </c>
      <c r="S7" s="28">
        <v>32</v>
      </c>
      <c r="T7" s="28">
        <f t="shared" si="3"/>
        <v>4.4277322004702871E-2</v>
      </c>
      <c r="U7" s="29">
        <f t="shared" si="12"/>
        <v>0</v>
      </c>
      <c r="W7" s="27"/>
      <c r="X7" s="28"/>
      <c r="Y7" s="28"/>
      <c r="Z7" s="27" t="b">
        <f t="shared" si="4"/>
        <v>1</v>
      </c>
      <c r="AA7" s="42">
        <v>20</v>
      </c>
      <c r="AB7" s="29">
        <v>6.3</v>
      </c>
      <c r="AC7" s="27" t="b">
        <f t="shared" si="5"/>
        <v>1</v>
      </c>
      <c r="AD7" s="42">
        <v>20</v>
      </c>
      <c r="AE7" s="29">
        <v>6.3</v>
      </c>
      <c r="AF7" s="28" t="b">
        <f t="shared" si="6"/>
        <v>1</v>
      </c>
      <c r="AG7" s="42">
        <v>20</v>
      </c>
      <c r="AH7" s="29">
        <v>6.3</v>
      </c>
      <c r="AJ7" s="120">
        <v>14</v>
      </c>
      <c r="AK7" s="27" t="e">
        <f t="shared" si="13"/>
        <v>#DIV/0!</v>
      </c>
      <c r="AL7" s="29" t="s">
        <v>62</v>
      </c>
      <c r="AM7" s="64" t="e">
        <f t="shared" si="7"/>
        <v>#DIV/0!</v>
      </c>
      <c r="AN7" s="64" t="s">
        <v>136</v>
      </c>
      <c r="AO7" s="27" t="e">
        <f t="shared" si="14"/>
        <v>#DIV/0!</v>
      </c>
      <c r="AP7" s="64" t="s">
        <v>143</v>
      </c>
      <c r="AR7" s="28"/>
      <c r="AS7" s="27">
        <v>1</v>
      </c>
      <c r="AT7" s="28" t="b">
        <f t="shared" si="15"/>
        <v>1</v>
      </c>
      <c r="AU7" s="28" t="s">
        <v>223</v>
      </c>
      <c r="AV7" s="28" t="b">
        <f t="shared" si="31"/>
        <v>1</v>
      </c>
      <c r="AW7" s="144">
        <v>2</v>
      </c>
      <c r="AX7" s="48">
        <v>0.9</v>
      </c>
      <c r="AY7" s="28" t="b">
        <f t="shared" si="16"/>
        <v>1</v>
      </c>
      <c r="AZ7" s="28" t="s">
        <v>223</v>
      </c>
      <c r="BA7" s="28" t="b">
        <f t="shared" si="32"/>
        <v>1</v>
      </c>
      <c r="BB7" s="144">
        <v>2</v>
      </c>
      <c r="BC7" s="27">
        <v>0.95</v>
      </c>
      <c r="BD7" s="28" t="b">
        <f t="shared" si="17"/>
        <v>1</v>
      </c>
      <c r="BE7" s="28" t="s">
        <v>223</v>
      </c>
      <c r="BF7" s="28" t="b">
        <f t="shared" si="18"/>
        <v>1</v>
      </c>
      <c r="BG7" s="161">
        <v>3</v>
      </c>
      <c r="BH7">
        <v>0.48</v>
      </c>
      <c r="BI7" s="28" t="b">
        <f t="shared" si="19"/>
        <v>1</v>
      </c>
      <c r="BJ7" s="28" t="s">
        <v>223</v>
      </c>
      <c r="BK7" s="28" t="b">
        <f t="shared" si="20"/>
        <v>1</v>
      </c>
      <c r="BL7" s="29">
        <v>2</v>
      </c>
      <c r="BN7" s="133"/>
      <c r="BO7" s="45"/>
      <c r="BP7" s="139"/>
      <c r="BQ7" s="45" t="e">
        <f t="shared" si="21"/>
        <v>#N/A</v>
      </c>
      <c r="BR7" s="114" t="s">
        <v>106</v>
      </c>
      <c r="BS7" s="45">
        <v>32</v>
      </c>
      <c r="BT7" s="64"/>
      <c r="BU7" s="120" t="b">
        <f t="shared" si="22"/>
        <v>0</v>
      </c>
      <c r="BV7" s="114" t="s">
        <v>106</v>
      </c>
      <c r="BW7" s="45">
        <v>15</v>
      </c>
      <c r="BX7" s="53">
        <v>2.5</v>
      </c>
      <c r="BY7" s="139"/>
      <c r="BZ7" s="45"/>
      <c r="CA7" s="114"/>
      <c r="CB7" s="45"/>
      <c r="CC7" s="139"/>
      <c r="CD7" s="45" t="e">
        <f t="shared" si="24"/>
        <v>#N/A</v>
      </c>
      <c r="CE7" s="114" t="s">
        <v>106</v>
      </c>
      <c r="CF7" s="45">
        <v>32</v>
      </c>
      <c r="CG7" s="139"/>
      <c r="CH7" s="45" t="e">
        <f t="shared" si="25"/>
        <v>#N/A</v>
      </c>
      <c r="CI7" s="68">
        <v>4</v>
      </c>
      <c r="CJ7" s="154" t="s">
        <v>62</v>
      </c>
      <c r="CK7" s="154" t="e">
        <f t="shared" si="26"/>
        <v>#N/A</v>
      </c>
      <c r="CL7" s="68">
        <v>4</v>
      </c>
      <c r="CM7" s="154" t="s">
        <v>136</v>
      </c>
      <c r="CN7" s="155" t="e">
        <f t="shared" si="27"/>
        <v>#N/A</v>
      </c>
      <c r="CO7" s="68">
        <v>4</v>
      </c>
      <c r="CP7" s="154" t="s">
        <v>143</v>
      </c>
      <c r="CQ7" s="64"/>
      <c r="CR7" s="28" t="b">
        <f>IF($B$15=CT7,TRUE,FALSE)</f>
        <v>0</v>
      </c>
      <c r="CS7" s="154">
        <v>3</v>
      </c>
      <c r="CT7" s="68" t="s">
        <v>151</v>
      </c>
      <c r="CU7" s="64"/>
      <c r="CV7" s="139"/>
      <c r="CW7" s="45" t="b">
        <f t="shared" si="28"/>
        <v>0</v>
      </c>
      <c r="CX7" s="114" t="s">
        <v>132</v>
      </c>
      <c r="CY7" s="68" t="s">
        <v>292</v>
      </c>
      <c r="CZ7" s="64"/>
      <c r="DA7" s="45" t="b">
        <f t="shared" si="29"/>
        <v>0</v>
      </c>
      <c r="DB7" s="114" t="s">
        <v>132</v>
      </c>
      <c r="DC7" s="45">
        <v>3</v>
      </c>
      <c r="DD7" s="64"/>
      <c r="DE7" s="45"/>
      <c r="DF7" s="28"/>
      <c r="DG7" s="28"/>
      <c r="DH7" s="64"/>
      <c r="DI7" s="45"/>
      <c r="DJ7" s="114"/>
      <c r="DK7" s="135"/>
    </row>
    <row r="8" spans="1:116" x14ac:dyDescent="0.25">
      <c r="A8" s="22" t="s">
        <v>33</v>
      </c>
      <c r="B8" s="24">
        <f>'ОЛ(4)'!R15</f>
        <v>0</v>
      </c>
      <c r="C8" s="23" t="s">
        <v>37</v>
      </c>
      <c r="E8" s="44" t="s">
        <v>53</v>
      </c>
      <c r="F8" s="130">
        <f>(F4^2/F7^2)*10</f>
        <v>0</v>
      </c>
      <c r="I8" s="27">
        <f t="shared" si="8"/>
        <v>0</v>
      </c>
      <c r="J8" s="28">
        <v>40</v>
      </c>
      <c r="K8" s="28">
        <f t="shared" si="0"/>
        <v>4.0875226338606248E-2</v>
      </c>
      <c r="L8" s="28">
        <f t="shared" si="9"/>
        <v>0</v>
      </c>
      <c r="M8" s="28"/>
      <c r="N8" s="28" t="e">
        <f t="shared" si="10"/>
        <v>#DIV/0!</v>
      </c>
      <c r="O8" s="28">
        <v>40</v>
      </c>
      <c r="P8" s="28">
        <f t="shared" si="1"/>
        <v>4.0875226338606248E-2</v>
      </c>
      <c r="Q8" s="29" t="e">
        <f t="shared" si="2"/>
        <v>#DIV/0!</v>
      </c>
      <c r="R8" s="28">
        <f t="shared" si="11"/>
        <v>0</v>
      </c>
      <c r="S8" s="28">
        <v>40</v>
      </c>
      <c r="T8" s="28">
        <f t="shared" si="3"/>
        <v>4.0875226338606248E-2</v>
      </c>
      <c r="U8" s="29">
        <f t="shared" si="12"/>
        <v>0</v>
      </c>
      <c r="W8" s="41"/>
      <c r="X8" s="28"/>
      <c r="Y8" s="43"/>
      <c r="Z8" s="27" t="b">
        <f t="shared" si="4"/>
        <v>1</v>
      </c>
      <c r="AA8" s="42">
        <v>25</v>
      </c>
      <c r="AB8" s="29">
        <v>10</v>
      </c>
      <c r="AC8" s="27" t="b">
        <f t="shared" si="5"/>
        <v>1</v>
      </c>
      <c r="AD8" s="42">
        <v>25</v>
      </c>
      <c r="AE8" s="29">
        <v>10</v>
      </c>
      <c r="AF8" s="28" t="b">
        <f t="shared" si="6"/>
        <v>1</v>
      </c>
      <c r="AG8" s="42">
        <v>25</v>
      </c>
      <c r="AH8" s="29">
        <v>10</v>
      </c>
      <c r="AJ8" s="120">
        <v>25</v>
      </c>
      <c r="AK8" s="27" t="e">
        <f t="shared" si="13"/>
        <v>#DIV/0!</v>
      </c>
      <c r="AL8" s="29" t="s">
        <v>64</v>
      </c>
      <c r="AM8" s="64" t="e">
        <f t="shared" si="7"/>
        <v>#DIV/0!</v>
      </c>
      <c r="AN8" s="64" t="s">
        <v>138</v>
      </c>
      <c r="AO8" s="27" t="e">
        <f t="shared" si="14"/>
        <v>#DIV/0!</v>
      </c>
      <c r="AP8" s="66" t="s">
        <v>145</v>
      </c>
      <c r="AR8" s="28"/>
      <c r="AS8" s="27">
        <v>1.25</v>
      </c>
      <c r="AT8" s="28" t="b">
        <f t="shared" si="15"/>
        <v>1</v>
      </c>
      <c r="AU8" s="28" t="s">
        <v>223</v>
      </c>
      <c r="AV8" s="28" t="b">
        <f t="shared" si="31"/>
        <v>1</v>
      </c>
      <c r="AW8" s="144">
        <v>3</v>
      </c>
      <c r="AX8" s="48">
        <v>1.1599999999999999</v>
      </c>
      <c r="AY8" s="28" t="b">
        <f t="shared" si="16"/>
        <v>1</v>
      </c>
      <c r="AZ8" s="28" t="s">
        <v>223</v>
      </c>
      <c r="BA8" s="28" t="b">
        <f t="shared" si="32"/>
        <v>1</v>
      </c>
      <c r="BB8" s="144">
        <v>3</v>
      </c>
      <c r="BC8" s="27">
        <v>1.25</v>
      </c>
      <c r="BD8" s="28" t="b">
        <f t="shared" si="17"/>
        <v>1</v>
      </c>
      <c r="BE8" s="28" t="s">
        <v>223</v>
      </c>
      <c r="BF8" s="28" t="b">
        <f t="shared" si="18"/>
        <v>1</v>
      </c>
      <c r="BG8" s="161">
        <v>4</v>
      </c>
      <c r="BH8">
        <v>0.66</v>
      </c>
      <c r="BI8" s="28" t="b">
        <f t="shared" si="19"/>
        <v>1</v>
      </c>
      <c r="BJ8" s="28" t="s">
        <v>223</v>
      </c>
      <c r="BK8" s="28" t="b">
        <f t="shared" si="20"/>
        <v>1</v>
      </c>
      <c r="BL8" s="29">
        <v>3</v>
      </c>
      <c r="BN8" s="133"/>
      <c r="BO8" s="45"/>
      <c r="BP8" s="139"/>
      <c r="BQ8" s="45" t="e">
        <f t="shared" si="21"/>
        <v>#N/A</v>
      </c>
      <c r="BR8" s="114" t="s">
        <v>107</v>
      </c>
      <c r="BS8" s="45">
        <v>40</v>
      </c>
      <c r="BT8" s="64"/>
      <c r="BU8" s="120" t="b">
        <f t="shared" si="22"/>
        <v>0</v>
      </c>
      <c r="BV8" s="114" t="s">
        <v>107</v>
      </c>
      <c r="BW8" s="45">
        <v>15</v>
      </c>
      <c r="BX8" s="53">
        <v>4</v>
      </c>
      <c r="BY8" s="139"/>
      <c r="BZ8" s="45"/>
      <c r="CA8" s="114"/>
      <c r="CB8" s="45"/>
      <c r="CC8" s="139"/>
      <c r="CD8" s="45" t="e">
        <f t="shared" si="24"/>
        <v>#N/A</v>
      </c>
      <c r="CE8" s="114" t="s">
        <v>107</v>
      </c>
      <c r="CF8" s="45">
        <v>40</v>
      </c>
      <c r="CG8" s="139"/>
      <c r="CH8" s="45" t="e">
        <f t="shared" si="25"/>
        <v>#N/A</v>
      </c>
      <c r="CI8" s="68">
        <v>5</v>
      </c>
      <c r="CJ8" s="154" t="s">
        <v>64</v>
      </c>
      <c r="CK8" s="154" t="e">
        <f t="shared" si="26"/>
        <v>#N/A</v>
      </c>
      <c r="CL8" s="68">
        <v>5</v>
      </c>
      <c r="CM8" s="154" t="s">
        <v>138</v>
      </c>
      <c r="CN8" s="155" t="e">
        <f t="shared" si="27"/>
        <v>#N/A</v>
      </c>
      <c r="CO8" s="68">
        <v>5</v>
      </c>
      <c r="CP8" s="155" t="s">
        <v>145</v>
      </c>
      <c r="CQ8" s="64"/>
      <c r="CU8" s="64"/>
      <c r="CV8" s="139"/>
      <c r="CW8" s="45" t="b">
        <f t="shared" si="28"/>
        <v>0</v>
      </c>
      <c r="CX8" s="114" t="s">
        <v>226</v>
      </c>
      <c r="CY8" s="45" t="s">
        <v>223</v>
      </c>
      <c r="CZ8" s="64"/>
      <c r="DA8" s="45" t="b">
        <f t="shared" si="29"/>
        <v>0</v>
      </c>
      <c r="DB8" s="114" t="s">
        <v>226</v>
      </c>
      <c r="DC8" s="45">
        <v>4</v>
      </c>
      <c r="DD8" s="64"/>
      <c r="DE8" s="45"/>
      <c r="DF8" s="114"/>
      <c r="DG8" s="45"/>
      <c r="DH8" s="64"/>
      <c r="DI8" s="45"/>
      <c r="DJ8" s="114"/>
      <c r="DK8" s="53"/>
    </row>
    <row r="9" spans="1:116" x14ac:dyDescent="0.25">
      <c r="A9" s="22" t="s">
        <v>34</v>
      </c>
      <c r="B9" s="24">
        <f>'ОЛ(4)'!W13*100</f>
        <v>60</v>
      </c>
      <c r="C9" s="23" t="s">
        <v>38</v>
      </c>
      <c r="E9" s="150" t="str">
        <f>IF('ОЛ(4)'!C28="ЗАВИСИМАЯ","ОТСУТСТВУЕТ",VLOOKUP(TRUE,IF(B5=150,AT4:AU11,IF(B5=130,AY4:AZ11,IF(B5=115,BD4:BE10,IF(B5=105,BI4:BJ13,FALSE)))),2,FALSE))</f>
        <v>НН08</v>
      </c>
      <c r="F9" s="131">
        <f>IF('ОЛ(4)'!C28="ЗАВИСИМАЯ","ОТСУТСТВУЕТ",VLOOKUP(TRUE,IF(B5=150,AV4:AW11,IF(B5=130,BA4:BB11,IF(B5=115,BF4:BG10,IF(B5=105,BK4:BL13,FALSE)))),2,FALSE))</f>
        <v>1</v>
      </c>
      <c r="I9" s="27">
        <f t="shared" si="8"/>
        <v>0</v>
      </c>
      <c r="J9" s="28">
        <v>50</v>
      </c>
      <c r="K9" s="28">
        <f t="shared" si="0"/>
        <v>3.7850686611455138E-2</v>
      </c>
      <c r="L9" s="28">
        <f t="shared" si="9"/>
        <v>0</v>
      </c>
      <c r="M9" s="28"/>
      <c r="N9" s="28" t="e">
        <f t="shared" si="10"/>
        <v>#DIV/0!</v>
      </c>
      <c r="O9" s="28">
        <v>50</v>
      </c>
      <c r="P9" s="28">
        <f t="shared" si="1"/>
        <v>3.7850686611455138E-2</v>
      </c>
      <c r="Q9" s="29" t="e">
        <f t="shared" si="2"/>
        <v>#DIV/0!</v>
      </c>
      <c r="R9" s="28">
        <f t="shared" si="11"/>
        <v>0</v>
      </c>
      <c r="S9" s="28">
        <v>50</v>
      </c>
      <c r="T9" s="28">
        <f t="shared" si="3"/>
        <v>3.7850686611455138E-2</v>
      </c>
      <c r="U9" s="29">
        <f t="shared" si="12"/>
        <v>0</v>
      </c>
      <c r="W9" s="41"/>
      <c r="X9" s="43"/>
      <c r="Y9" s="28"/>
      <c r="Z9" s="27" t="b">
        <f t="shared" si="4"/>
        <v>1</v>
      </c>
      <c r="AA9" s="42">
        <v>32</v>
      </c>
      <c r="AB9" s="29">
        <v>16</v>
      </c>
      <c r="AC9" s="27" t="b">
        <f t="shared" si="5"/>
        <v>1</v>
      </c>
      <c r="AD9" s="42">
        <v>32</v>
      </c>
      <c r="AE9" s="29">
        <v>16</v>
      </c>
      <c r="AF9" s="28" t="b">
        <f t="shared" si="6"/>
        <v>1</v>
      </c>
      <c r="AG9" s="42">
        <v>32</v>
      </c>
      <c r="AH9" s="29">
        <v>16</v>
      </c>
      <c r="AJ9" s="120">
        <v>30</v>
      </c>
      <c r="AK9" s="27" t="e">
        <f t="shared" si="13"/>
        <v>#DIV/0!</v>
      </c>
      <c r="AL9" s="29" t="s">
        <v>65</v>
      </c>
      <c r="AM9" s="64" t="e">
        <f t="shared" si="7"/>
        <v>#DIV/0!</v>
      </c>
      <c r="AN9" s="64" t="s">
        <v>139</v>
      </c>
      <c r="AO9" s="27" t="e">
        <f t="shared" si="14"/>
        <v>#DIV/0!</v>
      </c>
      <c r="AP9" s="66" t="s">
        <v>146</v>
      </c>
      <c r="AR9" s="28"/>
      <c r="AS9" s="27">
        <v>1.3</v>
      </c>
      <c r="AT9" s="28" t="b">
        <f t="shared" si="15"/>
        <v>1</v>
      </c>
      <c r="AU9" s="28" t="s">
        <v>223</v>
      </c>
      <c r="AV9" s="28" t="b">
        <f t="shared" si="31"/>
        <v>1</v>
      </c>
      <c r="AW9" s="144">
        <v>4</v>
      </c>
      <c r="AX9" s="27">
        <v>1.3</v>
      </c>
      <c r="AY9" s="28" t="b">
        <f t="shared" si="16"/>
        <v>1</v>
      </c>
      <c r="AZ9" s="28" t="s">
        <v>223</v>
      </c>
      <c r="BA9" s="28" t="b">
        <f t="shared" si="32"/>
        <v>1</v>
      </c>
      <c r="BB9" s="144">
        <v>4</v>
      </c>
      <c r="BC9" s="27">
        <v>1.8</v>
      </c>
      <c r="BD9" s="28" t="b">
        <f>IF($B$4&lt;BC9,TRUE,FALSE)</f>
        <v>1</v>
      </c>
      <c r="BE9" s="28" t="s">
        <v>224</v>
      </c>
      <c r="BF9" s="28" t="b">
        <f t="shared" si="18"/>
        <v>1</v>
      </c>
      <c r="BG9" s="161">
        <v>2</v>
      </c>
      <c r="BH9" s="28">
        <v>0.91</v>
      </c>
      <c r="BI9" s="28" t="b">
        <f t="shared" si="19"/>
        <v>1</v>
      </c>
      <c r="BJ9" s="28" t="s">
        <v>223</v>
      </c>
      <c r="BK9" s="28" t="b">
        <f t="shared" si="20"/>
        <v>1</v>
      </c>
      <c r="BL9" s="29">
        <v>4</v>
      </c>
      <c r="BN9" s="133"/>
      <c r="BO9" s="45"/>
      <c r="BP9" s="139"/>
      <c r="BQ9" s="45" t="e">
        <f t="shared" si="21"/>
        <v>#N/A</v>
      </c>
      <c r="BR9" s="114" t="s">
        <v>108</v>
      </c>
      <c r="BS9" s="45">
        <v>50</v>
      </c>
      <c r="BT9" s="64"/>
      <c r="BU9" s="120" t="b">
        <f t="shared" si="22"/>
        <v>0</v>
      </c>
      <c r="BV9" s="114" t="s">
        <v>108</v>
      </c>
      <c r="BW9" s="45">
        <v>20</v>
      </c>
      <c r="BX9" s="53">
        <v>5</v>
      </c>
      <c r="BY9" s="139"/>
      <c r="BZ9" s="45"/>
      <c r="CA9" s="114"/>
      <c r="CB9" s="45"/>
      <c r="CC9" s="139"/>
      <c r="CD9" s="45" t="e">
        <f t="shared" si="24"/>
        <v>#N/A</v>
      </c>
      <c r="CE9" s="114" t="s">
        <v>108</v>
      </c>
      <c r="CF9" s="45">
        <v>50</v>
      </c>
      <c r="CG9" s="139"/>
      <c r="CH9" s="45" t="e">
        <f t="shared" si="25"/>
        <v>#N/A</v>
      </c>
      <c r="CI9" s="68">
        <v>6</v>
      </c>
      <c r="CJ9" s="154" t="s">
        <v>65</v>
      </c>
      <c r="CK9" s="154" t="e">
        <f t="shared" si="26"/>
        <v>#N/A</v>
      </c>
      <c r="CL9" s="68">
        <v>6</v>
      </c>
      <c r="CM9" s="154" t="s">
        <v>139</v>
      </c>
      <c r="CN9" s="155" t="e">
        <f t="shared" si="27"/>
        <v>#N/A</v>
      </c>
      <c r="CO9" s="68">
        <v>6</v>
      </c>
      <c r="CP9" s="155" t="s">
        <v>146</v>
      </c>
      <c r="CQ9" s="64"/>
      <c r="CR9" s="28"/>
      <c r="CS9" s="28"/>
      <c r="CT9" s="28"/>
      <c r="CU9" s="64"/>
      <c r="CV9" s="139"/>
      <c r="CW9" s="45" t="b">
        <f t="shared" si="28"/>
        <v>0</v>
      </c>
      <c r="CX9" s="114" t="s">
        <v>227</v>
      </c>
      <c r="CY9" s="45" t="s">
        <v>224</v>
      </c>
      <c r="CZ9" s="64"/>
      <c r="DA9" s="45" t="b">
        <f t="shared" si="29"/>
        <v>0</v>
      </c>
      <c r="DB9" s="114" t="s">
        <v>227</v>
      </c>
      <c r="DC9" s="45">
        <v>5</v>
      </c>
      <c r="DD9" s="64"/>
      <c r="DE9" s="45"/>
      <c r="DF9" s="114"/>
      <c r="DG9" s="45"/>
      <c r="DH9" s="64"/>
      <c r="DI9" s="45"/>
      <c r="DJ9" s="114"/>
      <c r="DK9" s="53"/>
    </row>
    <row r="10" spans="1:116" x14ac:dyDescent="0.25">
      <c r="A10" s="22" t="s">
        <v>35</v>
      </c>
      <c r="B10" s="24">
        <f>'ОЛ(4)'!AC13*100</f>
        <v>40</v>
      </c>
      <c r="C10" s="23" t="s">
        <v>38</v>
      </c>
      <c r="I10" s="27">
        <f t="shared" si="8"/>
        <v>0</v>
      </c>
      <c r="J10" s="28">
        <v>65</v>
      </c>
      <c r="K10" s="28">
        <f t="shared" si="0"/>
        <v>3.4705101432211748E-2</v>
      </c>
      <c r="L10" s="28">
        <f t="shared" si="9"/>
        <v>0</v>
      </c>
      <c r="M10" s="28"/>
      <c r="N10" s="28" t="e">
        <f t="shared" si="10"/>
        <v>#DIV/0!</v>
      </c>
      <c r="O10" s="28">
        <v>65</v>
      </c>
      <c r="P10" s="28">
        <f t="shared" si="1"/>
        <v>3.4705101432211748E-2</v>
      </c>
      <c r="Q10" s="29" t="e">
        <f t="shared" si="2"/>
        <v>#DIV/0!</v>
      </c>
      <c r="R10" s="28">
        <f t="shared" si="11"/>
        <v>0</v>
      </c>
      <c r="S10" s="28">
        <v>65</v>
      </c>
      <c r="T10" s="28">
        <f t="shared" si="3"/>
        <v>3.4705101432211748E-2</v>
      </c>
      <c r="U10" s="29">
        <f t="shared" si="12"/>
        <v>0</v>
      </c>
      <c r="W10" s="27"/>
      <c r="X10" s="28"/>
      <c r="Y10" s="28"/>
      <c r="Z10" s="27" t="b">
        <f t="shared" si="4"/>
        <v>1</v>
      </c>
      <c r="AA10" s="42">
        <v>40</v>
      </c>
      <c r="AB10" s="29">
        <v>20</v>
      </c>
      <c r="AC10" s="27" t="b">
        <f t="shared" si="5"/>
        <v>1</v>
      </c>
      <c r="AD10" s="42">
        <v>40</v>
      </c>
      <c r="AE10" s="29">
        <v>25</v>
      </c>
      <c r="AF10" s="28" t="b">
        <f t="shared" si="6"/>
        <v>1</v>
      </c>
      <c r="AG10" s="42">
        <v>40</v>
      </c>
      <c r="AH10" s="29">
        <v>25</v>
      </c>
      <c r="AJ10" s="120">
        <v>40</v>
      </c>
      <c r="AK10" s="27" t="e">
        <f t="shared" si="13"/>
        <v>#DIV/0!</v>
      </c>
      <c r="AL10" s="29" t="s">
        <v>66</v>
      </c>
      <c r="AM10" s="64" t="e">
        <f t="shared" si="7"/>
        <v>#DIV/0!</v>
      </c>
      <c r="AN10" s="64" t="s">
        <v>140</v>
      </c>
      <c r="AO10" s="27" t="e">
        <f t="shared" si="14"/>
        <v>#DIV/0!</v>
      </c>
      <c r="AP10" s="66" t="s">
        <v>147</v>
      </c>
      <c r="AR10" s="28"/>
      <c r="AS10" s="27">
        <v>1.65</v>
      </c>
      <c r="AT10" s="28" t="b">
        <f t="shared" si="15"/>
        <v>1</v>
      </c>
      <c r="AU10" s="28" t="s">
        <v>224</v>
      </c>
      <c r="AV10" s="28" t="b">
        <f t="shared" si="31"/>
        <v>1</v>
      </c>
      <c r="AW10" s="144">
        <v>1</v>
      </c>
      <c r="AX10" s="48">
        <v>1.4</v>
      </c>
      <c r="AY10" s="28" t="b">
        <f t="shared" si="16"/>
        <v>1</v>
      </c>
      <c r="AZ10" s="28" t="s">
        <v>224</v>
      </c>
      <c r="BA10" s="28" t="b">
        <f t="shared" si="32"/>
        <v>1</v>
      </c>
      <c r="BB10" s="144">
        <v>1</v>
      </c>
      <c r="BC10" s="27">
        <v>2.0009999999999999</v>
      </c>
      <c r="BD10" s="28" t="b">
        <f>IF($B$4&lt;BC10,TRUE,FALSE)</f>
        <v>1</v>
      </c>
      <c r="BE10" s="28" t="s">
        <v>291</v>
      </c>
      <c r="BF10" s="28" t="b">
        <f t="shared" si="18"/>
        <v>1</v>
      </c>
      <c r="BG10" s="161">
        <v>1</v>
      </c>
      <c r="BH10" s="28">
        <v>1.1000000000000001</v>
      </c>
      <c r="BI10" s="28" t="b">
        <f>IF($B$4&lt;BH10,TRUE,FALSE)</f>
        <v>1</v>
      </c>
      <c r="BJ10" s="28" t="s">
        <v>223</v>
      </c>
      <c r="BK10" s="28" t="b">
        <f t="shared" si="20"/>
        <v>1</v>
      </c>
      <c r="BL10" s="29">
        <v>5</v>
      </c>
      <c r="BN10" s="133"/>
      <c r="BO10" s="45"/>
      <c r="BP10" s="139"/>
      <c r="BQ10" s="45" t="e">
        <f t="shared" si="21"/>
        <v>#N/A</v>
      </c>
      <c r="BR10" s="114" t="s">
        <v>109</v>
      </c>
      <c r="BS10" s="45">
        <v>65</v>
      </c>
      <c r="BT10" s="64"/>
      <c r="BU10" s="120" t="b">
        <f t="shared" si="22"/>
        <v>0</v>
      </c>
      <c r="BV10" s="114" t="s">
        <v>109</v>
      </c>
      <c r="BW10" s="45">
        <v>20</v>
      </c>
      <c r="BX10" s="53">
        <v>6.3</v>
      </c>
      <c r="BY10" s="139"/>
      <c r="BZ10" s="45"/>
      <c r="CA10" s="114"/>
      <c r="CB10" s="45"/>
      <c r="CC10" s="139"/>
      <c r="CD10" s="45" t="e">
        <f t="shared" si="24"/>
        <v>#N/A</v>
      </c>
      <c r="CE10" s="114" t="s">
        <v>109</v>
      </c>
      <c r="CF10" s="45">
        <v>65</v>
      </c>
      <c r="CG10" s="139"/>
      <c r="CH10" s="45" t="e">
        <f t="shared" si="25"/>
        <v>#N/A</v>
      </c>
      <c r="CI10" s="68">
        <v>7</v>
      </c>
      <c r="CJ10" s="154" t="s">
        <v>66</v>
      </c>
      <c r="CK10" s="154" t="e">
        <f t="shared" si="26"/>
        <v>#N/A</v>
      </c>
      <c r="CL10" s="68">
        <v>7</v>
      </c>
      <c r="CM10" s="154" t="s">
        <v>140</v>
      </c>
      <c r="CN10" s="155" t="e">
        <f t="shared" si="27"/>
        <v>#N/A</v>
      </c>
      <c r="CO10" s="68">
        <v>7</v>
      </c>
      <c r="CP10" s="155" t="s">
        <v>147</v>
      </c>
      <c r="CQ10" s="64"/>
      <c r="CU10" s="64"/>
      <c r="CV10" s="139"/>
      <c r="CW10" s="45" t="b">
        <f t="shared" si="28"/>
        <v>0</v>
      </c>
      <c r="CX10" s="114" t="s">
        <v>296</v>
      </c>
      <c r="CY10" s="45" t="s">
        <v>291</v>
      </c>
      <c r="CZ10" s="64"/>
      <c r="DA10" s="45"/>
      <c r="DB10" s="114"/>
      <c r="DC10" s="45"/>
      <c r="DD10" s="64"/>
      <c r="DE10" s="45"/>
      <c r="DF10" s="114"/>
      <c r="DG10" s="45"/>
      <c r="DH10" s="64"/>
      <c r="DI10" s="45"/>
      <c r="DJ10" s="114"/>
      <c r="DK10" s="53"/>
    </row>
    <row r="11" spans="1:116" x14ac:dyDescent="0.25">
      <c r="A11" s="26" t="s">
        <v>51</v>
      </c>
      <c r="B11" s="24">
        <f>'ОЛ(4)'!Z15</f>
        <v>0</v>
      </c>
      <c r="C11" s="23" t="s">
        <v>38</v>
      </c>
      <c r="E11" t="s">
        <v>45</v>
      </c>
      <c r="F11" s="130" t="e">
        <f>B4*1000/(B7-B8)</f>
        <v>#DIV/0!</v>
      </c>
      <c r="I11" s="27">
        <f t="shared" si="8"/>
        <v>0</v>
      </c>
      <c r="J11" s="28">
        <v>80</v>
      </c>
      <c r="K11" s="28">
        <f t="shared" si="0"/>
        <v>3.248549788373601E-2</v>
      </c>
      <c r="L11" s="28">
        <f t="shared" si="9"/>
        <v>0</v>
      </c>
      <c r="M11" s="28"/>
      <c r="N11" s="28" t="e">
        <f t="shared" si="10"/>
        <v>#DIV/0!</v>
      </c>
      <c r="O11" s="28">
        <v>80</v>
      </c>
      <c r="P11" s="28">
        <f t="shared" si="1"/>
        <v>3.248549788373601E-2</v>
      </c>
      <c r="Q11" s="29" t="e">
        <f t="shared" si="2"/>
        <v>#DIV/0!</v>
      </c>
      <c r="R11" s="28">
        <f t="shared" si="11"/>
        <v>0</v>
      </c>
      <c r="S11" s="28">
        <v>80</v>
      </c>
      <c r="T11" s="28">
        <f t="shared" si="3"/>
        <v>3.248549788373601E-2</v>
      </c>
      <c r="U11" s="29">
        <f t="shared" si="12"/>
        <v>0</v>
      </c>
      <c r="W11" s="27"/>
      <c r="X11" s="28"/>
      <c r="Y11" s="43"/>
      <c r="Z11" s="27" t="b">
        <f t="shared" si="4"/>
        <v>1</v>
      </c>
      <c r="AA11" s="42">
        <v>40</v>
      </c>
      <c r="AB11" s="29">
        <v>25</v>
      </c>
      <c r="AC11" s="27" t="b">
        <f t="shared" si="5"/>
        <v>1</v>
      </c>
      <c r="AD11" s="42">
        <v>50</v>
      </c>
      <c r="AE11" s="49">
        <v>31.5</v>
      </c>
      <c r="AF11" s="28" t="b">
        <f t="shared" si="6"/>
        <v>1</v>
      </c>
      <c r="AG11" s="42">
        <v>50</v>
      </c>
      <c r="AH11" s="29">
        <v>40</v>
      </c>
      <c r="AJ11" s="120">
        <v>50</v>
      </c>
      <c r="AK11" s="27" t="e">
        <f t="shared" si="13"/>
        <v>#DIV/0!</v>
      </c>
      <c r="AL11" s="29" t="s">
        <v>67</v>
      </c>
      <c r="AM11" s="64" t="e">
        <f t="shared" si="7"/>
        <v>#DIV/0!</v>
      </c>
      <c r="AN11" s="64" t="s">
        <v>299</v>
      </c>
      <c r="AO11" s="27" t="e">
        <f t="shared" si="14"/>
        <v>#DIV/0!</v>
      </c>
      <c r="AP11" s="64" t="s">
        <v>299</v>
      </c>
      <c r="AS11" s="27">
        <v>2.0009999999999999</v>
      </c>
      <c r="AT11" s="28" t="b">
        <f t="shared" si="15"/>
        <v>1</v>
      </c>
      <c r="AU11" s="28" t="s">
        <v>224</v>
      </c>
      <c r="AV11" s="28" t="b">
        <f t="shared" si="31"/>
        <v>1</v>
      </c>
      <c r="AW11" s="144">
        <v>2</v>
      </c>
      <c r="AX11" s="27">
        <v>2.0009999999999999</v>
      </c>
      <c r="AY11" s="28" t="b">
        <f t="shared" si="16"/>
        <v>1</v>
      </c>
      <c r="AZ11" s="28" t="s">
        <v>224</v>
      </c>
      <c r="BA11" s="28" t="b">
        <f t="shared" si="32"/>
        <v>1</v>
      </c>
      <c r="BB11" s="144">
        <v>2</v>
      </c>
      <c r="BC11" s="27"/>
      <c r="BD11" s="28"/>
      <c r="BE11" s="28"/>
      <c r="BF11" s="28"/>
      <c r="BG11" s="29"/>
      <c r="BH11" s="28">
        <v>1.3</v>
      </c>
      <c r="BI11" s="28" t="b">
        <f>IF($B$4&lt;BH11,TRUE,FALSE)</f>
        <v>1</v>
      </c>
      <c r="BJ11" s="28" t="s">
        <v>224</v>
      </c>
      <c r="BK11" s="28" t="b">
        <f t="shared" si="20"/>
        <v>1</v>
      </c>
      <c r="BL11" s="29">
        <v>2</v>
      </c>
      <c r="BN11" s="133"/>
      <c r="BO11" s="45"/>
      <c r="BP11" s="139"/>
      <c r="BQ11" s="45" t="e">
        <f t="shared" si="21"/>
        <v>#N/A</v>
      </c>
      <c r="BR11" s="114" t="s">
        <v>110</v>
      </c>
      <c r="BS11" s="45">
        <v>80</v>
      </c>
      <c r="BT11" s="64"/>
      <c r="BU11" s="120" t="b">
        <f t="shared" si="22"/>
        <v>0</v>
      </c>
      <c r="BV11" s="114" t="s">
        <v>110</v>
      </c>
      <c r="BW11" s="45">
        <v>25</v>
      </c>
      <c r="BX11" s="53">
        <v>8</v>
      </c>
      <c r="BY11" s="139"/>
      <c r="BZ11" s="45"/>
      <c r="CA11" s="114"/>
      <c r="CB11" s="45"/>
      <c r="CC11" s="139"/>
      <c r="CD11" s="45" t="e">
        <f t="shared" si="24"/>
        <v>#N/A</v>
      </c>
      <c r="CE11" s="114" t="s">
        <v>110</v>
      </c>
      <c r="CF11" s="45">
        <v>80</v>
      </c>
      <c r="CG11" s="139"/>
      <c r="CH11" s="45" t="e">
        <f t="shared" si="25"/>
        <v>#N/A</v>
      </c>
      <c r="CI11" s="68">
        <v>8</v>
      </c>
      <c r="CJ11" s="154" t="s">
        <v>67</v>
      </c>
      <c r="CK11" s="154"/>
      <c r="CL11" s="154"/>
      <c r="CM11" s="154"/>
      <c r="CN11" s="154"/>
      <c r="CO11" s="154"/>
      <c r="CP11" s="154"/>
      <c r="CQ11" s="64"/>
      <c r="CU11" s="64"/>
      <c r="CV11" s="139"/>
      <c r="CW11" s="45"/>
      <c r="CX11" s="114"/>
      <c r="CY11" s="45"/>
      <c r="CZ11" s="64"/>
      <c r="DA11" s="45"/>
      <c r="DB11" s="114"/>
      <c r="DC11" s="45"/>
      <c r="DD11" s="64"/>
      <c r="DE11" s="45"/>
      <c r="DF11" s="114"/>
      <c r="DG11" s="45"/>
      <c r="DH11" s="64"/>
      <c r="DI11" s="45"/>
      <c r="DJ11" s="114"/>
      <c r="DK11" s="53"/>
    </row>
    <row r="12" spans="1:116" x14ac:dyDescent="0.25">
      <c r="A12" s="26" t="s">
        <v>50</v>
      </c>
      <c r="B12">
        <f>B9-B10</f>
        <v>20</v>
      </c>
      <c r="C12" s="23" t="s">
        <v>38</v>
      </c>
      <c r="E12" t="s">
        <v>43</v>
      </c>
      <c r="F12" s="131" t="e">
        <f>VLOOKUP(1,N4:Q17,2,FALSE)</f>
        <v>#N/A</v>
      </c>
      <c r="I12" s="27">
        <f t="shared" si="8"/>
        <v>0</v>
      </c>
      <c r="J12" s="28">
        <v>100</v>
      </c>
      <c r="K12" s="28">
        <f t="shared" si="0"/>
        <v>3.0329450982592862E-2</v>
      </c>
      <c r="L12" s="28">
        <f t="shared" si="9"/>
        <v>0</v>
      </c>
      <c r="M12" s="28"/>
      <c r="N12" s="28" t="e">
        <f t="shared" si="10"/>
        <v>#DIV/0!</v>
      </c>
      <c r="O12" s="28">
        <v>100</v>
      </c>
      <c r="P12" s="28">
        <f t="shared" si="1"/>
        <v>3.0329450982592862E-2</v>
      </c>
      <c r="Q12" s="29" t="e">
        <f t="shared" si="2"/>
        <v>#DIV/0!</v>
      </c>
      <c r="R12" s="28">
        <f t="shared" si="11"/>
        <v>0</v>
      </c>
      <c r="S12" s="28">
        <v>100</v>
      </c>
      <c r="T12" s="28">
        <f t="shared" si="3"/>
        <v>3.0329450982592862E-2</v>
      </c>
      <c r="U12" s="29">
        <f t="shared" si="12"/>
        <v>0</v>
      </c>
      <c r="W12" s="41"/>
      <c r="X12" s="28"/>
      <c r="Y12" s="28"/>
      <c r="Z12" s="27" t="b">
        <f t="shared" si="4"/>
        <v>1</v>
      </c>
      <c r="AA12" s="42">
        <v>50</v>
      </c>
      <c r="AB12" s="29">
        <v>31.5</v>
      </c>
      <c r="AC12" s="27" t="b">
        <f t="shared" si="5"/>
        <v>1</v>
      </c>
      <c r="AD12" s="42">
        <v>50</v>
      </c>
      <c r="AE12" s="49">
        <v>40</v>
      </c>
      <c r="AF12" s="28" t="b">
        <f t="shared" si="6"/>
        <v>1</v>
      </c>
      <c r="AG12" s="42">
        <v>65</v>
      </c>
      <c r="AH12" s="29">
        <v>63</v>
      </c>
      <c r="AJ12" s="162">
        <v>60</v>
      </c>
      <c r="AK12" s="48" t="e">
        <f t="shared" si="13"/>
        <v>#DIV/0!</v>
      </c>
      <c r="AL12" s="49" t="s">
        <v>299</v>
      </c>
      <c r="AM12" s="64" t="e">
        <f t="shared" si="7"/>
        <v>#DIV/0!</v>
      </c>
      <c r="AN12" s="163" t="s">
        <v>299</v>
      </c>
      <c r="AO12" s="27" t="e">
        <f t="shared" si="14"/>
        <v>#DIV/0!</v>
      </c>
      <c r="AP12" s="163" t="s">
        <v>299</v>
      </c>
      <c r="AS12" s="27"/>
      <c r="AT12" s="28"/>
      <c r="AU12" s="28"/>
      <c r="AV12" s="28"/>
      <c r="AW12" s="144"/>
      <c r="AX12" s="27"/>
      <c r="AY12" s="28"/>
      <c r="AZ12" s="28"/>
      <c r="BA12" s="28"/>
      <c r="BB12" s="29"/>
      <c r="BC12" s="27"/>
      <c r="BD12" s="28"/>
      <c r="BE12" s="28"/>
      <c r="BF12" s="28"/>
      <c r="BG12" s="29"/>
      <c r="BH12" s="42">
        <v>1.45</v>
      </c>
      <c r="BI12" s="28" t="b">
        <f>IF($B$4&lt;BH12,TRUE,FALSE)</f>
        <v>1</v>
      </c>
      <c r="BJ12" s="28" t="s">
        <v>291</v>
      </c>
      <c r="BK12" s="28" t="b">
        <f t="shared" si="20"/>
        <v>1</v>
      </c>
      <c r="BL12" s="29">
        <v>1</v>
      </c>
      <c r="BN12" s="133"/>
      <c r="BO12" s="45"/>
      <c r="BP12" s="139"/>
      <c r="BQ12" s="45" t="e">
        <f t="shared" si="21"/>
        <v>#N/A</v>
      </c>
      <c r="BR12" s="114" t="s">
        <v>111</v>
      </c>
      <c r="BS12" s="45">
        <v>100</v>
      </c>
      <c r="BT12" s="64"/>
      <c r="BU12" s="120" t="b">
        <f t="shared" si="22"/>
        <v>0</v>
      </c>
      <c r="BV12" s="114" t="s">
        <v>111</v>
      </c>
      <c r="BW12" s="45">
        <v>25</v>
      </c>
      <c r="BX12" s="53">
        <v>10</v>
      </c>
      <c r="BY12" s="139"/>
      <c r="BZ12" s="45"/>
      <c r="CA12" s="114"/>
      <c r="CB12" s="45"/>
      <c r="CC12" s="139"/>
      <c r="CD12" s="45" t="e">
        <f t="shared" si="24"/>
        <v>#N/A</v>
      </c>
      <c r="CE12" s="114" t="s">
        <v>111</v>
      </c>
      <c r="CF12" s="45">
        <v>100</v>
      </c>
      <c r="CG12" s="139"/>
      <c r="CH12" s="45" t="e">
        <f t="shared" si="25"/>
        <v>#N/A</v>
      </c>
      <c r="CI12" s="154"/>
      <c r="CJ12" s="28"/>
      <c r="CK12" s="28"/>
      <c r="CL12" s="28"/>
      <c r="CM12" s="28"/>
      <c r="CN12" s="28"/>
      <c r="CO12" s="28"/>
      <c r="CP12" s="28"/>
      <c r="CQ12" s="64"/>
      <c r="CU12" s="64"/>
      <c r="CV12" s="139"/>
      <c r="CW12" s="45"/>
      <c r="CX12" s="114"/>
      <c r="CY12" s="45"/>
      <c r="CZ12" s="64"/>
      <c r="DA12" s="45"/>
      <c r="DB12" s="114"/>
      <c r="DC12" s="45"/>
      <c r="DD12" s="64"/>
      <c r="DE12" s="45"/>
      <c r="DF12" s="114"/>
      <c r="DG12" s="45"/>
      <c r="DH12" s="64"/>
      <c r="DI12" s="45"/>
      <c r="DJ12" s="114"/>
      <c r="DK12" s="53"/>
    </row>
    <row r="13" spans="1:116" ht="15.75" thickBot="1" x14ac:dyDescent="0.3">
      <c r="A13" s="22"/>
      <c r="C13" s="23"/>
      <c r="E13" t="s">
        <v>49</v>
      </c>
      <c r="F13" s="130" t="e">
        <f>F11*1.1</f>
        <v>#DIV/0!</v>
      </c>
      <c r="I13" s="27">
        <f t="shared" si="8"/>
        <v>0</v>
      </c>
      <c r="J13" s="28">
        <v>125</v>
      </c>
      <c r="K13" s="28">
        <f t="shared" si="0"/>
        <v>2.8381135828692533E-2</v>
      </c>
      <c r="L13" s="28">
        <f t="shared" si="9"/>
        <v>0</v>
      </c>
      <c r="M13" s="28"/>
      <c r="N13" s="28" t="e">
        <f t="shared" si="10"/>
        <v>#DIV/0!</v>
      </c>
      <c r="O13" s="28">
        <v>125</v>
      </c>
      <c r="P13" s="28">
        <f t="shared" si="1"/>
        <v>2.8381135828692533E-2</v>
      </c>
      <c r="Q13" s="29" t="e">
        <f t="shared" si="2"/>
        <v>#DIV/0!</v>
      </c>
      <c r="R13" s="28">
        <f t="shared" si="11"/>
        <v>0</v>
      </c>
      <c r="S13" s="28">
        <v>125</v>
      </c>
      <c r="T13" s="28">
        <f t="shared" si="3"/>
        <v>2.8381135828692533E-2</v>
      </c>
      <c r="U13" s="29">
        <f t="shared" si="12"/>
        <v>0</v>
      </c>
      <c r="W13" s="41"/>
      <c r="X13" s="43"/>
      <c r="Y13" s="28"/>
      <c r="Z13" s="27" t="b">
        <f t="shared" si="4"/>
        <v>1</v>
      </c>
      <c r="AA13" s="42">
        <v>50</v>
      </c>
      <c r="AB13" s="29">
        <v>40</v>
      </c>
      <c r="AC13" s="27" t="b">
        <f t="shared" si="5"/>
        <v>1</v>
      </c>
      <c r="AD13" s="42">
        <v>65</v>
      </c>
      <c r="AE13" s="49">
        <v>50</v>
      </c>
      <c r="AF13" s="28" t="b">
        <f t="shared" si="6"/>
        <v>1</v>
      </c>
      <c r="AG13" s="42">
        <v>80</v>
      </c>
      <c r="AH13" s="29">
        <v>100</v>
      </c>
      <c r="AJ13" s="167">
        <v>90</v>
      </c>
      <c r="AK13" s="50" t="e">
        <f t="shared" si="13"/>
        <v>#DIV/0!</v>
      </c>
      <c r="AL13" s="168" t="s">
        <v>300</v>
      </c>
      <c r="AM13" s="169" t="e">
        <f t="shared" si="7"/>
        <v>#DIV/0!</v>
      </c>
      <c r="AN13" s="168" t="s">
        <v>300</v>
      </c>
      <c r="AO13" s="50" t="e">
        <f t="shared" si="14"/>
        <v>#DIV/0!</v>
      </c>
      <c r="AP13" s="170" t="s">
        <v>300</v>
      </c>
      <c r="AS13" s="27"/>
      <c r="AT13" s="28"/>
      <c r="AU13" s="28"/>
      <c r="AV13" s="28"/>
      <c r="AW13" s="144"/>
      <c r="AX13" s="27"/>
      <c r="AY13" s="28"/>
      <c r="AZ13" s="28"/>
      <c r="BA13" s="28"/>
      <c r="BB13" s="29"/>
      <c r="BC13" s="27"/>
      <c r="BD13" s="28"/>
      <c r="BE13" s="28"/>
      <c r="BF13" s="28"/>
      <c r="BG13" s="29"/>
      <c r="BH13" s="27">
        <v>2.0009999999999999</v>
      </c>
      <c r="BI13" s="28" t="b">
        <f>IF($B$4&lt;BH13,TRUE,FALSE)</f>
        <v>1</v>
      </c>
      <c r="BJ13" s="28" t="s">
        <v>291</v>
      </c>
      <c r="BK13" s="28" t="b">
        <f t="shared" si="20"/>
        <v>1</v>
      </c>
      <c r="BL13" s="29">
        <v>2</v>
      </c>
      <c r="BN13" s="133"/>
      <c r="BO13" s="45"/>
      <c r="BP13" s="139"/>
      <c r="BQ13" s="45" t="e">
        <f t="shared" si="21"/>
        <v>#N/A</v>
      </c>
      <c r="BR13" s="114" t="s">
        <v>112</v>
      </c>
      <c r="BS13" s="45">
        <v>125</v>
      </c>
      <c r="BT13" s="64"/>
      <c r="BU13" s="120" t="b">
        <f t="shared" si="22"/>
        <v>0</v>
      </c>
      <c r="BV13" s="114" t="s">
        <v>112</v>
      </c>
      <c r="BW13" s="45">
        <v>32</v>
      </c>
      <c r="BX13" s="53">
        <v>12.5</v>
      </c>
      <c r="BY13" s="139"/>
      <c r="BZ13" s="45"/>
      <c r="CA13" s="114"/>
      <c r="CB13" s="45"/>
      <c r="CC13" s="139"/>
      <c r="CD13" s="45" t="e">
        <f t="shared" si="24"/>
        <v>#N/A</v>
      </c>
      <c r="CE13" s="114" t="s">
        <v>112</v>
      </c>
      <c r="CF13" s="45">
        <v>125</v>
      </c>
      <c r="CG13" s="139"/>
      <c r="CH13" s="45" t="e">
        <f t="shared" si="25"/>
        <v>#N/A</v>
      </c>
      <c r="CI13" s="154">
        <v>10</v>
      </c>
      <c r="CJ13" s="68" t="s">
        <v>299</v>
      </c>
      <c r="CK13" s="45" t="e">
        <f t="shared" ref="CK13:CK14" si="33">IF($E$14=CM13,TRUE,FALSE)</f>
        <v>#N/A</v>
      </c>
      <c r="CL13" s="154">
        <v>10</v>
      </c>
      <c r="CM13" s="68" t="s">
        <v>299</v>
      </c>
      <c r="CN13" s="45" t="e">
        <f t="shared" ref="CN13:CN14" si="34">IF($E$14=CP13,TRUE,FALSE)</f>
        <v>#N/A</v>
      </c>
      <c r="CO13" s="154">
        <v>10</v>
      </c>
      <c r="CP13" s="68" t="s">
        <v>299</v>
      </c>
      <c r="CQ13" s="64"/>
      <c r="CR13" s="28"/>
      <c r="CS13" s="68"/>
      <c r="CT13" s="28"/>
      <c r="CU13" s="64"/>
      <c r="CV13" s="139"/>
      <c r="CW13" s="45"/>
      <c r="CX13" s="114"/>
      <c r="CY13" s="45"/>
      <c r="CZ13" s="64"/>
      <c r="DA13" s="45"/>
      <c r="DB13" s="114"/>
      <c r="DC13" s="45"/>
      <c r="DD13" s="64"/>
      <c r="DE13" s="45"/>
      <c r="DF13" s="114"/>
      <c r="DG13" s="45"/>
      <c r="DH13" s="64"/>
      <c r="DI13" s="45"/>
      <c r="DJ13" s="114"/>
      <c r="DK13" s="53"/>
    </row>
    <row r="14" spans="1:116" x14ac:dyDescent="0.25">
      <c r="A14" s="22" t="s">
        <v>52</v>
      </c>
      <c r="B14" s="222">
        <f>'ОЛ(4)'!O28</f>
        <v>0</v>
      </c>
      <c r="C14" s="222"/>
      <c r="E14" s="222" t="e">
        <f>VLOOKUP(TRUE,IF(B15="TOP-SD",AK4:AL13,IF(B15="Yonos MAXO-D",AM4:AN13,IF(B15="Stratos-D",AO4:AP13,FALSE))),2,FALSE)</f>
        <v>#N/A</v>
      </c>
      <c r="F14" s="222"/>
      <c r="I14" s="27">
        <f t="shared" si="8"/>
        <v>0</v>
      </c>
      <c r="J14" s="28">
        <v>150</v>
      </c>
      <c r="K14" s="28">
        <f t="shared" si="0"/>
        <v>2.6925299052784474E-2</v>
      </c>
      <c r="L14" s="28">
        <f t="shared" si="9"/>
        <v>0</v>
      </c>
      <c r="M14" s="28"/>
      <c r="N14" s="28" t="e">
        <f t="shared" si="10"/>
        <v>#DIV/0!</v>
      </c>
      <c r="O14" s="28">
        <v>150</v>
      </c>
      <c r="P14" s="28">
        <f t="shared" si="1"/>
        <v>2.6925299052784474E-2</v>
      </c>
      <c r="Q14" s="29" t="e">
        <f t="shared" si="2"/>
        <v>#DIV/0!</v>
      </c>
      <c r="R14" s="28">
        <f t="shared" si="11"/>
        <v>0</v>
      </c>
      <c r="S14" s="28">
        <v>150</v>
      </c>
      <c r="T14" s="28">
        <f t="shared" si="3"/>
        <v>2.6925299052784474E-2</v>
      </c>
      <c r="U14" s="29">
        <f t="shared" si="12"/>
        <v>0</v>
      </c>
      <c r="W14" s="27"/>
      <c r="X14" s="28"/>
      <c r="Y14" s="28"/>
      <c r="Z14" s="27" t="b">
        <f t="shared" si="4"/>
        <v>1</v>
      </c>
      <c r="AA14" s="42">
        <v>65</v>
      </c>
      <c r="AB14" s="29">
        <v>50</v>
      </c>
      <c r="AC14" s="27" t="b">
        <f t="shared" si="5"/>
        <v>1</v>
      </c>
      <c r="AD14" s="42">
        <v>65</v>
      </c>
      <c r="AE14" s="49">
        <v>63</v>
      </c>
      <c r="AF14" s="28" t="b">
        <f t="shared" si="6"/>
        <v>1</v>
      </c>
      <c r="AG14" s="42">
        <v>100</v>
      </c>
      <c r="AH14" s="29">
        <v>160</v>
      </c>
      <c r="AS14" s="27"/>
      <c r="AT14" s="28"/>
      <c r="AU14" s="28"/>
      <c r="AV14" s="28"/>
      <c r="AW14" s="144"/>
      <c r="AX14" s="27"/>
      <c r="AY14" s="28"/>
      <c r="AZ14" s="28"/>
      <c r="BA14" s="28"/>
      <c r="BB14" s="29"/>
      <c r="BC14" s="27"/>
      <c r="BD14" s="28"/>
      <c r="BE14" s="28"/>
      <c r="BF14" s="28"/>
      <c r="BG14" s="29"/>
      <c r="BH14" s="28"/>
      <c r="BI14" s="28"/>
      <c r="BJ14" s="28"/>
      <c r="BK14" s="28"/>
      <c r="BL14" s="29"/>
      <c r="BN14" s="133"/>
      <c r="BO14" s="45"/>
      <c r="BP14" s="139"/>
      <c r="BQ14" s="45" t="e">
        <f t="shared" si="21"/>
        <v>#N/A</v>
      </c>
      <c r="BR14" s="114" t="s">
        <v>113</v>
      </c>
      <c r="BS14" s="45">
        <v>150</v>
      </c>
      <c r="BT14" s="64"/>
      <c r="BU14" s="120" t="b">
        <f t="shared" si="22"/>
        <v>0</v>
      </c>
      <c r="BV14" s="114" t="s">
        <v>113</v>
      </c>
      <c r="BW14" s="45">
        <v>32</v>
      </c>
      <c r="BX14" s="53">
        <v>16</v>
      </c>
      <c r="BY14" s="139"/>
      <c r="BZ14" s="45"/>
      <c r="CA14" s="114"/>
      <c r="CB14" s="45"/>
      <c r="CC14" s="139"/>
      <c r="CD14" s="45" t="e">
        <f t="shared" si="24"/>
        <v>#N/A</v>
      </c>
      <c r="CE14" s="114" t="s">
        <v>113</v>
      </c>
      <c r="CF14" s="45">
        <v>150</v>
      </c>
      <c r="CG14" s="139"/>
      <c r="CH14" s="45" t="e">
        <f t="shared" si="25"/>
        <v>#N/A</v>
      </c>
      <c r="CI14" s="154">
        <v>11</v>
      </c>
      <c r="CJ14" s="68" t="s">
        <v>300</v>
      </c>
      <c r="CK14" s="45" t="e">
        <f t="shared" si="33"/>
        <v>#N/A</v>
      </c>
      <c r="CL14" s="154">
        <v>11</v>
      </c>
      <c r="CM14" s="68" t="s">
        <v>300</v>
      </c>
      <c r="CN14" s="45" t="e">
        <f t="shared" si="34"/>
        <v>#N/A</v>
      </c>
      <c r="CO14" s="154">
        <v>11</v>
      </c>
      <c r="CP14" s="68" t="s">
        <v>300</v>
      </c>
      <c r="CQ14" s="64"/>
      <c r="CR14" s="28"/>
      <c r="CS14" s="68"/>
      <c r="CT14" s="28"/>
      <c r="CU14" s="64"/>
      <c r="CV14" s="139"/>
      <c r="CW14" s="45"/>
      <c r="CX14" s="114"/>
      <c r="CY14" s="45"/>
      <c r="CZ14" s="64"/>
      <c r="DA14" s="45"/>
      <c r="DB14" s="114"/>
      <c r="DC14" s="45"/>
      <c r="DD14" s="64"/>
      <c r="DE14" s="45"/>
      <c r="DF14" s="114"/>
      <c r="DG14" s="45"/>
      <c r="DH14" s="64"/>
      <c r="DI14" s="45"/>
      <c r="DJ14" s="114"/>
      <c r="DK14" s="53"/>
    </row>
    <row r="15" spans="1:116" x14ac:dyDescent="0.25">
      <c r="A15" s="22" t="s">
        <v>59</v>
      </c>
      <c r="B15" s="222">
        <f>'ОЛ(4)'!I28</f>
        <v>0</v>
      </c>
      <c r="C15" s="222"/>
      <c r="I15" s="27">
        <f t="shared" si="8"/>
        <v>0</v>
      </c>
      <c r="J15" s="28">
        <v>200</v>
      </c>
      <c r="K15" s="28">
        <f t="shared" si="0"/>
        <v>2.4846042519733526E-2</v>
      </c>
      <c r="L15" s="28">
        <f t="shared" si="9"/>
        <v>0</v>
      </c>
      <c r="M15" s="28"/>
      <c r="N15" s="28" t="e">
        <f t="shared" si="10"/>
        <v>#DIV/0!</v>
      </c>
      <c r="O15" s="28">
        <v>200</v>
      </c>
      <c r="P15" s="28">
        <f t="shared" si="1"/>
        <v>2.4846042519733526E-2</v>
      </c>
      <c r="Q15" s="29" t="e">
        <f t="shared" si="2"/>
        <v>#DIV/0!</v>
      </c>
      <c r="R15" s="28">
        <f t="shared" si="11"/>
        <v>0</v>
      </c>
      <c r="S15" s="28">
        <v>200</v>
      </c>
      <c r="T15" s="28">
        <f t="shared" si="3"/>
        <v>2.4846042519733526E-2</v>
      </c>
      <c r="U15" s="29">
        <f t="shared" si="12"/>
        <v>0</v>
      </c>
      <c r="W15" s="27"/>
      <c r="X15" s="28"/>
      <c r="Y15" s="28"/>
      <c r="Z15" s="27" t="b">
        <f t="shared" si="4"/>
        <v>1</v>
      </c>
      <c r="AA15" s="42">
        <v>65</v>
      </c>
      <c r="AB15" s="29">
        <v>63</v>
      </c>
      <c r="AC15" s="27" t="b">
        <f t="shared" si="5"/>
        <v>1</v>
      </c>
      <c r="AD15" s="42">
        <v>80</v>
      </c>
      <c r="AE15" s="49">
        <v>80</v>
      </c>
      <c r="AF15" s="28" t="b">
        <f t="shared" si="6"/>
        <v>1</v>
      </c>
      <c r="AG15" s="42">
        <v>125</v>
      </c>
      <c r="AH15" s="29">
        <v>250</v>
      </c>
      <c r="AS15" s="27"/>
      <c r="AT15" s="28"/>
      <c r="AU15" s="28"/>
      <c r="AV15" s="28"/>
      <c r="AW15" s="144"/>
      <c r="AX15" s="27"/>
      <c r="AY15" s="28"/>
      <c r="AZ15" s="28"/>
      <c r="BA15" s="28"/>
      <c r="BB15" s="29"/>
      <c r="BC15" s="27"/>
      <c r="BD15" s="28"/>
      <c r="BE15" s="28"/>
      <c r="BF15" s="28"/>
      <c r="BG15" s="29"/>
      <c r="BH15" s="28"/>
      <c r="BI15" s="28"/>
      <c r="BJ15" s="28"/>
      <c r="BK15" s="28"/>
      <c r="BL15" s="29"/>
      <c r="BN15" s="133"/>
      <c r="BO15" s="45"/>
      <c r="BP15" s="139"/>
      <c r="BQ15" s="45" t="e">
        <f t="shared" si="21"/>
        <v>#N/A</v>
      </c>
      <c r="BR15" s="114" t="s">
        <v>114</v>
      </c>
      <c r="BS15" s="45">
        <v>200</v>
      </c>
      <c r="BT15" s="64"/>
      <c r="BU15" s="120" t="b">
        <f t="shared" si="22"/>
        <v>0</v>
      </c>
      <c r="BV15" s="114" t="s">
        <v>114</v>
      </c>
      <c r="BW15" s="45">
        <v>40</v>
      </c>
      <c r="BX15" s="53">
        <v>20</v>
      </c>
      <c r="BY15" s="139"/>
      <c r="BZ15" s="45"/>
      <c r="CA15" s="114"/>
      <c r="CB15" s="45"/>
      <c r="CC15" s="139"/>
      <c r="CD15" s="45" t="e">
        <f t="shared" si="24"/>
        <v>#N/A</v>
      </c>
      <c r="CE15" s="114" t="s">
        <v>114</v>
      </c>
      <c r="CF15" s="45">
        <v>200</v>
      </c>
      <c r="CG15" s="139"/>
      <c r="CH15" s="45"/>
      <c r="CI15" s="154"/>
      <c r="CJ15" s="28"/>
      <c r="CK15" s="28"/>
      <c r="CL15" s="28"/>
      <c r="CM15" s="28"/>
      <c r="CN15" s="28"/>
      <c r="CO15" s="28"/>
      <c r="CP15" s="28"/>
      <c r="CQ15" s="64"/>
      <c r="CR15" s="28"/>
      <c r="CS15" s="28"/>
      <c r="CT15" s="28"/>
      <c r="CU15" s="64"/>
      <c r="CV15" s="139"/>
      <c r="CW15" s="45"/>
      <c r="CX15" s="114"/>
      <c r="CY15" s="45"/>
      <c r="CZ15" s="64"/>
      <c r="DA15" s="45"/>
      <c r="DB15" s="114"/>
      <c r="DC15" s="45"/>
      <c r="DD15" s="64"/>
      <c r="DE15" s="45"/>
      <c r="DF15" s="114"/>
      <c r="DG15" s="45"/>
      <c r="DH15" s="64"/>
      <c r="DI15" s="45"/>
      <c r="DJ15" s="114"/>
      <c r="DK15" s="53"/>
    </row>
    <row r="16" spans="1:116" ht="15.75" thickBot="1" x14ac:dyDescent="0.3">
      <c r="A16" s="22" t="s">
        <v>297</v>
      </c>
      <c r="B16" s="222">
        <f>'ОЛ(4)'!U28</f>
        <v>0</v>
      </c>
      <c r="C16" s="222"/>
      <c r="E16" t="s">
        <v>89</v>
      </c>
      <c r="F16">
        <f>IF(B18="Отопление",11.7,IF(B18="Вентиляция",8.6,30))*B4/6</f>
        <v>0</v>
      </c>
      <c r="I16" s="27">
        <f t="shared" si="8"/>
        <v>0</v>
      </c>
      <c r="J16" s="28">
        <v>250</v>
      </c>
      <c r="K16" s="28">
        <f t="shared" si="0"/>
        <v>2.339473539768467E-2</v>
      </c>
      <c r="L16" s="28">
        <f t="shared" si="9"/>
        <v>0</v>
      </c>
      <c r="M16" s="28"/>
      <c r="N16" s="28" t="e">
        <f t="shared" si="10"/>
        <v>#DIV/0!</v>
      </c>
      <c r="O16" s="28">
        <v>250</v>
      </c>
      <c r="P16" s="28">
        <f t="shared" si="1"/>
        <v>2.339473539768467E-2</v>
      </c>
      <c r="Q16" s="29" t="e">
        <f t="shared" si="2"/>
        <v>#DIV/0!</v>
      </c>
      <c r="R16" s="28">
        <f t="shared" si="11"/>
        <v>0</v>
      </c>
      <c r="S16" s="28">
        <v>250</v>
      </c>
      <c r="T16" s="28">
        <f t="shared" si="3"/>
        <v>2.339473539768467E-2</v>
      </c>
      <c r="U16" s="29">
        <f t="shared" si="12"/>
        <v>0</v>
      </c>
      <c r="W16" s="27"/>
      <c r="X16" s="28"/>
      <c r="Y16" s="28"/>
      <c r="Z16" s="27" t="b">
        <f t="shared" si="4"/>
        <v>1</v>
      </c>
      <c r="AA16" s="42">
        <v>80</v>
      </c>
      <c r="AB16" s="29">
        <v>80</v>
      </c>
      <c r="AC16" s="27" t="b">
        <f t="shared" si="5"/>
        <v>1</v>
      </c>
      <c r="AD16" s="42">
        <v>80</v>
      </c>
      <c r="AE16" s="49">
        <v>100</v>
      </c>
      <c r="AF16" s="28" t="b">
        <f t="shared" si="6"/>
        <v>1</v>
      </c>
      <c r="AG16" s="42">
        <v>150</v>
      </c>
      <c r="AH16" s="29">
        <v>400</v>
      </c>
      <c r="AS16" s="31"/>
      <c r="AT16" s="33"/>
      <c r="AU16" s="33"/>
      <c r="AV16" s="33"/>
      <c r="AW16" s="145"/>
      <c r="AX16" s="31"/>
      <c r="AY16" s="33"/>
      <c r="AZ16" s="33"/>
      <c r="BA16" s="33"/>
      <c r="BB16" s="34"/>
      <c r="BC16" s="31"/>
      <c r="BD16" s="33"/>
      <c r="BE16" s="33"/>
      <c r="BF16" s="33"/>
      <c r="BG16" s="34"/>
      <c r="BH16" s="33"/>
      <c r="BI16" s="33"/>
      <c r="BJ16" s="33"/>
      <c r="BK16" s="33"/>
      <c r="BL16" s="34"/>
      <c r="BN16" s="133"/>
      <c r="BO16" s="45"/>
      <c r="BP16" s="139"/>
      <c r="BQ16" s="45"/>
      <c r="BR16" s="114"/>
      <c r="BS16" s="45"/>
      <c r="BT16" s="64"/>
      <c r="BU16" s="120" t="b">
        <f t="shared" si="22"/>
        <v>0</v>
      </c>
      <c r="BV16" s="114" t="s">
        <v>115</v>
      </c>
      <c r="BW16" s="45">
        <v>40</v>
      </c>
      <c r="BX16" s="53">
        <v>25</v>
      </c>
      <c r="BY16" s="139"/>
      <c r="BZ16" s="45"/>
      <c r="CA16" s="114"/>
      <c r="CB16" s="45"/>
      <c r="CC16" s="64"/>
      <c r="CD16" s="28"/>
      <c r="CE16" s="28"/>
      <c r="CF16" s="28"/>
      <c r="CG16" s="64"/>
      <c r="CH16" s="45"/>
      <c r="CI16" s="28"/>
      <c r="CJ16" s="28"/>
      <c r="CK16" s="28"/>
      <c r="CL16" s="28"/>
      <c r="CM16" s="28"/>
      <c r="CN16" s="28"/>
      <c r="CO16" s="28"/>
      <c r="CP16" s="28"/>
      <c r="CQ16" s="64"/>
      <c r="CR16" s="28"/>
      <c r="CS16" s="28"/>
      <c r="CT16" s="28"/>
      <c r="CU16" s="64"/>
      <c r="CV16" s="64"/>
      <c r="CW16" s="28"/>
      <c r="CX16" s="28"/>
      <c r="CY16" s="28"/>
      <c r="CZ16" s="64"/>
      <c r="DA16" s="28"/>
      <c r="DB16" s="28"/>
      <c r="DC16" s="28"/>
      <c r="DD16" s="64"/>
      <c r="DE16" s="28"/>
      <c r="DF16" s="28"/>
      <c r="DG16" s="28"/>
      <c r="DH16" s="64"/>
      <c r="DI16" s="28"/>
      <c r="DJ16" s="28"/>
      <c r="DK16" s="29"/>
    </row>
    <row r="17" spans="1:115" x14ac:dyDescent="0.25">
      <c r="A17" s="22" t="s">
        <v>294</v>
      </c>
      <c r="B17" s="222">
        <f>'ОЛ(4)'!AA28</f>
        <v>0</v>
      </c>
      <c r="C17" s="222"/>
      <c r="E17" t="s">
        <v>346</v>
      </c>
      <c r="F17" t="e">
        <f>VLOOKUP(1,R4:U17,2,FALSE)</f>
        <v>#N/A</v>
      </c>
      <c r="I17" s="27">
        <f t="shared" si="8"/>
        <v>0</v>
      </c>
      <c r="J17" s="28">
        <v>300</v>
      </c>
      <c r="K17" s="28">
        <f t="shared" si="0"/>
        <v>2.2301284149115197E-2</v>
      </c>
      <c r="L17" s="28">
        <f t="shared" si="9"/>
        <v>0</v>
      </c>
      <c r="M17" s="28"/>
      <c r="N17" s="28" t="e">
        <f t="shared" si="10"/>
        <v>#DIV/0!</v>
      </c>
      <c r="O17" s="28">
        <v>300</v>
      </c>
      <c r="P17" s="28">
        <f t="shared" si="1"/>
        <v>2.2301284149115197E-2</v>
      </c>
      <c r="Q17" s="29" t="e">
        <f t="shared" si="2"/>
        <v>#DIV/0!</v>
      </c>
      <c r="R17" s="28">
        <f t="shared" si="11"/>
        <v>0</v>
      </c>
      <c r="S17" s="28">
        <v>300</v>
      </c>
      <c r="T17" s="28">
        <f t="shared" si="3"/>
        <v>2.2301284149115197E-2</v>
      </c>
      <c r="U17" s="29">
        <f t="shared" si="12"/>
        <v>0</v>
      </c>
      <c r="W17" s="27"/>
      <c r="X17" s="28"/>
      <c r="Y17" s="28"/>
      <c r="Z17" s="27" t="b">
        <f t="shared" si="4"/>
        <v>1</v>
      </c>
      <c r="AA17" s="42">
        <v>80</v>
      </c>
      <c r="AB17" s="29">
        <v>100</v>
      </c>
      <c r="AC17" s="48" t="b">
        <f t="shared" si="5"/>
        <v>1</v>
      </c>
      <c r="AD17" s="42">
        <v>100</v>
      </c>
      <c r="AE17" s="49">
        <v>125</v>
      </c>
      <c r="AF17" s="28"/>
      <c r="AG17" s="28"/>
      <c r="AH17" s="29"/>
      <c r="AS17" s="28"/>
      <c r="AT17" s="28"/>
      <c r="AU17" s="28"/>
      <c r="BN17" s="133"/>
      <c r="BO17" s="45"/>
      <c r="BP17" s="139"/>
      <c r="BQ17" s="45"/>
      <c r="BR17" s="114"/>
      <c r="BS17" s="45"/>
      <c r="BT17" s="64"/>
      <c r="BU17" s="120" t="b">
        <f t="shared" si="22"/>
        <v>0</v>
      </c>
      <c r="BV17" s="114" t="s">
        <v>116</v>
      </c>
      <c r="BW17" s="45">
        <v>50</v>
      </c>
      <c r="BX17" s="53">
        <v>31.5</v>
      </c>
      <c r="BY17" s="139"/>
      <c r="BZ17" s="45"/>
      <c r="CA17" s="114"/>
      <c r="CB17" s="45"/>
      <c r="CC17" s="64"/>
      <c r="CD17" s="28"/>
      <c r="CE17" s="28"/>
      <c r="CF17" s="28"/>
      <c r="CG17" s="64"/>
      <c r="CH17" s="45"/>
      <c r="CI17" s="28"/>
      <c r="CJ17" s="28"/>
      <c r="CK17" s="28"/>
      <c r="CL17" s="28"/>
      <c r="CM17" s="28"/>
      <c r="CN17" s="28"/>
      <c r="CO17" s="28"/>
      <c r="CP17" s="28"/>
      <c r="CQ17" s="64"/>
      <c r="CR17" s="28"/>
      <c r="CS17" s="28"/>
      <c r="CT17" s="28"/>
      <c r="CU17" s="64"/>
      <c r="CV17" s="64"/>
      <c r="CW17" s="28"/>
      <c r="CX17" s="28"/>
      <c r="CY17" s="28"/>
      <c r="CZ17" s="64"/>
      <c r="DA17" s="28"/>
      <c r="DB17" s="28"/>
      <c r="DC17" s="28"/>
      <c r="DD17" s="64"/>
      <c r="DE17" s="28"/>
      <c r="DF17" s="28"/>
      <c r="DG17" s="28"/>
      <c r="DH17" s="64"/>
      <c r="DI17" s="28"/>
      <c r="DJ17" s="28"/>
      <c r="DK17" s="29"/>
    </row>
    <row r="18" spans="1:115" x14ac:dyDescent="0.25">
      <c r="A18" s="22" t="s">
        <v>345</v>
      </c>
      <c r="B18" s="222" t="str">
        <f>'ОЛ(4)'!A15</f>
        <v>Вентиляция</v>
      </c>
      <c r="C18" s="222"/>
      <c r="I18" s="27"/>
      <c r="J18" s="28"/>
      <c r="K18" s="28"/>
      <c r="L18" s="28"/>
      <c r="M18" s="28"/>
      <c r="N18" s="28"/>
      <c r="O18" s="28"/>
      <c r="P18" s="28"/>
      <c r="Q18" s="29"/>
      <c r="R18" s="28"/>
      <c r="S18" s="28"/>
      <c r="T18" s="28"/>
      <c r="U18" s="29"/>
      <c r="W18" s="27"/>
      <c r="X18" s="28"/>
      <c r="Y18" s="28"/>
      <c r="Z18" s="48" t="b">
        <f t="shared" si="4"/>
        <v>1</v>
      </c>
      <c r="AA18" s="42">
        <v>100</v>
      </c>
      <c r="AB18" s="29">
        <v>125</v>
      </c>
      <c r="AC18" s="48" t="b">
        <f t="shared" si="5"/>
        <v>1</v>
      </c>
      <c r="AD18" s="42">
        <v>100</v>
      </c>
      <c r="AE18" s="49">
        <v>160</v>
      </c>
      <c r="AF18" s="28"/>
      <c r="AG18" s="28"/>
      <c r="AH18" s="29"/>
      <c r="BN18" s="133"/>
      <c r="BO18" s="45"/>
      <c r="BP18" s="139"/>
      <c r="BQ18" s="45"/>
      <c r="BR18" s="114"/>
      <c r="BS18" s="45"/>
      <c r="BT18" s="64"/>
      <c r="BU18" s="120" t="b">
        <f t="shared" si="22"/>
        <v>0</v>
      </c>
      <c r="BV18" s="114" t="s">
        <v>117</v>
      </c>
      <c r="BW18" s="45">
        <v>50</v>
      </c>
      <c r="BX18" s="53">
        <v>40</v>
      </c>
      <c r="BY18" s="139"/>
      <c r="BZ18" s="45"/>
      <c r="CA18" s="114"/>
      <c r="CB18" s="45"/>
      <c r="CC18" s="64"/>
      <c r="CD18" s="28"/>
      <c r="CE18" s="28"/>
      <c r="CF18" s="28"/>
      <c r="CG18" s="64"/>
      <c r="CH18" s="45"/>
      <c r="CI18" s="28"/>
      <c r="CJ18" s="28"/>
      <c r="CK18" s="28"/>
      <c r="CL18" s="28"/>
      <c r="CM18" s="28"/>
      <c r="CN18" s="28"/>
      <c r="CO18" s="28"/>
      <c r="CP18" s="28"/>
      <c r="CQ18" s="64"/>
      <c r="CR18" s="28"/>
      <c r="CS18" s="28"/>
      <c r="CT18" s="28"/>
      <c r="CU18" s="64"/>
      <c r="CV18" s="64"/>
      <c r="CW18" s="28"/>
      <c r="CX18" s="28"/>
      <c r="CY18" s="28"/>
      <c r="CZ18" s="64"/>
      <c r="DA18" s="28"/>
      <c r="DB18" s="28"/>
      <c r="DC18" s="28"/>
      <c r="DD18" s="64"/>
      <c r="DE18" s="28"/>
      <c r="DF18" s="28"/>
      <c r="DG18" s="28"/>
      <c r="DH18" s="64"/>
      <c r="DI18" s="28"/>
      <c r="DJ18" s="28"/>
      <c r="DK18" s="29"/>
    </row>
    <row r="19" spans="1:115" x14ac:dyDescent="0.25">
      <c r="A19" s="22"/>
      <c r="C19" s="23"/>
      <c r="I19" s="27"/>
      <c r="J19" s="30"/>
      <c r="K19" s="28"/>
      <c r="L19" s="28"/>
      <c r="M19" s="28"/>
      <c r="N19" s="28"/>
      <c r="O19" s="28"/>
      <c r="P19" s="28"/>
      <c r="Q19" s="29"/>
      <c r="R19" s="28"/>
      <c r="S19" s="28"/>
      <c r="T19" s="28"/>
      <c r="U19" s="29"/>
      <c r="W19" s="27"/>
      <c r="X19" s="28"/>
      <c r="Y19" s="28"/>
      <c r="Z19" s="48" t="b">
        <f t="shared" si="4"/>
        <v>1</v>
      </c>
      <c r="AA19" s="28">
        <v>100</v>
      </c>
      <c r="AB19" s="29">
        <v>160</v>
      </c>
      <c r="AC19" s="48" t="b">
        <f t="shared" si="5"/>
        <v>1</v>
      </c>
      <c r="AD19" s="42">
        <v>125</v>
      </c>
      <c r="AE19" s="49">
        <v>200</v>
      </c>
      <c r="AF19" s="28"/>
      <c r="AG19" s="28"/>
      <c r="AH19" s="29"/>
      <c r="BN19" s="133"/>
      <c r="BO19" s="45"/>
      <c r="BP19" s="139"/>
      <c r="BQ19" s="45"/>
      <c r="BR19" s="114"/>
      <c r="BS19" s="45"/>
      <c r="BT19" s="64"/>
      <c r="BU19" s="120" t="b">
        <f t="shared" si="22"/>
        <v>0</v>
      </c>
      <c r="BV19" s="114" t="s">
        <v>118</v>
      </c>
      <c r="BW19" s="45">
        <v>65</v>
      </c>
      <c r="BX19" s="53">
        <v>50</v>
      </c>
      <c r="BY19" s="139"/>
      <c r="BZ19" s="45"/>
      <c r="CA19" s="114"/>
      <c r="CB19" s="45"/>
      <c r="CC19" s="64"/>
      <c r="CD19" s="28"/>
      <c r="CE19" s="28"/>
      <c r="CF19" s="28"/>
      <c r="CG19" s="64"/>
      <c r="CH19" s="28"/>
      <c r="CI19" s="28"/>
      <c r="CJ19" s="28"/>
      <c r="CK19" s="28"/>
      <c r="CL19" s="28"/>
      <c r="CM19" s="28"/>
      <c r="CN19" s="28"/>
      <c r="CO19" s="28"/>
      <c r="CP19" s="28"/>
      <c r="CQ19" s="64"/>
      <c r="CR19" s="28"/>
      <c r="CS19" s="28"/>
      <c r="CT19" s="28"/>
      <c r="CU19" s="64"/>
      <c r="CV19" s="64"/>
      <c r="CW19" s="28"/>
      <c r="CX19" s="28"/>
      <c r="CY19" s="28"/>
      <c r="CZ19" s="64"/>
      <c r="DA19" s="28"/>
      <c r="DB19" s="28"/>
      <c r="DC19" s="28"/>
      <c r="DD19" s="64"/>
      <c r="DE19" s="28"/>
      <c r="DF19" s="28"/>
      <c r="DG19" s="28"/>
      <c r="DH19" s="64"/>
      <c r="DI19" s="28"/>
      <c r="DJ19" s="28"/>
      <c r="DK19" s="29"/>
    </row>
    <row r="20" spans="1:115" x14ac:dyDescent="0.25">
      <c r="A20" s="22"/>
      <c r="C20" s="23"/>
      <c r="I20" s="27"/>
      <c r="J20" s="30" t="s">
        <v>39</v>
      </c>
      <c r="K20" s="28">
        <v>958.4</v>
      </c>
      <c r="L20" s="28"/>
      <c r="M20" s="28"/>
      <c r="N20" s="28"/>
      <c r="O20" s="28"/>
      <c r="P20" s="28"/>
      <c r="Q20" s="29"/>
      <c r="R20" s="28"/>
      <c r="S20" s="28"/>
      <c r="T20" s="28"/>
      <c r="U20" s="29"/>
      <c r="W20" s="27"/>
      <c r="X20" s="28"/>
      <c r="Y20" s="28"/>
      <c r="Z20" s="48" t="b">
        <f t="shared" si="4"/>
        <v>1</v>
      </c>
      <c r="AA20" s="28">
        <v>125</v>
      </c>
      <c r="AB20" s="29">
        <v>250</v>
      </c>
      <c r="AC20" s="48" t="b">
        <f t="shared" si="5"/>
        <v>1</v>
      </c>
      <c r="AD20" s="42">
        <v>125</v>
      </c>
      <c r="AE20" s="49">
        <v>250</v>
      </c>
      <c r="AF20" s="28"/>
      <c r="AG20" s="28"/>
      <c r="AH20" s="29"/>
      <c r="BN20" s="133"/>
      <c r="BO20" s="45"/>
      <c r="BP20" s="139"/>
      <c r="BQ20" s="45"/>
      <c r="BR20" s="114"/>
      <c r="BS20" s="45"/>
      <c r="BT20" s="64"/>
      <c r="BU20" s="120" t="b">
        <f t="shared" si="22"/>
        <v>0</v>
      </c>
      <c r="BV20" s="114" t="s">
        <v>119</v>
      </c>
      <c r="BW20" s="45">
        <v>65</v>
      </c>
      <c r="BX20" s="53">
        <v>63</v>
      </c>
      <c r="BY20" s="139"/>
      <c r="BZ20" s="45"/>
      <c r="CA20" s="114"/>
      <c r="CB20" s="45"/>
      <c r="CC20" s="64"/>
      <c r="CD20" s="28"/>
      <c r="CE20" s="28"/>
      <c r="CF20" s="28"/>
      <c r="CG20" s="64"/>
      <c r="CH20" s="28"/>
      <c r="CI20" s="28"/>
      <c r="CJ20" s="28"/>
      <c r="CK20" s="28"/>
      <c r="CL20" s="28"/>
      <c r="CM20" s="28"/>
      <c r="CN20" s="28"/>
      <c r="CO20" s="28"/>
      <c r="CP20" s="28"/>
      <c r="CQ20" s="64"/>
      <c r="CR20" s="28"/>
      <c r="CS20" s="28"/>
      <c r="CT20" s="28"/>
      <c r="CU20" s="64"/>
      <c r="CV20" s="64"/>
      <c r="CW20" s="28"/>
      <c r="CX20" s="28"/>
      <c r="CY20" s="28"/>
      <c r="CZ20" s="64"/>
      <c r="DA20" s="28"/>
      <c r="DB20" s="28"/>
      <c r="DC20" s="28"/>
      <c r="DD20" s="64"/>
      <c r="DE20" s="28"/>
      <c r="DF20" s="28"/>
      <c r="DG20" s="28"/>
      <c r="DH20" s="64"/>
      <c r="DI20" s="28"/>
      <c r="DJ20" s="28"/>
      <c r="DK20" s="29"/>
    </row>
    <row r="21" spans="1:115" x14ac:dyDescent="0.25">
      <c r="I21" s="27"/>
      <c r="J21" s="30" t="s">
        <v>40</v>
      </c>
      <c r="K21" s="28">
        <v>0.5</v>
      </c>
      <c r="L21" s="28"/>
      <c r="M21" s="28"/>
      <c r="N21" s="28"/>
      <c r="O21" s="28"/>
      <c r="P21" s="28"/>
      <c r="Q21" s="29"/>
      <c r="R21" s="28"/>
      <c r="S21" s="28"/>
      <c r="T21" s="28"/>
      <c r="U21" s="29"/>
      <c r="W21" s="27"/>
      <c r="X21" s="28"/>
      <c r="Y21" s="28"/>
      <c r="Z21" s="48" t="b">
        <f t="shared" si="4"/>
        <v>1</v>
      </c>
      <c r="AA21" s="28">
        <v>150</v>
      </c>
      <c r="AB21" s="29">
        <v>315</v>
      </c>
      <c r="AC21" s="48" t="b">
        <f t="shared" si="5"/>
        <v>1</v>
      </c>
      <c r="AD21" s="42">
        <v>150</v>
      </c>
      <c r="AE21" s="49">
        <v>315</v>
      </c>
      <c r="AF21" s="28"/>
      <c r="AG21" s="28"/>
      <c r="AH21" s="29"/>
      <c r="BN21" s="133"/>
      <c r="BO21" s="45"/>
      <c r="BP21" s="139"/>
      <c r="BQ21" s="45"/>
      <c r="BR21" s="114"/>
      <c r="BS21" s="45"/>
      <c r="BT21" s="64"/>
      <c r="BU21" s="120" t="b">
        <f t="shared" si="22"/>
        <v>0</v>
      </c>
      <c r="BV21" s="114" t="s">
        <v>120</v>
      </c>
      <c r="BW21" s="45">
        <v>80</v>
      </c>
      <c r="BX21" s="53">
        <v>80</v>
      </c>
      <c r="BY21" s="139"/>
      <c r="BZ21" s="45"/>
      <c r="CA21" s="114"/>
      <c r="CB21" s="45"/>
      <c r="CC21" s="64"/>
      <c r="CD21" s="28"/>
      <c r="CE21" s="28"/>
      <c r="CF21" s="28"/>
      <c r="CG21" s="64"/>
      <c r="CH21" s="28"/>
      <c r="CI21" s="28"/>
      <c r="CJ21" s="28"/>
      <c r="CK21" s="28"/>
      <c r="CL21" s="28"/>
      <c r="CM21" s="28"/>
      <c r="CN21" s="28"/>
      <c r="CO21" s="28"/>
      <c r="CP21" s="28"/>
      <c r="CQ21" s="64"/>
      <c r="CR21" s="28"/>
      <c r="CS21" s="28"/>
      <c r="CT21" s="28"/>
      <c r="CU21" s="64"/>
      <c r="CV21" s="64"/>
      <c r="CW21" s="28"/>
      <c r="CX21" s="28"/>
      <c r="CY21" s="28"/>
      <c r="CZ21" s="64"/>
      <c r="DA21" s="28"/>
      <c r="DB21" s="28"/>
      <c r="DC21" s="28"/>
      <c r="DD21" s="64"/>
      <c r="DE21" s="28"/>
      <c r="DF21" s="28"/>
      <c r="DG21" s="28"/>
      <c r="DH21" s="64"/>
      <c r="DI21" s="28"/>
      <c r="DJ21" s="28"/>
      <c r="DK21" s="29"/>
    </row>
    <row r="22" spans="1:115" ht="15.75" thickBot="1" x14ac:dyDescent="0.3">
      <c r="I22" s="31"/>
      <c r="J22" s="32"/>
      <c r="K22" s="33"/>
      <c r="L22" s="33"/>
      <c r="M22" s="33"/>
      <c r="N22" s="33"/>
      <c r="O22" s="33"/>
      <c r="P22" s="33"/>
      <c r="Q22" s="34"/>
      <c r="R22" s="33"/>
      <c r="S22" s="33"/>
      <c r="T22" s="33"/>
      <c r="U22" s="34"/>
      <c r="W22" s="31"/>
      <c r="X22" s="33"/>
      <c r="Y22" s="33"/>
      <c r="Z22" s="31"/>
      <c r="AA22" s="33"/>
      <c r="AB22" s="34"/>
      <c r="AC22" s="50" t="b">
        <f t="shared" si="5"/>
        <v>1</v>
      </c>
      <c r="AD22" s="46">
        <v>150</v>
      </c>
      <c r="AE22" s="51">
        <v>400</v>
      </c>
      <c r="AF22" s="33"/>
      <c r="AG22" s="33"/>
      <c r="AH22" s="34"/>
      <c r="BN22" s="133"/>
      <c r="BO22" s="45"/>
      <c r="BP22" s="139"/>
      <c r="BQ22" s="45"/>
      <c r="BR22" s="114"/>
      <c r="BS22" s="45"/>
      <c r="BT22" s="64"/>
      <c r="BU22" s="120" t="b">
        <f t="shared" si="22"/>
        <v>0</v>
      </c>
      <c r="BV22" s="114" t="s">
        <v>121</v>
      </c>
      <c r="BW22" s="45">
        <v>80</v>
      </c>
      <c r="BX22" s="53">
        <v>100</v>
      </c>
      <c r="BY22" s="139"/>
      <c r="BZ22" s="45"/>
      <c r="CA22" s="114"/>
      <c r="CB22" s="45"/>
      <c r="CC22" s="64"/>
      <c r="CD22" s="28"/>
      <c r="CE22" s="28"/>
      <c r="CF22" s="28"/>
      <c r="CG22" s="64"/>
      <c r="CH22" s="28"/>
      <c r="CI22" s="28"/>
      <c r="CJ22" s="28"/>
      <c r="CK22" s="28"/>
      <c r="CL22" s="28"/>
      <c r="CM22" s="28"/>
      <c r="CN22" s="28"/>
      <c r="CO22" s="28"/>
      <c r="CP22" s="28"/>
      <c r="CQ22" s="64"/>
      <c r="CR22" s="28"/>
      <c r="CS22" s="28"/>
      <c r="CT22" s="28"/>
      <c r="CU22" s="64"/>
      <c r="CV22" s="64"/>
      <c r="CW22" s="28"/>
      <c r="CX22" s="28"/>
      <c r="CY22" s="28"/>
      <c r="CZ22" s="64"/>
      <c r="DA22" s="28"/>
      <c r="DB22" s="28"/>
      <c r="DC22" s="28"/>
      <c r="DD22" s="64"/>
      <c r="DE22" s="28"/>
      <c r="DF22" s="28"/>
      <c r="DG22" s="28"/>
      <c r="DH22" s="64"/>
      <c r="DI22" s="28"/>
      <c r="DJ22" s="28"/>
      <c r="DK22" s="29"/>
    </row>
    <row r="23" spans="1:115" x14ac:dyDescent="0.25">
      <c r="BN23" s="133"/>
      <c r="BO23" s="45"/>
      <c r="BP23" s="139"/>
      <c r="BQ23" s="45"/>
      <c r="BR23" s="114"/>
      <c r="BS23" s="45"/>
      <c r="BT23" s="64"/>
      <c r="BU23" s="120" t="b">
        <f t="shared" si="22"/>
        <v>0</v>
      </c>
      <c r="BV23" s="114" t="s">
        <v>122</v>
      </c>
      <c r="BW23" s="45">
        <v>100</v>
      </c>
      <c r="BX23" s="53">
        <v>125</v>
      </c>
      <c r="BY23" s="139"/>
      <c r="BZ23" s="45"/>
      <c r="CA23" s="114"/>
      <c r="CB23" s="45"/>
      <c r="CC23" s="64"/>
      <c r="CD23" s="28"/>
      <c r="CE23" s="28"/>
      <c r="CF23" s="28"/>
      <c r="CG23" s="64"/>
      <c r="CH23" s="28"/>
      <c r="CI23" s="28"/>
      <c r="CJ23" s="28"/>
      <c r="CK23" s="28"/>
      <c r="CL23" s="28"/>
      <c r="CM23" s="28"/>
      <c r="CN23" s="28"/>
      <c r="CO23" s="28"/>
      <c r="CP23" s="28"/>
      <c r="CQ23" s="64"/>
      <c r="CR23" s="28"/>
      <c r="CS23" s="28"/>
      <c r="CT23" s="28"/>
      <c r="CU23" s="64"/>
      <c r="CV23" s="64"/>
      <c r="CW23" s="28"/>
      <c r="CX23" s="28"/>
      <c r="CY23" s="28"/>
      <c r="CZ23" s="64"/>
      <c r="DA23" s="28"/>
      <c r="DB23" s="28"/>
      <c r="DC23" s="28"/>
      <c r="DD23" s="64"/>
      <c r="DE23" s="28"/>
      <c r="DF23" s="28"/>
      <c r="DG23" s="28"/>
      <c r="DH23" s="64"/>
      <c r="DI23" s="28"/>
      <c r="DJ23" s="28"/>
      <c r="DK23" s="29"/>
    </row>
    <row r="24" spans="1:115" x14ac:dyDescent="0.25">
      <c r="BN24" s="133"/>
      <c r="BO24" s="45"/>
      <c r="BP24" s="139"/>
      <c r="BQ24" s="45"/>
      <c r="BR24" s="114"/>
      <c r="BS24" s="45"/>
      <c r="BT24" s="64"/>
      <c r="BU24" s="120" t="b">
        <f t="shared" si="22"/>
        <v>0</v>
      </c>
      <c r="BV24" s="114" t="s">
        <v>123</v>
      </c>
      <c r="BW24" s="45">
        <v>100</v>
      </c>
      <c r="BX24" s="53">
        <v>160</v>
      </c>
      <c r="BY24" s="139"/>
      <c r="BZ24" s="45"/>
      <c r="CA24" s="114"/>
      <c r="CB24" s="45"/>
      <c r="CC24" s="64"/>
      <c r="CD24" s="28"/>
      <c r="CE24" s="28"/>
      <c r="CF24" s="28"/>
      <c r="CG24" s="64"/>
      <c r="CH24" s="28"/>
      <c r="CI24" s="28"/>
      <c r="CJ24" s="28"/>
      <c r="CK24" s="28"/>
      <c r="CL24" s="28"/>
      <c r="CM24" s="28"/>
      <c r="CN24" s="28"/>
      <c r="CO24" s="28"/>
      <c r="CP24" s="28"/>
      <c r="CQ24" s="64"/>
      <c r="CR24" s="28"/>
      <c r="CS24" s="28"/>
      <c r="CT24" s="28"/>
      <c r="CU24" s="64"/>
      <c r="CV24" s="64"/>
      <c r="CW24" s="28"/>
      <c r="CX24" s="28"/>
      <c r="CY24" s="28"/>
      <c r="CZ24" s="64"/>
      <c r="DA24" s="28"/>
      <c r="DB24" s="28"/>
      <c r="DC24" s="28"/>
      <c r="DD24" s="64"/>
      <c r="DE24" s="28"/>
      <c r="DF24" s="28"/>
      <c r="DG24" s="28"/>
      <c r="DH24" s="64"/>
      <c r="DI24" s="28"/>
      <c r="DJ24" s="28"/>
      <c r="DK24" s="29"/>
    </row>
    <row r="25" spans="1:115" x14ac:dyDescent="0.25">
      <c r="BN25" s="133"/>
      <c r="BO25" s="45"/>
      <c r="BP25" s="139"/>
      <c r="BQ25" s="45"/>
      <c r="BR25" s="114"/>
      <c r="BS25" s="45"/>
      <c r="BT25" s="64"/>
      <c r="BU25" s="120" t="b">
        <f t="shared" si="22"/>
        <v>0</v>
      </c>
      <c r="BV25" s="114" t="s">
        <v>128</v>
      </c>
      <c r="BW25" s="45">
        <v>125</v>
      </c>
      <c r="BX25" s="53">
        <v>250</v>
      </c>
      <c r="BY25" s="139"/>
      <c r="BZ25" s="45"/>
      <c r="CA25" s="114"/>
      <c r="CB25" s="45"/>
      <c r="CC25" s="64"/>
      <c r="CD25" s="28"/>
      <c r="CE25" s="28"/>
      <c r="CF25" s="28"/>
      <c r="CG25" s="64"/>
      <c r="CH25" s="28"/>
      <c r="CI25" s="28"/>
      <c r="CJ25" s="28"/>
      <c r="CK25" s="28"/>
      <c r="CL25" s="28"/>
      <c r="CM25" s="28"/>
      <c r="CN25" s="28"/>
      <c r="CO25" s="28"/>
      <c r="CP25" s="28"/>
      <c r="CQ25" s="64"/>
      <c r="CR25" s="28"/>
      <c r="CS25" s="28"/>
      <c r="CT25" s="28"/>
      <c r="CU25" s="64"/>
      <c r="CV25" s="64"/>
      <c r="CW25" s="28"/>
      <c r="CX25" s="28"/>
      <c r="CY25" s="28"/>
      <c r="CZ25" s="64"/>
      <c r="DA25" s="28"/>
      <c r="DB25" s="28"/>
      <c r="DC25" s="28"/>
      <c r="DD25" s="64"/>
      <c r="DE25" s="28"/>
      <c r="DF25" s="28"/>
      <c r="DG25" s="28"/>
      <c r="DH25" s="64"/>
      <c r="DI25" s="28"/>
      <c r="DJ25" s="28"/>
      <c r="DK25" s="29"/>
    </row>
    <row r="26" spans="1:115" ht="15.75" thickBot="1" x14ac:dyDescent="0.3">
      <c r="BN26" s="136"/>
      <c r="BO26" s="52"/>
      <c r="BP26" s="140"/>
      <c r="BQ26" s="52"/>
      <c r="BR26" s="137"/>
      <c r="BS26" s="52"/>
      <c r="BT26" s="65"/>
      <c r="BU26" s="129" t="b">
        <f t="shared" si="22"/>
        <v>0</v>
      </c>
      <c r="BV26" s="137" t="s">
        <v>129</v>
      </c>
      <c r="BW26" s="52">
        <v>150</v>
      </c>
      <c r="BX26" s="159">
        <v>315</v>
      </c>
      <c r="BY26" s="140"/>
      <c r="BZ26" s="52"/>
      <c r="CA26" s="137"/>
      <c r="CB26" s="52"/>
      <c r="CC26" s="65"/>
      <c r="CD26" s="33"/>
      <c r="CE26" s="33"/>
      <c r="CF26" s="33"/>
      <c r="CG26" s="65"/>
      <c r="CH26" s="33"/>
      <c r="CI26" s="33"/>
      <c r="CJ26" s="33"/>
      <c r="CK26" s="33"/>
      <c r="CL26" s="33"/>
      <c r="CM26" s="33"/>
      <c r="CN26" s="33"/>
      <c r="CO26" s="33"/>
      <c r="CP26" s="33"/>
      <c r="CQ26" s="65"/>
      <c r="CR26" s="33"/>
      <c r="CS26" s="33"/>
      <c r="CT26" s="33"/>
      <c r="CU26" s="65"/>
      <c r="CV26" s="65"/>
      <c r="CW26" s="33"/>
      <c r="CX26" s="33"/>
      <c r="CY26" s="33"/>
      <c r="CZ26" s="65"/>
      <c r="DA26" s="33"/>
      <c r="DB26" s="33"/>
      <c r="DC26" s="33"/>
      <c r="DD26" s="65"/>
      <c r="DE26" s="33"/>
      <c r="DF26" s="33"/>
      <c r="DG26" s="33"/>
      <c r="DH26" s="65"/>
      <c r="DI26" s="33"/>
      <c r="DJ26" s="33"/>
      <c r="DK26" s="34"/>
    </row>
  </sheetData>
  <mergeCells count="28">
    <mergeCell ref="B18:C18"/>
    <mergeCell ref="BR2:BS2"/>
    <mergeCell ref="I2:Q2"/>
    <mergeCell ref="W2:AH2"/>
    <mergeCell ref="AJ2:AM2"/>
    <mergeCell ref="AS2:BL2"/>
    <mergeCell ref="BN2:BO2"/>
    <mergeCell ref="B14:C14"/>
    <mergeCell ref="E14:F14"/>
    <mergeCell ref="B15:C15"/>
    <mergeCell ref="B16:C16"/>
    <mergeCell ref="B17:C17"/>
    <mergeCell ref="DA2:DC2"/>
    <mergeCell ref="DE2:DG2"/>
    <mergeCell ref="DI2:DK2"/>
    <mergeCell ref="Z3:AB3"/>
    <mergeCell ref="AC3:AE3"/>
    <mergeCell ref="AF3:AH3"/>
    <mergeCell ref="AS3:AW3"/>
    <mergeCell ref="AX3:BB3"/>
    <mergeCell ref="BC3:BG3"/>
    <mergeCell ref="BH3:BL3"/>
    <mergeCell ref="BV2:BX2"/>
    <mergeCell ref="CA2:CB2"/>
    <mergeCell ref="CE2:CF2"/>
    <mergeCell ref="CI2:CP2"/>
    <mergeCell ref="CR2:CT2"/>
    <mergeCell ref="CW2:CY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L26"/>
  <sheetViews>
    <sheetView zoomScale="70" zoomScaleNormal="70" workbookViewId="0">
      <selection activeCell="R1" sqref="R1:U1048576"/>
    </sheetView>
  </sheetViews>
  <sheetFormatPr defaultRowHeight="15" x14ac:dyDescent="0.25"/>
  <cols>
    <col min="1" max="1" width="7.7109375" customWidth="1"/>
    <col min="2" max="2" width="8" customWidth="1"/>
    <col min="5" max="6" width="12.5703125" customWidth="1"/>
    <col min="9" max="9" width="9.140625" customWidth="1"/>
    <col min="10" max="10" width="6" customWidth="1"/>
    <col min="11" max="12" width="8" customWidth="1"/>
    <col min="13" max="13" width="4.7109375" customWidth="1"/>
    <col min="14" max="14" width="6" customWidth="1"/>
    <col min="15" max="17" width="9.140625" customWidth="1"/>
    <col min="18" max="18" width="6" customWidth="1"/>
    <col min="19" max="35" width="9.140625" customWidth="1"/>
    <col min="36" max="37" width="9.85546875" customWidth="1"/>
    <col min="38" max="38" width="15.7109375" customWidth="1"/>
    <col min="39" max="39" width="9.140625" customWidth="1"/>
    <col min="40" max="40" width="25.140625" customWidth="1"/>
    <col min="41" max="41" width="11" customWidth="1"/>
    <col min="42" max="42" width="18.28515625" customWidth="1"/>
    <col min="43" max="48" width="9.140625" customWidth="1"/>
    <col min="49" max="49" width="9.140625" style="153" customWidth="1"/>
    <col min="50" max="64" width="9.140625" customWidth="1"/>
    <col min="66" max="66" width="4.85546875" customWidth="1"/>
    <col min="67" max="67" width="12.85546875" bestFit="1" customWidth="1"/>
    <col min="68" max="68" width="3.28515625" customWidth="1"/>
    <col min="69" max="69" width="11.28515625" customWidth="1"/>
    <col min="70" max="71" width="6.28515625" customWidth="1"/>
    <col min="72" max="72" width="3.5703125" customWidth="1"/>
    <col min="73" max="73" width="8.28515625" customWidth="1"/>
    <col min="74" max="76" width="6.140625" customWidth="1"/>
    <col min="77" max="77" width="3.28515625" customWidth="1"/>
    <col min="78" max="78" width="9.5703125" customWidth="1"/>
    <col min="79" max="79" width="6.140625" customWidth="1"/>
    <col min="80" max="80" width="15.28515625" bestFit="1" customWidth="1"/>
    <col min="81" max="81" width="3.28515625" customWidth="1"/>
    <col min="82" max="82" width="8.7109375" customWidth="1"/>
    <col min="83" max="84" width="6.28515625" customWidth="1"/>
    <col min="85" max="85" width="3.28515625" customWidth="1"/>
    <col min="86" max="86" width="9.5703125" customWidth="1"/>
    <col min="87" max="87" width="6.140625" customWidth="1"/>
    <col min="88" max="88" width="16.85546875" customWidth="1"/>
    <col min="89" max="89" width="8.5703125" customWidth="1"/>
    <col min="90" max="90" width="7" customWidth="1"/>
    <col min="91" max="91" width="25.140625" customWidth="1"/>
    <col min="92" max="92" width="8.5703125" bestFit="1" customWidth="1"/>
    <col min="93" max="93" width="6.7109375" customWidth="1"/>
    <col min="94" max="94" width="18.28515625" customWidth="1"/>
    <col min="95" max="95" width="3.5703125" customWidth="1"/>
    <col min="96" max="96" width="8.5703125" bestFit="1" customWidth="1"/>
    <col min="97" max="97" width="5.85546875" customWidth="1"/>
    <col min="98" max="98" width="16.140625" customWidth="1"/>
    <col min="99" max="99" width="3.7109375" customWidth="1"/>
    <col min="100" max="100" width="3.28515625" customWidth="1"/>
    <col min="101" max="101" width="8.5703125" bestFit="1" customWidth="1"/>
    <col min="102" max="102" width="6.28515625" customWidth="1"/>
    <col min="103" max="103" width="11.42578125" bestFit="1" customWidth="1"/>
    <col min="104" max="104" width="3.5703125" customWidth="1"/>
    <col min="105" max="105" width="8.7109375" customWidth="1"/>
    <col min="106" max="106" width="6.28515625" customWidth="1"/>
    <col min="107" max="107" width="11.42578125" bestFit="1" customWidth="1"/>
    <col min="108" max="108" width="3.5703125" customWidth="1"/>
    <col min="109" max="109" width="8.7109375" customWidth="1"/>
    <col min="110" max="110" width="6.28515625" customWidth="1"/>
    <col min="111" max="111" width="11.42578125" bestFit="1" customWidth="1"/>
    <col min="112" max="112" width="3.5703125" customWidth="1"/>
    <col min="113" max="113" width="8.5703125" bestFit="1" customWidth="1"/>
    <col min="114" max="114" width="6.28515625" customWidth="1"/>
    <col min="115" max="115" width="13.7109375" customWidth="1"/>
    <col min="116" max="116" width="3.5703125" customWidth="1"/>
  </cols>
  <sheetData>
    <row r="1" spans="1:116" ht="15.75" thickBot="1" x14ac:dyDescent="0.3"/>
    <row r="2" spans="1:116" ht="15.75" thickBot="1" x14ac:dyDescent="0.3">
      <c r="B2" t="s">
        <v>261</v>
      </c>
      <c r="I2" s="229" t="s">
        <v>47</v>
      </c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W2" s="223" t="s">
        <v>52</v>
      </c>
      <c r="X2" s="224"/>
      <c r="Y2" s="224"/>
      <c r="Z2" s="224"/>
      <c r="AA2" s="224"/>
      <c r="AB2" s="224"/>
      <c r="AC2" s="224"/>
      <c r="AD2" s="224"/>
      <c r="AE2" s="224"/>
      <c r="AF2" s="224"/>
      <c r="AG2" s="224"/>
      <c r="AH2" s="225"/>
      <c r="AJ2" s="223" t="s">
        <v>59</v>
      </c>
      <c r="AK2" s="224"/>
      <c r="AL2" s="224"/>
      <c r="AM2" s="225"/>
      <c r="AN2" s="127" t="s">
        <v>149</v>
      </c>
      <c r="AO2" s="127" t="s">
        <v>285</v>
      </c>
      <c r="AP2" s="128" t="s">
        <v>151</v>
      </c>
      <c r="AS2" s="226" t="s">
        <v>286</v>
      </c>
      <c r="AT2" s="227"/>
      <c r="AU2" s="227"/>
      <c r="AV2" s="227"/>
      <c r="AW2" s="227"/>
      <c r="AX2" s="227"/>
      <c r="AY2" s="227"/>
      <c r="AZ2" s="227"/>
      <c r="BA2" s="227"/>
      <c r="BB2" s="227"/>
      <c r="BC2" s="227"/>
      <c r="BD2" s="227"/>
      <c r="BE2" s="227"/>
      <c r="BF2" s="227"/>
      <c r="BG2" s="227"/>
      <c r="BH2" s="227"/>
      <c r="BI2" s="227"/>
      <c r="BJ2" s="227"/>
      <c r="BK2" s="227"/>
      <c r="BL2" s="228"/>
      <c r="BN2" s="210" t="s">
        <v>93</v>
      </c>
      <c r="BO2" s="220"/>
      <c r="BP2" s="143"/>
      <c r="BQ2" s="147"/>
      <c r="BR2" s="220" t="s">
        <v>94</v>
      </c>
      <c r="BS2" s="220"/>
      <c r="BT2" s="141"/>
      <c r="BU2" s="158"/>
      <c r="BV2" s="220" t="s">
        <v>95</v>
      </c>
      <c r="BW2" s="220"/>
      <c r="BX2" s="221"/>
      <c r="BY2" s="143"/>
      <c r="BZ2" s="147"/>
      <c r="CA2" s="220" t="s">
        <v>97</v>
      </c>
      <c r="CB2" s="220"/>
      <c r="CC2" s="143"/>
      <c r="CD2" s="147"/>
      <c r="CE2" s="220" t="s">
        <v>98</v>
      </c>
      <c r="CF2" s="220"/>
      <c r="CG2" s="143"/>
      <c r="CH2" s="147"/>
      <c r="CI2" s="224" t="s">
        <v>99</v>
      </c>
      <c r="CJ2" s="224"/>
      <c r="CK2" s="224"/>
      <c r="CL2" s="224"/>
      <c r="CM2" s="224"/>
      <c r="CN2" s="224"/>
      <c r="CO2" s="224"/>
      <c r="CP2" s="224"/>
      <c r="CQ2" s="141"/>
      <c r="CR2" s="210" t="s">
        <v>100</v>
      </c>
      <c r="CS2" s="220"/>
      <c r="CT2" s="221"/>
      <c r="CU2" s="142"/>
      <c r="CV2" s="143"/>
      <c r="CW2" s="210" t="s">
        <v>219</v>
      </c>
      <c r="CX2" s="220"/>
      <c r="CY2" s="221"/>
      <c r="CZ2" s="141"/>
      <c r="DA2" s="210" t="s">
        <v>229</v>
      </c>
      <c r="DB2" s="220"/>
      <c r="DC2" s="221"/>
      <c r="DD2" s="141"/>
      <c r="DE2" s="210" t="s">
        <v>230</v>
      </c>
      <c r="DF2" s="220"/>
      <c r="DG2" s="221"/>
      <c r="DH2" s="141"/>
      <c r="DI2" s="210" t="s">
        <v>231</v>
      </c>
      <c r="DJ2" s="220"/>
      <c r="DK2" s="221"/>
      <c r="DL2" s="60"/>
    </row>
    <row r="3" spans="1:116" ht="15.75" thickBot="1" x14ac:dyDescent="0.3">
      <c r="I3" s="35"/>
      <c r="J3" s="36" t="s">
        <v>42</v>
      </c>
      <c r="K3" s="37" t="s">
        <v>41</v>
      </c>
      <c r="L3" s="36" t="s">
        <v>46</v>
      </c>
      <c r="M3" s="36"/>
      <c r="N3" s="36"/>
      <c r="O3" s="36" t="s">
        <v>43</v>
      </c>
      <c r="P3" s="37" t="s">
        <v>41</v>
      </c>
      <c r="Q3" s="38" t="s">
        <v>46</v>
      </c>
      <c r="R3" s="36"/>
      <c r="S3" s="36" t="s">
        <v>346</v>
      </c>
      <c r="T3" s="37" t="s">
        <v>41</v>
      </c>
      <c r="U3" s="38" t="s">
        <v>46</v>
      </c>
      <c r="W3" s="35" t="s">
        <v>55</v>
      </c>
      <c r="X3" s="36" t="s">
        <v>56</v>
      </c>
      <c r="Y3" s="38" t="s">
        <v>57</v>
      </c>
      <c r="Z3" s="223" t="s">
        <v>55</v>
      </c>
      <c r="AA3" s="224"/>
      <c r="AB3" s="225"/>
      <c r="AC3" s="223" t="s">
        <v>56</v>
      </c>
      <c r="AD3" s="224"/>
      <c r="AE3" s="225"/>
      <c r="AF3" s="223" t="s">
        <v>57</v>
      </c>
      <c r="AG3" s="224"/>
      <c r="AH3" s="225"/>
      <c r="AJ3" s="151" t="s">
        <v>49</v>
      </c>
      <c r="AK3" s="148"/>
      <c r="AL3" s="152"/>
      <c r="AM3" s="152"/>
      <c r="AN3" s="67"/>
      <c r="AO3" s="67"/>
      <c r="AP3" s="67"/>
      <c r="AS3" s="223" t="s">
        <v>287</v>
      </c>
      <c r="AT3" s="224"/>
      <c r="AU3" s="224"/>
      <c r="AV3" s="224"/>
      <c r="AW3" s="225"/>
      <c r="AX3" s="224" t="s">
        <v>288</v>
      </c>
      <c r="AY3" s="224"/>
      <c r="AZ3" s="224"/>
      <c r="BA3" s="224"/>
      <c r="BB3" s="225"/>
      <c r="BC3" s="223" t="s">
        <v>289</v>
      </c>
      <c r="BD3" s="224"/>
      <c r="BE3" s="224"/>
      <c r="BF3" s="224"/>
      <c r="BG3" s="225"/>
      <c r="BH3" s="223" t="s">
        <v>290</v>
      </c>
      <c r="BI3" s="224"/>
      <c r="BJ3" s="224"/>
      <c r="BK3" s="224"/>
      <c r="BL3" s="225"/>
      <c r="BN3" s="133" t="s">
        <v>102</v>
      </c>
      <c r="BO3" s="45" t="s">
        <v>124</v>
      </c>
      <c r="BP3" s="139"/>
      <c r="BQ3" s="45" t="s">
        <v>320</v>
      </c>
      <c r="BR3" s="134" t="s">
        <v>102</v>
      </c>
      <c r="BS3" s="154" t="s">
        <v>103</v>
      </c>
      <c r="BT3" s="64"/>
      <c r="BU3" s="27" t="s">
        <v>52</v>
      </c>
      <c r="BV3" s="134" t="s">
        <v>102</v>
      </c>
      <c r="BW3" s="154" t="s">
        <v>103</v>
      </c>
      <c r="BX3" s="53" t="s">
        <v>127</v>
      </c>
      <c r="BY3" s="139"/>
      <c r="BZ3" s="45" t="s">
        <v>52</v>
      </c>
      <c r="CA3" s="114" t="s">
        <v>102</v>
      </c>
      <c r="CB3" s="45" t="s">
        <v>133</v>
      </c>
      <c r="CC3" s="139"/>
      <c r="CD3" s="45" t="s">
        <v>321</v>
      </c>
      <c r="CE3" s="134" t="s">
        <v>102</v>
      </c>
      <c r="CF3" s="154" t="s">
        <v>103</v>
      </c>
      <c r="CG3" s="139"/>
      <c r="CH3" s="45"/>
      <c r="CI3" s="134" t="s">
        <v>102</v>
      </c>
      <c r="CJ3" s="45" t="s">
        <v>148</v>
      </c>
      <c r="CK3" s="45"/>
      <c r="CL3" s="45"/>
      <c r="CM3" s="45" t="s">
        <v>148</v>
      </c>
      <c r="CN3" s="45"/>
      <c r="CO3" s="45"/>
      <c r="CP3" s="45" t="s">
        <v>148</v>
      </c>
      <c r="CQ3" s="64"/>
      <c r="CR3" s="28"/>
      <c r="CS3" s="114" t="s">
        <v>102</v>
      </c>
      <c r="CT3" s="45" t="s">
        <v>148</v>
      </c>
      <c r="CU3" s="64"/>
      <c r="CV3" s="139"/>
      <c r="CW3" s="45"/>
      <c r="CX3" s="134" t="s">
        <v>102</v>
      </c>
      <c r="CY3" s="154" t="s">
        <v>220</v>
      </c>
      <c r="CZ3" s="64"/>
      <c r="DA3" s="45"/>
      <c r="DB3" s="134" t="s">
        <v>102</v>
      </c>
      <c r="DC3" s="154" t="s">
        <v>301</v>
      </c>
      <c r="DD3" s="64"/>
      <c r="DE3" s="45"/>
      <c r="DF3" s="134" t="s">
        <v>102</v>
      </c>
      <c r="DG3" s="154" t="s">
        <v>293</v>
      </c>
      <c r="DH3" s="64"/>
      <c r="DI3" s="45"/>
      <c r="DJ3" s="134" t="s">
        <v>102</v>
      </c>
      <c r="DK3" s="144" t="s">
        <v>294</v>
      </c>
    </row>
    <row r="4" spans="1:116" x14ac:dyDescent="0.25">
      <c r="A4" s="22" t="s">
        <v>29</v>
      </c>
      <c r="B4" s="132">
        <f>'ОЛ(4)'!C16</f>
        <v>0</v>
      </c>
      <c r="C4" t="s">
        <v>36</v>
      </c>
      <c r="E4" t="s">
        <v>44</v>
      </c>
      <c r="F4" s="130">
        <f>B4*1000/(B5-B6)</f>
        <v>0</v>
      </c>
      <c r="I4" s="27">
        <f>IF($B$12&lt;12,(IF((L4&gt;4)*AND(L4&lt;16),2,0)),IF((L4&gt;4)*AND(L4&lt;20),2,0))</f>
        <v>0</v>
      </c>
      <c r="J4" s="28">
        <v>15</v>
      </c>
      <c r="K4" s="28">
        <f t="shared" ref="K4:K17" si="0">1/POWER(1.14+2*LOG10((J4/1000)/($K$21/1000)),2)</f>
        <v>5.9655827422120798E-2</v>
      </c>
      <c r="L4" s="28">
        <f>0.00638*K4*POWER($F$4,2)/(POWER(J4/1000,5)*$K$20)</f>
        <v>0</v>
      </c>
      <c r="M4" s="28"/>
      <c r="N4" s="28" t="e">
        <f>IF((Q4&gt;4)*AND(Q4&lt;20),1,0)</f>
        <v>#DIV/0!</v>
      </c>
      <c r="O4" s="28">
        <v>15</v>
      </c>
      <c r="P4" s="28">
        <f t="shared" ref="P4:P17" si="1">1/POWER(1.14+2*LOG10((O4/1000)/($K$21/1000)),2)</f>
        <v>5.9655827422120798E-2</v>
      </c>
      <c r="Q4" s="29" t="e">
        <f t="shared" ref="Q4:Q17" si="2">0.00638*P4*POWER($F$11,2)/(POWER(O4/1000,5)*$K$20)</f>
        <v>#DIV/0!</v>
      </c>
      <c r="R4" s="28">
        <f>IF((U4&gt;4)*AND(U4&lt;20),1,0)</f>
        <v>0</v>
      </c>
      <c r="S4" s="28">
        <v>15</v>
      </c>
      <c r="T4" s="28">
        <f t="shared" ref="T4:T17" si="3">1/POWER(1.14+2*LOG10((S4/1000)/($K$21/1000)),2)</f>
        <v>5.9655827422120798E-2</v>
      </c>
      <c r="U4" s="29">
        <f>0.00638*T4*POWER($F$16,2)/(POWER(S4/1000,5)*$K$20)</f>
        <v>0</v>
      </c>
      <c r="W4" s="41" t="s">
        <v>53</v>
      </c>
      <c r="X4" s="28">
        <f>IF(B12=0,0,IF(B12&gt;12,3,1.8))</f>
        <v>3</v>
      </c>
      <c r="Y4" s="28"/>
      <c r="Z4" s="40" t="b">
        <f t="shared" ref="Z4:Z21" si="4">IF(AB4&gt;$X$5,TRUE,FALSE)</f>
        <v>1</v>
      </c>
      <c r="AA4" s="47">
        <v>15</v>
      </c>
      <c r="AB4" s="39">
        <v>1.6</v>
      </c>
      <c r="AC4" s="40" t="b">
        <f t="shared" ref="AC4:AC22" si="5">IF(AE4&gt;$X$5,TRUE,FALSE)</f>
        <v>1</v>
      </c>
      <c r="AD4" s="47">
        <v>15</v>
      </c>
      <c r="AE4" s="39">
        <v>1.6</v>
      </c>
      <c r="AF4" s="28" t="b">
        <f t="shared" ref="AF4:AF16" si="6">IF(AH4&gt;$X$5,TRUE,FALSE)</f>
        <v>1</v>
      </c>
      <c r="AG4" s="42">
        <v>15</v>
      </c>
      <c r="AH4" s="29">
        <v>1.6</v>
      </c>
      <c r="AJ4" s="149">
        <v>4</v>
      </c>
      <c r="AK4" s="40" t="e">
        <f>IF($F$13&lt;AJ4,TRUE,FALSE)</f>
        <v>#DIV/0!</v>
      </c>
      <c r="AL4" s="39" t="s">
        <v>60</v>
      </c>
      <c r="AM4" s="164" t="e">
        <f t="shared" ref="AM4:AM13" si="7">IF($F$13&lt;AJ4,TRUE,FALSE)</f>
        <v>#DIV/0!</v>
      </c>
      <c r="AN4" s="165" t="s">
        <v>135</v>
      </c>
      <c r="AO4" s="40" t="e">
        <f>IF($F$13&lt;AJ4,TRUE,FALSE)</f>
        <v>#DIV/0!</v>
      </c>
      <c r="AP4" s="166" t="s">
        <v>141</v>
      </c>
      <c r="AS4" s="40">
        <v>0.1</v>
      </c>
      <c r="AT4" s="54" t="b">
        <f>IF($B$4&lt;AS4,TRUE,FALSE)</f>
        <v>1</v>
      </c>
      <c r="AU4" s="54" t="s">
        <v>221</v>
      </c>
      <c r="AV4" s="54" t="b">
        <f>IF($B$4&lt;AS4,TRUE,FALSE)</f>
        <v>1</v>
      </c>
      <c r="AW4" s="146">
        <v>1</v>
      </c>
      <c r="AX4" s="40">
        <v>0.1</v>
      </c>
      <c r="AY4" s="54" t="b">
        <f>IF($B$4&lt;AX4,TRUE,FALSE)</f>
        <v>1</v>
      </c>
      <c r="AZ4" s="54" t="s">
        <v>221</v>
      </c>
      <c r="BA4" s="54" t="b">
        <f>IF($B$4&lt;AX4,TRUE,FALSE)</f>
        <v>1</v>
      </c>
      <c r="BB4" s="146">
        <v>1</v>
      </c>
      <c r="BC4" s="27">
        <v>0.14000000000000001</v>
      </c>
      <c r="BD4" s="28" t="b">
        <f>IF($B$4&lt;BC4,TRUE,FALSE)</f>
        <v>1</v>
      </c>
      <c r="BE4" s="54" t="s">
        <v>221</v>
      </c>
      <c r="BF4" s="28" t="b">
        <f>IF($B$4&lt;BC4,TRUE,FALSE)</f>
        <v>1</v>
      </c>
      <c r="BG4" s="53">
        <v>1</v>
      </c>
      <c r="BH4" s="28">
        <v>0.05</v>
      </c>
      <c r="BI4" s="28" t="b">
        <f>IF($B$4&lt;BH4,TRUE,FALSE)</f>
        <v>1</v>
      </c>
      <c r="BJ4" s="28" t="s">
        <v>221</v>
      </c>
      <c r="BK4" s="28" t="b">
        <f>IF($B$4&lt;BH4,TRUE,FALSE)</f>
        <v>1</v>
      </c>
      <c r="BL4" s="29">
        <v>1</v>
      </c>
      <c r="BN4" s="133" t="s">
        <v>130</v>
      </c>
      <c r="BO4" s="45" t="s">
        <v>125</v>
      </c>
      <c r="BP4" s="139"/>
      <c r="BQ4" s="45" t="e">
        <f>IF($F$5=BS4,TRUE,FALSE)</f>
        <v>#N/A</v>
      </c>
      <c r="BR4" s="114" t="s">
        <v>101</v>
      </c>
      <c r="BS4" s="45">
        <v>15</v>
      </c>
      <c r="BT4" s="64"/>
      <c r="BU4" s="120" t="b">
        <f>IF($F$7=BX4,TRUE,FALSE)</f>
        <v>0</v>
      </c>
      <c r="BV4" s="114" t="s">
        <v>101</v>
      </c>
      <c r="BW4" s="45">
        <v>15</v>
      </c>
      <c r="BX4" s="53">
        <v>0.63</v>
      </c>
      <c r="BY4" s="139"/>
      <c r="BZ4" s="45" t="b">
        <f>IF($B$14=CB4,TRUE,FALSE)</f>
        <v>0</v>
      </c>
      <c r="CA4" s="114" t="s">
        <v>130</v>
      </c>
      <c r="CB4" s="45" t="s">
        <v>55</v>
      </c>
      <c r="CC4" s="139"/>
      <c r="CD4" s="45" t="e">
        <f>IF($F$12=CF4,TRUE,FALSE)</f>
        <v>#N/A</v>
      </c>
      <c r="CE4" s="114" t="s">
        <v>101</v>
      </c>
      <c r="CF4" s="45">
        <v>15</v>
      </c>
      <c r="CG4" s="139"/>
      <c r="CH4" s="45" t="e">
        <f>IF($E$14=CJ4,TRUE,FALSE)</f>
        <v>#N/A</v>
      </c>
      <c r="CI4" s="154">
        <v>1</v>
      </c>
      <c r="CJ4" s="154" t="s">
        <v>60</v>
      </c>
      <c r="CK4" s="154" t="e">
        <f>IF($E$14=CM4,TRUE,FALSE)</f>
        <v>#N/A</v>
      </c>
      <c r="CL4" s="154">
        <v>1</v>
      </c>
      <c r="CM4" s="155" t="s">
        <v>135</v>
      </c>
      <c r="CN4" s="155" t="e">
        <f>IF($E$14=CP4,TRUE,FALSE)</f>
        <v>#N/A</v>
      </c>
      <c r="CO4" s="154">
        <v>1</v>
      </c>
      <c r="CP4" s="155" t="s">
        <v>141</v>
      </c>
      <c r="CQ4" s="64"/>
      <c r="CR4" t="e">
        <f>IF(OR(E14="DPL 80/115-2,2/2",E14="DPL 100/175-3/4"),TRUE,FALSE)</f>
        <v>#N/A</v>
      </c>
      <c r="CS4" s="153">
        <v>5</v>
      </c>
      <c r="CU4" s="64"/>
      <c r="CV4" s="139"/>
      <c r="CW4" s="45" t="b">
        <f>IF($E$9=CY4,TRUE,FALSE)</f>
        <v>0</v>
      </c>
      <c r="CX4" s="114" t="s">
        <v>225</v>
      </c>
      <c r="CY4" s="28" t="s">
        <v>228</v>
      </c>
      <c r="CZ4" s="64"/>
      <c r="DA4" s="45" t="b">
        <f>IF($F$9=DC4,TRUE,FALSE)</f>
        <v>0</v>
      </c>
      <c r="DB4" s="114" t="s">
        <v>225</v>
      </c>
      <c r="DC4" s="28" t="s">
        <v>228</v>
      </c>
      <c r="DD4" s="64"/>
      <c r="DE4" s="45" t="b">
        <f>IF($B$16=DG4,TRUE,FALSE)</f>
        <v>0</v>
      </c>
      <c r="DF4" s="114" t="s">
        <v>130</v>
      </c>
      <c r="DG4" s="45" t="s">
        <v>248</v>
      </c>
      <c r="DH4" s="64"/>
      <c r="DI4" s="45" t="b">
        <f>IF($B$17=DK4,TRUE,FALSE)</f>
        <v>0</v>
      </c>
      <c r="DJ4" s="114" t="s">
        <v>130</v>
      </c>
      <c r="DK4" s="29" t="s">
        <v>298</v>
      </c>
    </row>
    <row r="5" spans="1:116" x14ac:dyDescent="0.25">
      <c r="A5" s="22" t="s">
        <v>30</v>
      </c>
      <c r="B5" s="24">
        <f>'ОЛ(4)'!N13</f>
        <v>130</v>
      </c>
      <c r="C5" s="23" t="s">
        <v>37</v>
      </c>
      <c r="E5" t="s">
        <v>42</v>
      </c>
      <c r="F5" s="131" t="e">
        <f>VLOOKUP(2,I4:L17,2,FALSE)</f>
        <v>#N/A</v>
      </c>
      <c r="I5" s="27">
        <f t="shared" ref="I5:I17" si="8">IF($B$12&lt;12,(IF((L5&gt;4)*AND(L5&lt;16),2,0)),IF((L5&gt;4)*AND(L5&lt;20),2,0))</f>
        <v>0</v>
      </c>
      <c r="J5" s="28">
        <v>20</v>
      </c>
      <c r="K5" s="28">
        <f t="shared" si="0"/>
        <v>5.2990299783484442E-2</v>
      </c>
      <c r="L5" s="28">
        <f t="shared" ref="L5:L17" si="9">0.00638*K5*POWER($F$4,2)/(POWER(J5/1000,5)*$K$20)</f>
        <v>0</v>
      </c>
      <c r="M5" s="28"/>
      <c r="N5" s="28" t="e">
        <f t="shared" ref="N5:N17" si="10">IF((Q5&gt;4)*AND(Q5&lt;20),1,0)</f>
        <v>#DIV/0!</v>
      </c>
      <c r="O5" s="28">
        <v>20</v>
      </c>
      <c r="P5" s="28">
        <f t="shared" si="1"/>
        <v>5.2990299783484442E-2</v>
      </c>
      <c r="Q5" s="29" t="e">
        <f t="shared" si="2"/>
        <v>#DIV/0!</v>
      </c>
      <c r="R5" s="28">
        <f t="shared" ref="R5:R17" si="11">IF((U5&gt;4)*AND(U5&lt;20),1,0)</f>
        <v>0</v>
      </c>
      <c r="S5" s="28">
        <v>20</v>
      </c>
      <c r="T5" s="28">
        <f t="shared" si="3"/>
        <v>5.2990299783484442E-2</v>
      </c>
      <c r="U5" s="29">
        <f t="shared" ref="U5:U17" si="12">0.00638*T5*POWER($F$16,2)/(POWER(S5/1000,5)*$K$20)</f>
        <v>0</v>
      </c>
      <c r="W5" s="41" t="s">
        <v>54</v>
      </c>
      <c r="X5" s="43">
        <f>F4/SQRT(0.1*X4)</f>
        <v>0</v>
      </c>
      <c r="Y5" s="43"/>
      <c r="Z5" s="27" t="b">
        <f t="shared" si="4"/>
        <v>1</v>
      </c>
      <c r="AA5" s="42">
        <v>15</v>
      </c>
      <c r="AB5" s="29">
        <v>2.5</v>
      </c>
      <c r="AC5" s="27" t="b">
        <f t="shared" si="5"/>
        <v>1</v>
      </c>
      <c r="AD5" s="42">
        <v>15</v>
      </c>
      <c r="AE5" s="29">
        <v>2.5</v>
      </c>
      <c r="AF5" s="28" t="b">
        <f t="shared" si="6"/>
        <v>1</v>
      </c>
      <c r="AG5" s="42">
        <v>15</v>
      </c>
      <c r="AH5" s="29">
        <v>2.5</v>
      </c>
      <c r="AJ5" s="120">
        <v>6</v>
      </c>
      <c r="AK5" s="27" t="e">
        <f t="shared" ref="AK5:AK13" si="13">IF($F$13&lt;AJ5,TRUE,FALSE)</f>
        <v>#DIV/0!</v>
      </c>
      <c r="AL5" s="29" t="s">
        <v>61</v>
      </c>
      <c r="AM5" s="64" t="e">
        <f t="shared" si="7"/>
        <v>#DIV/0!</v>
      </c>
      <c r="AN5" s="64" t="s">
        <v>134</v>
      </c>
      <c r="AO5" s="27" t="e">
        <f t="shared" ref="AO5:AO13" si="14">IF($F$13&lt;AJ5,TRUE,FALSE)</f>
        <v>#DIV/0!</v>
      </c>
      <c r="AP5" s="66" t="s">
        <v>142</v>
      </c>
      <c r="AS5" s="27">
        <v>0.25</v>
      </c>
      <c r="AT5" s="28" t="b">
        <f t="shared" ref="AT5:AT11" si="15">IF($B$4&lt;AS5,TRUE,FALSE)</f>
        <v>1</v>
      </c>
      <c r="AU5" s="28" t="s">
        <v>222</v>
      </c>
      <c r="AV5" s="28" t="b">
        <f>IF($B$4&lt;AS5,TRUE,FALSE)</f>
        <v>1</v>
      </c>
      <c r="AW5" s="144">
        <v>1</v>
      </c>
      <c r="AX5" s="27">
        <v>0.25</v>
      </c>
      <c r="AY5" s="28" t="b">
        <f t="shared" ref="AY5:AY11" si="16">IF($B$4&lt;AX5,TRUE,FALSE)</f>
        <v>1</v>
      </c>
      <c r="AZ5" s="28" t="s">
        <v>222</v>
      </c>
      <c r="BA5" s="28" t="b">
        <f>IF($B$4&lt;AX5,TRUE,FALSE)</f>
        <v>1</v>
      </c>
      <c r="BB5" s="144">
        <v>1</v>
      </c>
      <c r="BC5" s="27">
        <v>0.45</v>
      </c>
      <c r="BD5" s="28" t="b">
        <f t="shared" ref="BD5:BD8" si="17">IF($B$4&lt;BC5,TRUE,FALSE)</f>
        <v>1</v>
      </c>
      <c r="BE5" s="28" t="s">
        <v>223</v>
      </c>
      <c r="BF5" s="28" t="b">
        <f t="shared" ref="BF5:BF10" si="18">IF($B$4&lt;BC5,TRUE,FALSE)</f>
        <v>1</v>
      </c>
      <c r="BG5" s="53">
        <v>1</v>
      </c>
      <c r="BH5" s="28">
        <v>0.09</v>
      </c>
      <c r="BI5" s="28" t="b">
        <f t="shared" ref="BI5:BI9" si="19">IF($B$4&lt;BH5,TRUE,FALSE)</f>
        <v>1</v>
      </c>
      <c r="BJ5" s="28" t="s">
        <v>292</v>
      </c>
      <c r="BK5" s="28" t="b">
        <f t="shared" ref="BK5:BK13" si="20">IF($B$4&lt;BH5,TRUE,FALSE)</f>
        <v>1</v>
      </c>
      <c r="BL5" s="29">
        <v>1</v>
      </c>
      <c r="BN5" s="133" t="s">
        <v>131</v>
      </c>
      <c r="BO5" s="45" t="s">
        <v>126</v>
      </c>
      <c r="BP5" s="139"/>
      <c r="BQ5" s="45" t="e">
        <f t="shared" ref="BQ5:BQ15" si="21">IF($F$5=BS5,TRUE,FALSE)</f>
        <v>#N/A</v>
      </c>
      <c r="BR5" s="114" t="s">
        <v>104</v>
      </c>
      <c r="BS5" s="45">
        <v>20</v>
      </c>
      <c r="BT5" s="64"/>
      <c r="BU5" s="120" t="b">
        <f t="shared" ref="BU5:BU26" si="22">IF($F$7=BX5,TRUE,FALSE)</f>
        <v>0</v>
      </c>
      <c r="BV5" s="114" t="s">
        <v>104</v>
      </c>
      <c r="BW5" s="45">
        <v>15</v>
      </c>
      <c r="BX5" s="53">
        <v>1.25</v>
      </c>
      <c r="BY5" s="139"/>
      <c r="BZ5" s="45" t="b">
        <f t="shared" ref="BZ5:BZ6" si="23">IF($B$14=CB5,TRUE,FALSE)</f>
        <v>0</v>
      </c>
      <c r="CA5" s="114" t="s">
        <v>131</v>
      </c>
      <c r="CB5" s="45" t="s">
        <v>57</v>
      </c>
      <c r="CC5" s="139"/>
      <c r="CD5" s="45" t="e">
        <f t="shared" ref="CD5:CD15" si="24">IF($F$12=CF5,TRUE,FALSE)</f>
        <v>#N/A</v>
      </c>
      <c r="CE5" s="114" t="s">
        <v>104</v>
      </c>
      <c r="CF5" s="45">
        <v>20</v>
      </c>
      <c r="CG5" s="139"/>
      <c r="CH5" s="45" t="e">
        <f t="shared" ref="CH5:CH14" si="25">IF($E$14=CJ5,TRUE,FALSE)</f>
        <v>#N/A</v>
      </c>
      <c r="CI5" s="154">
        <v>2</v>
      </c>
      <c r="CJ5" s="154" t="s">
        <v>61</v>
      </c>
      <c r="CK5" s="154" t="e">
        <f t="shared" ref="CK5:CK10" si="26">IF($E$14=CM5,TRUE,FALSE)</f>
        <v>#N/A</v>
      </c>
      <c r="CL5" s="154">
        <v>2</v>
      </c>
      <c r="CM5" s="154" t="s">
        <v>134</v>
      </c>
      <c r="CN5" s="155" t="e">
        <f t="shared" ref="CN5:CN10" si="27">IF($E$14=CP5,TRUE,FALSE)</f>
        <v>#N/A</v>
      </c>
      <c r="CO5" s="154">
        <v>2</v>
      </c>
      <c r="CP5" s="155" t="s">
        <v>142</v>
      </c>
      <c r="CQ5" s="64"/>
      <c r="CR5" s="28" t="b">
        <f>IF($B$15=CT5,TRUE,FALSE)</f>
        <v>0</v>
      </c>
      <c r="CS5" s="154">
        <v>1</v>
      </c>
      <c r="CT5" s="154" t="s">
        <v>149</v>
      </c>
      <c r="CU5" s="64"/>
      <c r="CV5" s="139"/>
      <c r="CW5" s="45" t="b">
        <f t="shared" ref="CW5:CW10" si="28">IF($E$9=CY5,TRUE,FALSE)</f>
        <v>1</v>
      </c>
      <c r="CX5" s="114" t="s">
        <v>130</v>
      </c>
      <c r="CY5" s="45" t="s">
        <v>221</v>
      </c>
      <c r="CZ5" s="64"/>
      <c r="DA5" s="45" t="b">
        <f t="shared" ref="DA5:DA9" si="29">IF($F$9=DC5,TRUE,FALSE)</f>
        <v>1</v>
      </c>
      <c r="DB5" s="114" t="s">
        <v>130</v>
      </c>
      <c r="DC5" s="45">
        <v>1</v>
      </c>
      <c r="DD5" s="64"/>
      <c r="DE5" s="45" t="b">
        <f t="shared" ref="DE5:DE6" si="30">IF($B$16=DG5,TRUE,FALSE)</f>
        <v>0</v>
      </c>
      <c r="DF5" s="114" t="s">
        <v>131</v>
      </c>
      <c r="DG5" s="45" t="s">
        <v>57</v>
      </c>
      <c r="DH5" s="64"/>
      <c r="DI5" s="45" t="b">
        <f>IF($B$17=DK5,TRUE,FALSE)</f>
        <v>0</v>
      </c>
      <c r="DJ5" s="114" t="s">
        <v>225</v>
      </c>
      <c r="DK5" s="53" t="s">
        <v>249</v>
      </c>
    </row>
    <row r="6" spans="1:116" x14ac:dyDescent="0.25">
      <c r="A6" s="22" t="s">
        <v>31</v>
      </c>
      <c r="B6" s="24">
        <f>IF(OR('ОЛ(4)'!C32="зависимая",'ОЛ(4)'!C32=0),'ОЛ(4)'!R13,IF(('ОЛ(4)'!R13-B8)&lt;5,B8+5,'ОЛ(4)'!R13))</f>
        <v>70</v>
      </c>
      <c r="C6" s="23" t="s">
        <v>37</v>
      </c>
      <c r="E6" t="s">
        <v>58</v>
      </c>
      <c r="F6" s="131">
        <f>VLOOKUP(TRUE,IF(B14="IMI Hydronic",Z4:AB21,IF(B14="Siemens",AC4:AE22,AF4:AH16)),2,FALSE)</f>
        <v>15</v>
      </c>
      <c r="I6" s="27">
        <f t="shared" si="8"/>
        <v>0</v>
      </c>
      <c r="J6" s="28">
        <v>25</v>
      </c>
      <c r="K6" s="28">
        <f t="shared" si="0"/>
        <v>4.8560427292756572E-2</v>
      </c>
      <c r="L6" s="28">
        <f t="shared" si="9"/>
        <v>0</v>
      </c>
      <c r="M6" s="28"/>
      <c r="N6" s="28" t="e">
        <f t="shared" si="10"/>
        <v>#DIV/0!</v>
      </c>
      <c r="O6" s="28">
        <v>25</v>
      </c>
      <c r="P6" s="28">
        <f t="shared" si="1"/>
        <v>4.8560427292756572E-2</v>
      </c>
      <c r="Q6" s="29" t="e">
        <f t="shared" si="2"/>
        <v>#DIV/0!</v>
      </c>
      <c r="R6" s="28">
        <f t="shared" si="11"/>
        <v>0</v>
      </c>
      <c r="S6" s="28">
        <v>25</v>
      </c>
      <c r="T6" s="28">
        <f t="shared" si="3"/>
        <v>4.8560427292756572E-2</v>
      </c>
      <c r="U6" s="29">
        <f t="shared" si="12"/>
        <v>0</v>
      </c>
      <c r="W6" s="27"/>
      <c r="X6" s="28"/>
      <c r="Y6" s="28"/>
      <c r="Z6" s="27" t="b">
        <f t="shared" si="4"/>
        <v>1</v>
      </c>
      <c r="AA6" s="42">
        <v>15</v>
      </c>
      <c r="AB6" s="29">
        <v>4</v>
      </c>
      <c r="AC6" s="27" t="b">
        <f t="shared" si="5"/>
        <v>1</v>
      </c>
      <c r="AD6" s="42">
        <v>15</v>
      </c>
      <c r="AE6" s="29">
        <v>4</v>
      </c>
      <c r="AF6" s="28" t="b">
        <f t="shared" si="6"/>
        <v>1</v>
      </c>
      <c r="AG6" s="42">
        <v>15</v>
      </c>
      <c r="AH6" s="29">
        <v>4</v>
      </c>
      <c r="AJ6" s="120">
        <v>10</v>
      </c>
      <c r="AK6" s="27" t="e">
        <f t="shared" si="13"/>
        <v>#DIV/0!</v>
      </c>
      <c r="AL6" s="29" t="s">
        <v>63</v>
      </c>
      <c r="AM6" s="64" t="e">
        <f t="shared" si="7"/>
        <v>#DIV/0!</v>
      </c>
      <c r="AN6" s="64" t="s">
        <v>137</v>
      </c>
      <c r="AO6" s="27" t="e">
        <f t="shared" si="14"/>
        <v>#DIV/0!</v>
      </c>
      <c r="AP6" s="66" t="s">
        <v>144</v>
      </c>
      <c r="AR6" s="28"/>
      <c r="AS6" s="27">
        <v>0.67</v>
      </c>
      <c r="AT6" s="28" t="b">
        <f t="shared" si="15"/>
        <v>1</v>
      </c>
      <c r="AU6" s="28" t="s">
        <v>223</v>
      </c>
      <c r="AV6" s="28" t="b">
        <f t="shared" ref="AV6:AV11" si="31">IF($B$4&lt;AS6,TRUE,FALSE)</f>
        <v>1</v>
      </c>
      <c r="AW6" s="144">
        <v>1</v>
      </c>
      <c r="AX6" s="27">
        <v>0.57499999999999996</v>
      </c>
      <c r="AY6" s="28" t="b">
        <f t="shared" si="16"/>
        <v>1</v>
      </c>
      <c r="AZ6" s="28" t="s">
        <v>223</v>
      </c>
      <c r="BA6" s="28" t="b">
        <f t="shared" ref="BA6:BA11" si="32">IF($B$4&lt;AX6,TRUE,FALSE)</f>
        <v>1</v>
      </c>
      <c r="BB6" s="144">
        <v>1</v>
      </c>
      <c r="BC6" s="27">
        <v>0.71</v>
      </c>
      <c r="BD6" s="28" t="b">
        <f t="shared" si="17"/>
        <v>1</v>
      </c>
      <c r="BE6" s="28" t="s">
        <v>223</v>
      </c>
      <c r="BF6" s="28" t="b">
        <f t="shared" si="18"/>
        <v>1</v>
      </c>
      <c r="BG6" s="53">
        <v>2</v>
      </c>
      <c r="BH6">
        <v>0.3</v>
      </c>
      <c r="BI6" s="28" t="b">
        <f t="shared" si="19"/>
        <v>1</v>
      </c>
      <c r="BJ6" s="28" t="s">
        <v>223</v>
      </c>
      <c r="BK6" s="28" t="b">
        <f t="shared" si="20"/>
        <v>1</v>
      </c>
      <c r="BL6" s="29">
        <v>1</v>
      </c>
      <c r="BN6" s="133"/>
      <c r="BO6" s="45"/>
      <c r="BP6" s="139"/>
      <c r="BQ6" s="45" t="e">
        <f t="shared" si="21"/>
        <v>#N/A</v>
      </c>
      <c r="BR6" s="114" t="s">
        <v>105</v>
      </c>
      <c r="BS6" s="45">
        <v>25</v>
      </c>
      <c r="BT6" s="64"/>
      <c r="BU6" s="120" t="b">
        <f t="shared" si="22"/>
        <v>1</v>
      </c>
      <c r="BV6" s="114" t="s">
        <v>105</v>
      </c>
      <c r="BW6" s="45">
        <v>15</v>
      </c>
      <c r="BX6" s="53">
        <v>1.6</v>
      </c>
      <c r="BY6" s="139"/>
      <c r="BZ6" s="45" t="b">
        <f t="shared" si="23"/>
        <v>0</v>
      </c>
      <c r="CA6" s="114" t="s">
        <v>132</v>
      </c>
      <c r="CB6" s="45" t="s">
        <v>56</v>
      </c>
      <c r="CC6" s="139"/>
      <c r="CD6" s="45" t="e">
        <f t="shared" si="24"/>
        <v>#N/A</v>
      </c>
      <c r="CE6" s="114" t="s">
        <v>105</v>
      </c>
      <c r="CF6" s="45">
        <v>25</v>
      </c>
      <c r="CG6" s="139"/>
      <c r="CH6" s="45" t="e">
        <f t="shared" si="25"/>
        <v>#N/A</v>
      </c>
      <c r="CI6" s="154">
        <v>3</v>
      </c>
      <c r="CJ6" s="154" t="s">
        <v>63</v>
      </c>
      <c r="CK6" s="154" t="e">
        <f t="shared" si="26"/>
        <v>#N/A</v>
      </c>
      <c r="CL6" s="154">
        <v>3</v>
      </c>
      <c r="CM6" s="154" t="s">
        <v>137</v>
      </c>
      <c r="CN6" s="155" t="e">
        <f t="shared" si="27"/>
        <v>#N/A</v>
      </c>
      <c r="CO6" s="154">
        <v>3</v>
      </c>
      <c r="CP6" s="155" t="s">
        <v>144</v>
      </c>
      <c r="CQ6" s="64"/>
      <c r="CR6" s="28" t="b">
        <f>IF($B$15=CT6,TRUE,FALSE)</f>
        <v>0</v>
      </c>
      <c r="CS6" s="154">
        <v>2</v>
      </c>
      <c r="CT6" s="154" t="s">
        <v>285</v>
      </c>
      <c r="CU6" s="64"/>
      <c r="CV6" s="139"/>
      <c r="CW6" s="45" t="b">
        <f t="shared" si="28"/>
        <v>0</v>
      </c>
      <c r="CX6" s="114" t="s">
        <v>131</v>
      </c>
      <c r="CY6" s="45" t="s">
        <v>222</v>
      </c>
      <c r="CZ6" s="64"/>
      <c r="DA6" s="45" t="b">
        <f t="shared" si="29"/>
        <v>0</v>
      </c>
      <c r="DB6" s="114" t="s">
        <v>131</v>
      </c>
      <c r="DC6" s="45">
        <v>2</v>
      </c>
      <c r="DD6" s="64"/>
      <c r="DE6" s="45" t="b">
        <f t="shared" si="30"/>
        <v>0</v>
      </c>
      <c r="DF6" s="114" t="s">
        <v>132</v>
      </c>
      <c r="DG6" s="68" t="s">
        <v>56</v>
      </c>
      <c r="DH6" s="64"/>
      <c r="DI6" s="45"/>
      <c r="DJ6" s="114"/>
      <c r="DK6" s="53"/>
    </row>
    <row r="7" spans="1:116" x14ac:dyDescent="0.25">
      <c r="A7" s="22" t="s">
        <v>32</v>
      </c>
      <c r="B7" s="24">
        <f>'ОЛ(4)'!N16</f>
        <v>0</v>
      </c>
      <c r="C7" s="23" t="s">
        <v>37</v>
      </c>
      <c r="E7" t="s">
        <v>48</v>
      </c>
      <c r="F7" s="131">
        <f>VLOOKUP(TRUE,IF(B14="IMI Hydronic",Z4:AB21,IF(B14="Siemens",AC4:AE22,AF4:AH16)),3,FALSE)</f>
        <v>1.6</v>
      </c>
      <c r="I7" s="27">
        <f>IF($B$12&lt;12,(IF((L7&gt;4)*AND(L7&lt;16),2,0)),IF((L7&gt;4)*AND(L7&lt;20),2,0))</f>
        <v>0</v>
      </c>
      <c r="J7" s="28">
        <v>32</v>
      </c>
      <c r="K7" s="28">
        <f t="shared" si="0"/>
        <v>4.4277322004702871E-2</v>
      </c>
      <c r="L7" s="28">
        <f t="shared" si="9"/>
        <v>0</v>
      </c>
      <c r="M7" s="28"/>
      <c r="N7" s="28" t="e">
        <f t="shared" si="10"/>
        <v>#DIV/0!</v>
      </c>
      <c r="O7" s="28">
        <v>32</v>
      </c>
      <c r="P7" s="28">
        <f t="shared" si="1"/>
        <v>4.4277322004702871E-2</v>
      </c>
      <c r="Q7" s="29" t="e">
        <f t="shared" si="2"/>
        <v>#DIV/0!</v>
      </c>
      <c r="R7" s="28">
        <f t="shared" si="11"/>
        <v>0</v>
      </c>
      <c r="S7" s="28">
        <v>32</v>
      </c>
      <c r="T7" s="28">
        <f t="shared" si="3"/>
        <v>4.4277322004702871E-2</v>
      </c>
      <c r="U7" s="29">
        <f t="shared" si="12"/>
        <v>0</v>
      </c>
      <c r="W7" s="27"/>
      <c r="X7" s="28"/>
      <c r="Y7" s="28"/>
      <c r="Z7" s="27" t="b">
        <f t="shared" si="4"/>
        <v>1</v>
      </c>
      <c r="AA7" s="42">
        <v>20</v>
      </c>
      <c r="AB7" s="29">
        <v>6.3</v>
      </c>
      <c r="AC7" s="27" t="b">
        <f t="shared" si="5"/>
        <v>1</v>
      </c>
      <c r="AD7" s="42">
        <v>20</v>
      </c>
      <c r="AE7" s="29">
        <v>6.3</v>
      </c>
      <c r="AF7" s="28" t="b">
        <f t="shared" si="6"/>
        <v>1</v>
      </c>
      <c r="AG7" s="42">
        <v>20</v>
      </c>
      <c r="AH7" s="29">
        <v>6.3</v>
      </c>
      <c r="AJ7" s="120">
        <v>14</v>
      </c>
      <c r="AK7" s="27" t="e">
        <f t="shared" si="13"/>
        <v>#DIV/0!</v>
      </c>
      <c r="AL7" s="29" t="s">
        <v>62</v>
      </c>
      <c r="AM7" s="64" t="e">
        <f t="shared" si="7"/>
        <v>#DIV/0!</v>
      </c>
      <c r="AN7" s="64" t="s">
        <v>136</v>
      </c>
      <c r="AO7" s="27" t="e">
        <f t="shared" si="14"/>
        <v>#DIV/0!</v>
      </c>
      <c r="AP7" s="64" t="s">
        <v>143</v>
      </c>
      <c r="AR7" s="28"/>
      <c r="AS7" s="27">
        <v>1</v>
      </c>
      <c r="AT7" s="28" t="b">
        <f t="shared" si="15"/>
        <v>1</v>
      </c>
      <c r="AU7" s="28" t="s">
        <v>223</v>
      </c>
      <c r="AV7" s="28" t="b">
        <f t="shared" si="31"/>
        <v>1</v>
      </c>
      <c r="AW7" s="144">
        <v>2</v>
      </c>
      <c r="AX7" s="48">
        <v>0.9</v>
      </c>
      <c r="AY7" s="28" t="b">
        <f t="shared" si="16"/>
        <v>1</v>
      </c>
      <c r="AZ7" s="28" t="s">
        <v>223</v>
      </c>
      <c r="BA7" s="28" t="b">
        <f t="shared" si="32"/>
        <v>1</v>
      </c>
      <c r="BB7" s="144">
        <v>2</v>
      </c>
      <c r="BC7" s="27">
        <v>0.95</v>
      </c>
      <c r="BD7" s="28" t="b">
        <f t="shared" si="17"/>
        <v>1</v>
      </c>
      <c r="BE7" s="28" t="s">
        <v>223</v>
      </c>
      <c r="BF7" s="28" t="b">
        <f t="shared" si="18"/>
        <v>1</v>
      </c>
      <c r="BG7" s="161">
        <v>3</v>
      </c>
      <c r="BH7">
        <v>0.48</v>
      </c>
      <c r="BI7" s="28" t="b">
        <f t="shared" si="19"/>
        <v>1</v>
      </c>
      <c r="BJ7" s="28" t="s">
        <v>223</v>
      </c>
      <c r="BK7" s="28" t="b">
        <f t="shared" si="20"/>
        <v>1</v>
      </c>
      <c r="BL7" s="29">
        <v>2</v>
      </c>
      <c r="BN7" s="133"/>
      <c r="BO7" s="45"/>
      <c r="BP7" s="139"/>
      <c r="BQ7" s="45" t="e">
        <f t="shared" si="21"/>
        <v>#N/A</v>
      </c>
      <c r="BR7" s="114" t="s">
        <v>106</v>
      </c>
      <c r="BS7" s="45">
        <v>32</v>
      </c>
      <c r="BT7" s="64"/>
      <c r="BU7" s="120" t="b">
        <f t="shared" si="22"/>
        <v>0</v>
      </c>
      <c r="BV7" s="114" t="s">
        <v>106</v>
      </c>
      <c r="BW7" s="45">
        <v>15</v>
      </c>
      <c r="BX7" s="53">
        <v>2.5</v>
      </c>
      <c r="BY7" s="139"/>
      <c r="BZ7" s="45"/>
      <c r="CA7" s="114"/>
      <c r="CB7" s="45"/>
      <c r="CC7" s="139"/>
      <c r="CD7" s="45" t="e">
        <f t="shared" si="24"/>
        <v>#N/A</v>
      </c>
      <c r="CE7" s="114" t="s">
        <v>106</v>
      </c>
      <c r="CF7" s="45">
        <v>32</v>
      </c>
      <c r="CG7" s="139"/>
      <c r="CH7" s="45" t="e">
        <f t="shared" si="25"/>
        <v>#N/A</v>
      </c>
      <c r="CI7" s="68">
        <v>4</v>
      </c>
      <c r="CJ7" s="154" t="s">
        <v>62</v>
      </c>
      <c r="CK7" s="154" t="e">
        <f t="shared" si="26"/>
        <v>#N/A</v>
      </c>
      <c r="CL7" s="68">
        <v>4</v>
      </c>
      <c r="CM7" s="154" t="s">
        <v>136</v>
      </c>
      <c r="CN7" s="155" t="e">
        <f t="shared" si="27"/>
        <v>#N/A</v>
      </c>
      <c r="CO7" s="68">
        <v>4</v>
      </c>
      <c r="CP7" s="154" t="s">
        <v>143</v>
      </c>
      <c r="CQ7" s="64"/>
      <c r="CR7" s="28" t="b">
        <f>IF($B$15=CT7,TRUE,FALSE)</f>
        <v>0</v>
      </c>
      <c r="CS7" s="154">
        <v>3</v>
      </c>
      <c r="CT7" s="68" t="s">
        <v>151</v>
      </c>
      <c r="CU7" s="64"/>
      <c r="CV7" s="139"/>
      <c r="CW7" s="45" t="b">
        <f t="shared" si="28"/>
        <v>0</v>
      </c>
      <c r="CX7" s="114" t="s">
        <v>132</v>
      </c>
      <c r="CY7" s="68" t="s">
        <v>292</v>
      </c>
      <c r="CZ7" s="64"/>
      <c r="DA7" s="45" t="b">
        <f t="shared" si="29"/>
        <v>0</v>
      </c>
      <c r="DB7" s="114" t="s">
        <v>132</v>
      </c>
      <c r="DC7" s="45">
        <v>3</v>
      </c>
      <c r="DD7" s="64"/>
      <c r="DE7" s="45"/>
      <c r="DF7" s="28"/>
      <c r="DG7" s="28"/>
      <c r="DH7" s="64"/>
      <c r="DI7" s="45"/>
      <c r="DJ7" s="114"/>
      <c r="DK7" s="135"/>
    </row>
    <row r="8" spans="1:116" x14ac:dyDescent="0.25">
      <c r="A8" s="22" t="s">
        <v>33</v>
      </c>
      <c r="B8" s="24">
        <f>'ОЛ(4)'!R16</f>
        <v>0</v>
      </c>
      <c r="C8" s="23" t="s">
        <v>37</v>
      </c>
      <c r="E8" s="44" t="s">
        <v>53</v>
      </c>
      <c r="F8" s="130">
        <f>(F4^2/F7^2)*10</f>
        <v>0</v>
      </c>
      <c r="I8" s="27">
        <f t="shared" si="8"/>
        <v>0</v>
      </c>
      <c r="J8" s="28">
        <v>40</v>
      </c>
      <c r="K8" s="28">
        <f t="shared" si="0"/>
        <v>4.0875226338606248E-2</v>
      </c>
      <c r="L8" s="28">
        <f t="shared" si="9"/>
        <v>0</v>
      </c>
      <c r="M8" s="28"/>
      <c r="N8" s="28" t="e">
        <f t="shared" si="10"/>
        <v>#DIV/0!</v>
      </c>
      <c r="O8" s="28">
        <v>40</v>
      </c>
      <c r="P8" s="28">
        <f t="shared" si="1"/>
        <v>4.0875226338606248E-2</v>
      </c>
      <c r="Q8" s="29" t="e">
        <f t="shared" si="2"/>
        <v>#DIV/0!</v>
      </c>
      <c r="R8" s="28">
        <f t="shared" si="11"/>
        <v>0</v>
      </c>
      <c r="S8" s="28">
        <v>40</v>
      </c>
      <c r="T8" s="28">
        <f t="shared" si="3"/>
        <v>4.0875226338606248E-2</v>
      </c>
      <c r="U8" s="29">
        <f t="shared" si="12"/>
        <v>0</v>
      </c>
      <c r="W8" s="41"/>
      <c r="X8" s="28"/>
      <c r="Y8" s="43"/>
      <c r="Z8" s="27" t="b">
        <f t="shared" si="4"/>
        <v>1</v>
      </c>
      <c r="AA8" s="42">
        <v>25</v>
      </c>
      <c r="AB8" s="29">
        <v>10</v>
      </c>
      <c r="AC8" s="27" t="b">
        <f t="shared" si="5"/>
        <v>1</v>
      </c>
      <c r="AD8" s="42">
        <v>25</v>
      </c>
      <c r="AE8" s="29">
        <v>10</v>
      </c>
      <c r="AF8" s="28" t="b">
        <f t="shared" si="6"/>
        <v>1</v>
      </c>
      <c r="AG8" s="42">
        <v>25</v>
      </c>
      <c r="AH8" s="29">
        <v>10</v>
      </c>
      <c r="AJ8" s="120">
        <v>25</v>
      </c>
      <c r="AK8" s="27" t="e">
        <f t="shared" si="13"/>
        <v>#DIV/0!</v>
      </c>
      <c r="AL8" s="29" t="s">
        <v>64</v>
      </c>
      <c r="AM8" s="64" t="e">
        <f t="shared" si="7"/>
        <v>#DIV/0!</v>
      </c>
      <c r="AN8" s="64" t="s">
        <v>138</v>
      </c>
      <c r="AO8" s="27" t="e">
        <f t="shared" si="14"/>
        <v>#DIV/0!</v>
      </c>
      <c r="AP8" s="66" t="s">
        <v>145</v>
      </c>
      <c r="AR8" s="28"/>
      <c r="AS8" s="27">
        <v>1.25</v>
      </c>
      <c r="AT8" s="28" t="b">
        <f t="shared" si="15"/>
        <v>1</v>
      </c>
      <c r="AU8" s="28" t="s">
        <v>223</v>
      </c>
      <c r="AV8" s="28" t="b">
        <f t="shared" si="31"/>
        <v>1</v>
      </c>
      <c r="AW8" s="144">
        <v>3</v>
      </c>
      <c r="AX8" s="48">
        <v>1.1599999999999999</v>
      </c>
      <c r="AY8" s="28" t="b">
        <f t="shared" si="16"/>
        <v>1</v>
      </c>
      <c r="AZ8" s="28" t="s">
        <v>223</v>
      </c>
      <c r="BA8" s="28" t="b">
        <f t="shared" si="32"/>
        <v>1</v>
      </c>
      <c r="BB8" s="144">
        <v>3</v>
      </c>
      <c r="BC8" s="27">
        <v>1.25</v>
      </c>
      <c r="BD8" s="28" t="b">
        <f t="shared" si="17"/>
        <v>1</v>
      </c>
      <c r="BE8" s="28" t="s">
        <v>223</v>
      </c>
      <c r="BF8" s="28" t="b">
        <f t="shared" si="18"/>
        <v>1</v>
      </c>
      <c r="BG8" s="161">
        <v>4</v>
      </c>
      <c r="BH8">
        <v>0.66</v>
      </c>
      <c r="BI8" s="28" t="b">
        <f t="shared" si="19"/>
        <v>1</v>
      </c>
      <c r="BJ8" s="28" t="s">
        <v>223</v>
      </c>
      <c r="BK8" s="28" t="b">
        <f t="shared" si="20"/>
        <v>1</v>
      </c>
      <c r="BL8" s="29">
        <v>3</v>
      </c>
      <c r="BN8" s="133"/>
      <c r="BO8" s="45"/>
      <c r="BP8" s="139"/>
      <c r="BQ8" s="45" t="e">
        <f t="shared" si="21"/>
        <v>#N/A</v>
      </c>
      <c r="BR8" s="114" t="s">
        <v>107</v>
      </c>
      <c r="BS8" s="45">
        <v>40</v>
      </c>
      <c r="BT8" s="64"/>
      <c r="BU8" s="120" t="b">
        <f t="shared" si="22"/>
        <v>0</v>
      </c>
      <c r="BV8" s="114" t="s">
        <v>107</v>
      </c>
      <c r="BW8" s="45">
        <v>15</v>
      </c>
      <c r="BX8" s="53">
        <v>4</v>
      </c>
      <c r="BY8" s="139"/>
      <c r="BZ8" s="45"/>
      <c r="CA8" s="114"/>
      <c r="CB8" s="45"/>
      <c r="CC8" s="139"/>
      <c r="CD8" s="45" t="e">
        <f t="shared" si="24"/>
        <v>#N/A</v>
      </c>
      <c r="CE8" s="114" t="s">
        <v>107</v>
      </c>
      <c r="CF8" s="45">
        <v>40</v>
      </c>
      <c r="CG8" s="139"/>
      <c r="CH8" s="45" t="e">
        <f t="shared" si="25"/>
        <v>#N/A</v>
      </c>
      <c r="CI8" s="68">
        <v>5</v>
      </c>
      <c r="CJ8" s="154" t="s">
        <v>64</v>
      </c>
      <c r="CK8" s="154" t="e">
        <f t="shared" si="26"/>
        <v>#N/A</v>
      </c>
      <c r="CL8" s="68">
        <v>5</v>
      </c>
      <c r="CM8" s="154" t="s">
        <v>138</v>
      </c>
      <c r="CN8" s="155" t="e">
        <f t="shared" si="27"/>
        <v>#N/A</v>
      </c>
      <c r="CO8" s="68">
        <v>5</v>
      </c>
      <c r="CP8" s="155" t="s">
        <v>145</v>
      </c>
      <c r="CQ8" s="64"/>
      <c r="CU8" s="64"/>
      <c r="CV8" s="139"/>
      <c r="CW8" s="45" t="b">
        <f t="shared" si="28"/>
        <v>0</v>
      </c>
      <c r="CX8" s="114" t="s">
        <v>226</v>
      </c>
      <c r="CY8" s="45" t="s">
        <v>223</v>
      </c>
      <c r="CZ8" s="64"/>
      <c r="DA8" s="45" t="b">
        <f t="shared" si="29"/>
        <v>0</v>
      </c>
      <c r="DB8" s="114" t="s">
        <v>226</v>
      </c>
      <c r="DC8" s="45">
        <v>4</v>
      </c>
      <c r="DD8" s="64"/>
      <c r="DE8" s="45"/>
      <c r="DF8" s="114"/>
      <c r="DG8" s="45"/>
      <c r="DH8" s="64"/>
      <c r="DI8" s="45"/>
      <c r="DJ8" s="114"/>
      <c r="DK8" s="53"/>
    </row>
    <row r="9" spans="1:116" x14ac:dyDescent="0.25">
      <c r="A9" s="22" t="s">
        <v>34</v>
      </c>
      <c r="B9" s="24">
        <f>'ОЛ(4)'!W13*100</f>
        <v>60</v>
      </c>
      <c r="C9" s="23" t="s">
        <v>38</v>
      </c>
      <c r="E9" s="150" t="str">
        <f>IF('ОЛ(4)'!C32="ЗАВИСИМАЯ","ОТСУТСТВУЕТ",VLOOKUP(TRUE,IF(B5=150,AT4:AU11,IF(B5=130,AY4:AZ11,IF(B5=115,BD4:BE10,IF(B5=105,BI4:BJ13,FALSE)))),2,FALSE))</f>
        <v>НН08</v>
      </c>
      <c r="F9" s="131">
        <f>IF('ОЛ(4)'!C32="ЗАВИСИМАЯ","ОТСУТСТВУЕТ",VLOOKUP(TRUE,IF(B5=150,AV4:AW11,IF(B5=130,BA4:BB11,IF(B5=115,BF4:BG10,IF(B5=105,BK4:BL13,FALSE)))),2,FALSE))</f>
        <v>1</v>
      </c>
      <c r="I9" s="27">
        <f t="shared" si="8"/>
        <v>0</v>
      </c>
      <c r="J9" s="28">
        <v>50</v>
      </c>
      <c r="K9" s="28">
        <f t="shared" si="0"/>
        <v>3.7850686611455138E-2</v>
      </c>
      <c r="L9" s="28">
        <f t="shared" si="9"/>
        <v>0</v>
      </c>
      <c r="M9" s="28"/>
      <c r="N9" s="28" t="e">
        <f t="shared" si="10"/>
        <v>#DIV/0!</v>
      </c>
      <c r="O9" s="28">
        <v>50</v>
      </c>
      <c r="P9" s="28">
        <f t="shared" si="1"/>
        <v>3.7850686611455138E-2</v>
      </c>
      <c r="Q9" s="29" t="e">
        <f t="shared" si="2"/>
        <v>#DIV/0!</v>
      </c>
      <c r="R9" s="28">
        <f t="shared" si="11"/>
        <v>0</v>
      </c>
      <c r="S9" s="28">
        <v>50</v>
      </c>
      <c r="T9" s="28">
        <f t="shared" si="3"/>
        <v>3.7850686611455138E-2</v>
      </c>
      <c r="U9" s="29">
        <f t="shared" si="12"/>
        <v>0</v>
      </c>
      <c r="W9" s="41"/>
      <c r="X9" s="43"/>
      <c r="Y9" s="28"/>
      <c r="Z9" s="27" t="b">
        <f t="shared" si="4"/>
        <v>1</v>
      </c>
      <c r="AA9" s="42">
        <v>32</v>
      </c>
      <c r="AB9" s="29">
        <v>16</v>
      </c>
      <c r="AC9" s="27" t="b">
        <f t="shared" si="5"/>
        <v>1</v>
      </c>
      <c r="AD9" s="42">
        <v>32</v>
      </c>
      <c r="AE9" s="29">
        <v>16</v>
      </c>
      <c r="AF9" s="28" t="b">
        <f t="shared" si="6"/>
        <v>1</v>
      </c>
      <c r="AG9" s="42">
        <v>32</v>
      </c>
      <c r="AH9" s="29">
        <v>16</v>
      </c>
      <c r="AJ9" s="120">
        <v>30</v>
      </c>
      <c r="AK9" s="27" t="e">
        <f t="shared" si="13"/>
        <v>#DIV/0!</v>
      </c>
      <c r="AL9" s="29" t="s">
        <v>65</v>
      </c>
      <c r="AM9" s="64" t="e">
        <f t="shared" si="7"/>
        <v>#DIV/0!</v>
      </c>
      <c r="AN9" s="64" t="s">
        <v>139</v>
      </c>
      <c r="AO9" s="27" t="e">
        <f t="shared" si="14"/>
        <v>#DIV/0!</v>
      </c>
      <c r="AP9" s="66" t="s">
        <v>146</v>
      </c>
      <c r="AR9" s="28"/>
      <c r="AS9" s="27">
        <v>1.3</v>
      </c>
      <c r="AT9" s="28" t="b">
        <f t="shared" si="15"/>
        <v>1</v>
      </c>
      <c r="AU9" s="28" t="s">
        <v>223</v>
      </c>
      <c r="AV9" s="28" t="b">
        <f t="shared" si="31"/>
        <v>1</v>
      </c>
      <c r="AW9" s="144">
        <v>4</v>
      </c>
      <c r="AX9" s="27">
        <v>1.3</v>
      </c>
      <c r="AY9" s="28" t="b">
        <f t="shared" si="16"/>
        <v>1</v>
      </c>
      <c r="AZ9" s="28" t="s">
        <v>223</v>
      </c>
      <c r="BA9" s="28" t="b">
        <f t="shared" si="32"/>
        <v>1</v>
      </c>
      <c r="BB9" s="144">
        <v>4</v>
      </c>
      <c r="BC9" s="27">
        <v>1.8</v>
      </c>
      <c r="BD9" s="28" t="b">
        <f>IF($B$4&lt;BC9,TRUE,FALSE)</f>
        <v>1</v>
      </c>
      <c r="BE9" s="28" t="s">
        <v>224</v>
      </c>
      <c r="BF9" s="28" t="b">
        <f t="shared" si="18"/>
        <v>1</v>
      </c>
      <c r="BG9" s="161">
        <v>2</v>
      </c>
      <c r="BH9" s="28">
        <v>0.91</v>
      </c>
      <c r="BI9" s="28" t="b">
        <f t="shared" si="19"/>
        <v>1</v>
      </c>
      <c r="BJ9" s="28" t="s">
        <v>223</v>
      </c>
      <c r="BK9" s="28" t="b">
        <f t="shared" si="20"/>
        <v>1</v>
      </c>
      <c r="BL9" s="29">
        <v>4</v>
      </c>
      <c r="BN9" s="133"/>
      <c r="BO9" s="45"/>
      <c r="BP9" s="139"/>
      <c r="BQ9" s="45" t="e">
        <f t="shared" si="21"/>
        <v>#N/A</v>
      </c>
      <c r="BR9" s="114" t="s">
        <v>108</v>
      </c>
      <c r="BS9" s="45">
        <v>50</v>
      </c>
      <c r="BT9" s="64"/>
      <c r="BU9" s="120" t="b">
        <f t="shared" si="22"/>
        <v>0</v>
      </c>
      <c r="BV9" s="114" t="s">
        <v>108</v>
      </c>
      <c r="BW9" s="45">
        <v>20</v>
      </c>
      <c r="BX9" s="53">
        <v>5</v>
      </c>
      <c r="BY9" s="139"/>
      <c r="BZ9" s="45"/>
      <c r="CA9" s="114"/>
      <c r="CB9" s="45"/>
      <c r="CC9" s="139"/>
      <c r="CD9" s="45" t="e">
        <f t="shared" si="24"/>
        <v>#N/A</v>
      </c>
      <c r="CE9" s="114" t="s">
        <v>108</v>
      </c>
      <c r="CF9" s="45">
        <v>50</v>
      </c>
      <c r="CG9" s="139"/>
      <c r="CH9" s="45" t="e">
        <f t="shared" si="25"/>
        <v>#N/A</v>
      </c>
      <c r="CI9" s="68">
        <v>6</v>
      </c>
      <c r="CJ9" s="154" t="s">
        <v>65</v>
      </c>
      <c r="CK9" s="154" t="e">
        <f t="shared" si="26"/>
        <v>#N/A</v>
      </c>
      <c r="CL9" s="68">
        <v>6</v>
      </c>
      <c r="CM9" s="154" t="s">
        <v>139</v>
      </c>
      <c r="CN9" s="155" t="e">
        <f t="shared" si="27"/>
        <v>#N/A</v>
      </c>
      <c r="CO9" s="68">
        <v>6</v>
      </c>
      <c r="CP9" s="155" t="s">
        <v>146</v>
      </c>
      <c r="CQ9" s="64"/>
      <c r="CR9" s="28"/>
      <c r="CS9" s="28"/>
      <c r="CT9" s="28"/>
      <c r="CU9" s="64"/>
      <c r="CV9" s="139"/>
      <c r="CW9" s="45" t="b">
        <f t="shared" si="28"/>
        <v>0</v>
      </c>
      <c r="CX9" s="114" t="s">
        <v>227</v>
      </c>
      <c r="CY9" s="45" t="s">
        <v>224</v>
      </c>
      <c r="CZ9" s="64"/>
      <c r="DA9" s="45" t="b">
        <f t="shared" si="29"/>
        <v>0</v>
      </c>
      <c r="DB9" s="114" t="s">
        <v>227</v>
      </c>
      <c r="DC9" s="45">
        <v>5</v>
      </c>
      <c r="DD9" s="64"/>
      <c r="DE9" s="45"/>
      <c r="DF9" s="114"/>
      <c r="DG9" s="45"/>
      <c r="DH9" s="64"/>
      <c r="DI9" s="45"/>
      <c r="DJ9" s="114"/>
      <c r="DK9" s="53"/>
    </row>
    <row r="10" spans="1:116" x14ac:dyDescent="0.25">
      <c r="A10" s="22" t="s">
        <v>35</v>
      </c>
      <c r="B10" s="24">
        <f>'ОЛ(4)'!AC13*100</f>
        <v>40</v>
      </c>
      <c r="C10" s="23" t="s">
        <v>38</v>
      </c>
      <c r="I10" s="27">
        <f t="shared" si="8"/>
        <v>0</v>
      </c>
      <c r="J10" s="28">
        <v>65</v>
      </c>
      <c r="K10" s="28">
        <f t="shared" si="0"/>
        <v>3.4705101432211748E-2</v>
      </c>
      <c r="L10" s="28">
        <f t="shared" si="9"/>
        <v>0</v>
      </c>
      <c r="M10" s="28"/>
      <c r="N10" s="28" t="e">
        <f t="shared" si="10"/>
        <v>#DIV/0!</v>
      </c>
      <c r="O10" s="28">
        <v>65</v>
      </c>
      <c r="P10" s="28">
        <f t="shared" si="1"/>
        <v>3.4705101432211748E-2</v>
      </c>
      <c r="Q10" s="29" t="e">
        <f t="shared" si="2"/>
        <v>#DIV/0!</v>
      </c>
      <c r="R10" s="28">
        <f t="shared" si="11"/>
        <v>0</v>
      </c>
      <c r="S10" s="28">
        <v>65</v>
      </c>
      <c r="T10" s="28">
        <f t="shared" si="3"/>
        <v>3.4705101432211748E-2</v>
      </c>
      <c r="U10" s="29">
        <f t="shared" si="12"/>
        <v>0</v>
      </c>
      <c r="W10" s="27"/>
      <c r="X10" s="28"/>
      <c r="Y10" s="28"/>
      <c r="Z10" s="27" t="b">
        <f t="shared" si="4"/>
        <v>1</v>
      </c>
      <c r="AA10" s="42">
        <v>40</v>
      </c>
      <c r="AB10" s="29">
        <v>20</v>
      </c>
      <c r="AC10" s="27" t="b">
        <f t="shared" si="5"/>
        <v>1</v>
      </c>
      <c r="AD10" s="42">
        <v>40</v>
      </c>
      <c r="AE10" s="29">
        <v>25</v>
      </c>
      <c r="AF10" s="28" t="b">
        <f t="shared" si="6"/>
        <v>1</v>
      </c>
      <c r="AG10" s="42">
        <v>40</v>
      </c>
      <c r="AH10" s="29">
        <v>25</v>
      </c>
      <c r="AJ10" s="120">
        <v>40</v>
      </c>
      <c r="AK10" s="27" t="e">
        <f t="shared" si="13"/>
        <v>#DIV/0!</v>
      </c>
      <c r="AL10" s="29" t="s">
        <v>66</v>
      </c>
      <c r="AM10" s="64" t="e">
        <f t="shared" si="7"/>
        <v>#DIV/0!</v>
      </c>
      <c r="AN10" s="64" t="s">
        <v>140</v>
      </c>
      <c r="AO10" s="27" t="e">
        <f t="shared" si="14"/>
        <v>#DIV/0!</v>
      </c>
      <c r="AP10" s="66" t="s">
        <v>147</v>
      </c>
      <c r="AR10" s="28"/>
      <c r="AS10" s="27">
        <v>1.65</v>
      </c>
      <c r="AT10" s="28" t="b">
        <f t="shared" si="15"/>
        <v>1</v>
      </c>
      <c r="AU10" s="28" t="s">
        <v>224</v>
      </c>
      <c r="AV10" s="28" t="b">
        <f t="shared" si="31"/>
        <v>1</v>
      </c>
      <c r="AW10" s="144">
        <v>1</v>
      </c>
      <c r="AX10" s="48">
        <v>1.4</v>
      </c>
      <c r="AY10" s="28" t="b">
        <f t="shared" si="16"/>
        <v>1</v>
      </c>
      <c r="AZ10" s="28" t="s">
        <v>224</v>
      </c>
      <c r="BA10" s="28" t="b">
        <f t="shared" si="32"/>
        <v>1</v>
      </c>
      <c r="BB10" s="144">
        <v>1</v>
      </c>
      <c r="BC10" s="27">
        <v>2.0009999999999999</v>
      </c>
      <c r="BD10" s="28" t="b">
        <f>IF($B$4&lt;BC10,TRUE,FALSE)</f>
        <v>1</v>
      </c>
      <c r="BE10" s="28" t="s">
        <v>291</v>
      </c>
      <c r="BF10" s="28" t="b">
        <f t="shared" si="18"/>
        <v>1</v>
      </c>
      <c r="BG10" s="161">
        <v>1</v>
      </c>
      <c r="BH10" s="28">
        <v>1.1000000000000001</v>
      </c>
      <c r="BI10" s="28" t="b">
        <f>IF($B$4&lt;BH10,TRUE,FALSE)</f>
        <v>1</v>
      </c>
      <c r="BJ10" s="28" t="s">
        <v>223</v>
      </c>
      <c r="BK10" s="28" t="b">
        <f t="shared" si="20"/>
        <v>1</v>
      </c>
      <c r="BL10" s="29">
        <v>5</v>
      </c>
      <c r="BN10" s="133"/>
      <c r="BO10" s="45"/>
      <c r="BP10" s="139"/>
      <c r="BQ10" s="45" t="e">
        <f t="shared" si="21"/>
        <v>#N/A</v>
      </c>
      <c r="BR10" s="114" t="s">
        <v>109</v>
      </c>
      <c r="BS10" s="45">
        <v>65</v>
      </c>
      <c r="BT10" s="64"/>
      <c r="BU10" s="120" t="b">
        <f t="shared" si="22"/>
        <v>0</v>
      </c>
      <c r="BV10" s="114" t="s">
        <v>109</v>
      </c>
      <c r="BW10" s="45">
        <v>20</v>
      </c>
      <c r="BX10" s="53">
        <v>6.3</v>
      </c>
      <c r="BY10" s="139"/>
      <c r="BZ10" s="45"/>
      <c r="CA10" s="114"/>
      <c r="CB10" s="45"/>
      <c r="CC10" s="139"/>
      <c r="CD10" s="45" t="e">
        <f t="shared" si="24"/>
        <v>#N/A</v>
      </c>
      <c r="CE10" s="114" t="s">
        <v>109</v>
      </c>
      <c r="CF10" s="45">
        <v>65</v>
      </c>
      <c r="CG10" s="139"/>
      <c r="CH10" s="45" t="e">
        <f t="shared" si="25"/>
        <v>#N/A</v>
      </c>
      <c r="CI10" s="68">
        <v>7</v>
      </c>
      <c r="CJ10" s="154" t="s">
        <v>66</v>
      </c>
      <c r="CK10" s="154" t="e">
        <f t="shared" si="26"/>
        <v>#N/A</v>
      </c>
      <c r="CL10" s="68">
        <v>7</v>
      </c>
      <c r="CM10" s="154" t="s">
        <v>140</v>
      </c>
      <c r="CN10" s="155" t="e">
        <f t="shared" si="27"/>
        <v>#N/A</v>
      </c>
      <c r="CO10" s="68">
        <v>7</v>
      </c>
      <c r="CP10" s="155" t="s">
        <v>147</v>
      </c>
      <c r="CQ10" s="64"/>
      <c r="CU10" s="64"/>
      <c r="CV10" s="139"/>
      <c r="CW10" s="45" t="b">
        <f t="shared" si="28"/>
        <v>0</v>
      </c>
      <c r="CX10" s="114" t="s">
        <v>296</v>
      </c>
      <c r="CY10" s="45" t="s">
        <v>291</v>
      </c>
      <c r="CZ10" s="64"/>
      <c r="DA10" s="45"/>
      <c r="DB10" s="114"/>
      <c r="DC10" s="45"/>
      <c r="DD10" s="64"/>
      <c r="DE10" s="45"/>
      <c r="DF10" s="114"/>
      <c r="DG10" s="45"/>
      <c r="DH10" s="64"/>
      <c r="DI10" s="45"/>
      <c r="DJ10" s="114"/>
      <c r="DK10" s="53"/>
    </row>
    <row r="11" spans="1:116" x14ac:dyDescent="0.25">
      <c r="A11" s="26" t="s">
        <v>51</v>
      </c>
      <c r="B11" s="24">
        <f>'ОЛ(4)'!Z16</f>
        <v>0</v>
      </c>
      <c r="C11" s="23" t="s">
        <v>38</v>
      </c>
      <c r="E11" t="s">
        <v>45</v>
      </c>
      <c r="F11" s="130" t="e">
        <f>B4*1000/(B7-B8)</f>
        <v>#DIV/0!</v>
      </c>
      <c r="I11" s="27">
        <f t="shared" si="8"/>
        <v>0</v>
      </c>
      <c r="J11" s="28">
        <v>80</v>
      </c>
      <c r="K11" s="28">
        <f t="shared" si="0"/>
        <v>3.248549788373601E-2</v>
      </c>
      <c r="L11" s="28">
        <f t="shared" si="9"/>
        <v>0</v>
      </c>
      <c r="M11" s="28"/>
      <c r="N11" s="28" t="e">
        <f t="shared" si="10"/>
        <v>#DIV/0!</v>
      </c>
      <c r="O11" s="28">
        <v>80</v>
      </c>
      <c r="P11" s="28">
        <f t="shared" si="1"/>
        <v>3.248549788373601E-2</v>
      </c>
      <c r="Q11" s="29" t="e">
        <f t="shared" si="2"/>
        <v>#DIV/0!</v>
      </c>
      <c r="R11" s="28">
        <f t="shared" si="11"/>
        <v>0</v>
      </c>
      <c r="S11" s="28">
        <v>80</v>
      </c>
      <c r="T11" s="28">
        <f t="shared" si="3"/>
        <v>3.248549788373601E-2</v>
      </c>
      <c r="U11" s="29">
        <f t="shared" si="12"/>
        <v>0</v>
      </c>
      <c r="W11" s="27"/>
      <c r="X11" s="28"/>
      <c r="Y11" s="43"/>
      <c r="Z11" s="27" t="b">
        <f t="shared" si="4"/>
        <v>1</v>
      </c>
      <c r="AA11" s="42">
        <v>40</v>
      </c>
      <c r="AB11" s="29">
        <v>25</v>
      </c>
      <c r="AC11" s="27" t="b">
        <f t="shared" si="5"/>
        <v>1</v>
      </c>
      <c r="AD11" s="42">
        <v>50</v>
      </c>
      <c r="AE11" s="49">
        <v>31.5</v>
      </c>
      <c r="AF11" s="28" t="b">
        <f t="shared" si="6"/>
        <v>1</v>
      </c>
      <c r="AG11" s="42">
        <v>50</v>
      </c>
      <c r="AH11" s="29">
        <v>40</v>
      </c>
      <c r="AJ11" s="120">
        <v>50</v>
      </c>
      <c r="AK11" s="27" t="e">
        <f t="shared" si="13"/>
        <v>#DIV/0!</v>
      </c>
      <c r="AL11" s="29" t="s">
        <v>67</v>
      </c>
      <c r="AM11" s="64" t="e">
        <f t="shared" si="7"/>
        <v>#DIV/0!</v>
      </c>
      <c r="AN11" s="64" t="s">
        <v>299</v>
      </c>
      <c r="AO11" s="27" t="e">
        <f t="shared" si="14"/>
        <v>#DIV/0!</v>
      </c>
      <c r="AP11" s="64" t="s">
        <v>299</v>
      </c>
      <c r="AS11" s="27">
        <v>2.0009999999999999</v>
      </c>
      <c r="AT11" s="28" t="b">
        <f t="shared" si="15"/>
        <v>1</v>
      </c>
      <c r="AU11" s="28" t="s">
        <v>224</v>
      </c>
      <c r="AV11" s="28" t="b">
        <f t="shared" si="31"/>
        <v>1</v>
      </c>
      <c r="AW11" s="144">
        <v>2</v>
      </c>
      <c r="AX11" s="27">
        <v>2.0009999999999999</v>
      </c>
      <c r="AY11" s="28" t="b">
        <f t="shared" si="16"/>
        <v>1</v>
      </c>
      <c r="AZ11" s="28" t="s">
        <v>224</v>
      </c>
      <c r="BA11" s="28" t="b">
        <f t="shared" si="32"/>
        <v>1</v>
      </c>
      <c r="BB11" s="144">
        <v>2</v>
      </c>
      <c r="BC11" s="27"/>
      <c r="BD11" s="28"/>
      <c r="BE11" s="28"/>
      <c r="BF11" s="28"/>
      <c r="BG11" s="29"/>
      <c r="BH11" s="28">
        <v>1.3</v>
      </c>
      <c r="BI11" s="28" t="b">
        <f>IF($B$4&lt;BH11,TRUE,FALSE)</f>
        <v>1</v>
      </c>
      <c r="BJ11" s="28" t="s">
        <v>224</v>
      </c>
      <c r="BK11" s="28" t="b">
        <f t="shared" si="20"/>
        <v>1</v>
      </c>
      <c r="BL11" s="29">
        <v>2</v>
      </c>
      <c r="BN11" s="133"/>
      <c r="BO11" s="45"/>
      <c r="BP11" s="139"/>
      <c r="BQ11" s="45" t="e">
        <f t="shared" si="21"/>
        <v>#N/A</v>
      </c>
      <c r="BR11" s="114" t="s">
        <v>110</v>
      </c>
      <c r="BS11" s="45">
        <v>80</v>
      </c>
      <c r="BT11" s="64"/>
      <c r="BU11" s="120" t="b">
        <f t="shared" si="22"/>
        <v>0</v>
      </c>
      <c r="BV11" s="114" t="s">
        <v>110</v>
      </c>
      <c r="BW11" s="45">
        <v>25</v>
      </c>
      <c r="BX11" s="53">
        <v>8</v>
      </c>
      <c r="BY11" s="139"/>
      <c r="BZ11" s="45"/>
      <c r="CA11" s="114"/>
      <c r="CB11" s="45"/>
      <c r="CC11" s="139"/>
      <c r="CD11" s="45" t="e">
        <f t="shared" si="24"/>
        <v>#N/A</v>
      </c>
      <c r="CE11" s="114" t="s">
        <v>110</v>
      </c>
      <c r="CF11" s="45">
        <v>80</v>
      </c>
      <c r="CG11" s="139"/>
      <c r="CH11" s="45" t="e">
        <f t="shared" si="25"/>
        <v>#N/A</v>
      </c>
      <c r="CI11" s="68">
        <v>8</v>
      </c>
      <c r="CJ11" s="154" t="s">
        <v>67</v>
      </c>
      <c r="CK11" s="154"/>
      <c r="CL11" s="154"/>
      <c r="CM11" s="154"/>
      <c r="CN11" s="154"/>
      <c r="CO11" s="154"/>
      <c r="CP11" s="154"/>
      <c r="CQ11" s="64"/>
      <c r="CU11" s="64"/>
      <c r="CV11" s="139"/>
      <c r="CW11" s="45"/>
      <c r="CX11" s="114"/>
      <c r="CY11" s="45"/>
      <c r="CZ11" s="64"/>
      <c r="DA11" s="45"/>
      <c r="DB11" s="114"/>
      <c r="DC11" s="45"/>
      <c r="DD11" s="64"/>
      <c r="DE11" s="45"/>
      <c r="DF11" s="114"/>
      <c r="DG11" s="45"/>
      <c r="DH11" s="64"/>
      <c r="DI11" s="45"/>
      <c r="DJ11" s="114"/>
      <c r="DK11" s="53"/>
    </row>
    <row r="12" spans="1:116" x14ac:dyDescent="0.25">
      <c r="A12" s="26" t="s">
        <v>50</v>
      </c>
      <c r="B12">
        <f>B9-B10</f>
        <v>20</v>
      </c>
      <c r="C12" s="23" t="s">
        <v>38</v>
      </c>
      <c r="E12" t="s">
        <v>43</v>
      </c>
      <c r="F12" s="131" t="e">
        <f>VLOOKUP(1,N4:Q17,2,FALSE)</f>
        <v>#N/A</v>
      </c>
      <c r="I12" s="27">
        <f t="shared" si="8"/>
        <v>0</v>
      </c>
      <c r="J12" s="28">
        <v>100</v>
      </c>
      <c r="K12" s="28">
        <f t="shared" si="0"/>
        <v>3.0329450982592862E-2</v>
      </c>
      <c r="L12" s="28">
        <f t="shared" si="9"/>
        <v>0</v>
      </c>
      <c r="M12" s="28"/>
      <c r="N12" s="28" t="e">
        <f t="shared" si="10"/>
        <v>#DIV/0!</v>
      </c>
      <c r="O12" s="28">
        <v>100</v>
      </c>
      <c r="P12" s="28">
        <f t="shared" si="1"/>
        <v>3.0329450982592862E-2</v>
      </c>
      <c r="Q12" s="29" t="e">
        <f t="shared" si="2"/>
        <v>#DIV/0!</v>
      </c>
      <c r="R12" s="28">
        <f t="shared" si="11"/>
        <v>0</v>
      </c>
      <c r="S12" s="28">
        <v>100</v>
      </c>
      <c r="T12" s="28">
        <f t="shared" si="3"/>
        <v>3.0329450982592862E-2</v>
      </c>
      <c r="U12" s="29">
        <f t="shared" si="12"/>
        <v>0</v>
      </c>
      <c r="W12" s="41"/>
      <c r="X12" s="28"/>
      <c r="Y12" s="28"/>
      <c r="Z12" s="27" t="b">
        <f t="shared" si="4"/>
        <v>1</v>
      </c>
      <c r="AA12" s="42">
        <v>50</v>
      </c>
      <c r="AB12" s="29">
        <v>31.5</v>
      </c>
      <c r="AC12" s="27" t="b">
        <f t="shared" si="5"/>
        <v>1</v>
      </c>
      <c r="AD12" s="42">
        <v>50</v>
      </c>
      <c r="AE12" s="49">
        <v>40</v>
      </c>
      <c r="AF12" s="28" t="b">
        <f t="shared" si="6"/>
        <v>1</v>
      </c>
      <c r="AG12" s="42">
        <v>65</v>
      </c>
      <c r="AH12" s="29">
        <v>63</v>
      </c>
      <c r="AJ12" s="162">
        <v>60</v>
      </c>
      <c r="AK12" s="48" t="e">
        <f t="shared" si="13"/>
        <v>#DIV/0!</v>
      </c>
      <c r="AL12" s="49" t="s">
        <v>299</v>
      </c>
      <c r="AM12" s="64" t="e">
        <f t="shared" si="7"/>
        <v>#DIV/0!</v>
      </c>
      <c r="AN12" s="163" t="s">
        <v>299</v>
      </c>
      <c r="AO12" s="27" t="e">
        <f t="shared" si="14"/>
        <v>#DIV/0!</v>
      </c>
      <c r="AP12" s="163" t="s">
        <v>299</v>
      </c>
      <c r="AS12" s="27"/>
      <c r="AT12" s="28"/>
      <c r="AU12" s="28"/>
      <c r="AV12" s="28"/>
      <c r="AW12" s="144"/>
      <c r="AX12" s="27"/>
      <c r="AY12" s="28"/>
      <c r="AZ12" s="28"/>
      <c r="BA12" s="28"/>
      <c r="BB12" s="29"/>
      <c r="BC12" s="27"/>
      <c r="BD12" s="28"/>
      <c r="BE12" s="28"/>
      <c r="BF12" s="28"/>
      <c r="BG12" s="29"/>
      <c r="BH12" s="42">
        <v>1.45</v>
      </c>
      <c r="BI12" s="28" t="b">
        <f>IF($B$4&lt;BH12,TRUE,FALSE)</f>
        <v>1</v>
      </c>
      <c r="BJ12" s="28" t="s">
        <v>291</v>
      </c>
      <c r="BK12" s="28" t="b">
        <f t="shared" si="20"/>
        <v>1</v>
      </c>
      <c r="BL12" s="29">
        <v>1</v>
      </c>
      <c r="BN12" s="133"/>
      <c r="BO12" s="45"/>
      <c r="BP12" s="139"/>
      <c r="BQ12" s="45" t="e">
        <f t="shared" si="21"/>
        <v>#N/A</v>
      </c>
      <c r="BR12" s="114" t="s">
        <v>111</v>
      </c>
      <c r="BS12" s="45">
        <v>100</v>
      </c>
      <c r="BT12" s="64"/>
      <c r="BU12" s="120" t="b">
        <f t="shared" si="22"/>
        <v>0</v>
      </c>
      <c r="BV12" s="114" t="s">
        <v>111</v>
      </c>
      <c r="BW12" s="45">
        <v>25</v>
      </c>
      <c r="BX12" s="53">
        <v>10</v>
      </c>
      <c r="BY12" s="139"/>
      <c r="BZ12" s="45"/>
      <c r="CA12" s="114"/>
      <c r="CB12" s="45"/>
      <c r="CC12" s="139"/>
      <c r="CD12" s="45" t="e">
        <f t="shared" si="24"/>
        <v>#N/A</v>
      </c>
      <c r="CE12" s="114" t="s">
        <v>111</v>
      </c>
      <c r="CF12" s="45">
        <v>100</v>
      </c>
      <c r="CG12" s="139"/>
      <c r="CH12" s="45" t="e">
        <f t="shared" si="25"/>
        <v>#N/A</v>
      </c>
      <c r="CI12" s="154"/>
      <c r="CJ12" s="28"/>
      <c r="CK12" s="28"/>
      <c r="CL12" s="28"/>
      <c r="CM12" s="28"/>
      <c r="CN12" s="28"/>
      <c r="CO12" s="28"/>
      <c r="CP12" s="28"/>
      <c r="CQ12" s="64"/>
      <c r="CU12" s="64"/>
      <c r="CV12" s="139"/>
      <c r="CW12" s="45"/>
      <c r="CX12" s="114"/>
      <c r="CY12" s="45"/>
      <c r="CZ12" s="64"/>
      <c r="DA12" s="45"/>
      <c r="DB12" s="114"/>
      <c r="DC12" s="45"/>
      <c r="DD12" s="64"/>
      <c r="DE12" s="45"/>
      <c r="DF12" s="114"/>
      <c r="DG12" s="45"/>
      <c r="DH12" s="64"/>
      <c r="DI12" s="45"/>
      <c r="DJ12" s="114"/>
      <c r="DK12" s="53"/>
    </row>
    <row r="13" spans="1:116" ht="15.75" thickBot="1" x14ac:dyDescent="0.3">
      <c r="A13" s="22"/>
      <c r="C13" s="23"/>
      <c r="E13" t="s">
        <v>49</v>
      </c>
      <c r="F13" s="130" t="e">
        <f>F11*1.1</f>
        <v>#DIV/0!</v>
      </c>
      <c r="I13" s="27">
        <f t="shared" si="8"/>
        <v>0</v>
      </c>
      <c r="J13" s="28">
        <v>125</v>
      </c>
      <c r="K13" s="28">
        <f t="shared" si="0"/>
        <v>2.8381135828692533E-2</v>
      </c>
      <c r="L13" s="28">
        <f t="shared" si="9"/>
        <v>0</v>
      </c>
      <c r="M13" s="28"/>
      <c r="N13" s="28" t="e">
        <f t="shared" si="10"/>
        <v>#DIV/0!</v>
      </c>
      <c r="O13" s="28">
        <v>125</v>
      </c>
      <c r="P13" s="28">
        <f t="shared" si="1"/>
        <v>2.8381135828692533E-2</v>
      </c>
      <c r="Q13" s="29" t="e">
        <f t="shared" si="2"/>
        <v>#DIV/0!</v>
      </c>
      <c r="R13" s="28">
        <f t="shared" si="11"/>
        <v>0</v>
      </c>
      <c r="S13" s="28">
        <v>125</v>
      </c>
      <c r="T13" s="28">
        <f t="shared" si="3"/>
        <v>2.8381135828692533E-2</v>
      </c>
      <c r="U13" s="29">
        <f t="shared" si="12"/>
        <v>0</v>
      </c>
      <c r="W13" s="41"/>
      <c r="X13" s="43"/>
      <c r="Y13" s="28"/>
      <c r="Z13" s="27" t="b">
        <f t="shared" si="4"/>
        <v>1</v>
      </c>
      <c r="AA13" s="42">
        <v>50</v>
      </c>
      <c r="AB13" s="29">
        <v>40</v>
      </c>
      <c r="AC13" s="27" t="b">
        <f t="shared" si="5"/>
        <v>1</v>
      </c>
      <c r="AD13" s="42">
        <v>65</v>
      </c>
      <c r="AE13" s="49">
        <v>50</v>
      </c>
      <c r="AF13" s="28" t="b">
        <f t="shared" si="6"/>
        <v>1</v>
      </c>
      <c r="AG13" s="42">
        <v>80</v>
      </c>
      <c r="AH13" s="29">
        <v>100</v>
      </c>
      <c r="AJ13" s="167">
        <v>90</v>
      </c>
      <c r="AK13" s="50" t="e">
        <f t="shared" si="13"/>
        <v>#DIV/0!</v>
      </c>
      <c r="AL13" s="168" t="s">
        <v>300</v>
      </c>
      <c r="AM13" s="169" t="e">
        <f t="shared" si="7"/>
        <v>#DIV/0!</v>
      </c>
      <c r="AN13" s="168" t="s">
        <v>300</v>
      </c>
      <c r="AO13" s="50" t="e">
        <f t="shared" si="14"/>
        <v>#DIV/0!</v>
      </c>
      <c r="AP13" s="170" t="s">
        <v>300</v>
      </c>
      <c r="AS13" s="27"/>
      <c r="AT13" s="28"/>
      <c r="AU13" s="28"/>
      <c r="AV13" s="28"/>
      <c r="AW13" s="144"/>
      <c r="AX13" s="27"/>
      <c r="AY13" s="28"/>
      <c r="AZ13" s="28"/>
      <c r="BA13" s="28"/>
      <c r="BB13" s="29"/>
      <c r="BC13" s="27"/>
      <c r="BD13" s="28"/>
      <c r="BE13" s="28"/>
      <c r="BF13" s="28"/>
      <c r="BG13" s="29"/>
      <c r="BH13" s="27">
        <v>2.0009999999999999</v>
      </c>
      <c r="BI13" s="28" t="b">
        <f>IF($B$4&lt;BH13,TRUE,FALSE)</f>
        <v>1</v>
      </c>
      <c r="BJ13" s="28" t="s">
        <v>291</v>
      </c>
      <c r="BK13" s="28" t="b">
        <f t="shared" si="20"/>
        <v>1</v>
      </c>
      <c r="BL13" s="29">
        <v>2</v>
      </c>
      <c r="BN13" s="133"/>
      <c r="BO13" s="45"/>
      <c r="BP13" s="139"/>
      <c r="BQ13" s="45" t="e">
        <f t="shared" si="21"/>
        <v>#N/A</v>
      </c>
      <c r="BR13" s="114" t="s">
        <v>112</v>
      </c>
      <c r="BS13" s="45">
        <v>125</v>
      </c>
      <c r="BT13" s="64"/>
      <c r="BU13" s="120" t="b">
        <f t="shared" si="22"/>
        <v>0</v>
      </c>
      <c r="BV13" s="114" t="s">
        <v>112</v>
      </c>
      <c r="BW13" s="45">
        <v>32</v>
      </c>
      <c r="BX13" s="53">
        <v>12.5</v>
      </c>
      <c r="BY13" s="139"/>
      <c r="BZ13" s="45"/>
      <c r="CA13" s="114"/>
      <c r="CB13" s="45"/>
      <c r="CC13" s="139"/>
      <c r="CD13" s="45" t="e">
        <f t="shared" si="24"/>
        <v>#N/A</v>
      </c>
      <c r="CE13" s="114" t="s">
        <v>112</v>
      </c>
      <c r="CF13" s="45">
        <v>125</v>
      </c>
      <c r="CG13" s="139"/>
      <c r="CH13" s="45" t="e">
        <f t="shared" si="25"/>
        <v>#N/A</v>
      </c>
      <c r="CI13" s="154">
        <v>10</v>
      </c>
      <c r="CJ13" s="68" t="s">
        <v>299</v>
      </c>
      <c r="CK13" s="45" t="e">
        <f t="shared" ref="CK13:CK14" si="33">IF($E$14=CM13,TRUE,FALSE)</f>
        <v>#N/A</v>
      </c>
      <c r="CL13" s="154">
        <v>10</v>
      </c>
      <c r="CM13" s="68" t="s">
        <v>299</v>
      </c>
      <c r="CN13" s="45" t="e">
        <f t="shared" ref="CN13:CN14" si="34">IF($E$14=CP13,TRUE,FALSE)</f>
        <v>#N/A</v>
      </c>
      <c r="CO13" s="154">
        <v>10</v>
      </c>
      <c r="CP13" s="68" t="s">
        <v>299</v>
      </c>
      <c r="CQ13" s="64"/>
      <c r="CR13" s="28"/>
      <c r="CS13" s="68"/>
      <c r="CT13" s="28"/>
      <c r="CU13" s="64"/>
      <c r="CV13" s="139"/>
      <c r="CW13" s="45"/>
      <c r="CX13" s="114"/>
      <c r="CY13" s="45"/>
      <c r="CZ13" s="64"/>
      <c r="DA13" s="45"/>
      <c r="DB13" s="114"/>
      <c r="DC13" s="45"/>
      <c r="DD13" s="64"/>
      <c r="DE13" s="45"/>
      <c r="DF13" s="114"/>
      <c r="DG13" s="45"/>
      <c r="DH13" s="64"/>
      <c r="DI13" s="45"/>
      <c r="DJ13" s="114"/>
      <c r="DK13" s="53"/>
    </row>
    <row r="14" spans="1:116" x14ac:dyDescent="0.25">
      <c r="A14" s="22" t="s">
        <v>52</v>
      </c>
      <c r="B14" s="222">
        <f>'ОЛ(4)'!O32</f>
        <v>0</v>
      </c>
      <c r="C14" s="222"/>
      <c r="E14" s="222" t="e">
        <f>VLOOKUP(TRUE,IF(B15="TOP-SD",AK4:AL13,IF(B15="Yonos MAXO-D",AM4:AN13,IF(B15="Stratos-D",AO4:AP13,FALSE))),2,FALSE)</f>
        <v>#N/A</v>
      </c>
      <c r="F14" s="222"/>
      <c r="I14" s="27">
        <f t="shared" si="8"/>
        <v>0</v>
      </c>
      <c r="J14" s="28">
        <v>150</v>
      </c>
      <c r="K14" s="28">
        <f t="shared" si="0"/>
        <v>2.6925299052784474E-2</v>
      </c>
      <c r="L14" s="28">
        <f t="shared" si="9"/>
        <v>0</v>
      </c>
      <c r="M14" s="28"/>
      <c r="N14" s="28" t="e">
        <f t="shared" si="10"/>
        <v>#DIV/0!</v>
      </c>
      <c r="O14" s="28">
        <v>150</v>
      </c>
      <c r="P14" s="28">
        <f t="shared" si="1"/>
        <v>2.6925299052784474E-2</v>
      </c>
      <c r="Q14" s="29" t="e">
        <f t="shared" si="2"/>
        <v>#DIV/0!</v>
      </c>
      <c r="R14" s="28">
        <f t="shared" si="11"/>
        <v>0</v>
      </c>
      <c r="S14" s="28">
        <v>150</v>
      </c>
      <c r="T14" s="28">
        <f t="shared" si="3"/>
        <v>2.6925299052784474E-2</v>
      </c>
      <c r="U14" s="29">
        <f t="shared" si="12"/>
        <v>0</v>
      </c>
      <c r="W14" s="27"/>
      <c r="X14" s="28"/>
      <c r="Y14" s="28"/>
      <c r="Z14" s="27" t="b">
        <f t="shared" si="4"/>
        <v>1</v>
      </c>
      <c r="AA14" s="42">
        <v>65</v>
      </c>
      <c r="AB14" s="29">
        <v>50</v>
      </c>
      <c r="AC14" s="27" t="b">
        <f t="shared" si="5"/>
        <v>1</v>
      </c>
      <c r="AD14" s="42">
        <v>65</v>
      </c>
      <c r="AE14" s="49">
        <v>63</v>
      </c>
      <c r="AF14" s="28" t="b">
        <f t="shared" si="6"/>
        <v>1</v>
      </c>
      <c r="AG14" s="42">
        <v>100</v>
      </c>
      <c r="AH14" s="29">
        <v>160</v>
      </c>
      <c r="AS14" s="27"/>
      <c r="AT14" s="28"/>
      <c r="AU14" s="28"/>
      <c r="AV14" s="28"/>
      <c r="AW14" s="144"/>
      <c r="AX14" s="27"/>
      <c r="AY14" s="28"/>
      <c r="AZ14" s="28"/>
      <c r="BA14" s="28"/>
      <c r="BB14" s="29"/>
      <c r="BC14" s="27"/>
      <c r="BD14" s="28"/>
      <c r="BE14" s="28"/>
      <c r="BF14" s="28"/>
      <c r="BG14" s="29"/>
      <c r="BH14" s="28"/>
      <c r="BI14" s="28"/>
      <c r="BJ14" s="28"/>
      <c r="BK14" s="28"/>
      <c r="BL14" s="29"/>
      <c r="BN14" s="133"/>
      <c r="BO14" s="45"/>
      <c r="BP14" s="139"/>
      <c r="BQ14" s="45" t="e">
        <f t="shared" si="21"/>
        <v>#N/A</v>
      </c>
      <c r="BR14" s="114" t="s">
        <v>113</v>
      </c>
      <c r="BS14" s="45">
        <v>150</v>
      </c>
      <c r="BT14" s="64"/>
      <c r="BU14" s="120" t="b">
        <f t="shared" si="22"/>
        <v>0</v>
      </c>
      <c r="BV14" s="114" t="s">
        <v>113</v>
      </c>
      <c r="BW14" s="45">
        <v>32</v>
      </c>
      <c r="BX14" s="53">
        <v>16</v>
      </c>
      <c r="BY14" s="139"/>
      <c r="BZ14" s="45"/>
      <c r="CA14" s="114"/>
      <c r="CB14" s="45"/>
      <c r="CC14" s="139"/>
      <c r="CD14" s="45" t="e">
        <f t="shared" si="24"/>
        <v>#N/A</v>
      </c>
      <c r="CE14" s="114" t="s">
        <v>113</v>
      </c>
      <c r="CF14" s="45">
        <v>150</v>
      </c>
      <c r="CG14" s="139"/>
      <c r="CH14" s="45" t="e">
        <f t="shared" si="25"/>
        <v>#N/A</v>
      </c>
      <c r="CI14" s="154">
        <v>11</v>
      </c>
      <c r="CJ14" s="68" t="s">
        <v>300</v>
      </c>
      <c r="CK14" s="45" t="e">
        <f t="shared" si="33"/>
        <v>#N/A</v>
      </c>
      <c r="CL14" s="154">
        <v>11</v>
      </c>
      <c r="CM14" s="68" t="s">
        <v>300</v>
      </c>
      <c r="CN14" s="45" t="e">
        <f t="shared" si="34"/>
        <v>#N/A</v>
      </c>
      <c r="CO14" s="154">
        <v>11</v>
      </c>
      <c r="CP14" s="68" t="s">
        <v>300</v>
      </c>
      <c r="CQ14" s="64"/>
      <c r="CR14" s="28"/>
      <c r="CS14" s="68"/>
      <c r="CT14" s="28"/>
      <c r="CU14" s="64"/>
      <c r="CV14" s="139"/>
      <c r="CW14" s="45"/>
      <c r="CX14" s="114"/>
      <c r="CY14" s="45"/>
      <c r="CZ14" s="64"/>
      <c r="DA14" s="45"/>
      <c r="DB14" s="114"/>
      <c r="DC14" s="45"/>
      <c r="DD14" s="64"/>
      <c r="DE14" s="45"/>
      <c r="DF14" s="114"/>
      <c r="DG14" s="45"/>
      <c r="DH14" s="64"/>
      <c r="DI14" s="45"/>
      <c r="DJ14" s="114"/>
      <c r="DK14" s="53"/>
    </row>
    <row r="15" spans="1:116" x14ac:dyDescent="0.25">
      <c r="A15" s="22" t="s">
        <v>59</v>
      </c>
      <c r="B15" s="222">
        <f>'ОЛ(4)'!I32</f>
        <v>0</v>
      </c>
      <c r="C15" s="222"/>
      <c r="I15" s="27">
        <f t="shared" si="8"/>
        <v>0</v>
      </c>
      <c r="J15" s="28">
        <v>200</v>
      </c>
      <c r="K15" s="28">
        <f t="shared" si="0"/>
        <v>2.4846042519733526E-2</v>
      </c>
      <c r="L15" s="28">
        <f t="shared" si="9"/>
        <v>0</v>
      </c>
      <c r="M15" s="28"/>
      <c r="N15" s="28" t="e">
        <f t="shared" si="10"/>
        <v>#DIV/0!</v>
      </c>
      <c r="O15" s="28">
        <v>200</v>
      </c>
      <c r="P15" s="28">
        <f t="shared" si="1"/>
        <v>2.4846042519733526E-2</v>
      </c>
      <c r="Q15" s="29" t="e">
        <f t="shared" si="2"/>
        <v>#DIV/0!</v>
      </c>
      <c r="R15" s="28">
        <f t="shared" si="11"/>
        <v>0</v>
      </c>
      <c r="S15" s="28">
        <v>200</v>
      </c>
      <c r="T15" s="28">
        <f t="shared" si="3"/>
        <v>2.4846042519733526E-2</v>
      </c>
      <c r="U15" s="29">
        <f t="shared" si="12"/>
        <v>0</v>
      </c>
      <c r="W15" s="27"/>
      <c r="X15" s="28"/>
      <c r="Y15" s="28"/>
      <c r="Z15" s="27" t="b">
        <f t="shared" si="4"/>
        <v>1</v>
      </c>
      <c r="AA15" s="42">
        <v>65</v>
      </c>
      <c r="AB15" s="29">
        <v>63</v>
      </c>
      <c r="AC15" s="27" t="b">
        <f t="shared" si="5"/>
        <v>1</v>
      </c>
      <c r="AD15" s="42">
        <v>80</v>
      </c>
      <c r="AE15" s="49">
        <v>80</v>
      </c>
      <c r="AF15" s="28" t="b">
        <f t="shared" si="6"/>
        <v>1</v>
      </c>
      <c r="AG15" s="42">
        <v>125</v>
      </c>
      <c r="AH15" s="29">
        <v>250</v>
      </c>
      <c r="AS15" s="27"/>
      <c r="AT15" s="28"/>
      <c r="AU15" s="28"/>
      <c r="AV15" s="28"/>
      <c r="AW15" s="144"/>
      <c r="AX15" s="27"/>
      <c r="AY15" s="28"/>
      <c r="AZ15" s="28"/>
      <c r="BA15" s="28"/>
      <c r="BB15" s="29"/>
      <c r="BC15" s="27"/>
      <c r="BD15" s="28"/>
      <c r="BE15" s="28"/>
      <c r="BF15" s="28"/>
      <c r="BG15" s="29"/>
      <c r="BH15" s="28"/>
      <c r="BI15" s="28"/>
      <c r="BJ15" s="28"/>
      <c r="BK15" s="28"/>
      <c r="BL15" s="29"/>
      <c r="BN15" s="133"/>
      <c r="BO15" s="45"/>
      <c r="BP15" s="139"/>
      <c r="BQ15" s="45" t="e">
        <f t="shared" si="21"/>
        <v>#N/A</v>
      </c>
      <c r="BR15" s="114" t="s">
        <v>114</v>
      </c>
      <c r="BS15" s="45">
        <v>200</v>
      </c>
      <c r="BT15" s="64"/>
      <c r="BU15" s="120" t="b">
        <f t="shared" si="22"/>
        <v>0</v>
      </c>
      <c r="BV15" s="114" t="s">
        <v>114</v>
      </c>
      <c r="BW15" s="45">
        <v>40</v>
      </c>
      <c r="BX15" s="53">
        <v>20</v>
      </c>
      <c r="BY15" s="139"/>
      <c r="BZ15" s="45"/>
      <c r="CA15" s="114"/>
      <c r="CB15" s="45"/>
      <c r="CC15" s="139"/>
      <c r="CD15" s="45" t="e">
        <f t="shared" si="24"/>
        <v>#N/A</v>
      </c>
      <c r="CE15" s="114" t="s">
        <v>114</v>
      </c>
      <c r="CF15" s="45">
        <v>200</v>
      </c>
      <c r="CG15" s="139"/>
      <c r="CH15" s="45"/>
      <c r="CI15" s="154"/>
      <c r="CJ15" s="28"/>
      <c r="CK15" s="28"/>
      <c r="CL15" s="28"/>
      <c r="CM15" s="28"/>
      <c r="CN15" s="28"/>
      <c r="CO15" s="28"/>
      <c r="CP15" s="28"/>
      <c r="CQ15" s="64"/>
      <c r="CR15" s="28"/>
      <c r="CS15" s="28"/>
      <c r="CT15" s="28"/>
      <c r="CU15" s="64"/>
      <c r="CV15" s="139"/>
      <c r="CW15" s="45"/>
      <c r="CX15" s="114"/>
      <c r="CY15" s="45"/>
      <c r="CZ15" s="64"/>
      <c r="DA15" s="45"/>
      <c r="DB15" s="114"/>
      <c r="DC15" s="45"/>
      <c r="DD15" s="64"/>
      <c r="DE15" s="45"/>
      <c r="DF15" s="114"/>
      <c r="DG15" s="45"/>
      <c r="DH15" s="64"/>
      <c r="DI15" s="45"/>
      <c r="DJ15" s="114"/>
      <c r="DK15" s="53"/>
    </row>
    <row r="16" spans="1:116" ht="15.75" thickBot="1" x14ac:dyDescent="0.3">
      <c r="A16" s="22" t="s">
        <v>297</v>
      </c>
      <c r="B16" s="222">
        <f>'ОЛ(4)'!U32</f>
        <v>0</v>
      </c>
      <c r="C16" s="222"/>
      <c r="E16" t="s">
        <v>89</v>
      </c>
      <c r="F16">
        <f>IF(B18="Отопление",11.7,IF(B18="Вентиляция",8.6,30))*B4/6</f>
        <v>0</v>
      </c>
      <c r="I16" s="27">
        <f t="shared" si="8"/>
        <v>0</v>
      </c>
      <c r="J16" s="28">
        <v>250</v>
      </c>
      <c r="K16" s="28">
        <f t="shared" si="0"/>
        <v>2.339473539768467E-2</v>
      </c>
      <c r="L16" s="28">
        <f t="shared" si="9"/>
        <v>0</v>
      </c>
      <c r="M16" s="28"/>
      <c r="N16" s="28" t="e">
        <f t="shared" si="10"/>
        <v>#DIV/0!</v>
      </c>
      <c r="O16" s="28">
        <v>250</v>
      </c>
      <c r="P16" s="28">
        <f t="shared" si="1"/>
        <v>2.339473539768467E-2</v>
      </c>
      <c r="Q16" s="29" t="e">
        <f t="shared" si="2"/>
        <v>#DIV/0!</v>
      </c>
      <c r="R16" s="28">
        <f t="shared" si="11"/>
        <v>0</v>
      </c>
      <c r="S16" s="28">
        <v>250</v>
      </c>
      <c r="T16" s="28">
        <f t="shared" si="3"/>
        <v>2.339473539768467E-2</v>
      </c>
      <c r="U16" s="29">
        <f t="shared" si="12"/>
        <v>0</v>
      </c>
      <c r="W16" s="27"/>
      <c r="X16" s="28"/>
      <c r="Y16" s="28"/>
      <c r="Z16" s="27" t="b">
        <f t="shared" si="4"/>
        <v>1</v>
      </c>
      <c r="AA16" s="42">
        <v>80</v>
      </c>
      <c r="AB16" s="29">
        <v>80</v>
      </c>
      <c r="AC16" s="27" t="b">
        <f t="shared" si="5"/>
        <v>1</v>
      </c>
      <c r="AD16" s="42">
        <v>80</v>
      </c>
      <c r="AE16" s="49">
        <v>100</v>
      </c>
      <c r="AF16" s="28" t="b">
        <f t="shared" si="6"/>
        <v>1</v>
      </c>
      <c r="AG16" s="42">
        <v>150</v>
      </c>
      <c r="AH16" s="29">
        <v>400</v>
      </c>
      <c r="AS16" s="31"/>
      <c r="AT16" s="33"/>
      <c r="AU16" s="33"/>
      <c r="AV16" s="33"/>
      <c r="AW16" s="145"/>
      <c r="AX16" s="31"/>
      <c r="AY16" s="33"/>
      <c r="AZ16" s="33"/>
      <c r="BA16" s="33"/>
      <c r="BB16" s="34"/>
      <c r="BC16" s="31"/>
      <c r="BD16" s="33"/>
      <c r="BE16" s="33"/>
      <c r="BF16" s="33"/>
      <c r="BG16" s="34"/>
      <c r="BH16" s="33"/>
      <c r="BI16" s="33"/>
      <c r="BJ16" s="33"/>
      <c r="BK16" s="33"/>
      <c r="BL16" s="34"/>
      <c r="BN16" s="133"/>
      <c r="BO16" s="45"/>
      <c r="BP16" s="139"/>
      <c r="BQ16" s="45"/>
      <c r="BR16" s="114"/>
      <c r="BS16" s="45"/>
      <c r="BT16" s="64"/>
      <c r="BU16" s="120" t="b">
        <f t="shared" si="22"/>
        <v>0</v>
      </c>
      <c r="BV16" s="114" t="s">
        <v>115</v>
      </c>
      <c r="BW16" s="45">
        <v>40</v>
      </c>
      <c r="BX16" s="53">
        <v>25</v>
      </c>
      <c r="BY16" s="139"/>
      <c r="BZ16" s="45"/>
      <c r="CA16" s="114"/>
      <c r="CB16" s="45"/>
      <c r="CC16" s="64"/>
      <c r="CD16" s="28"/>
      <c r="CE16" s="28"/>
      <c r="CF16" s="28"/>
      <c r="CG16" s="64"/>
      <c r="CH16" s="45"/>
      <c r="CI16" s="28"/>
      <c r="CJ16" s="28"/>
      <c r="CK16" s="28"/>
      <c r="CL16" s="28"/>
      <c r="CM16" s="28"/>
      <c r="CN16" s="28"/>
      <c r="CO16" s="28"/>
      <c r="CP16" s="28"/>
      <c r="CQ16" s="64"/>
      <c r="CR16" s="28"/>
      <c r="CS16" s="28"/>
      <c r="CT16" s="28"/>
      <c r="CU16" s="64"/>
      <c r="CV16" s="64"/>
      <c r="CW16" s="28"/>
      <c r="CX16" s="28"/>
      <c r="CY16" s="28"/>
      <c r="CZ16" s="64"/>
      <c r="DA16" s="28"/>
      <c r="DB16" s="28"/>
      <c r="DC16" s="28"/>
      <c r="DD16" s="64"/>
      <c r="DE16" s="28"/>
      <c r="DF16" s="28"/>
      <c r="DG16" s="28"/>
      <c r="DH16" s="64"/>
      <c r="DI16" s="28"/>
      <c r="DJ16" s="28"/>
      <c r="DK16" s="29"/>
    </row>
    <row r="17" spans="1:115" x14ac:dyDescent="0.25">
      <c r="A17" s="22" t="s">
        <v>294</v>
      </c>
      <c r="B17" s="222">
        <f>'ОЛ(4)'!AA32</f>
        <v>0</v>
      </c>
      <c r="C17" s="222"/>
      <c r="E17" t="s">
        <v>346</v>
      </c>
      <c r="F17" t="e">
        <f>VLOOKUP(1,R4:U17,2,FALSE)</f>
        <v>#N/A</v>
      </c>
      <c r="I17" s="27">
        <f t="shared" si="8"/>
        <v>0</v>
      </c>
      <c r="J17" s="28">
        <v>300</v>
      </c>
      <c r="K17" s="28">
        <f t="shared" si="0"/>
        <v>2.2301284149115197E-2</v>
      </c>
      <c r="L17" s="28">
        <f t="shared" si="9"/>
        <v>0</v>
      </c>
      <c r="M17" s="28"/>
      <c r="N17" s="28" t="e">
        <f t="shared" si="10"/>
        <v>#DIV/0!</v>
      </c>
      <c r="O17" s="28">
        <v>300</v>
      </c>
      <c r="P17" s="28">
        <f t="shared" si="1"/>
        <v>2.2301284149115197E-2</v>
      </c>
      <c r="Q17" s="29" t="e">
        <f t="shared" si="2"/>
        <v>#DIV/0!</v>
      </c>
      <c r="R17" s="28">
        <f t="shared" si="11"/>
        <v>0</v>
      </c>
      <c r="S17" s="28">
        <v>300</v>
      </c>
      <c r="T17" s="28">
        <f t="shared" si="3"/>
        <v>2.2301284149115197E-2</v>
      </c>
      <c r="U17" s="29">
        <f t="shared" si="12"/>
        <v>0</v>
      </c>
      <c r="W17" s="27"/>
      <c r="X17" s="28"/>
      <c r="Y17" s="28"/>
      <c r="Z17" s="27" t="b">
        <f t="shared" si="4"/>
        <v>1</v>
      </c>
      <c r="AA17" s="42">
        <v>80</v>
      </c>
      <c r="AB17" s="29">
        <v>100</v>
      </c>
      <c r="AC17" s="48" t="b">
        <f t="shared" si="5"/>
        <v>1</v>
      </c>
      <c r="AD17" s="42">
        <v>100</v>
      </c>
      <c r="AE17" s="49">
        <v>125</v>
      </c>
      <c r="AF17" s="28"/>
      <c r="AG17" s="28"/>
      <c r="AH17" s="29"/>
      <c r="AS17" s="28"/>
      <c r="AT17" s="28"/>
      <c r="AU17" s="28"/>
      <c r="BN17" s="133"/>
      <c r="BO17" s="45"/>
      <c r="BP17" s="139"/>
      <c r="BQ17" s="45"/>
      <c r="BR17" s="114"/>
      <c r="BS17" s="45"/>
      <c r="BT17" s="64"/>
      <c r="BU17" s="120" t="b">
        <f t="shared" si="22"/>
        <v>0</v>
      </c>
      <c r="BV17" s="114" t="s">
        <v>116</v>
      </c>
      <c r="BW17" s="45">
        <v>50</v>
      </c>
      <c r="BX17" s="53">
        <v>31.5</v>
      </c>
      <c r="BY17" s="139"/>
      <c r="BZ17" s="45"/>
      <c r="CA17" s="114"/>
      <c r="CB17" s="45"/>
      <c r="CC17" s="64"/>
      <c r="CD17" s="28"/>
      <c r="CE17" s="28"/>
      <c r="CF17" s="28"/>
      <c r="CG17" s="64"/>
      <c r="CH17" s="45"/>
      <c r="CI17" s="28"/>
      <c r="CJ17" s="28"/>
      <c r="CK17" s="28"/>
      <c r="CL17" s="28"/>
      <c r="CM17" s="28"/>
      <c r="CN17" s="28"/>
      <c r="CO17" s="28"/>
      <c r="CP17" s="28"/>
      <c r="CQ17" s="64"/>
      <c r="CR17" s="28"/>
      <c r="CS17" s="28"/>
      <c r="CT17" s="28"/>
      <c r="CU17" s="64"/>
      <c r="CV17" s="64"/>
      <c r="CW17" s="28"/>
      <c r="CX17" s="28"/>
      <c r="CY17" s="28"/>
      <c r="CZ17" s="64"/>
      <c r="DA17" s="28"/>
      <c r="DB17" s="28"/>
      <c r="DC17" s="28"/>
      <c r="DD17" s="64"/>
      <c r="DE17" s="28"/>
      <c r="DF17" s="28"/>
      <c r="DG17" s="28"/>
      <c r="DH17" s="64"/>
      <c r="DI17" s="28"/>
      <c r="DJ17" s="28"/>
      <c r="DK17" s="29"/>
    </row>
    <row r="18" spans="1:115" x14ac:dyDescent="0.25">
      <c r="A18" s="22" t="s">
        <v>345</v>
      </c>
      <c r="B18" s="222" t="str">
        <f>'ОЛ(4)'!A16</f>
        <v>Отопление</v>
      </c>
      <c r="C18" s="222"/>
      <c r="I18" s="27"/>
      <c r="J18" s="28"/>
      <c r="K18" s="28"/>
      <c r="L18" s="28"/>
      <c r="M18" s="28"/>
      <c r="N18" s="28"/>
      <c r="O18" s="28"/>
      <c r="P18" s="28"/>
      <c r="Q18" s="29"/>
      <c r="R18" s="28"/>
      <c r="S18" s="28"/>
      <c r="T18" s="28"/>
      <c r="U18" s="29"/>
      <c r="W18" s="27"/>
      <c r="X18" s="28"/>
      <c r="Y18" s="28"/>
      <c r="Z18" s="48" t="b">
        <f t="shared" si="4"/>
        <v>1</v>
      </c>
      <c r="AA18" s="42">
        <v>100</v>
      </c>
      <c r="AB18" s="29">
        <v>125</v>
      </c>
      <c r="AC18" s="48" t="b">
        <f t="shared" si="5"/>
        <v>1</v>
      </c>
      <c r="AD18" s="42">
        <v>100</v>
      </c>
      <c r="AE18" s="49">
        <v>160</v>
      </c>
      <c r="AF18" s="28"/>
      <c r="AG18" s="28"/>
      <c r="AH18" s="29"/>
      <c r="BN18" s="133"/>
      <c r="BO18" s="45"/>
      <c r="BP18" s="139"/>
      <c r="BQ18" s="45"/>
      <c r="BR18" s="114"/>
      <c r="BS18" s="45"/>
      <c r="BT18" s="64"/>
      <c r="BU18" s="120" t="b">
        <f t="shared" si="22"/>
        <v>0</v>
      </c>
      <c r="BV18" s="114" t="s">
        <v>117</v>
      </c>
      <c r="BW18" s="45">
        <v>50</v>
      </c>
      <c r="BX18" s="53">
        <v>40</v>
      </c>
      <c r="BY18" s="139"/>
      <c r="BZ18" s="45"/>
      <c r="CA18" s="114"/>
      <c r="CB18" s="45"/>
      <c r="CC18" s="64"/>
      <c r="CD18" s="28"/>
      <c r="CE18" s="28"/>
      <c r="CF18" s="28"/>
      <c r="CG18" s="64"/>
      <c r="CH18" s="45"/>
      <c r="CI18" s="28"/>
      <c r="CJ18" s="28"/>
      <c r="CK18" s="28"/>
      <c r="CL18" s="28"/>
      <c r="CM18" s="28"/>
      <c r="CN18" s="28"/>
      <c r="CO18" s="28"/>
      <c r="CP18" s="28"/>
      <c r="CQ18" s="64"/>
      <c r="CR18" s="28"/>
      <c r="CS18" s="28"/>
      <c r="CT18" s="28"/>
      <c r="CU18" s="64"/>
      <c r="CV18" s="64"/>
      <c r="CW18" s="28"/>
      <c r="CX18" s="28"/>
      <c r="CY18" s="28"/>
      <c r="CZ18" s="64"/>
      <c r="DA18" s="28"/>
      <c r="DB18" s="28"/>
      <c r="DC18" s="28"/>
      <c r="DD18" s="64"/>
      <c r="DE18" s="28"/>
      <c r="DF18" s="28"/>
      <c r="DG18" s="28"/>
      <c r="DH18" s="64"/>
      <c r="DI18" s="28"/>
      <c r="DJ18" s="28"/>
      <c r="DK18" s="29"/>
    </row>
    <row r="19" spans="1:115" x14ac:dyDescent="0.25">
      <c r="A19" s="22"/>
      <c r="C19" s="23"/>
      <c r="I19" s="27"/>
      <c r="J19" s="30"/>
      <c r="K19" s="28"/>
      <c r="L19" s="28"/>
      <c r="M19" s="28"/>
      <c r="N19" s="28"/>
      <c r="O19" s="28"/>
      <c r="P19" s="28"/>
      <c r="Q19" s="29"/>
      <c r="R19" s="28"/>
      <c r="S19" s="28"/>
      <c r="T19" s="28"/>
      <c r="U19" s="29"/>
      <c r="W19" s="27"/>
      <c r="X19" s="28"/>
      <c r="Y19" s="28"/>
      <c r="Z19" s="48" t="b">
        <f t="shared" si="4"/>
        <v>1</v>
      </c>
      <c r="AA19" s="28">
        <v>100</v>
      </c>
      <c r="AB19" s="29">
        <v>160</v>
      </c>
      <c r="AC19" s="48" t="b">
        <f t="shared" si="5"/>
        <v>1</v>
      </c>
      <c r="AD19" s="42">
        <v>125</v>
      </c>
      <c r="AE19" s="49">
        <v>200</v>
      </c>
      <c r="AF19" s="28"/>
      <c r="AG19" s="28"/>
      <c r="AH19" s="29"/>
      <c r="BN19" s="133"/>
      <c r="BO19" s="45"/>
      <c r="BP19" s="139"/>
      <c r="BQ19" s="45"/>
      <c r="BR19" s="114"/>
      <c r="BS19" s="45"/>
      <c r="BT19" s="64"/>
      <c r="BU19" s="120" t="b">
        <f t="shared" si="22"/>
        <v>0</v>
      </c>
      <c r="BV19" s="114" t="s">
        <v>118</v>
      </c>
      <c r="BW19" s="45">
        <v>65</v>
      </c>
      <c r="BX19" s="53">
        <v>50</v>
      </c>
      <c r="BY19" s="139"/>
      <c r="BZ19" s="45"/>
      <c r="CA19" s="114"/>
      <c r="CB19" s="45"/>
      <c r="CC19" s="64"/>
      <c r="CD19" s="28"/>
      <c r="CE19" s="28"/>
      <c r="CF19" s="28"/>
      <c r="CG19" s="64"/>
      <c r="CH19" s="28"/>
      <c r="CI19" s="28"/>
      <c r="CJ19" s="28"/>
      <c r="CK19" s="28"/>
      <c r="CL19" s="28"/>
      <c r="CM19" s="28"/>
      <c r="CN19" s="28"/>
      <c r="CO19" s="28"/>
      <c r="CP19" s="28"/>
      <c r="CQ19" s="64"/>
      <c r="CR19" s="28"/>
      <c r="CS19" s="28"/>
      <c r="CT19" s="28"/>
      <c r="CU19" s="64"/>
      <c r="CV19" s="64"/>
      <c r="CW19" s="28"/>
      <c r="CX19" s="28"/>
      <c r="CY19" s="28"/>
      <c r="CZ19" s="64"/>
      <c r="DA19" s="28"/>
      <c r="DB19" s="28"/>
      <c r="DC19" s="28"/>
      <c r="DD19" s="64"/>
      <c r="DE19" s="28"/>
      <c r="DF19" s="28"/>
      <c r="DG19" s="28"/>
      <c r="DH19" s="64"/>
      <c r="DI19" s="28"/>
      <c r="DJ19" s="28"/>
      <c r="DK19" s="29"/>
    </row>
    <row r="20" spans="1:115" x14ac:dyDescent="0.25">
      <c r="A20" s="22"/>
      <c r="C20" s="23"/>
      <c r="I20" s="27"/>
      <c r="J20" s="30" t="s">
        <v>39</v>
      </c>
      <c r="K20" s="28">
        <v>958.4</v>
      </c>
      <c r="L20" s="28"/>
      <c r="M20" s="28"/>
      <c r="N20" s="28"/>
      <c r="O20" s="28"/>
      <c r="P20" s="28"/>
      <c r="Q20" s="29"/>
      <c r="R20" s="28"/>
      <c r="S20" s="28"/>
      <c r="T20" s="28"/>
      <c r="U20" s="29"/>
      <c r="W20" s="27"/>
      <c r="X20" s="28"/>
      <c r="Y20" s="28"/>
      <c r="Z20" s="48" t="b">
        <f t="shared" si="4"/>
        <v>1</v>
      </c>
      <c r="AA20" s="28">
        <v>125</v>
      </c>
      <c r="AB20" s="29">
        <v>250</v>
      </c>
      <c r="AC20" s="48" t="b">
        <f t="shared" si="5"/>
        <v>1</v>
      </c>
      <c r="AD20" s="42">
        <v>125</v>
      </c>
      <c r="AE20" s="49">
        <v>250</v>
      </c>
      <c r="AF20" s="28"/>
      <c r="AG20" s="28"/>
      <c r="AH20" s="29"/>
      <c r="BN20" s="133"/>
      <c r="BO20" s="45"/>
      <c r="BP20" s="139"/>
      <c r="BQ20" s="45"/>
      <c r="BR20" s="114"/>
      <c r="BS20" s="45"/>
      <c r="BT20" s="64"/>
      <c r="BU20" s="120" t="b">
        <f t="shared" si="22"/>
        <v>0</v>
      </c>
      <c r="BV20" s="114" t="s">
        <v>119</v>
      </c>
      <c r="BW20" s="45">
        <v>65</v>
      </c>
      <c r="BX20" s="53">
        <v>63</v>
      </c>
      <c r="BY20" s="139"/>
      <c r="BZ20" s="45"/>
      <c r="CA20" s="114"/>
      <c r="CB20" s="45"/>
      <c r="CC20" s="64"/>
      <c r="CD20" s="28"/>
      <c r="CE20" s="28"/>
      <c r="CF20" s="28"/>
      <c r="CG20" s="64"/>
      <c r="CH20" s="28"/>
      <c r="CI20" s="28"/>
      <c r="CJ20" s="28"/>
      <c r="CK20" s="28"/>
      <c r="CL20" s="28"/>
      <c r="CM20" s="28"/>
      <c r="CN20" s="28"/>
      <c r="CO20" s="28"/>
      <c r="CP20" s="28"/>
      <c r="CQ20" s="64"/>
      <c r="CR20" s="28"/>
      <c r="CS20" s="28"/>
      <c r="CT20" s="28"/>
      <c r="CU20" s="64"/>
      <c r="CV20" s="64"/>
      <c r="CW20" s="28"/>
      <c r="CX20" s="28"/>
      <c r="CY20" s="28"/>
      <c r="CZ20" s="64"/>
      <c r="DA20" s="28"/>
      <c r="DB20" s="28"/>
      <c r="DC20" s="28"/>
      <c r="DD20" s="64"/>
      <c r="DE20" s="28"/>
      <c r="DF20" s="28"/>
      <c r="DG20" s="28"/>
      <c r="DH20" s="64"/>
      <c r="DI20" s="28"/>
      <c r="DJ20" s="28"/>
      <c r="DK20" s="29"/>
    </row>
    <row r="21" spans="1:115" x14ac:dyDescent="0.25">
      <c r="I21" s="27"/>
      <c r="J21" s="30" t="s">
        <v>40</v>
      </c>
      <c r="K21" s="28">
        <v>0.5</v>
      </c>
      <c r="L21" s="28"/>
      <c r="M21" s="28"/>
      <c r="N21" s="28"/>
      <c r="O21" s="28"/>
      <c r="P21" s="28"/>
      <c r="Q21" s="29"/>
      <c r="R21" s="28"/>
      <c r="S21" s="28"/>
      <c r="T21" s="28"/>
      <c r="U21" s="29"/>
      <c r="W21" s="27"/>
      <c r="X21" s="28"/>
      <c r="Y21" s="28"/>
      <c r="Z21" s="48" t="b">
        <f t="shared" si="4"/>
        <v>1</v>
      </c>
      <c r="AA21" s="28">
        <v>150</v>
      </c>
      <c r="AB21" s="29">
        <v>315</v>
      </c>
      <c r="AC21" s="48" t="b">
        <f t="shared" si="5"/>
        <v>1</v>
      </c>
      <c r="AD21" s="42">
        <v>150</v>
      </c>
      <c r="AE21" s="49">
        <v>315</v>
      </c>
      <c r="AF21" s="28"/>
      <c r="AG21" s="28"/>
      <c r="AH21" s="29"/>
      <c r="BN21" s="133"/>
      <c r="BO21" s="45"/>
      <c r="BP21" s="139"/>
      <c r="BQ21" s="45"/>
      <c r="BR21" s="114"/>
      <c r="BS21" s="45"/>
      <c r="BT21" s="64"/>
      <c r="BU21" s="120" t="b">
        <f t="shared" si="22"/>
        <v>0</v>
      </c>
      <c r="BV21" s="114" t="s">
        <v>120</v>
      </c>
      <c r="BW21" s="45">
        <v>80</v>
      </c>
      <c r="BX21" s="53">
        <v>80</v>
      </c>
      <c r="BY21" s="139"/>
      <c r="BZ21" s="45"/>
      <c r="CA21" s="114"/>
      <c r="CB21" s="45"/>
      <c r="CC21" s="64"/>
      <c r="CD21" s="28"/>
      <c r="CE21" s="28"/>
      <c r="CF21" s="28"/>
      <c r="CG21" s="64"/>
      <c r="CH21" s="28"/>
      <c r="CI21" s="28"/>
      <c r="CJ21" s="28"/>
      <c r="CK21" s="28"/>
      <c r="CL21" s="28"/>
      <c r="CM21" s="28"/>
      <c r="CN21" s="28"/>
      <c r="CO21" s="28"/>
      <c r="CP21" s="28"/>
      <c r="CQ21" s="64"/>
      <c r="CR21" s="28"/>
      <c r="CS21" s="28"/>
      <c r="CT21" s="28"/>
      <c r="CU21" s="64"/>
      <c r="CV21" s="64"/>
      <c r="CW21" s="28"/>
      <c r="CX21" s="28"/>
      <c r="CY21" s="28"/>
      <c r="CZ21" s="64"/>
      <c r="DA21" s="28"/>
      <c r="DB21" s="28"/>
      <c r="DC21" s="28"/>
      <c r="DD21" s="64"/>
      <c r="DE21" s="28"/>
      <c r="DF21" s="28"/>
      <c r="DG21" s="28"/>
      <c r="DH21" s="64"/>
      <c r="DI21" s="28"/>
      <c r="DJ21" s="28"/>
      <c r="DK21" s="29"/>
    </row>
    <row r="22" spans="1:115" ht="15.75" thickBot="1" x14ac:dyDescent="0.3">
      <c r="I22" s="31"/>
      <c r="J22" s="32"/>
      <c r="K22" s="33"/>
      <c r="L22" s="33"/>
      <c r="M22" s="33"/>
      <c r="N22" s="33"/>
      <c r="O22" s="33"/>
      <c r="P22" s="33"/>
      <c r="Q22" s="34"/>
      <c r="R22" s="33"/>
      <c r="S22" s="33"/>
      <c r="T22" s="33"/>
      <c r="U22" s="34"/>
      <c r="W22" s="31"/>
      <c r="X22" s="33"/>
      <c r="Y22" s="33"/>
      <c r="Z22" s="31"/>
      <c r="AA22" s="33"/>
      <c r="AB22" s="34"/>
      <c r="AC22" s="50" t="b">
        <f t="shared" si="5"/>
        <v>1</v>
      </c>
      <c r="AD22" s="46">
        <v>150</v>
      </c>
      <c r="AE22" s="51">
        <v>400</v>
      </c>
      <c r="AF22" s="33"/>
      <c r="AG22" s="33"/>
      <c r="AH22" s="34"/>
      <c r="BN22" s="133"/>
      <c r="BO22" s="45"/>
      <c r="BP22" s="139"/>
      <c r="BQ22" s="45"/>
      <c r="BR22" s="114"/>
      <c r="BS22" s="45"/>
      <c r="BT22" s="64"/>
      <c r="BU22" s="120" t="b">
        <f t="shared" si="22"/>
        <v>0</v>
      </c>
      <c r="BV22" s="114" t="s">
        <v>121</v>
      </c>
      <c r="BW22" s="45">
        <v>80</v>
      </c>
      <c r="BX22" s="53">
        <v>100</v>
      </c>
      <c r="BY22" s="139"/>
      <c r="BZ22" s="45"/>
      <c r="CA22" s="114"/>
      <c r="CB22" s="45"/>
      <c r="CC22" s="64"/>
      <c r="CD22" s="28"/>
      <c r="CE22" s="28"/>
      <c r="CF22" s="28"/>
      <c r="CG22" s="64"/>
      <c r="CH22" s="28"/>
      <c r="CI22" s="28"/>
      <c r="CJ22" s="28"/>
      <c r="CK22" s="28"/>
      <c r="CL22" s="28"/>
      <c r="CM22" s="28"/>
      <c r="CN22" s="28"/>
      <c r="CO22" s="28"/>
      <c r="CP22" s="28"/>
      <c r="CQ22" s="64"/>
      <c r="CR22" s="28"/>
      <c r="CS22" s="28"/>
      <c r="CT22" s="28"/>
      <c r="CU22" s="64"/>
      <c r="CV22" s="64"/>
      <c r="CW22" s="28"/>
      <c r="CX22" s="28"/>
      <c r="CY22" s="28"/>
      <c r="CZ22" s="64"/>
      <c r="DA22" s="28"/>
      <c r="DB22" s="28"/>
      <c r="DC22" s="28"/>
      <c r="DD22" s="64"/>
      <c r="DE22" s="28"/>
      <c r="DF22" s="28"/>
      <c r="DG22" s="28"/>
      <c r="DH22" s="64"/>
      <c r="DI22" s="28"/>
      <c r="DJ22" s="28"/>
      <c r="DK22" s="29"/>
    </row>
    <row r="23" spans="1:115" x14ac:dyDescent="0.25">
      <c r="BN23" s="133"/>
      <c r="BO23" s="45"/>
      <c r="BP23" s="139"/>
      <c r="BQ23" s="45"/>
      <c r="BR23" s="114"/>
      <c r="BS23" s="45"/>
      <c r="BT23" s="64"/>
      <c r="BU23" s="120" t="b">
        <f t="shared" si="22"/>
        <v>0</v>
      </c>
      <c r="BV23" s="114" t="s">
        <v>122</v>
      </c>
      <c r="BW23" s="45">
        <v>100</v>
      </c>
      <c r="BX23" s="53">
        <v>125</v>
      </c>
      <c r="BY23" s="139"/>
      <c r="BZ23" s="45"/>
      <c r="CA23" s="114"/>
      <c r="CB23" s="45"/>
      <c r="CC23" s="64"/>
      <c r="CD23" s="28"/>
      <c r="CE23" s="28"/>
      <c r="CF23" s="28"/>
      <c r="CG23" s="64"/>
      <c r="CH23" s="28"/>
      <c r="CI23" s="28"/>
      <c r="CJ23" s="28"/>
      <c r="CK23" s="28"/>
      <c r="CL23" s="28"/>
      <c r="CM23" s="28"/>
      <c r="CN23" s="28"/>
      <c r="CO23" s="28"/>
      <c r="CP23" s="28"/>
      <c r="CQ23" s="64"/>
      <c r="CR23" s="28"/>
      <c r="CS23" s="28"/>
      <c r="CT23" s="28"/>
      <c r="CU23" s="64"/>
      <c r="CV23" s="64"/>
      <c r="CW23" s="28"/>
      <c r="CX23" s="28"/>
      <c r="CY23" s="28"/>
      <c r="CZ23" s="64"/>
      <c r="DA23" s="28"/>
      <c r="DB23" s="28"/>
      <c r="DC23" s="28"/>
      <c r="DD23" s="64"/>
      <c r="DE23" s="28"/>
      <c r="DF23" s="28"/>
      <c r="DG23" s="28"/>
      <c r="DH23" s="64"/>
      <c r="DI23" s="28"/>
      <c r="DJ23" s="28"/>
      <c r="DK23" s="29"/>
    </row>
    <row r="24" spans="1:115" x14ac:dyDescent="0.25">
      <c r="BN24" s="133"/>
      <c r="BO24" s="45"/>
      <c r="BP24" s="139"/>
      <c r="BQ24" s="45"/>
      <c r="BR24" s="114"/>
      <c r="BS24" s="45"/>
      <c r="BT24" s="64"/>
      <c r="BU24" s="120" t="b">
        <f t="shared" si="22"/>
        <v>0</v>
      </c>
      <c r="BV24" s="114" t="s">
        <v>123</v>
      </c>
      <c r="BW24" s="45">
        <v>100</v>
      </c>
      <c r="BX24" s="53">
        <v>160</v>
      </c>
      <c r="BY24" s="139"/>
      <c r="BZ24" s="45"/>
      <c r="CA24" s="114"/>
      <c r="CB24" s="45"/>
      <c r="CC24" s="64"/>
      <c r="CD24" s="28"/>
      <c r="CE24" s="28"/>
      <c r="CF24" s="28"/>
      <c r="CG24" s="64"/>
      <c r="CH24" s="28"/>
      <c r="CI24" s="28"/>
      <c r="CJ24" s="28"/>
      <c r="CK24" s="28"/>
      <c r="CL24" s="28"/>
      <c r="CM24" s="28"/>
      <c r="CN24" s="28"/>
      <c r="CO24" s="28"/>
      <c r="CP24" s="28"/>
      <c r="CQ24" s="64"/>
      <c r="CR24" s="28"/>
      <c r="CS24" s="28"/>
      <c r="CT24" s="28"/>
      <c r="CU24" s="64"/>
      <c r="CV24" s="64"/>
      <c r="CW24" s="28"/>
      <c r="CX24" s="28"/>
      <c r="CY24" s="28"/>
      <c r="CZ24" s="64"/>
      <c r="DA24" s="28"/>
      <c r="DB24" s="28"/>
      <c r="DC24" s="28"/>
      <c r="DD24" s="64"/>
      <c r="DE24" s="28"/>
      <c r="DF24" s="28"/>
      <c r="DG24" s="28"/>
      <c r="DH24" s="64"/>
      <c r="DI24" s="28"/>
      <c r="DJ24" s="28"/>
      <c r="DK24" s="29"/>
    </row>
    <row r="25" spans="1:115" x14ac:dyDescent="0.25">
      <c r="BN25" s="133"/>
      <c r="BO25" s="45"/>
      <c r="BP25" s="139"/>
      <c r="BQ25" s="45"/>
      <c r="BR25" s="114"/>
      <c r="BS25" s="45"/>
      <c r="BT25" s="64"/>
      <c r="BU25" s="120" t="b">
        <f t="shared" si="22"/>
        <v>0</v>
      </c>
      <c r="BV25" s="114" t="s">
        <v>128</v>
      </c>
      <c r="BW25" s="45">
        <v>125</v>
      </c>
      <c r="BX25" s="53">
        <v>250</v>
      </c>
      <c r="BY25" s="139"/>
      <c r="BZ25" s="45"/>
      <c r="CA25" s="114"/>
      <c r="CB25" s="45"/>
      <c r="CC25" s="64"/>
      <c r="CD25" s="28"/>
      <c r="CE25" s="28"/>
      <c r="CF25" s="28"/>
      <c r="CG25" s="64"/>
      <c r="CH25" s="28"/>
      <c r="CI25" s="28"/>
      <c r="CJ25" s="28"/>
      <c r="CK25" s="28"/>
      <c r="CL25" s="28"/>
      <c r="CM25" s="28"/>
      <c r="CN25" s="28"/>
      <c r="CO25" s="28"/>
      <c r="CP25" s="28"/>
      <c r="CQ25" s="64"/>
      <c r="CR25" s="28"/>
      <c r="CS25" s="28"/>
      <c r="CT25" s="28"/>
      <c r="CU25" s="64"/>
      <c r="CV25" s="64"/>
      <c r="CW25" s="28"/>
      <c r="CX25" s="28"/>
      <c r="CY25" s="28"/>
      <c r="CZ25" s="64"/>
      <c r="DA25" s="28"/>
      <c r="DB25" s="28"/>
      <c r="DC25" s="28"/>
      <c r="DD25" s="64"/>
      <c r="DE25" s="28"/>
      <c r="DF25" s="28"/>
      <c r="DG25" s="28"/>
      <c r="DH25" s="64"/>
      <c r="DI25" s="28"/>
      <c r="DJ25" s="28"/>
      <c r="DK25" s="29"/>
    </row>
    <row r="26" spans="1:115" ht="15.75" thickBot="1" x14ac:dyDescent="0.3">
      <c r="BN26" s="136"/>
      <c r="BO26" s="52"/>
      <c r="BP26" s="140"/>
      <c r="BQ26" s="52"/>
      <c r="BR26" s="137"/>
      <c r="BS26" s="52"/>
      <c r="BT26" s="65"/>
      <c r="BU26" s="129" t="b">
        <f t="shared" si="22"/>
        <v>0</v>
      </c>
      <c r="BV26" s="137" t="s">
        <v>129</v>
      </c>
      <c r="BW26" s="52">
        <v>150</v>
      </c>
      <c r="BX26" s="159">
        <v>315</v>
      </c>
      <c r="BY26" s="140"/>
      <c r="BZ26" s="52"/>
      <c r="CA26" s="137"/>
      <c r="CB26" s="52"/>
      <c r="CC26" s="65"/>
      <c r="CD26" s="33"/>
      <c r="CE26" s="33"/>
      <c r="CF26" s="33"/>
      <c r="CG26" s="65"/>
      <c r="CH26" s="33"/>
      <c r="CI26" s="33"/>
      <c r="CJ26" s="33"/>
      <c r="CK26" s="33"/>
      <c r="CL26" s="33"/>
      <c r="CM26" s="33"/>
      <c r="CN26" s="33"/>
      <c r="CO26" s="33"/>
      <c r="CP26" s="33"/>
      <c r="CQ26" s="65"/>
      <c r="CR26" s="33"/>
      <c r="CS26" s="33"/>
      <c r="CT26" s="33"/>
      <c r="CU26" s="65"/>
      <c r="CV26" s="65"/>
      <c r="CW26" s="33"/>
      <c r="CX26" s="33"/>
      <c r="CY26" s="33"/>
      <c r="CZ26" s="65"/>
      <c r="DA26" s="33"/>
      <c r="DB26" s="33"/>
      <c r="DC26" s="33"/>
      <c r="DD26" s="65"/>
      <c r="DE26" s="33"/>
      <c r="DF26" s="33"/>
      <c r="DG26" s="33"/>
      <c r="DH26" s="65"/>
      <c r="DI26" s="33"/>
      <c r="DJ26" s="33"/>
      <c r="DK26" s="34"/>
    </row>
  </sheetData>
  <mergeCells count="28">
    <mergeCell ref="B18:C18"/>
    <mergeCell ref="I2:U2"/>
    <mergeCell ref="BR2:BS2"/>
    <mergeCell ref="W2:AH2"/>
    <mergeCell ref="AJ2:AM2"/>
    <mergeCell ref="AS2:BL2"/>
    <mergeCell ref="BN2:BO2"/>
    <mergeCell ref="B14:C14"/>
    <mergeCell ref="E14:F14"/>
    <mergeCell ref="B15:C15"/>
    <mergeCell ref="B16:C16"/>
    <mergeCell ref="B17:C17"/>
    <mergeCell ref="DA2:DC2"/>
    <mergeCell ref="DE2:DG2"/>
    <mergeCell ref="DI2:DK2"/>
    <mergeCell ref="Z3:AB3"/>
    <mergeCell ref="AC3:AE3"/>
    <mergeCell ref="AF3:AH3"/>
    <mergeCell ref="AS3:AW3"/>
    <mergeCell ref="AX3:BB3"/>
    <mergeCell ref="BC3:BG3"/>
    <mergeCell ref="BH3:BL3"/>
    <mergeCell ref="BV2:BX2"/>
    <mergeCell ref="CA2:CB2"/>
    <mergeCell ref="CE2:CF2"/>
    <mergeCell ref="CI2:CP2"/>
    <mergeCell ref="CR2:CT2"/>
    <mergeCell ref="CW2:CY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C2:BI26"/>
  <sheetViews>
    <sheetView topLeftCell="AA1" workbookViewId="0">
      <selection activeCell="AJ33" sqref="AJ33"/>
    </sheetView>
  </sheetViews>
  <sheetFormatPr defaultRowHeight="15" x14ac:dyDescent="0.25"/>
  <cols>
    <col min="2" max="2" width="4.140625" customWidth="1"/>
    <col min="3" max="3" width="4.7109375" bestFit="1" customWidth="1"/>
    <col min="4" max="4" width="1.7109375" bestFit="1" customWidth="1"/>
    <col min="5" max="5" width="3.140625" bestFit="1" customWidth="1"/>
    <col min="6" max="6" width="1.7109375" bestFit="1" customWidth="1"/>
    <col min="7" max="7" width="3.140625" bestFit="1" customWidth="1"/>
    <col min="8" max="8" width="1.7109375" bestFit="1" customWidth="1"/>
    <col min="9" max="9" width="3.140625" bestFit="1" customWidth="1"/>
    <col min="10" max="10" width="1.5703125" bestFit="1" customWidth="1"/>
    <col min="11" max="11" width="3.140625" bestFit="1" customWidth="1"/>
    <col min="12" max="12" width="1.7109375" bestFit="1" customWidth="1"/>
    <col min="13" max="13" width="3.140625" bestFit="1" customWidth="1"/>
    <col min="14" max="14" width="1.7109375" bestFit="1" customWidth="1"/>
    <col min="15" max="15" width="3.140625" bestFit="1" customWidth="1"/>
    <col min="16" max="16" width="1.5703125" bestFit="1" customWidth="1"/>
    <col min="17" max="17" width="3.140625" bestFit="1" customWidth="1"/>
    <col min="18" max="18" width="1.7109375" bestFit="1" customWidth="1"/>
    <col min="19" max="19" width="3.140625" customWidth="1"/>
    <col min="20" max="20" width="1.7109375" bestFit="1" customWidth="1"/>
    <col min="21" max="21" width="3.140625" customWidth="1"/>
    <col min="22" max="22" width="1.7109375" bestFit="1" customWidth="1"/>
    <col min="23" max="23" width="3.7109375" customWidth="1"/>
    <col min="25" max="25" width="4.85546875" style="63" customWidth="1"/>
    <col min="26" max="26" width="12.85546875" style="55" bestFit="1" customWidth="1"/>
    <col min="27" max="27" width="3.28515625" style="55" customWidth="1"/>
    <col min="28" max="28" width="6.28515625" style="63" customWidth="1"/>
    <col min="29" max="29" width="6.28515625" style="55" customWidth="1"/>
    <col min="30" max="30" width="3.5703125" customWidth="1"/>
    <col min="31" max="33" width="6.140625" style="55" customWidth="1"/>
    <col min="34" max="34" width="3.28515625" style="55" customWidth="1"/>
    <col min="35" max="35" width="6.140625" style="63" customWidth="1"/>
    <col min="36" max="36" width="15.28515625" style="55" bestFit="1" customWidth="1"/>
    <col min="37" max="37" width="3.28515625" customWidth="1"/>
    <col min="38" max="39" width="6.28515625" customWidth="1"/>
    <col min="40" max="40" width="3.5703125" customWidth="1"/>
    <col min="41" max="41" width="5.85546875" customWidth="1"/>
    <col min="42" max="42" width="16.140625" customWidth="1"/>
    <col min="43" max="43" width="3.7109375" customWidth="1"/>
    <col min="44" max="44" width="6.140625" customWidth="1"/>
    <col min="45" max="45" width="16.85546875" customWidth="1"/>
    <col min="46" max="46" width="25.140625" customWidth="1"/>
    <col min="47" max="47" width="18.28515625" customWidth="1"/>
    <col min="48" max="48" width="3.28515625" customWidth="1"/>
    <col min="49" max="49" width="6.28515625" customWidth="1"/>
    <col min="50" max="50" width="11.42578125" bestFit="1" customWidth="1"/>
    <col min="51" max="51" width="3.5703125" customWidth="1"/>
    <col min="52" max="52" width="4.85546875" style="150" customWidth="1"/>
    <col min="53" max="53" width="8.42578125" style="150" bestFit="1" customWidth="1"/>
    <col min="54" max="54" width="3.28515625" customWidth="1"/>
    <col min="55" max="55" width="6.28515625" customWidth="1"/>
    <col min="56" max="56" width="11.42578125" bestFit="1" customWidth="1"/>
    <col min="57" max="57" width="3.5703125" customWidth="1"/>
    <col min="58" max="58" width="3.28515625" customWidth="1"/>
    <col min="59" max="59" width="6.28515625" customWidth="1"/>
    <col min="60" max="60" width="11.42578125" bestFit="1" customWidth="1"/>
    <col min="61" max="61" width="3.5703125" customWidth="1"/>
  </cols>
  <sheetData>
    <row r="2" spans="3:61" x14ac:dyDescent="0.25">
      <c r="C2" t="s">
        <v>8</v>
      </c>
      <c r="D2" t="s">
        <v>92</v>
      </c>
      <c r="E2" t="s">
        <v>93</v>
      </c>
      <c r="F2" t="s">
        <v>92</v>
      </c>
      <c r="G2" t="s">
        <v>94</v>
      </c>
      <c r="H2" t="s">
        <v>92</v>
      </c>
      <c r="I2" t="s">
        <v>95</v>
      </c>
      <c r="J2" t="s">
        <v>96</v>
      </c>
      <c r="K2" t="s">
        <v>97</v>
      </c>
      <c r="L2" t="s">
        <v>92</v>
      </c>
      <c r="M2" t="s">
        <v>98</v>
      </c>
      <c r="N2" t="s">
        <v>92</v>
      </c>
      <c r="O2" t="s">
        <v>99</v>
      </c>
      <c r="P2" t="s">
        <v>96</v>
      </c>
      <c r="Q2" t="s">
        <v>100</v>
      </c>
      <c r="R2" t="s">
        <v>92</v>
      </c>
      <c r="S2" t="s">
        <v>219</v>
      </c>
      <c r="T2" t="s">
        <v>92</v>
      </c>
      <c r="U2" t="s">
        <v>229</v>
      </c>
      <c r="V2" t="s">
        <v>92</v>
      </c>
      <c r="W2" t="s">
        <v>230</v>
      </c>
      <c r="Y2" s="231" t="s">
        <v>93</v>
      </c>
      <c r="Z2" s="231"/>
      <c r="AA2" s="6"/>
      <c r="AB2" s="231" t="s">
        <v>94</v>
      </c>
      <c r="AC2" s="231"/>
      <c r="AD2" s="60"/>
      <c r="AE2" s="231" t="s">
        <v>95</v>
      </c>
      <c r="AF2" s="231"/>
      <c r="AG2" s="231"/>
      <c r="AH2" s="6"/>
      <c r="AI2" s="231" t="s">
        <v>97</v>
      </c>
      <c r="AJ2" s="231"/>
      <c r="AK2" s="6"/>
      <c r="AL2" s="231" t="s">
        <v>98</v>
      </c>
      <c r="AM2" s="231"/>
      <c r="AN2" s="60"/>
      <c r="AO2" s="231" t="s">
        <v>99</v>
      </c>
      <c r="AP2" s="231"/>
      <c r="AR2" s="222" t="s">
        <v>100</v>
      </c>
      <c r="AS2" s="222"/>
      <c r="AT2" s="222"/>
      <c r="AU2" s="222"/>
      <c r="AV2" s="102"/>
      <c r="AW2" s="231" t="s">
        <v>219</v>
      </c>
      <c r="AX2" s="231"/>
      <c r="AY2" s="60"/>
      <c r="AZ2" s="231" t="s">
        <v>229</v>
      </c>
      <c r="BA2" s="231"/>
      <c r="BB2" s="102"/>
      <c r="BC2" s="231" t="s">
        <v>230</v>
      </c>
      <c r="BD2" s="231"/>
      <c r="BE2" s="60"/>
      <c r="BF2" s="102"/>
      <c r="BG2" s="231" t="s">
        <v>231</v>
      </c>
      <c r="BH2" s="231"/>
      <c r="BI2" s="60"/>
    </row>
    <row r="3" spans="3:61" x14ac:dyDescent="0.25">
      <c r="Y3" s="63" t="s">
        <v>102</v>
      </c>
      <c r="Z3" s="55" t="s">
        <v>124</v>
      </c>
      <c r="AB3" s="62" t="s">
        <v>102</v>
      </c>
      <c r="AC3" s="6" t="s">
        <v>103</v>
      </c>
      <c r="AE3" s="62" t="s">
        <v>102</v>
      </c>
      <c r="AF3" s="6" t="s">
        <v>103</v>
      </c>
      <c r="AG3" s="55" t="s">
        <v>127</v>
      </c>
      <c r="AI3" s="63" t="s">
        <v>102</v>
      </c>
      <c r="AJ3" s="55" t="s">
        <v>133</v>
      </c>
      <c r="AK3" s="55"/>
      <c r="AL3" s="62" t="s">
        <v>102</v>
      </c>
      <c r="AM3" s="6" t="s">
        <v>103</v>
      </c>
      <c r="AO3" s="63" t="s">
        <v>102</v>
      </c>
      <c r="AP3" s="55" t="s">
        <v>148</v>
      </c>
      <c r="AQ3" s="28"/>
      <c r="AR3" s="62" t="s">
        <v>102</v>
      </c>
      <c r="AS3" s="55" t="s">
        <v>148</v>
      </c>
      <c r="AT3" s="55" t="s">
        <v>148</v>
      </c>
      <c r="AU3" s="55" t="s">
        <v>148</v>
      </c>
      <c r="AV3" s="101"/>
      <c r="AW3" s="62" t="s">
        <v>102</v>
      </c>
      <c r="AX3" s="102" t="s">
        <v>220</v>
      </c>
      <c r="AZ3" s="150" t="s">
        <v>102</v>
      </c>
      <c r="BA3" s="150" t="s">
        <v>301</v>
      </c>
      <c r="BB3" s="101"/>
      <c r="BC3" s="62" t="s">
        <v>102</v>
      </c>
      <c r="BD3" s="102" t="s">
        <v>293</v>
      </c>
      <c r="BF3" s="101"/>
      <c r="BG3" s="62" t="s">
        <v>102</v>
      </c>
      <c r="BH3" s="102" t="s">
        <v>294</v>
      </c>
    </row>
    <row r="4" spans="3:61" x14ac:dyDescent="0.25">
      <c r="Y4" s="63" t="s">
        <v>130</v>
      </c>
      <c r="Z4" s="55" t="s">
        <v>125</v>
      </c>
      <c r="AB4" s="63" t="s">
        <v>101</v>
      </c>
      <c r="AC4" s="55">
        <v>15</v>
      </c>
      <c r="AE4" s="63" t="s">
        <v>101</v>
      </c>
      <c r="AF4" s="55">
        <v>15</v>
      </c>
      <c r="AG4" s="55">
        <v>0.63</v>
      </c>
      <c r="AI4" s="63" t="s">
        <v>130</v>
      </c>
      <c r="AJ4" s="55" t="s">
        <v>55</v>
      </c>
      <c r="AK4" s="55"/>
      <c r="AL4" s="63" t="s">
        <v>101</v>
      </c>
      <c r="AM4" s="55">
        <v>15</v>
      </c>
      <c r="AO4" s="5">
        <v>1</v>
      </c>
      <c r="AP4" s="5" t="s">
        <v>149</v>
      </c>
      <c r="AQ4" s="28"/>
      <c r="AR4" s="5">
        <v>1</v>
      </c>
      <c r="AS4" s="5" t="s">
        <v>60</v>
      </c>
      <c r="AT4" s="69" t="s">
        <v>135</v>
      </c>
      <c r="AU4" s="69" t="s">
        <v>141</v>
      </c>
      <c r="AV4" s="101"/>
      <c r="AW4" s="63" t="s">
        <v>225</v>
      </c>
      <c r="AX4" t="s">
        <v>228</v>
      </c>
      <c r="AZ4" s="150">
        <v>1</v>
      </c>
      <c r="BA4" s="150">
        <v>1</v>
      </c>
      <c r="BB4" s="101"/>
      <c r="BC4" s="63" t="s">
        <v>130</v>
      </c>
      <c r="BD4" s="101" t="s">
        <v>248</v>
      </c>
      <c r="BF4" s="101"/>
      <c r="BG4" s="63" t="s">
        <v>225</v>
      </c>
      <c r="BH4" t="s">
        <v>228</v>
      </c>
    </row>
    <row r="5" spans="3:61" x14ac:dyDescent="0.25">
      <c r="Y5" s="63" t="s">
        <v>131</v>
      </c>
      <c r="Z5" s="55" t="s">
        <v>126</v>
      </c>
      <c r="AB5" s="63" t="s">
        <v>104</v>
      </c>
      <c r="AC5" s="55">
        <v>20</v>
      </c>
      <c r="AE5" s="63" t="s">
        <v>104</v>
      </c>
      <c r="AF5" s="55">
        <v>15</v>
      </c>
      <c r="AG5" s="55">
        <v>1.25</v>
      </c>
      <c r="AI5" s="63" t="s">
        <v>131</v>
      </c>
      <c r="AJ5" s="55" t="s">
        <v>57</v>
      </c>
      <c r="AK5" s="55"/>
      <c r="AL5" s="63" t="s">
        <v>104</v>
      </c>
      <c r="AM5" s="55">
        <v>20</v>
      </c>
      <c r="AO5" s="5">
        <v>2</v>
      </c>
      <c r="AP5" s="5" t="s">
        <v>150</v>
      </c>
      <c r="AQ5" s="28"/>
      <c r="AR5" s="5">
        <v>2</v>
      </c>
      <c r="AS5" s="5" t="s">
        <v>61</v>
      </c>
      <c r="AT5" s="5" t="s">
        <v>134</v>
      </c>
      <c r="AU5" s="69" t="s">
        <v>142</v>
      </c>
      <c r="AV5" s="101"/>
      <c r="AW5" s="63" t="s">
        <v>130</v>
      </c>
      <c r="AX5" s="101" t="s">
        <v>221</v>
      </c>
      <c r="AZ5" s="150">
        <v>2</v>
      </c>
      <c r="BA5" s="150">
        <v>2</v>
      </c>
      <c r="BB5" s="101"/>
      <c r="BC5" s="63" t="s">
        <v>131</v>
      </c>
      <c r="BD5" s="101" t="s">
        <v>57</v>
      </c>
      <c r="BF5" s="101"/>
      <c r="BG5" s="63" t="s">
        <v>130</v>
      </c>
      <c r="BH5" s="101" t="s">
        <v>295</v>
      </c>
    </row>
    <row r="6" spans="3:61" x14ac:dyDescent="0.25">
      <c r="AB6" s="63" t="s">
        <v>105</v>
      </c>
      <c r="AC6" s="55">
        <v>25</v>
      </c>
      <c r="AE6" s="63" t="s">
        <v>105</v>
      </c>
      <c r="AF6" s="55">
        <v>15</v>
      </c>
      <c r="AG6" s="55">
        <v>1.6</v>
      </c>
      <c r="AI6" s="63" t="s">
        <v>132</v>
      </c>
      <c r="AJ6" s="55" t="s">
        <v>56</v>
      </c>
      <c r="AK6" s="55"/>
      <c r="AL6" s="63" t="s">
        <v>105</v>
      </c>
      <c r="AM6" s="55">
        <v>25</v>
      </c>
      <c r="AO6" s="5">
        <v>3</v>
      </c>
      <c r="AP6" s="68" t="s">
        <v>151</v>
      </c>
      <c r="AQ6" s="28"/>
      <c r="AR6" s="5">
        <v>3</v>
      </c>
      <c r="AS6" s="5" t="s">
        <v>63</v>
      </c>
      <c r="AT6" s="5" t="s">
        <v>137</v>
      </c>
      <c r="AU6" s="69" t="s">
        <v>144</v>
      </c>
      <c r="AV6" s="101"/>
      <c r="AW6" s="63" t="s">
        <v>131</v>
      </c>
      <c r="AX6" s="101" t="s">
        <v>222</v>
      </c>
      <c r="AZ6" s="150">
        <v>3</v>
      </c>
      <c r="BA6" s="150">
        <v>3</v>
      </c>
      <c r="BB6" s="101"/>
      <c r="BC6" s="63" t="s">
        <v>132</v>
      </c>
      <c r="BD6" s="68" t="s">
        <v>56</v>
      </c>
      <c r="BF6" s="101"/>
      <c r="BG6" s="63"/>
      <c r="BH6" s="101"/>
    </row>
    <row r="7" spans="3:61" x14ac:dyDescent="0.25">
      <c r="AB7" s="63" t="s">
        <v>106</v>
      </c>
      <c r="AC7" s="55">
        <v>32</v>
      </c>
      <c r="AE7" s="63" t="s">
        <v>106</v>
      </c>
      <c r="AF7" s="55">
        <v>15</v>
      </c>
      <c r="AG7" s="55">
        <v>2.5</v>
      </c>
      <c r="AK7" s="55"/>
      <c r="AL7" s="63" t="s">
        <v>106</v>
      </c>
      <c r="AM7" s="55">
        <v>32</v>
      </c>
      <c r="AO7" s="28"/>
      <c r="AP7" s="28"/>
      <c r="AQ7" s="28"/>
      <c r="AR7" s="68">
        <v>4</v>
      </c>
      <c r="AS7" s="5" t="s">
        <v>62</v>
      </c>
      <c r="AT7" s="5" t="s">
        <v>136</v>
      </c>
      <c r="AU7" s="5" t="s">
        <v>143</v>
      </c>
      <c r="AV7" s="101"/>
      <c r="AW7" s="63" t="s">
        <v>132</v>
      </c>
      <c r="AX7" s="68" t="s">
        <v>292</v>
      </c>
      <c r="AZ7" s="150">
        <v>4</v>
      </c>
      <c r="BA7" s="150">
        <v>4</v>
      </c>
      <c r="BB7" s="101"/>
      <c r="BF7" s="101"/>
      <c r="BG7" s="63"/>
      <c r="BH7" s="68"/>
    </row>
    <row r="8" spans="3:61" x14ac:dyDescent="0.25">
      <c r="AB8" s="63" t="s">
        <v>107</v>
      </c>
      <c r="AC8" s="55">
        <v>40</v>
      </c>
      <c r="AE8" s="63" t="s">
        <v>107</v>
      </c>
      <c r="AF8" s="55">
        <v>15</v>
      </c>
      <c r="AG8" s="55">
        <v>4</v>
      </c>
      <c r="AK8" s="55"/>
      <c r="AL8" s="63" t="s">
        <v>107</v>
      </c>
      <c r="AM8" s="55">
        <v>40</v>
      </c>
      <c r="AO8" s="28"/>
      <c r="AP8" s="28"/>
      <c r="AQ8" s="28"/>
      <c r="AR8" s="68">
        <v>5</v>
      </c>
      <c r="AS8" s="5" t="s">
        <v>64</v>
      </c>
      <c r="AT8" s="5" t="s">
        <v>138</v>
      </c>
      <c r="AU8" s="69" t="s">
        <v>145</v>
      </c>
      <c r="AV8" s="101"/>
      <c r="AW8" s="63" t="s">
        <v>226</v>
      </c>
      <c r="AX8" s="101" t="s">
        <v>223</v>
      </c>
      <c r="AZ8" s="150">
        <v>5</v>
      </c>
      <c r="BA8" s="150">
        <v>5</v>
      </c>
      <c r="BB8" s="101"/>
      <c r="BC8" s="63"/>
      <c r="BD8" s="101"/>
      <c r="BF8" s="101"/>
      <c r="BG8" s="63"/>
      <c r="BH8" s="101"/>
    </row>
    <row r="9" spans="3:61" x14ac:dyDescent="0.25">
      <c r="AB9" s="63" t="s">
        <v>108</v>
      </c>
      <c r="AC9" s="55">
        <v>50</v>
      </c>
      <c r="AE9" s="63" t="s">
        <v>108</v>
      </c>
      <c r="AF9" s="55">
        <v>20</v>
      </c>
      <c r="AG9" s="55">
        <v>5</v>
      </c>
      <c r="AK9" s="55"/>
      <c r="AL9" s="63" t="s">
        <v>108</v>
      </c>
      <c r="AM9" s="55">
        <v>50</v>
      </c>
      <c r="AO9" s="28"/>
      <c r="AP9" s="28"/>
      <c r="AQ9" s="28"/>
      <c r="AR9" s="68">
        <v>6</v>
      </c>
      <c r="AS9" s="5" t="s">
        <v>65</v>
      </c>
      <c r="AT9" s="5" t="s">
        <v>139</v>
      </c>
      <c r="AU9" s="69" t="s">
        <v>146</v>
      </c>
      <c r="AV9" s="101"/>
      <c r="AW9" s="63" t="s">
        <v>227</v>
      </c>
      <c r="AX9" s="101" t="s">
        <v>224</v>
      </c>
      <c r="BB9" s="101"/>
      <c r="BC9" s="63"/>
      <c r="BD9" s="101"/>
      <c r="BF9" s="101"/>
      <c r="BG9" s="63"/>
      <c r="BH9" s="101"/>
    </row>
    <row r="10" spans="3:61" x14ac:dyDescent="0.25">
      <c r="AB10" s="63" t="s">
        <v>109</v>
      </c>
      <c r="AC10" s="55">
        <v>65</v>
      </c>
      <c r="AE10" s="63" t="s">
        <v>109</v>
      </c>
      <c r="AF10" s="55">
        <v>20</v>
      </c>
      <c r="AG10" s="55">
        <v>6.3</v>
      </c>
      <c r="AK10" s="55"/>
      <c r="AL10" s="63" t="s">
        <v>109</v>
      </c>
      <c r="AM10" s="55">
        <v>65</v>
      </c>
      <c r="AO10" s="28"/>
      <c r="AP10" s="28"/>
      <c r="AQ10" s="28"/>
      <c r="AR10" s="68">
        <v>7</v>
      </c>
      <c r="AS10" s="5" t="s">
        <v>66</v>
      </c>
      <c r="AT10" s="5" t="s">
        <v>140</v>
      </c>
      <c r="AU10" s="69" t="s">
        <v>147</v>
      </c>
      <c r="AV10" s="101"/>
      <c r="AW10" s="63" t="s">
        <v>296</v>
      </c>
      <c r="AX10" s="101" t="s">
        <v>291</v>
      </c>
      <c r="BB10" s="101"/>
      <c r="BC10" s="63"/>
      <c r="BD10" s="101"/>
      <c r="BF10" s="101"/>
      <c r="BG10" s="63"/>
      <c r="BH10" s="101"/>
    </row>
    <row r="11" spans="3:61" x14ac:dyDescent="0.25">
      <c r="AB11" s="63" t="s">
        <v>110</v>
      </c>
      <c r="AC11" s="55">
        <v>80</v>
      </c>
      <c r="AE11" s="63" t="s">
        <v>110</v>
      </c>
      <c r="AF11" s="55">
        <v>25</v>
      </c>
      <c r="AG11" s="55">
        <v>8</v>
      </c>
      <c r="AK11" s="55"/>
      <c r="AL11" s="63" t="s">
        <v>110</v>
      </c>
      <c r="AM11" s="55">
        <v>80</v>
      </c>
      <c r="AO11" s="28"/>
      <c r="AP11" s="28"/>
      <c r="AQ11" s="28"/>
      <c r="AR11" s="68">
        <v>8</v>
      </c>
      <c r="AS11" s="5" t="s">
        <v>67</v>
      </c>
      <c r="AT11" s="5"/>
      <c r="AU11" s="5"/>
      <c r="AV11" s="101"/>
      <c r="AW11" s="63"/>
      <c r="AX11" s="101"/>
      <c r="BB11" s="101"/>
      <c r="BC11" s="63"/>
      <c r="BD11" s="101"/>
      <c r="BF11" s="101"/>
      <c r="BG11" s="63"/>
      <c r="BH11" s="101"/>
    </row>
    <row r="12" spans="3:61" x14ac:dyDescent="0.25">
      <c r="AB12" s="63" t="s">
        <v>111</v>
      </c>
      <c r="AC12" s="55">
        <v>100</v>
      </c>
      <c r="AE12" s="63" t="s">
        <v>111</v>
      </c>
      <c r="AF12" s="55">
        <v>25</v>
      </c>
      <c r="AG12" s="55">
        <v>10</v>
      </c>
      <c r="AK12" s="55"/>
      <c r="AL12" s="63" t="s">
        <v>111</v>
      </c>
      <c r="AM12" s="55">
        <v>100</v>
      </c>
      <c r="AO12" s="28"/>
      <c r="AP12" s="28"/>
      <c r="AQ12" s="28"/>
      <c r="AR12" s="5"/>
      <c r="AS12" s="28"/>
      <c r="AT12" s="28"/>
      <c r="AU12" s="28"/>
      <c r="AV12" s="101"/>
      <c r="AW12" s="63"/>
      <c r="AX12" s="101"/>
      <c r="BB12" s="101"/>
      <c r="BC12" s="63"/>
      <c r="BD12" s="101"/>
      <c r="BF12" s="101"/>
      <c r="BG12" s="63"/>
      <c r="BH12" s="101"/>
    </row>
    <row r="13" spans="3:61" x14ac:dyDescent="0.25">
      <c r="AB13" s="63" t="s">
        <v>112</v>
      </c>
      <c r="AC13" s="55">
        <v>125</v>
      </c>
      <c r="AE13" s="63" t="s">
        <v>112</v>
      </c>
      <c r="AF13" s="55">
        <v>32</v>
      </c>
      <c r="AG13" s="55">
        <v>12.5</v>
      </c>
      <c r="AK13" s="55"/>
      <c r="AL13" s="63" t="s">
        <v>112</v>
      </c>
      <c r="AM13" s="55">
        <v>125</v>
      </c>
      <c r="AR13" s="6"/>
      <c r="AV13" s="101"/>
      <c r="AW13" s="63"/>
      <c r="AX13" s="101"/>
      <c r="BB13" s="101"/>
      <c r="BC13" s="63"/>
      <c r="BD13" s="101"/>
      <c r="BF13" s="101"/>
      <c r="BG13" s="63"/>
      <c r="BH13" s="101"/>
    </row>
    <row r="14" spans="3:61" x14ac:dyDescent="0.25">
      <c r="AB14" s="63" t="s">
        <v>113</v>
      </c>
      <c r="AC14" s="55">
        <v>150</v>
      </c>
      <c r="AE14" s="63" t="s">
        <v>113</v>
      </c>
      <c r="AF14" s="55">
        <v>32</v>
      </c>
      <c r="AG14" s="55">
        <v>16</v>
      </c>
      <c r="AK14" s="55"/>
      <c r="AL14" s="63" t="s">
        <v>113</v>
      </c>
      <c r="AM14" s="55">
        <v>150</v>
      </c>
      <c r="AR14" s="6"/>
      <c r="AV14" s="101"/>
      <c r="AW14" s="63"/>
      <c r="AX14" s="101"/>
      <c r="BB14" s="101"/>
      <c r="BC14" s="63"/>
      <c r="BD14" s="101"/>
      <c r="BF14" s="101"/>
      <c r="BG14" s="63"/>
      <c r="BH14" s="101"/>
    </row>
    <row r="15" spans="3:61" x14ac:dyDescent="0.25">
      <c r="AB15" s="63" t="s">
        <v>114</v>
      </c>
      <c r="AC15" s="55">
        <v>200</v>
      </c>
      <c r="AE15" s="63" t="s">
        <v>114</v>
      </c>
      <c r="AF15" s="55">
        <v>40</v>
      </c>
      <c r="AG15" s="55">
        <v>20</v>
      </c>
      <c r="AK15" s="55"/>
      <c r="AL15" s="63" t="s">
        <v>114</v>
      </c>
      <c r="AM15" s="55">
        <v>200</v>
      </c>
      <c r="AR15" s="6"/>
      <c r="AV15" s="101"/>
      <c r="AW15" s="63"/>
      <c r="AX15" s="101"/>
      <c r="BB15" s="101"/>
      <c r="BC15" s="63"/>
      <c r="BD15" s="101"/>
      <c r="BF15" s="101"/>
      <c r="BG15" s="63"/>
      <c r="BH15" s="101"/>
    </row>
    <row r="16" spans="3:61" x14ac:dyDescent="0.25">
      <c r="AE16" s="63" t="s">
        <v>115</v>
      </c>
      <c r="AF16" s="55">
        <v>40</v>
      </c>
      <c r="AG16" s="55">
        <v>25</v>
      </c>
    </row>
    <row r="17" spans="31:33" x14ac:dyDescent="0.25">
      <c r="AE17" s="63" t="s">
        <v>116</v>
      </c>
      <c r="AF17" s="55">
        <v>50</v>
      </c>
      <c r="AG17" s="55">
        <v>31.5</v>
      </c>
    </row>
    <row r="18" spans="31:33" x14ac:dyDescent="0.25">
      <c r="AE18" s="63" t="s">
        <v>117</v>
      </c>
      <c r="AF18" s="55">
        <v>50</v>
      </c>
      <c r="AG18" s="55">
        <v>40</v>
      </c>
    </row>
    <row r="19" spans="31:33" x14ac:dyDescent="0.25">
      <c r="AE19" s="63" t="s">
        <v>118</v>
      </c>
      <c r="AF19" s="55">
        <v>65</v>
      </c>
      <c r="AG19" s="55">
        <v>50</v>
      </c>
    </row>
    <row r="20" spans="31:33" x14ac:dyDescent="0.25">
      <c r="AE20" s="63" t="s">
        <v>119</v>
      </c>
      <c r="AF20" s="55">
        <v>65</v>
      </c>
      <c r="AG20" s="55">
        <v>63</v>
      </c>
    </row>
    <row r="21" spans="31:33" x14ac:dyDescent="0.25">
      <c r="AE21" s="63" t="s">
        <v>120</v>
      </c>
      <c r="AF21" s="55">
        <v>80</v>
      </c>
      <c r="AG21" s="55">
        <v>80</v>
      </c>
    </row>
    <row r="22" spans="31:33" x14ac:dyDescent="0.25">
      <c r="AE22" s="63" t="s">
        <v>121</v>
      </c>
      <c r="AF22" s="55">
        <v>80</v>
      </c>
      <c r="AG22" s="55">
        <v>100</v>
      </c>
    </row>
    <row r="23" spans="31:33" x14ac:dyDescent="0.25">
      <c r="AE23" s="63" t="s">
        <v>122</v>
      </c>
      <c r="AF23" s="55">
        <v>100</v>
      </c>
      <c r="AG23" s="55">
        <v>125</v>
      </c>
    </row>
    <row r="24" spans="31:33" x14ac:dyDescent="0.25">
      <c r="AE24" s="63" t="s">
        <v>123</v>
      </c>
      <c r="AF24" s="55">
        <v>100</v>
      </c>
      <c r="AG24" s="55">
        <v>160</v>
      </c>
    </row>
    <row r="25" spans="31:33" x14ac:dyDescent="0.25">
      <c r="AE25" s="63" t="s">
        <v>128</v>
      </c>
      <c r="AF25" s="55">
        <v>125</v>
      </c>
      <c r="AG25" s="55">
        <v>250</v>
      </c>
    </row>
    <row r="26" spans="31:33" x14ac:dyDescent="0.25">
      <c r="AE26" s="63" t="s">
        <v>129</v>
      </c>
      <c r="AF26" s="55">
        <v>150</v>
      </c>
      <c r="AG26" s="55">
        <v>315</v>
      </c>
    </row>
  </sheetData>
  <mergeCells count="11">
    <mergeCell ref="AB2:AC2"/>
    <mergeCell ref="Y2:Z2"/>
    <mergeCell ref="AE2:AG2"/>
    <mergeCell ref="AL2:AM2"/>
    <mergeCell ref="AI2:AJ2"/>
    <mergeCell ref="AW2:AX2"/>
    <mergeCell ref="BC2:BD2"/>
    <mergeCell ref="BG2:BH2"/>
    <mergeCell ref="AO2:AP2"/>
    <mergeCell ref="AR2:AU2"/>
    <mergeCell ref="AZ2:BA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DE26"/>
  <sheetViews>
    <sheetView zoomScale="70" zoomScaleNormal="70" workbookViewId="0">
      <selection activeCell="B4" sqref="B4"/>
    </sheetView>
  </sheetViews>
  <sheetFormatPr defaultRowHeight="15" x14ac:dyDescent="0.25"/>
  <cols>
    <col min="1" max="1" width="8.5703125" customWidth="1"/>
    <col min="2" max="2" width="8.42578125" customWidth="1"/>
    <col min="5" max="5" width="4.85546875" customWidth="1"/>
    <col min="6" max="6" width="19.5703125" customWidth="1"/>
    <col min="9" max="9" width="4.140625" customWidth="1"/>
    <col min="10" max="10" width="6" customWidth="1"/>
    <col min="11" max="12" width="8" customWidth="1"/>
    <col min="13" max="13" width="4.7109375" customWidth="1"/>
    <col min="14" max="14" width="4" customWidth="1"/>
    <col min="15" max="15" width="5.5703125" customWidth="1"/>
    <col min="16" max="17" width="9.140625" customWidth="1"/>
    <col min="18" max="18" width="3.5703125" customWidth="1"/>
    <col min="19" max="19" width="5.85546875" customWidth="1"/>
    <col min="20" max="21" width="9.140625" customWidth="1"/>
    <col min="22" max="22" width="9.42578125" customWidth="1"/>
    <col min="23" max="34" width="9.140625" customWidth="1"/>
    <col min="36" max="36" width="9.140625" customWidth="1"/>
    <col min="37" max="37" width="9.85546875" customWidth="1"/>
    <col min="38" max="38" width="15.7109375" customWidth="1"/>
    <col min="39" max="39" width="11.5703125" customWidth="1"/>
    <col min="40" max="40" width="23.7109375" customWidth="1"/>
    <col min="42" max="42" width="9.140625" customWidth="1"/>
    <col min="43" max="43" width="6.28515625" customWidth="1"/>
    <col min="44" max="44" width="15.28515625" customWidth="1"/>
    <col min="48" max="48" width="10.5703125" customWidth="1"/>
    <col min="51" max="51" width="4.85546875" customWidth="1"/>
    <col min="52" max="52" width="13.85546875" customWidth="1"/>
    <col min="53" max="53" width="3.28515625" customWidth="1"/>
    <col min="54" max="54" width="11.28515625" customWidth="1"/>
    <col min="55" max="56" width="6.28515625" customWidth="1"/>
    <col min="57" max="57" width="3.5703125" customWidth="1"/>
    <col min="58" max="58" width="8.28515625" customWidth="1"/>
    <col min="59" max="61" width="6.140625" customWidth="1"/>
    <col min="62" max="62" width="3.28515625" customWidth="1"/>
    <col min="63" max="63" width="9.5703125" customWidth="1"/>
    <col min="64" max="64" width="6.140625" customWidth="1"/>
    <col min="65" max="65" width="15.28515625" bestFit="1" customWidth="1"/>
    <col min="66" max="66" width="3.28515625" customWidth="1"/>
    <col min="67" max="69" width="8.7109375" customWidth="1"/>
    <col min="70" max="70" width="3.28515625" customWidth="1"/>
    <col min="71" max="73" width="8.7109375" customWidth="1"/>
    <col min="74" max="74" width="3.28515625" customWidth="1"/>
    <col min="75" max="75" width="8.7109375" customWidth="1"/>
    <col min="76" max="77" width="6.28515625" customWidth="1"/>
    <col min="78" max="78" width="3.28515625" customWidth="1"/>
    <col min="79" max="79" width="8.7109375" customWidth="1"/>
    <col min="80" max="81" width="6.28515625" customWidth="1"/>
    <col min="82" max="82" width="3.28515625" customWidth="1"/>
    <col min="83" max="83" width="8.7109375" customWidth="1"/>
    <col min="84" max="84" width="6.28515625" customWidth="1"/>
    <col min="85" max="85" width="15" bestFit="1" customWidth="1"/>
    <col min="86" max="86" width="3.28515625" customWidth="1"/>
    <col min="87" max="87" width="9.5703125" customWidth="1"/>
    <col min="88" max="88" width="6.140625" customWidth="1"/>
    <col min="89" max="89" width="16.85546875" customWidth="1"/>
    <col min="90" max="90" width="8.5703125" customWidth="1"/>
    <col min="91" max="91" width="7" customWidth="1"/>
    <col min="92" max="92" width="25.140625" customWidth="1"/>
    <col min="93" max="93" width="3.5703125" customWidth="1"/>
    <col min="94" max="94" width="8.5703125" bestFit="1" customWidth="1"/>
    <col min="95" max="95" width="5.85546875" customWidth="1"/>
    <col min="96" max="96" width="16.140625" customWidth="1"/>
    <col min="97" max="97" width="3.7109375" customWidth="1"/>
    <col min="98" max="98" width="3.28515625" customWidth="1"/>
    <col min="99" max="99" width="8.5703125" bestFit="1" customWidth="1"/>
    <col min="100" max="100" width="6.28515625" customWidth="1"/>
    <col min="101" max="101" width="11.42578125" bestFit="1" customWidth="1"/>
    <col min="102" max="102" width="3.5703125" customWidth="1"/>
    <col min="103" max="103" width="8.7109375" customWidth="1"/>
    <col min="104" max="104" width="6.28515625" customWidth="1"/>
    <col min="105" max="105" width="11.42578125" bestFit="1" customWidth="1"/>
    <col min="106" max="106" width="3.5703125" customWidth="1"/>
    <col min="107" max="107" width="8.5703125" bestFit="1" customWidth="1"/>
    <col min="108" max="108" width="6.28515625" customWidth="1"/>
    <col min="109" max="109" width="13.7109375" customWidth="1"/>
  </cols>
  <sheetData>
    <row r="1" spans="1:109" ht="15.75" thickBot="1" x14ac:dyDescent="0.3">
      <c r="AM1" s="33"/>
      <c r="AN1" s="33"/>
    </row>
    <row r="2" spans="1:109" ht="15.75" thickBot="1" x14ac:dyDescent="0.3">
      <c r="B2" t="s">
        <v>27</v>
      </c>
      <c r="I2" s="226" t="s">
        <v>47</v>
      </c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8"/>
      <c r="W2" s="223" t="s">
        <v>52</v>
      </c>
      <c r="X2" s="224"/>
      <c r="Y2" s="224"/>
      <c r="Z2" s="224"/>
      <c r="AA2" s="224"/>
      <c r="AB2" s="224"/>
      <c r="AC2" s="224"/>
      <c r="AD2" s="224"/>
      <c r="AE2" s="224"/>
      <c r="AF2" s="224"/>
      <c r="AG2" s="224"/>
      <c r="AH2" s="225"/>
      <c r="AJ2" s="223" t="s">
        <v>308</v>
      </c>
      <c r="AK2" s="224"/>
      <c r="AL2" s="224"/>
      <c r="AM2" s="174"/>
      <c r="AN2" s="175"/>
      <c r="AP2" s="223" t="s">
        <v>77</v>
      </c>
      <c r="AQ2" s="224"/>
      <c r="AR2" s="225"/>
      <c r="AT2" s="223" t="s">
        <v>286</v>
      </c>
      <c r="AU2" s="224"/>
      <c r="AV2" s="225"/>
      <c r="AY2" s="210" t="s">
        <v>93</v>
      </c>
      <c r="AZ2" s="220"/>
      <c r="BA2" s="171"/>
      <c r="BB2" s="178"/>
      <c r="BC2" s="220" t="s">
        <v>94</v>
      </c>
      <c r="BD2" s="220"/>
      <c r="BE2" s="141"/>
      <c r="BF2" s="158"/>
      <c r="BG2" s="220" t="s">
        <v>95</v>
      </c>
      <c r="BH2" s="220"/>
      <c r="BI2" s="221"/>
      <c r="BJ2" s="171"/>
      <c r="BK2" s="178"/>
      <c r="BL2" s="220" t="s">
        <v>97</v>
      </c>
      <c r="BM2" s="220"/>
      <c r="BN2" s="171"/>
      <c r="BO2" s="178"/>
      <c r="BP2" s="178" t="s">
        <v>98</v>
      </c>
      <c r="BQ2" s="179"/>
      <c r="BR2" s="171"/>
      <c r="BS2" s="178"/>
      <c r="BT2" s="178" t="s">
        <v>99</v>
      </c>
      <c r="BU2" s="179"/>
      <c r="BV2" s="171"/>
      <c r="BW2" s="178"/>
      <c r="BX2" s="220" t="s">
        <v>100</v>
      </c>
      <c r="BY2" s="220"/>
      <c r="BZ2" s="171"/>
      <c r="CA2" s="178"/>
      <c r="CB2" s="220" t="s">
        <v>219</v>
      </c>
      <c r="CC2" s="220"/>
      <c r="CD2" s="171"/>
      <c r="CE2" s="178"/>
      <c r="CF2" s="220" t="s">
        <v>229</v>
      </c>
      <c r="CG2" s="220"/>
      <c r="CH2" s="171"/>
      <c r="CI2" s="178"/>
      <c r="CJ2" s="224" t="s">
        <v>230</v>
      </c>
      <c r="CK2" s="224"/>
      <c r="CL2" s="224"/>
      <c r="CM2" s="224"/>
      <c r="CN2" s="224"/>
      <c r="CO2" s="141"/>
      <c r="CP2" s="210" t="s">
        <v>231</v>
      </c>
      <c r="CQ2" s="220"/>
      <c r="CR2" s="221"/>
      <c r="CS2" s="142"/>
      <c r="CT2" s="171"/>
      <c r="CU2" s="210" t="s">
        <v>232</v>
      </c>
      <c r="CV2" s="220"/>
      <c r="CW2" s="221"/>
      <c r="CX2" s="141"/>
      <c r="CY2" s="210" t="s">
        <v>283</v>
      </c>
      <c r="CZ2" s="220"/>
      <c r="DA2" s="221"/>
      <c r="DB2" s="141"/>
      <c r="DC2" s="210" t="s">
        <v>284</v>
      </c>
      <c r="DD2" s="220"/>
      <c r="DE2" s="221"/>
    </row>
    <row r="3" spans="1:109" ht="15.75" thickBot="1" x14ac:dyDescent="0.3">
      <c r="I3" s="35"/>
      <c r="J3" s="36" t="s">
        <v>42</v>
      </c>
      <c r="K3" s="37" t="s">
        <v>41</v>
      </c>
      <c r="L3" s="36" t="s">
        <v>46</v>
      </c>
      <c r="M3" s="38"/>
      <c r="N3" s="35"/>
      <c r="O3" s="36" t="s">
        <v>71</v>
      </c>
      <c r="P3" s="37" t="s">
        <v>41</v>
      </c>
      <c r="Q3" s="38" t="s">
        <v>46</v>
      </c>
      <c r="R3" s="36"/>
      <c r="S3" s="36" t="s">
        <v>73</v>
      </c>
      <c r="T3" s="37" t="s">
        <v>41</v>
      </c>
      <c r="U3" s="38" t="s">
        <v>46</v>
      </c>
      <c r="W3" s="35" t="s">
        <v>55</v>
      </c>
      <c r="X3" s="36" t="s">
        <v>56</v>
      </c>
      <c r="Y3" s="38" t="s">
        <v>57</v>
      </c>
      <c r="Z3" s="223" t="s">
        <v>55</v>
      </c>
      <c r="AA3" s="224"/>
      <c r="AB3" s="225"/>
      <c r="AC3" s="223" t="s">
        <v>56</v>
      </c>
      <c r="AD3" s="224"/>
      <c r="AE3" s="225"/>
      <c r="AF3" s="223" t="s">
        <v>57</v>
      </c>
      <c r="AG3" s="224"/>
      <c r="AH3" s="225"/>
      <c r="AJ3" s="164" t="s">
        <v>49</v>
      </c>
      <c r="AK3" s="45"/>
      <c r="AL3" s="177"/>
      <c r="AM3" s="45"/>
      <c r="AN3" s="29"/>
      <c r="AP3" s="27" t="b">
        <f t="shared" ref="AP3:AP8" si="0">IF($F$11&lt;AQ3,TRUE,FALSE)</f>
        <v>1</v>
      </c>
      <c r="AQ3" s="28">
        <v>2</v>
      </c>
      <c r="AR3" s="29" t="s">
        <v>302</v>
      </c>
      <c r="AT3" s="40">
        <v>6.6000000000000003E-2</v>
      </c>
      <c r="AU3" s="54" t="b">
        <f t="shared" ref="AU3:AU7" si="1">IF($B$4&lt;AT3,TRUE,FALSE)</f>
        <v>1</v>
      </c>
      <c r="AV3" s="39" t="s">
        <v>329</v>
      </c>
      <c r="AY3" s="133" t="s">
        <v>102</v>
      </c>
      <c r="AZ3" s="45" t="s">
        <v>124</v>
      </c>
      <c r="BA3" s="139"/>
      <c r="BB3" s="45" t="s">
        <v>30</v>
      </c>
      <c r="BC3" s="134" t="s">
        <v>102</v>
      </c>
      <c r="BD3" s="181" t="s">
        <v>103</v>
      </c>
      <c r="BE3" s="64"/>
      <c r="BF3" s="27" t="s">
        <v>52</v>
      </c>
      <c r="BG3" s="134" t="s">
        <v>102</v>
      </c>
      <c r="BH3" s="181" t="s">
        <v>103</v>
      </c>
      <c r="BI3" s="53" t="s">
        <v>127</v>
      </c>
      <c r="BJ3" s="139"/>
      <c r="BK3" s="45" t="s">
        <v>52</v>
      </c>
      <c r="BL3" s="114" t="s">
        <v>102</v>
      </c>
      <c r="BM3" s="45" t="s">
        <v>133</v>
      </c>
      <c r="BN3" s="139"/>
      <c r="BO3" s="176" t="s">
        <v>322</v>
      </c>
      <c r="BP3" s="195" t="s">
        <v>102</v>
      </c>
      <c r="BQ3" s="173" t="s">
        <v>103</v>
      </c>
      <c r="BR3" s="139"/>
      <c r="BS3" s="176" t="s">
        <v>31</v>
      </c>
      <c r="BT3" s="195" t="s">
        <v>102</v>
      </c>
      <c r="BU3" s="173" t="s">
        <v>103</v>
      </c>
      <c r="BV3" s="139"/>
      <c r="BW3" s="45" t="s">
        <v>68</v>
      </c>
      <c r="BX3" s="134" t="s">
        <v>102</v>
      </c>
      <c r="BY3" s="181" t="s">
        <v>103</v>
      </c>
      <c r="BZ3" s="139"/>
      <c r="CA3" s="45" t="s">
        <v>323</v>
      </c>
      <c r="CB3" s="134" t="s">
        <v>102</v>
      </c>
      <c r="CC3" s="181" t="s">
        <v>103</v>
      </c>
      <c r="CD3" s="139"/>
      <c r="CE3" s="45" t="s">
        <v>324</v>
      </c>
      <c r="CF3" s="134" t="s">
        <v>102</v>
      </c>
      <c r="CG3" s="181" t="s">
        <v>103</v>
      </c>
      <c r="CH3" s="139"/>
      <c r="CI3" s="45"/>
      <c r="CJ3" s="134" t="s">
        <v>102</v>
      </c>
      <c r="CK3" s="45" t="s">
        <v>148</v>
      </c>
      <c r="CL3" s="45"/>
      <c r="CM3" s="45"/>
      <c r="CN3" s="45" t="s">
        <v>148</v>
      </c>
      <c r="CO3" s="64"/>
      <c r="CP3" s="28"/>
      <c r="CQ3" s="114" t="s">
        <v>102</v>
      </c>
      <c r="CR3" s="45" t="s">
        <v>148</v>
      </c>
      <c r="CS3" s="64"/>
      <c r="CT3" s="139"/>
      <c r="CU3" s="45"/>
      <c r="CV3" s="134" t="s">
        <v>102</v>
      </c>
      <c r="CW3" s="181" t="s">
        <v>220</v>
      </c>
      <c r="CX3" s="64"/>
      <c r="CY3" s="45"/>
      <c r="CZ3" s="134" t="s">
        <v>102</v>
      </c>
      <c r="DA3" s="181" t="s">
        <v>293</v>
      </c>
      <c r="DB3" s="64"/>
      <c r="DC3" s="45"/>
      <c r="DD3" s="134" t="s">
        <v>102</v>
      </c>
      <c r="DE3" s="172" t="s">
        <v>294</v>
      </c>
    </row>
    <row r="4" spans="1:109" x14ac:dyDescent="0.25">
      <c r="A4" s="22" t="s">
        <v>29</v>
      </c>
      <c r="B4" s="24">
        <f>IF('ОЛ(4)'!D37=1,'ОЛ(4)'!C17,0)</f>
        <v>0</v>
      </c>
      <c r="C4" t="s">
        <v>36</v>
      </c>
      <c r="E4" t="s">
        <v>44</v>
      </c>
      <c r="F4" s="25">
        <f>B4*1000/(B5-B6)</f>
        <v>0</v>
      </c>
      <c r="I4" s="27">
        <f>IF($B$11&lt;12,(IF((L4&gt;4)*AND(L4&lt;16),2,0)),IF((L4&gt;4)*AND(L4&lt;20),2,0))</f>
        <v>0</v>
      </c>
      <c r="J4" s="28">
        <v>15</v>
      </c>
      <c r="K4" s="28">
        <f t="shared" ref="K4:K17" si="2">1/POWER(1.14+2*LOG10((J4/1000)/($K$21/1000)),2)</f>
        <v>5.9655827422120798E-2</v>
      </c>
      <c r="L4" s="28">
        <f t="shared" ref="L4:L17" si="3">0.00638*K4*POWER($F$4,2)/(POWER(J4/1000,5)*$K$20)</f>
        <v>0</v>
      </c>
      <c r="M4" s="29"/>
      <c r="N4" s="27">
        <f>IF((Q4&gt;4)*AND(Q4&lt;16),1,0)</f>
        <v>0</v>
      </c>
      <c r="O4" s="28">
        <v>15</v>
      </c>
      <c r="P4" s="28">
        <f t="shared" ref="P4:P17" si="4">1/POWER(1.14+2*LOG10((O4/1000)/($K$21/1000)),2)</f>
        <v>5.9655827422120798E-2</v>
      </c>
      <c r="Q4" s="29">
        <f t="shared" ref="Q4:Q17" si="5">0.00638*P4*POWER($F$11,2)/(POWER(O4/1000,5)*$K$20)</f>
        <v>0</v>
      </c>
      <c r="R4" s="28">
        <f>N4</f>
        <v>0</v>
      </c>
      <c r="S4" s="28">
        <v>15</v>
      </c>
      <c r="T4" s="28"/>
      <c r="U4" s="29"/>
      <c r="W4" s="41" t="s">
        <v>53</v>
      </c>
      <c r="X4" s="28">
        <f>IF(B11&gt;12,3,1.8)</f>
        <v>3</v>
      </c>
      <c r="Y4" s="28"/>
      <c r="Z4" s="40" t="b">
        <f t="shared" ref="Z4:Z21" si="6">IF(AB4&gt;$X$5,TRUE,FALSE)</f>
        <v>1</v>
      </c>
      <c r="AA4" s="47">
        <v>15</v>
      </c>
      <c r="AB4" s="39">
        <v>1.6</v>
      </c>
      <c r="AC4" s="40" t="b">
        <f t="shared" ref="AC4:AC22" si="7">IF(AE4&gt;$X$5,TRUE,FALSE)</f>
        <v>1</v>
      </c>
      <c r="AD4" s="47">
        <v>15</v>
      </c>
      <c r="AE4" s="39">
        <v>1.6</v>
      </c>
      <c r="AF4" s="28" t="b">
        <f t="shared" ref="AF4:AF16" si="8">IF(AH4&gt;$X$5,TRUE,FALSE)</f>
        <v>1</v>
      </c>
      <c r="AG4" s="42">
        <v>15</v>
      </c>
      <c r="AH4" s="29">
        <v>1.6</v>
      </c>
      <c r="AJ4" s="64">
        <v>1.5</v>
      </c>
      <c r="AK4" s="28" t="b">
        <f>IF($F$17&lt;AJ4,TRUE,FALSE)</f>
        <v>1</v>
      </c>
      <c r="AL4" s="29" t="s">
        <v>74</v>
      </c>
      <c r="AM4" s="28" t="b">
        <f>IF($F$17&lt;AJ4,TRUE,FALSE)</f>
        <v>1</v>
      </c>
      <c r="AN4" s="194" t="s">
        <v>309</v>
      </c>
      <c r="AP4" s="27" t="b">
        <f t="shared" si="0"/>
        <v>1</v>
      </c>
      <c r="AQ4" s="28">
        <v>3</v>
      </c>
      <c r="AR4" s="29" t="s">
        <v>303</v>
      </c>
      <c r="AT4" s="27">
        <v>0.375</v>
      </c>
      <c r="AU4" s="28" t="b">
        <f t="shared" si="1"/>
        <v>1</v>
      </c>
      <c r="AV4" s="29" t="s">
        <v>314</v>
      </c>
      <c r="AY4" s="133" t="s">
        <v>130</v>
      </c>
      <c r="AZ4" s="45" t="s">
        <v>318</v>
      </c>
      <c r="BA4" s="139"/>
      <c r="BB4" s="45" t="e">
        <f>IF($F$5=BD4,TRUE,FALSE)</f>
        <v>#N/A</v>
      </c>
      <c r="BC4" s="114" t="s">
        <v>101</v>
      </c>
      <c r="BD4" s="45">
        <v>15</v>
      </c>
      <c r="BE4" s="64"/>
      <c r="BF4" s="120" t="b">
        <f>IF($F$7=BI4,TRUE,FALSE)</f>
        <v>0</v>
      </c>
      <c r="BG4" s="114" t="s">
        <v>101</v>
      </c>
      <c r="BH4" s="45">
        <v>15</v>
      </c>
      <c r="BI4" s="53">
        <v>0.63</v>
      </c>
      <c r="BJ4" s="139"/>
      <c r="BK4" s="45" t="b">
        <f>IF($B$14=BM4,TRUE,FALSE)</f>
        <v>0</v>
      </c>
      <c r="BL4" s="114" t="s">
        <v>130</v>
      </c>
      <c r="BM4" s="45" t="s">
        <v>55</v>
      </c>
      <c r="BN4" s="139"/>
      <c r="BO4" s="120" t="e">
        <f>IF($F$5=BQ4,TRUE,FALSE)</f>
        <v>#N/A</v>
      </c>
      <c r="BP4" s="114" t="s">
        <v>225</v>
      </c>
      <c r="BQ4" s="53">
        <v>15</v>
      </c>
      <c r="BR4" s="139"/>
      <c r="BS4" s="120" t="e">
        <f>IF($F$5=BU4,TRUE,FALSE)</f>
        <v>#N/A</v>
      </c>
      <c r="BT4" s="114" t="s">
        <v>225</v>
      </c>
      <c r="BU4" s="53">
        <v>15</v>
      </c>
      <c r="BV4" s="139"/>
      <c r="BW4" s="45" t="e">
        <f>IF($F$12=BY4,TRUE,FALSE)</f>
        <v>#N/A</v>
      </c>
      <c r="BX4" s="114" t="s">
        <v>101</v>
      </c>
      <c r="BY4" s="45">
        <v>15</v>
      </c>
      <c r="BZ4" s="139"/>
      <c r="CA4" s="45" t="e">
        <f>IF($F$16=CC4,TRUE,FALSE)</f>
        <v>#N/A</v>
      </c>
      <c r="CB4" s="114" t="s">
        <v>101</v>
      </c>
      <c r="CC4" s="45">
        <v>15</v>
      </c>
      <c r="CD4" s="139"/>
      <c r="CE4" s="45" t="b">
        <f>IF($E$13=CG4,TRUE,FALSE)</f>
        <v>1</v>
      </c>
      <c r="CF4" s="114" t="s">
        <v>130</v>
      </c>
      <c r="CG4" s="29" t="s">
        <v>302</v>
      </c>
      <c r="CH4" s="139"/>
      <c r="CI4" s="45" t="e">
        <f>IF($E$18=CK4,TRUE,FALSE)</f>
        <v>#N/A</v>
      </c>
      <c r="CJ4" s="181">
        <v>1</v>
      </c>
      <c r="CK4" s="28" t="s">
        <v>74</v>
      </c>
      <c r="CL4" s="181" t="e">
        <f>IF($E$18=CN4,TRUE,FALSE)</f>
        <v>#N/A</v>
      </c>
      <c r="CM4" s="181">
        <v>1</v>
      </c>
      <c r="CN4" s="194" t="s">
        <v>309</v>
      </c>
      <c r="CO4" s="64"/>
      <c r="CQ4" s="180"/>
      <c r="CS4" s="64"/>
      <c r="CT4" s="139"/>
      <c r="CU4" s="45"/>
      <c r="CV4" s="114"/>
      <c r="CX4" s="64"/>
      <c r="CY4" s="45" t="b">
        <f>IF($B$16=DA4,TRUE,FALSE)</f>
        <v>0</v>
      </c>
      <c r="CZ4" s="114" t="s">
        <v>130</v>
      </c>
      <c r="DA4" s="45" t="s">
        <v>248</v>
      </c>
      <c r="DB4" s="64"/>
      <c r="DC4" s="45" t="b">
        <f>IF($B$17=DE4,TRUE,FALSE)</f>
        <v>0</v>
      </c>
      <c r="DD4" s="114" t="s">
        <v>130</v>
      </c>
      <c r="DE4" s="29" t="s">
        <v>298</v>
      </c>
    </row>
    <row r="5" spans="1:109" x14ac:dyDescent="0.25">
      <c r="A5" s="22" t="s">
        <v>30</v>
      </c>
      <c r="B5" s="24">
        <v>70</v>
      </c>
      <c r="C5" s="23" t="s">
        <v>37</v>
      </c>
      <c r="E5" t="s">
        <v>42</v>
      </c>
      <c r="F5" t="e">
        <f>VLOOKUP(2,I4:L17,2,FALSE)</f>
        <v>#N/A</v>
      </c>
      <c r="I5" s="27">
        <f t="shared" ref="I5:I17" si="9">IF($B$11&lt;12,(IF((L5&gt;4)*AND(L5&lt;16),2,0)),IF((L5&gt;4)*AND(L5&lt;20),2,0))</f>
        <v>0</v>
      </c>
      <c r="J5" s="28">
        <v>20</v>
      </c>
      <c r="K5" s="28">
        <f t="shared" si="2"/>
        <v>5.2990299783484442E-2</v>
      </c>
      <c r="L5" s="28">
        <f t="shared" si="3"/>
        <v>0</v>
      </c>
      <c r="M5" s="29"/>
      <c r="N5" s="27">
        <f t="shared" ref="N5:N17" si="10">IF((Q5&gt;4)*AND(Q5&lt;16),1,0)</f>
        <v>0</v>
      </c>
      <c r="O5" s="28">
        <v>20</v>
      </c>
      <c r="P5" s="28">
        <f t="shared" si="4"/>
        <v>5.2990299783484442E-2</v>
      </c>
      <c r="Q5" s="29">
        <f t="shared" si="5"/>
        <v>0</v>
      </c>
      <c r="R5" s="28">
        <f>N5</f>
        <v>0</v>
      </c>
      <c r="S5" s="28">
        <v>15</v>
      </c>
      <c r="T5" s="28"/>
      <c r="U5" s="29"/>
      <c r="W5" s="41" t="s">
        <v>54</v>
      </c>
      <c r="X5" s="43">
        <f>F4/SQRT(0.1*X4)</f>
        <v>0</v>
      </c>
      <c r="Y5" s="43"/>
      <c r="Z5" s="27" t="b">
        <f t="shared" si="6"/>
        <v>1</v>
      </c>
      <c r="AA5" s="42">
        <v>15</v>
      </c>
      <c r="AB5" s="29">
        <v>2.5</v>
      </c>
      <c r="AC5" s="27" t="b">
        <f t="shared" si="7"/>
        <v>1</v>
      </c>
      <c r="AD5" s="42">
        <v>15</v>
      </c>
      <c r="AE5" s="29">
        <v>2.5</v>
      </c>
      <c r="AF5" s="28" t="b">
        <f t="shared" si="8"/>
        <v>1</v>
      </c>
      <c r="AG5" s="42">
        <v>15</v>
      </c>
      <c r="AH5" s="29">
        <v>2.5</v>
      </c>
      <c r="AJ5" s="64">
        <v>4</v>
      </c>
      <c r="AK5" s="28" t="b">
        <f>IF($F$17&lt;AJ5,TRUE,FALSE)</f>
        <v>1</v>
      </c>
      <c r="AL5" s="29" t="s">
        <v>75</v>
      </c>
      <c r="AM5" s="28" t="b">
        <f>IF($F$17&lt;AJ5,TRUE,FALSE)</f>
        <v>1</v>
      </c>
      <c r="AN5" s="194" t="s">
        <v>310</v>
      </c>
      <c r="AP5" s="27" t="b">
        <f t="shared" si="0"/>
        <v>1</v>
      </c>
      <c r="AQ5" s="28">
        <v>5</v>
      </c>
      <c r="AR5" s="29" t="s">
        <v>304</v>
      </c>
      <c r="AT5" s="27">
        <v>0.61</v>
      </c>
      <c r="AU5" s="28" t="b">
        <f t="shared" si="1"/>
        <v>1</v>
      </c>
      <c r="AV5" s="29" t="s">
        <v>315</v>
      </c>
      <c r="AY5" s="133" t="s">
        <v>131</v>
      </c>
      <c r="AZ5" s="45" t="s">
        <v>319</v>
      </c>
      <c r="BA5" s="139"/>
      <c r="BB5" s="45" t="e">
        <f t="shared" ref="BB5:BB15" si="11">IF($F$5=BD5,TRUE,FALSE)</f>
        <v>#N/A</v>
      </c>
      <c r="BC5" s="114" t="s">
        <v>104</v>
      </c>
      <c r="BD5" s="45">
        <v>20</v>
      </c>
      <c r="BE5" s="64"/>
      <c r="BF5" s="120" t="b">
        <f t="shared" ref="BF5:BF26" si="12">IF($F$7=BI5,TRUE,FALSE)</f>
        <v>0</v>
      </c>
      <c r="BG5" s="114" t="s">
        <v>104</v>
      </c>
      <c r="BH5" s="45">
        <v>15</v>
      </c>
      <c r="BI5" s="53">
        <v>1.25</v>
      </c>
      <c r="BJ5" s="139"/>
      <c r="BK5" s="45" t="b">
        <f t="shared" ref="BK5:BK6" si="13">IF($B$14=BM5,TRUE,FALSE)</f>
        <v>0</v>
      </c>
      <c r="BL5" s="114" t="s">
        <v>131</v>
      </c>
      <c r="BM5" s="45" t="s">
        <v>57</v>
      </c>
      <c r="BN5" s="139"/>
      <c r="BO5" s="120" t="e">
        <f t="shared" ref="BO5:BO15" si="14">IF($F$5=BQ5,TRUE,FALSE)</f>
        <v>#N/A</v>
      </c>
      <c r="BP5" s="114" t="s">
        <v>225</v>
      </c>
      <c r="BQ5" s="53">
        <v>20</v>
      </c>
      <c r="BR5" s="139"/>
      <c r="BS5" s="120" t="e">
        <f t="shared" ref="BS5:BS10" si="15">IF($F$5=BU5,TRUE,FALSE)</f>
        <v>#N/A</v>
      </c>
      <c r="BT5" s="114" t="s">
        <v>225</v>
      </c>
      <c r="BU5" s="53">
        <v>20</v>
      </c>
      <c r="BV5" s="139"/>
      <c r="BW5" s="45" t="e">
        <f t="shared" ref="BW5:BW15" si="16">IF($F$12=BY5,TRUE,FALSE)</f>
        <v>#N/A</v>
      </c>
      <c r="BX5" s="114" t="s">
        <v>104</v>
      </c>
      <c r="BY5" s="45">
        <v>20</v>
      </c>
      <c r="BZ5" s="139"/>
      <c r="CA5" s="45" t="e">
        <f t="shared" ref="CA5:CA15" si="17">IF($F$16=CC5,TRUE,FALSE)</f>
        <v>#N/A</v>
      </c>
      <c r="CB5" s="114" t="s">
        <v>104</v>
      </c>
      <c r="CC5" s="45">
        <v>20</v>
      </c>
      <c r="CD5" s="139"/>
      <c r="CE5" s="45" t="b">
        <f t="shared" ref="CE5:CE9" si="18">IF($E$13=CG5,TRUE,FALSE)</f>
        <v>0</v>
      </c>
      <c r="CF5" s="114" t="s">
        <v>131</v>
      </c>
      <c r="CG5" s="29" t="s">
        <v>303</v>
      </c>
      <c r="CH5" s="139"/>
      <c r="CI5" s="45" t="e">
        <f t="shared" ref="CI5:CI7" si="19">IF($E$18=CK5,TRUE,FALSE)</f>
        <v>#N/A</v>
      </c>
      <c r="CJ5" s="181"/>
      <c r="CK5" s="28"/>
      <c r="CL5" s="181" t="e">
        <f t="shared" ref="CL5:CL7" si="20">IF($E$18=CN5,TRUE,FALSE)</f>
        <v>#N/A</v>
      </c>
      <c r="CM5" s="181">
        <v>2</v>
      </c>
      <c r="CN5" s="194" t="s">
        <v>310</v>
      </c>
      <c r="CO5" s="64"/>
      <c r="CP5" s="28" t="b">
        <f>IF($B$15=CR5,TRUE,FALSE)</f>
        <v>0</v>
      </c>
      <c r="CQ5" s="181">
        <v>1</v>
      </c>
      <c r="CR5" s="181" t="s">
        <v>313</v>
      </c>
      <c r="CS5" s="64"/>
      <c r="CT5" s="139"/>
      <c r="CU5" s="45" t="b">
        <f>IF($E$9=CW5,TRUE,FALSE)</f>
        <v>1</v>
      </c>
      <c r="CV5" s="114" t="s">
        <v>101</v>
      </c>
      <c r="CW5" s="29" t="s">
        <v>329</v>
      </c>
      <c r="CX5" s="64"/>
      <c r="CY5" s="45" t="b">
        <f t="shared" ref="CY5:CY6" si="21">IF($B$16=DA5,TRUE,FALSE)</f>
        <v>0</v>
      </c>
      <c r="CZ5" s="114" t="s">
        <v>131</v>
      </c>
      <c r="DA5" s="45" t="s">
        <v>57</v>
      </c>
      <c r="DB5" s="64"/>
      <c r="DC5" s="45" t="b">
        <f>IF($B$17=DE5,TRUE,FALSE)</f>
        <v>0</v>
      </c>
      <c r="DD5" s="114" t="s">
        <v>225</v>
      </c>
      <c r="DE5" s="53" t="s">
        <v>249</v>
      </c>
    </row>
    <row r="6" spans="1:109" x14ac:dyDescent="0.25">
      <c r="A6" s="22" t="s">
        <v>31</v>
      </c>
      <c r="B6" s="24">
        <v>30</v>
      </c>
      <c r="C6" s="23" t="s">
        <v>37</v>
      </c>
      <c r="E6" t="s">
        <v>58</v>
      </c>
      <c r="F6">
        <f>VLOOKUP(TRUE,IF(B14="IMI Hydronic",Z4:AB21,IF(B14="Siemens",AC4:AE22,AF4:AH16)),2,FALSE)</f>
        <v>15</v>
      </c>
      <c r="I6" s="27">
        <f t="shared" si="9"/>
        <v>0</v>
      </c>
      <c r="J6" s="28">
        <v>25</v>
      </c>
      <c r="K6" s="28">
        <f t="shared" si="2"/>
        <v>4.8560427292756572E-2</v>
      </c>
      <c r="L6" s="28">
        <f t="shared" si="3"/>
        <v>0</v>
      </c>
      <c r="M6" s="29"/>
      <c r="N6" s="27">
        <f t="shared" si="10"/>
        <v>0</v>
      </c>
      <c r="O6" s="28">
        <v>25</v>
      </c>
      <c r="P6" s="28">
        <f t="shared" si="4"/>
        <v>4.8560427292756572E-2</v>
      </c>
      <c r="Q6" s="29">
        <f t="shared" si="5"/>
        <v>0</v>
      </c>
      <c r="R6" s="28">
        <f t="shared" ref="R6:R17" si="22">N6</f>
        <v>0</v>
      </c>
      <c r="S6" s="28">
        <v>20</v>
      </c>
      <c r="T6" s="28"/>
      <c r="U6" s="29"/>
      <c r="W6" s="27"/>
      <c r="X6" s="28"/>
      <c r="Y6" s="28"/>
      <c r="Z6" s="27" t="b">
        <f t="shared" si="6"/>
        <v>1</v>
      </c>
      <c r="AA6" s="42">
        <v>15</v>
      </c>
      <c r="AB6" s="29">
        <v>4</v>
      </c>
      <c r="AC6" s="27" t="b">
        <f t="shared" si="7"/>
        <v>1</v>
      </c>
      <c r="AD6" s="42">
        <v>15</v>
      </c>
      <c r="AE6" s="29">
        <v>4</v>
      </c>
      <c r="AF6" s="28" t="b">
        <f t="shared" si="8"/>
        <v>1</v>
      </c>
      <c r="AG6" s="42">
        <v>15</v>
      </c>
      <c r="AH6" s="29">
        <v>4</v>
      </c>
      <c r="AJ6" s="64">
        <v>6</v>
      </c>
      <c r="AK6" s="28" t="b">
        <f>IF($F$17&lt;AJ6,TRUE,FALSE)</f>
        <v>1</v>
      </c>
      <c r="AL6" s="29" t="s">
        <v>75</v>
      </c>
      <c r="AM6" s="28" t="b">
        <f>IF($F$17&lt;AJ6,TRUE,FALSE)</f>
        <v>1</v>
      </c>
      <c r="AN6" s="194" t="s">
        <v>311</v>
      </c>
      <c r="AP6" s="27" t="b">
        <f t="shared" si="0"/>
        <v>1</v>
      </c>
      <c r="AQ6" s="28">
        <v>8</v>
      </c>
      <c r="AR6" s="29" t="s">
        <v>305</v>
      </c>
      <c r="AT6" s="27">
        <v>0.83499999999999996</v>
      </c>
      <c r="AU6" s="28" t="b">
        <f t="shared" si="1"/>
        <v>1</v>
      </c>
      <c r="AV6" s="29" t="s">
        <v>316</v>
      </c>
      <c r="AY6" s="133"/>
      <c r="AZ6" s="45"/>
      <c r="BA6" s="139"/>
      <c r="BB6" s="45" t="e">
        <f t="shared" si="11"/>
        <v>#N/A</v>
      </c>
      <c r="BC6" s="114" t="s">
        <v>105</v>
      </c>
      <c r="BD6" s="45">
        <v>25</v>
      </c>
      <c r="BE6" s="64"/>
      <c r="BF6" s="120" t="b">
        <f t="shared" si="12"/>
        <v>1</v>
      </c>
      <c r="BG6" s="114" t="s">
        <v>105</v>
      </c>
      <c r="BH6" s="45">
        <v>15</v>
      </c>
      <c r="BI6" s="53">
        <v>1.6</v>
      </c>
      <c r="BJ6" s="139"/>
      <c r="BK6" s="45" t="b">
        <f t="shared" si="13"/>
        <v>0</v>
      </c>
      <c r="BL6" s="114" t="s">
        <v>132</v>
      </c>
      <c r="BM6" s="45" t="s">
        <v>56</v>
      </c>
      <c r="BN6" s="139"/>
      <c r="BO6" s="120" t="e">
        <f t="shared" si="14"/>
        <v>#N/A</v>
      </c>
      <c r="BP6" s="114" t="s">
        <v>225</v>
      </c>
      <c r="BQ6" s="53">
        <v>25</v>
      </c>
      <c r="BR6" s="139"/>
      <c r="BS6" s="120" t="e">
        <f t="shared" si="15"/>
        <v>#N/A</v>
      </c>
      <c r="BT6" s="114" t="s">
        <v>225</v>
      </c>
      <c r="BU6" s="53">
        <v>25</v>
      </c>
      <c r="BV6" s="139"/>
      <c r="BW6" s="45" t="e">
        <f t="shared" si="16"/>
        <v>#N/A</v>
      </c>
      <c r="BX6" s="114" t="s">
        <v>105</v>
      </c>
      <c r="BY6" s="45">
        <v>25</v>
      </c>
      <c r="BZ6" s="139"/>
      <c r="CA6" s="45" t="e">
        <f t="shared" si="17"/>
        <v>#N/A</v>
      </c>
      <c r="CB6" s="114" t="s">
        <v>105</v>
      </c>
      <c r="CC6" s="45">
        <v>25</v>
      </c>
      <c r="CD6" s="139"/>
      <c r="CE6" s="45" t="b">
        <f t="shared" si="18"/>
        <v>0</v>
      </c>
      <c r="CF6" s="114" t="s">
        <v>132</v>
      </c>
      <c r="CG6" s="29" t="s">
        <v>304</v>
      </c>
      <c r="CH6" s="139"/>
      <c r="CI6" s="45" t="e">
        <f t="shared" si="19"/>
        <v>#N/A</v>
      </c>
      <c r="CJ6" s="181">
        <v>3</v>
      </c>
      <c r="CK6" s="28" t="s">
        <v>75</v>
      </c>
      <c r="CL6" s="181" t="e">
        <f t="shared" si="20"/>
        <v>#N/A</v>
      </c>
      <c r="CM6" s="181">
        <v>3</v>
      </c>
      <c r="CN6" s="194" t="s">
        <v>311</v>
      </c>
      <c r="CO6" s="64"/>
      <c r="CP6" s="28" t="b">
        <f>IF($B$15=CR6,TRUE,FALSE)</f>
        <v>0</v>
      </c>
      <c r="CQ6" s="181">
        <v>2</v>
      </c>
      <c r="CR6" s="68" t="s">
        <v>258</v>
      </c>
      <c r="CS6" s="64"/>
      <c r="CT6" s="139"/>
      <c r="CU6" s="45" t="b">
        <f t="shared" ref="CU6:CU19" si="23">IF($E$9=CW6,TRUE,FALSE)</f>
        <v>0</v>
      </c>
      <c r="CV6" s="114" t="s">
        <v>104</v>
      </c>
      <c r="CW6" s="29" t="s">
        <v>331</v>
      </c>
      <c r="CX6" s="64"/>
      <c r="CY6" s="45" t="b">
        <f t="shared" si="21"/>
        <v>0</v>
      </c>
      <c r="CZ6" s="114" t="s">
        <v>132</v>
      </c>
      <c r="DA6" s="68" t="s">
        <v>56</v>
      </c>
      <c r="DB6" s="64"/>
      <c r="DC6" s="45"/>
      <c r="DD6" s="114"/>
      <c r="DE6" s="53"/>
    </row>
    <row r="7" spans="1:109" x14ac:dyDescent="0.25">
      <c r="A7" s="22" t="s">
        <v>68</v>
      </c>
      <c r="B7" s="24">
        <f>IF(('ОЛ(4)'!N17-B8)&lt;5,B8+5,'ОЛ(4)'!N17)</f>
        <v>5</v>
      </c>
      <c r="C7" s="23" t="s">
        <v>37</v>
      </c>
      <c r="E7" t="s">
        <v>48</v>
      </c>
      <c r="F7">
        <f>VLOOKUP(TRUE,IF(B14="IMI Hydronic",Z4:AB21,IF(B14="Siemens",AC4:AE22,AF4:AH16)),3,FALSE)</f>
        <v>1.6</v>
      </c>
      <c r="I7" s="27">
        <f t="shared" si="9"/>
        <v>0</v>
      </c>
      <c r="J7" s="28">
        <v>32</v>
      </c>
      <c r="K7" s="28">
        <f t="shared" si="2"/>
        <v>4.4277322004702871E-2</v>
      </c>
      <c r="L7" s="28">
        <f t="shared" si="3"/>
        <v>0</v>
      </c>
      <c r="M7" s="29"/>
      <c r="N7" s="27">
        <f t="shared" si="10"/>
        <v>0</v>
      </c>
      <c r="O7" s="28">
        <v>32</v>
      </c>
      <c r="P7" s="28">
        <f t="shared" si="4"/>
        <v>4.4277322004702871E-2</v>
      </c>
      <c r="Q7" s="29">
        <f t="shared" si="5"/>
        <v>0</v>
      </c>
      <c r="R7" s="28">
        <f t="shared" si="22"/>
        <v>0</v>
      </c>
      <c r="S7" s="28">
        <v>25</v>
      </c>
      <c r="T7" s="28"/>
      <c r="U7" s="29"/>
      <c r="W7" s="27"/>
      <c r="X7" s="28"/>
      <c r="Y7" s="28"/>
      <c r="Z7" s="27" t="b">
        <f t="shared" si="6"/>
        <v>1</v>
      </c>
      <c r="AA7" s="42">
        <v>20</v>
      </c>
      <c r="AB7" s="29">
        <v>6.3</v>
      </c>
      <c r="AC7" s="27" t="b">
        <f t="shared" si="7"/>
        <v>1</v>
      </c>
      <c r="AD7" s="42">
        <v>20</v>
      </c>
      <c r="AE7" s="29">
        <v>6.3</v>
      </c>
      <c r="AF7" s="28" t="b">
        <f t="shared" si="8"/>
        <v>1</v>
      </c>
      <c r="AG7" s="42">
        <v>20</v>
      </c>
      <c r="AH7" s="29">
        <v>6.3</v>
      </c>
      <c r="AJ7" s="64">
        <v>12</v>
      </c>
      <c r="AK7" s="28" t="b">
        <f>IF($F$17&lt;AJ7,TRUE,FALSE)</f>
        <v>1</v>
      </c>
      <c r="AL7" s="29" t="s">
        <v>76</v>
      </c>
      <c r="AM7" s="28" t="b">
        <f>IF($F$17&lt;AJ7,TRUE,FALSE)</f>
        <v>1</v>
      </c>
      <c r="AN7" s="194" t="s">
        <v>312</v>
      </c>
      <c r="AP7" s="27" t="b">
        <f t="shared" si="0"/>
        <v>1</v>
      </c>
      <c r="AQ7" s="28">
        <v>14</v>
      </c>
      <c r="AR7" s="29" t="s">
        <v>306</v>
      </c>
      <c r="AT7" s="27">
        <v>1.0009999999999999</v>
      </c>
      <c r="AU7" s="28" t="b">
        <f t="shared" si="1"/>
        <v>1</v>
      </c>
      <c r="AV7" s="29" t="s">
        <v>317</v>
      </c>
      <c r="AY7" s="133"/>
      <c r="AZ7" s="45"/>
      <c r="BA7" s="139"/>
      <c r="BB7" s="45" t="e">
        <f t="shared" si="11"/>
        <v>#N/A</v>
      </c>
      <c r="BC7" s="114" t="s">
        <v>106</v>
      </c>
      <c r="BD7" s="45">
        <v>32</v>
      </c>
      <c r="BE7" s="64"/>
      <c r="BF7" s="120" t="b">
        <f t="shared" si="12"/>
        <v>0</v>
      </c>
      <c r="BG7" s="114" t="s">
        <v>106</v>
      </c>
      <c r="BH7" s="45">
        <v>15</v>
      </c>
      <c r="BI7" s="53">
        <v>2.5</v>
      </c>
      <c r="BJ7" s="139"/>
      <c r="BK7" s="45"/>
      <c r="BL7" s="114"/>
      <c r="BM7" s="45"/>
      <c r="BN7" s="139"/>
      <c r="BO7" s="120" t="e">
        <f t="shared" si="14"/>
        <v>#N/A</v>
      </c>
      <c r="BP7" s="114" t="s">
        <v>225</v>
      </c>
      <c r="BQ7" s="53">
        <v>32</v>
      </c>
      <c r="BR7" s="139"/>
      <c r="BS7" s="120" t="e">
        <f t="shared" si="15"/>
        <v>#N/A</v>
      </c>
      <c r="BT7" s="114" t="s">
        <v>225</v>
      </c>
      <c r="BU7" s="53">
        <v>32</v>
      </c>
      <c r="BV7" s="139"/>
      <c r="BW7" s="45" t="e">
        <f t="shared" si="16"/>
        <v>#N/A</v>
      </c>
      <c r="BX7" s="114" t="s">
        <v>106</v>
      </c>
      <c r="BY7" s="45">
        <v>32</v>
      </c>
      <c r="BZ7" s="139"/>
      <c r="CA7" s="45" t="e">
        <f t="shared" si="17"/>
        <v>#N/A</v>
      </c>
      <c r="CB7" s="114" t="s">
        <v>106</v>
      </c>
      <c r="CC7" s="45">
        <v>32</v>
      </c>
      <c r="CD7" s="139"/>
      <c r="CE7" s="45" t="b">
        <f t="shared" si="18"/>
        <v>0</v>
      </c>
      <c r="CF7" s="114" t="s">
        <v>226</v>
      </c>
      <c r="CG7" s="29" t="s">
        <v>305</v>
      </c>
      <c r="CH7" s="139"/>
      <c r="CI7" s="45" t="e">
        <f t="shared" si="19"/>
        <v>#N/A</v>
      </c>
      <c r="CJ7" s="68">
        <v>4</v>
      </c>
      <c r="CK7" s="28" t="s">
        <v>76</v>
      </c>
      <c r="CL7" s="181" t="e">
        <f t="shared" si="20"/>
        <v>#N/A</v>
      </c>
      <c r="CM7" s="68">
        <v>4</v>
      </c>
      <c r="CN7" s="194" t="s">
        <v>312</v>
      </c>
      <c r="CO7" s="64"/>
      <c r="CP7" s="28"/>
      <c r="CQ7" s="181"/>
      <c r="CS7" s="64"/>
      <c r="CT7" s="139"/>
      <c r="CU7" s="45" t="b">
        <f t="shared" si="23"/>
        <v>0</v>
      </c>
      <c r="CV7" s="114" t="s">
        <v>105</v>
      </c>
      <c r="CW7" s="29" t="s">
        <v>330</v>
      </c>
      <c r="CX7" s="64"/>
      <c r="CY7" s="45"/>
      <c r="CZ7" s="28"/>
      <c r="DA7" s="28"/>
      <c r="DB7" s="64"/>
      <c r="DC7" s="45"/>
      <c r="DD7" s="114"/>
      <c r="DE7" s="135"/>
    </row>
    <row r="8" spans="1:109" x14ac:dyDescent="0.25">
      <c r="A8" s="22" t="s">
        <v>69</v>
      </c>
      <c r="B8" s="24">
        <f>'ОЛ(4)'!R17</f>
        <v>0</v>
      </c>
      <c r="C8" s="23" t="s">
        <v>37</v>
      </c>
      <c r="E8" s="44" t="s">
        <v>53</v>
      </c>
      <c r="F8" s="25">
        <f>(F4^2/F7^2)*10</f>
        <v>0</v>
      </c>
      <c r="I8" s="27">
        <f t="shared" si="9"/>
        <v>0</v>
      </c>
      <c r="J8" s="28">
        <v>40</v>
      </c>
      <c r="K8" s="28">
        <f t="shared" si="2"/>
        <v>4.0875226338606248E-2</v>
      </c>
      <c r="L8" s="28">
        <f t="shared" si="3"/>
        <v>0</v>
      </c>
      <c r="M8" s="29"/>
      <c r="N8" s="27">
        <f t="shared" si="10"/>
        <v>0</v>
      </c>
      <c r="O8" s="28">
        <v>40</v>
      </c>
      <c r="P8" s="28">
        <f t="shared" si="4"/>
        <v>4.0875226338606248E-2</v>
      </c>
      <c r="Q8" s="29">
        <f t="shared" si="5"/>
        <v>0</v>
      </c>
      <c r="R8" s="28">
        <f t="shared" si="22"/>
        <v>0</v>
      </c>
      <c r="S8" s="28">
        <v>32</v>
      </c>
      <c r="T8" s="28"/>
      <c r="U8" s="29"/>
      <c r="W8" s="41"/>
      <c r="X8" s="28"/>
      <c r="Y8" s="43"/>
      <c r="Z8" s="27" t="b">
        <f t="shared" si="6"/>
        <v>1</v>
      </c>
      <c r="AA8" s="42">
        <v>25</v>
      </c>
      <c r="AB8" s="29">
        <v>10</v>
      </c>
      <c r="AC8" s="27" t="b">
        <f t="shared" si="7"/>
        <v>1</v>
      </c>
      <c r="AD8" s="42">
        <v>25</v>
      </c>
      <c r="AE8" s="29">
        <v>10</v>
      </c>
      <c r="AF8" s="28" t="b">
        <f t="shared" si="8"/>
        <v>1</v>
      </c>
      <c r="AG8" s="42">
        <v>25</v>
      </c>
      <c r="AH8" s="29">
        <v>10</v>
      </c>
      <c r="AJ8" s="64"/>
      <c r="AK8" s="45"/>
      <c r="AL8" s="29"/>
      <c r="AM8" s="28"/>
      <c r="AN8" s="29"/>
      <c r="AP8" s="27" t="b">
        <f t="shared" si="0"/>
        <v>1</v>
      </c>
      <c r="AQ8" s="28">
        <v>20</v>
      </c>
      <c r="AR8" s="29" t="s">
        <v>307</v>
      </c>
      <c r="AT8" s="27"/>
      <c r="AU8" s="28"/>
      <c r="AV8" s="29"/>
      <c r="AY8" s="133"/>
      <c r="AZ8" s="45"/>
      <c r="BA8" s="139"/>
      <c r="BB8" s="45" t="e">
        <f t="shared" si="11"/>
        <v>#N/A</v>
      </c>
      <c r="BC8" s="114" t="s">
        <v>107</v>
      </c>
      <c r="BD8" s="45">
        <v>40</v>
      </c>
      <c r="BE8" s="64"/>
      <c r="BF8" s="120" t="b">
        <f t="shared" si="12"/>
        <v>0</v>
      </c>
      <c r="BG8" s="114" t="s">
        <v>107</v>
      </c>
      <c r="BH8" s="45">
        <v>15</v>
      </c>
      <c r="BI8" s="53">
        <v>4</v>
      </c>
      <c r="BJ8" s="139"/>
      <c r="BK8" s="45"/>
      <c r="BL8" s="114"/>
      <c r="BM8" s="45"/>
      <c r="BN8" s="139"/>
      <c r="BO8" s="120" t="e">
        <f t="shared" si="14"/>
        <v>#N/A</v>
      </c>
      <c r="BP8" s="114" t="s">
        <v>225</v>
      </c>
      <c r="BQ8" s="53">
        <v>40</v>
      </c>
      <c r="BR8" s="139"/>
      <c r="BS8" s="120" t="e">
        <f t="shared" si="15"/>
        <v>#N/A</v>
      </c>
      <c r="BT8" s="114" t="s">
        <v>225</v>
      </c>
      <c r="BU8" s="53">
        <v>40</v>
      </c>
      <c r="BV8" s="139"/>
      <c r="BW8" s="45" t="e">
        <f t="shared" si="16"/>
        <v>#N/A</v>
      </c>
      <c r="BX8" s="114" t="s">
        <v>107</v>
      </c>
      <c r="BY8" s="45">
        <v>40</v>
      </c>
      <c r="BZ8" s="139"/>
      <c r="CA8" s="45" t="e">
        <f t="shared" si="17"/>
        <v>#N/A</v>
      </c>
      <c r="CB8" s="114" t="s">
        <v>107</v>
      </c>
      <c r="CC8" s="45">
        <v>40</v>
      </c>
      <c r="CD8" s="139"/>
      <c r="CE8" s="45" t="b">
        <f t="shared" si="18"/>
        <v>0</v>
      </c>
      <c r="CF8" s="114" t="s">
        <v>227</v>
      </c>
      <c r="CG8" s="29" t="s">
        <v>306</v>
      </c>
      <c r="CH8" s="139"/>
      <c r="CI8" s="45"/>
      <c r="CJ8" s="68"/>
      <c r="CK8" s="181"/>
      <c r="CL8" s="181"/>
      <c r="CM8" s="68"/>
      <c r="CN8" s="181"/>
      <c r="CO8" s="64"/>
      <c r="CS8" s="64"/>
      <c r="CT8" s="139"/>
      <c r="CU8" s="45" t="b">
        <f t="shared" si="23"/>
        <v>0</v>
      </c>
      <c r="CV8" s="114" t="s">
        <v>106</v>
      </c>
      <c r="CW8" s="29" t="s">
        <v>333</v>
      </c>
      <c r="CX8" s="64"/>
      <c r="CY8" s="45"/>
      <c r="CZ8" s="114"/>
      <c r="DA8" s="45"/>
      <c r="DB8" s="64"/>
      <c r="DC8" s="45"/>
      <c r="DD8" s="114"/>
      <c r="DE8" s="53"/>
    </row>
    <row r="9" spans="1:109" ht="15.75" thickBot="1" x14ac:dyDescent="0.3">
      <c r="A9" s="22" t="s">
        <v>34</v>
      </c>
      <c r="B9" s="24">
        <f>'ОЛ(4)'!W13*100</f>
        <v>60</v>
      </c>
      <c r="C9" s="23" t="s">
        <v>38</v>
      </c>
      <c r="E9" s="222" t="str">
        <f>VLOOKUP(TRUE,AU3:AV7,2,FALSE)</f>
        <v>НН08-16/1</v>
      </c>
      <c r="F9" s="222"/>
      <c r="I9" s="27">
        <f t="shared" si="9"/>
        <v>0</v>
      </c>
      <c r="J9" s="28">
        <v>50</v>
      </c>
      <c r="K9" s="28">
        <f t="shared" si="2"/>
        <v>3.7850686611455138E-2</v>
      </c>
      <c r="L9" s="28">
        <f t="shared" si="3"/>
        <v>0</v>
      </c>
      <c r="M9" s="29"/>
      <c r="N9" s="27">
        <f t="shared" si="10"/>
        <v>0</v>
      </c>
      <c r="O9" s="28">
        <v>50</v>
      </c>
      <c r="P9" s="28">
        <f t="shared" si="4"/>
        <v>3.7850686611455138E-2</v>
      </c>
      <c r="Q9" s="29">
        <f t="shared" si="5"/>
        <v>0</v>
      </c>
      <c r="R9" s="28">
        <f t="shared" si="22"/>
        <v>0</v>
      </c>
      <c r="S9" s="28">
        <v>40</v>
      </c>
      <c r="T9" s="28"/>
      <c r="U9" s="29"/>
      <c r="W9" s="41"/>
      <c r="X9" s="43"/>
      <c r="Y9" s="28"/>
      <c r="Z9" s="27" t="b">
        <f t="shared" si="6"/>
        <v>1</v>
      </c>
      <c r="AA9" s="42">
        <v>32</v>
      </c>
      <c r="AB9" s="29">
        <v>16</v>
      </c>
      <c r="AC9" s="27" t="b">
        <f t="shared" si="7"/>
        <v>1</v>
      </c>
      <c r="AD9" s="42">
        <v>32</v>
      </c>
      <c r="AE9" s="29">
        <v>16</v>
      </c>
      <c r="AF9" s="28" t="b">
        <f t="shared" si="8"/>
        <v>1</v>
      </c>
      <c r="AG9" s="42">
        <v>32</v>
      </c>
      <c r="AH9" s="29">
        <v>16</v>
      </c>
      <c r="AJ9" s="64"/>
      <c r="AK9" s="45"/>
      <c r="AL9" s="29"/>
      <c r="AM9" s="28"/>
      <c r="AN9" s="29"/>
      <c r="AP9" s="31"/>
      <c r="AQ9" s="33"/>
      <c r="AR9" s="34"/>
      <c r="AT9" s="31"/>
      <c r="AU9" s="33"/>
      <c r="AV9" s="34"/>
      <c r="AY9" s="133"/>
      <c r="AZ9" s="45"/>
      <c r="BA9" s="139"/>
      <c r="BB9" s="45" t="e">
        <f t="shared" si="11"/>
        <v>#N/A</v>
      </c>
      <c r="BC9" s="114" t="s">
        <v>108</v>
      </c>
      <c r="BD9" s="45">
        <v>50</v>
      </c>
      <c r="BE9" s="64"/>
      <c r="BF9" s="120" t="b">
        <f t="shared" si="12"/>
        <v>0</v>
      </c>
      <c r="BG9" s="114" t="s">
        <v>108</v>
      </c>
      <c r="BH9" s="45">
        <v>20</v>
      </c>
      <c r="BI9" s="53">
        <v>5</v>
      </c>
      <c r="BJ9" s="139"/>
      <c r="BK9" s="45"/>
      <c r="BL9" s="114"/>
      <c r="BM9" s="45"/>
      <c r="BN9" s="139"/>
      <c r="BO9" s="120" t="e">
        <f t="shared" si="14"/>
        <v>#N/A</v>
      </c>
      <c r="BP9" s="114" t="s">
        <v>225</v>
      </c>
      <c r="BQ9" s="53">
        <v>50</v>
      </c>
      <c r="BR9" s="139"/>
      <c r="BS9" s="120" t="e">
        <f t="shared" si="15"/>
        <v>#N/A</v>
      </c>
      <c r="BT9" s="114" t="s">
        <v>225</v>
      </c>
      <c r="BU9" s="53">
        <v>50</v>
      </c>
      <c r="BV9" s="139"/>
      <c r="BW9" s="45" t="e">
        <f t="shared" si="16"/>
        <v>#N/A</v>
      </c>
      <c r="BX9" s="114" t="s">
        <v>108</v>
      </c>
      <c r="BY9" s="45">
        <v>50</v>
      </c>
      <c r="BZ9" s="139"/>
      <c r="CA9" s="45" t="e">
        <f t="shared" si="17"/>
        <v>#N/A</v>
      </c>
      <c r="CB9" s="114" t="s">
        <v>108</v>
      </c>
      <c r="CC9" s="45">
        <v>50</v>
      </c>
      <c r="CD9" s="139"/>
      <c r="CE9" s="45" t="b">
        <f t="shared" si="18"/>
        <v>0</v>
      </c>
      <c r="CF9" s="114" t="s">
        <v>296</v>
      </c>
      <c r="CG9" s="29" t="s">
        <v>307</v>
      </c>
      <c r="CH9" s="139"/>
      <c r="CI9" s="45"/>
      <c r="CJ9" s="68"/>
      <c r="CK9" s="181"/>
      <c r="CL9" s="181"/>
      <c r="CM9" s="68"/>
      <c r="CN9" s="181"/>
      <c r="CO9" s="64"/>
      <c r="CP9" s="28"/>
      <c r="CQ9" s="28"/>
      <c r="CR9" s="28"/>
      <c r="CS9" s="64"/>
      <c r="CT9" s="139"/>
      <c r="CU9" s="45" t="b">
        <f t="shared" si="23"/>
        <v>0</v>
      </c>
      <c r="CV9" s="114" t="s">
        <v>107</v>
      </c>
      <c r="CW9" s="29" t="s">
        <v>314</v>
      </c>
      <c r="CX9" s="64"/>
      <c r="CY9" s="45"/>
      <c r="CZ9" s="114"/>
      <c r="DA9" s="45"/>
      <c r="DB9" s="64"/>
      <c r="DC9" s="45"/>
      <c r="DD9" s="114"/>
      <c r="DE9" s="53"/>
    </row>
    <row r="10" spans="1:109" x14ac:dyDescent="0.25">
      <c r="A10" s="22" t="s">
        <v>35</v>
      </c>
      <c r="B10" s="24">
        <f>'ОЛ(4)'!AC13*100</f>
        <v>40</v>
      </c>
      <c r="C10" s="23" t="s">
        <v>38</v>
      </c>
      <c r="I10" s="27">
        <f t="shared" si="9"/>
        <v>0</v>
      </c>
      <c r="J10" s="28">
        <v>65</v>
      </c>
      <c r="K10" s="28">
        <f t="shared" si="2"/>
        <v>3.4705101432211748E-2</v>
      </c>
      <c r="L10" s="28">
        <f t="shared" si="3"/>
        <v>0</v>
      </c>
      <c r="M10" s="29"/>
      <c r="N10" s="27">
        <f t="shared" si="10"/>
        <v>0</v>
      </c>
      <c r="O10" s="28">
        <v>65</v>
      </c>
      <c r="P10" s="28">
        <f t="shared" si="4"/>
        <v>3.4705101432211748E-2</v>
      </c>
      <c r="Q10" s="29">
        <f t="shared" si="5"/>
        <v>0</v>
      </c>
      <c r="R10" s="28">
        <f t="shared" si="22"/>
        <v>0</v>
      </c>
      <c r="S10" s="28">
        <v>50</v>
      </c>
      <c r="T10" s="28"/>
      <c r="U10" s="29"/>
      <c r="W10" s="27"/>
      <c r="X10" s="28"/>
      <c r="Y10" s="28"/>
      <c r="Z10" s="27" t="b">
        <f t="shared" si="6"/>
        <v>1</v>
      </c>
      <c r="AA10" s="42">
        <v>40</v>
      </c>
      <c r="AB10" s="29">
        <v>20</v>
      </c>
      <c r="AC10" s="27" t="b">
        <f t="shared" si="7"/>
        <v>1</v>
      </c>
      <c r="AD10" s="42">
        <v>40</v>
      </c>
      <c r="AE10" s="29">
        <v>25</v>
      </c>
      <c r="AF10" s="28" t="b">
        <f t="shared" si="8"/>
        <v>1</v>
      </c>
      <c r="AG10" s="42">
        <v>40</v>
      </c>
      <c r="AH10" s="29">
        <v>25</v>
      </c>
      <c r="AJ10" s="64"/>
      <c r="AK10" s="45"/>
      <c r="AL10" s="29"/>
      <c r="AM10" s="28"/>
      <c r="AN10" s="29"/>
      <c r="AY10" s="133"/>
      <c r="AZ10" s="45"/>
      <c r="BA10" s="139"/>
      <c r="BB10" s="45" t="e">
        <f t="shared" si="11"/>
        <v>#N/A</v>
      </c>
      <c r="BC10" s="114" t="s">
        <v>109</v>
      </c>
      <c r="BD10" s="45">
        <v>65</v>
      </c>
      <c r="BE10" s="64"/>
      <c r="BF10" s="120" t="b">
        <f t="shared" si="12"/>
        <v>0</v>
      </c>
      <c r="BG10" s="114" t="s">
        <v>109</v>
      </c>
      <c r="BH10" s="45">
        <v>20</v>
      </c>
      <c r="BI10" s="53">
        <v>6.3</v>
      </c>
      <c r="BJ10" s="139"/>
      <c r="BK10" s="45"/>
      <c r="BL10" s="114"/>
      <c r="BM10" s="45"/>
      <c r="BN10" s="139"/>
      <c r="BO10" s="120" t="e">
        <f t="shared" si="14"/>
        <v>#N/A</v>
      </c>
      <c r="BP10" s="114" t="s">
        <v>225</v>
      </c>
      <c r="BQ10" s="53">
        <v>65</v>
      </c>
      <c r="BR10" s="139"/>
      <c r="BS10" s="120" t="e">
        <f t="shared" si="15"/>
        <v>#N/A</v>
      </c>
      <c r="BT10" s="114" t="s">
        <v>225</v>
      </c>
      <c r="BU10" s="53">
        <v>65</v>
      </c>
      <c r="BV10" s="139"/>
      <c r="BW10" s="45" t="e">
        <f t="shared" si="16"/>
        <v>#N/A</v>
      </c>
      <c r="BX10" s="114" t="s">
        <v>109</v>
      </c>
      <c r="BY10" s="45">
        <v>65</v>
      </c>
      <c r="BZ10" s="139"/>
      <c r="CA10" s="45" t="e">
        <f t="shared" si="17"/>
        <v>#N/A</v>
      </c>
      <c r="CB10" s="114" t="s">
        <v>109</v>
      </c>
      <c r="CC10" s="45">
        <v>65</v>
      </c>
      <c r="CD10" s="139"/>
      <c r="CE10" s="45"/>
      <c r="CF10" s="114"/>
      <c r="CG10" s="45"/>
      <c r="CH10" s="139"/>
      <c r="CI10" s="45"/>
      <c r="CJ10" s="68"/>
      <c r="CK10" s="181"/>
      <c r="CL10" s="181"/>
      <c r="CM10" s="68"/>
      <c r="CN10" s="181"/>
      <c r="CO10" s="64"/>
      <c r="CS10" s="64"/>
      <c r="CT10" s="139"/>
      <c r="CU10" s="45" t="b">
        <f t="shared" si="23"/>
        <v>0</v>
      </c>
      <c r="CV10" s="114" t="s">
        <v>108</v>
      </c>
      <c r="CW10" s="29" t="s">
        <v>315</v>
      </c>
      <c r="CX10" s="64"/>
      <c r="CY10" s="45"/>
      <c r="CZ10" s="114"/>
      <c r="DA10" s="45"/>
      <c r="DB10" s="64"/>
      <c r="DC10" s="45"/>
      <c r="DD10" s="114"/>
      <c r="DE10" s="53"/>
    </row>
    <row r="11" spans="1:109" ht="15.75" thickBot="1" x14ac:dyDescent="0.3">
      <c r="A11" s="26" t="s">
        <v>50</v>
      </c>
      <c r="B11">
        <f>B9-B10</f>
        <v>20</v>
      </c>
      <c r="C11" s="23" t="s">
        <v>38</v>
      </c>
      <c r="E11" t="s">
        <v>70</v>
      </c>
      <c r="F11" s="25">
        <f>B4*1000/(B7-B8)</f>
        <v>0</v>
      </c>
      <c r="I11" s="27">
        <f t="shared" si="9"/>
        <v>0</v>
      </c>
      <c r="J11" s="28">
        <v>80</v>
      </c>
      <c r="K11" s="28">
        <f t="shared" si="2"/>
        <v>3.248549788373601E-2</v>
      </c>
      <c r="L11" s="28">
        <f t="shared" si="3"/>
        <v>0</v>
      </c>
      <c r="M11" s="29"/>
      <c r="N11" s="27">
        <f t="shared" si="10"/>
        <v>0</v>
      </c>
      <c r="O11" s="28">
        <v>80</v>
      </c>
      <c r="P11" s="28">
        <f t="shared" si="4"/>
        <v>3.248549788373601E-2</v>
      </c>
      <c r="Q11" s="29">
        <f t="shared" si="5"/>
        <v>0</v>
      </c>
      <c r="R11" s="28">
        <f t="shared" si="22"/>
        <v>0</v>
      </c>
      <c r="S11" s="28">
        <v>65</v>
      </c>
      <c r="T11" s="28"/>
      <c r="U11" s="29"/>
      <c r="W11" s="27"/>
      <c r="X11" s="28"/>
      <c r="Y11" s="43"/>
      <c r="Z11" s="27" t="b">
        <f t="shared" si="6"/>
        <v>1</v>
      </c>
      <c r="AA11" s="42">
        <v>40</v>
      </c>
      <c r="AB11" s="29">
        <v>25</v>
      </c>
      <c r="AC11" s="27" t="b">
        <f t="shared" si="7"/>
        <v>1</v>
      </c>
      <c r="AD11" s="42">
        <v>50</v>
      </c>
      <c r="AE11" s="49">
        <v>31.5</v>
      </c>
      <c r="AF11" s="28" t="b">
        <f t="shared" si="8"/>
        <v>1</v>
      </c>
      <c r="AG11" s="42">
        <v>50</v>
      </c>
      <c r="AH11" s="29">
        <v>40</v>
      </c>
      <c r="AJ11" s="65"/>
      <c r="AK11" s="52"/>
      <c r="AL11" s="34"/>
      <c r="AM11" s="33"/>
      <c r="AN11" s="34"/>
      <c r="AY11" s="133"/>
      <c r="AZ11" s="45"/>
      <c r="BA11" s="139"/>
      <c r="BB11" s="45" t="e">
        <f t="shared" si="11"/>
        <v>#N/A</v>
      </c>
      <c r="BC11" s="114" t="s">
        <v>110</v>
      </c>
      <c r="BD11" s="45">
        <v>80</v>
      </c>
      <c r="BE11" s="64"/>
      <c r="BF11" s="120" t="b">
        <f t="shared" si="12"/>
        <v>0</v>
      </c>
      <c r="BG11" s="114" t="s">
        <v>110</v>
      </c>
      <c r="BH11" s="45">
        <v>25</v>
      </c>
      <c r="BI11" s="53">
        <v>8</v>
      </c>
      <c r="BJ11" s="139"/>
      <c r="BK11" s="45"/>
      <c r="BL11" s="114"/>
      <c r="BM11" s="45"/>
      <c r="BN11" s="139"/>
      <c r="BO11" s="120" t="e">
        <f>IF($F$5=BQ11,TRUE,FALSE)</f>
        <v>#N/A</v>
      </c>
      <c r="BP11" s="114" t="s">
        <v>225</v>
      </c>
      <c r="BQ11" s="53">
        <v>80</v>
      </c>
      <c r="BR11" s="139"/>
      <c r="BS11" s="120" t="e">
        <f>IF($F$5=BU11,TRUE,FALSE)</f>
        <v>#N/A</v>
      </c>
      <c r="BT11" s="114" t="s">
        <v>225</v>
      </c>
      <c r="BU11" s="53">
        <v>80</v>
      </c>
      <c r="BV11" s="139"/>
      <c r="BW11" s="45" t="e">
        <f t="shared" si="16"/>
        <v>#N/A</v>
      </c>
      <c r="BX11" s="114" t="s">
        <v>110</v>
      </c>
      <c r="BY11" s="45">
        <v>80</v>
      </c>
      <c r="BZ11" s="139"/>
      <c r="CA11" s="45" t="e">
        <f t="shared" si="17"/>
        <v>#N/A</v>
      </c>
      <c r="CB11" s="114" t="s">
        <v>110</v>
      </c>
      <c r="CC11" s="45">
        <v>80</v>
      </c>
      <c r="CD11" s="139"/>
      <c r="CE11" s="45"/>
      <c r="CF11" s="114"/>
      <c r="CG11" s="45"/>
      <c r="CH11" s="139"/>
      <c r="CI11" s="45"/>
      <c r="CJ11" s="68"/>
      <c r="CK11" s="181"/>
      <c r="CL11" s="181"/>
      <c r="CM11" s="181"/>
      <c r="CN11" s="181"/>
      <c r="CO11" s="64"/>
      <c r="CS11" s="64"/>
      <c r="CT11" s="139"/>
      <c r="CU11" s="45" t="b">
        <f t="shared" si="23"/>
        <v>0</v>
      </c>
      <c r="CV11" s="114" t="s">
        <v>109</v>
      </c>
      <c r="CW11" s="29" t="s">
        <v>316</v>
      </c>
      <c r="CX11" s="64"/>
      <c r="CY11" s="45"/>
      <c r="CZ11" s="114"/>
      <c r="DA11" s="45"/>
      <c r="DB11" s="64"/>
      <c r="DC11" s="45"/>
      <c r="DD11" s="114"/>
      <c r="DE11" s="53"/>
    </row>
    <row r="12" spans="1:109" x14ac:dyDescent="0.25">
      <c r="E12" t="s">
        <v>71</v>
      </c>
      <c r="F12" t="e">
        <f>VLOOKUP(1,N4:Q17,2,FALSE)</f>
        <v>#N/A</v>
      </c>
      <c r="I12" s="27">
        <f t="shared" si="9"/>
        <v>0</v>
      </c>
      <c r="J12" s="28">
        <v>100</v>
      </c>
      <c r="K12" s="28">
        <f t="shared" si="2"/>
        <v>3.0329450982592862E-2</v>
      </c>
      <c r="L12" s="28">
        <f t="shared" si="3"/>
        <v>0</v>
      </c>
      <c r="M12" s="29"/>
      <c r="N12" s="27">
        <f t="shared" si="10"/>
        <v>0</v>
      </c>
      <c r="O12" s="28">
        <v>100</v>
      </c>
      <c r="P12" s="28">
        <f t="shared" si="4"/>
        <v>3.0329450982592862E-2</v>
      </c>
      <c r="Q12" s="29">
        <f t="shared" si="5"/>
        <v>0</v>
      </c>
      <c r="R12" s="28">
        <f t="shared" si="22"/>
        <v>0</v>
      </c>
      <c r="S12" s="28">
        <v>80</v>
      </c>
      <c r="T12" s="28"/>
      <c r="U12" s="29"/>
      <c r="W12" s="41"/>
      <c r="X12" s="28"/>
      <c r="Y12" s="28"/>
      <c r="Z12" s="27" t="b">
        <f t="shared" si="6"/>
        <v>1</v>
      </c>
      <c r="AA12" s="42">
        <v>50</v>
      </c>
      <c r="AB12" s="29">
        <v>31.5</v>
      </c>
      <c r="AC12" s="27" t="b">
        <f t="shared" si="7"/>
        <v>1</v>
      </c>
      <c r="AD12" s="42">
        <v>50</v>
      </c>
      <c r="AE12" s="49">
        <v>40</v>
      </c>
      <c r="AF12" s="28" t="b">
        <f t="shared" si="8"/>
        <v>1</v>
      </c>
      <c r="AG12" s="42">
        <v>65</v>
      </c>
      <c r="AH12" s="29">
        <v>63</v>
      </c>
      <c r="AY12" s="133"/>
      <c r="AZ12" s="45"/>
      <c r="BA12" s="139"/>
      <c r="BB12" s="45" t="e">
        <f t="shared" si="11"/>
        <v>#N/A</v>
      </c>
      <c r="BC12" s="114" t="s">
        <v>111</v>
      </c>
      <c r="BD12" s="45">
        <v>100</v>
      </c>
      <c r="BE12" s="64"/>
      <c r="BF12" s="120" t="b">
        <f t="shared" si="12"/>
        <v>0</v>
      </c>
      <c r="BG12" s="114" t="s">
        <v>111</v>
      </c>
      <c r="BH12" s="45">
        <v>25</v>
      </c>
      <c r="BI12" s="53">
        <v>10</v>
      </c>
      <c r="BJ12" s="139"/>
      <c r="BK12" s="45"/>
      <c r="BL12" s="114"/>
      <c r="BM12" s="45"/>
      <c r="BN12" s="139"/>
      <c r="BO12" s="120" t="e">
        <f t="shared" si="14"/>
        <v>#N/A</v>
      </c>
      <c r="BP12" s="114" t="s">
        <v>225</v>
      </c>
      <c r="BQ12" s="53">
        <v>100</v>
      </c>
      <c r="BR12" s="139"/>
      <c r="BS12" s="120" t="e">
        <f t="shared" ref="BS12:BS15" si="24">IF($F$5=BU12,TRUE,FALSE)</f>
        <v>#N/A</v>
      </c>
      <c r="BT12" s="114" t="s">
        <v>225</v>
      </c>
      <c r="BU12" s="53">
        <v>100</v>
      </c>
      <c r="BV12" s="139"/>
      <c r="BW12" s="45" t="e">
        <f t="shared" si="16"/>
        <v>#N/A</v>
      </c>
      <c r="BX12" s="114" t="s">
        <v>111</v>
      </c>
      <c r="BY12" s="45">
        <v>100</v>
      </c>
      <c r="BZ12" s="139"/>
      <c r="CA12" s="45" t="e">
        <f t="shared" si="17"/>
        <v>#N/A</v>
      </c>
      <c r="CB12" s="114" t="s">
        <v>111</v>
      </c>
      <c r="CC12" s="45">
        <v>100</v>
      </c>
      <c r="CD12" s="139"/>
      <c r="CE12" s="45"/>
      <c r="CF12" s="114"/>
      <c r="CG12" s="45"/>
      <c r="CH12" s="139"/>
      <c r="CI12" s="45"/>
      <c r="CJ12" s="181"/>
      <c r="CK12" s="28"/>
      <c r="CL12" s="28"/>
      <c r="CM12" s="28"/>
      <c r="CN12" s="28"/>
      <c r="CO12" s="64"/>
      <c r="CS12" s="64"/>
      <c r="CT12" s="139"/>
      <c r="CU12" s="45" t="b">
        <f t="shared" si="23"/>
        <v>0</v>
      </c>
      <c r="CV12" s="114" t="s">
        <v>110</v>
      </c>
      <c r="CW12" s="29" t="s">
        <v>317</v>
      </c>
      <c r="CX12" s="64"/>
      <c r="CY12" s="45"/>
      <c r="CZ12" s="114"/>
      <c r="DA12" s="45"/>
      <c r="DB12" s="64"/>
      <c r="DC12" s="45"/>
      <c r="DD12" s="114"/>
      <c r="DE12" s="53"/>
    </row>
    <row r="13" spans="1:109" x14ac:dyDescent="0.25">
      <c r="A13" s="22"/>
      <c r="C13" s="23"/>
      <c r="E13" s="222" t="str">
        <f>VLOOKUP(TRUE,AP3:AR9,3,FALSE)</f>
        <v>"Пульсар" 15</v>
      </c>
      <c r="F13" s="222"/>
      <c r="I13" s="27">
        <f t="shared" si="9"/>
        <v>0</v>
      </c>
      <c r="J13" s="28">
        <v>125</v>
      </c>
      <c r="K13" s="28">
        <f t="shared" si="2"/>
        <v>2.8381135828692533E-2</v>
      </c>
      <c r="L13" s="28">
        <f t="shared" si="3"/>
        <v>0</v>
      </c>
      <c r="M13" s="29"/>
      <c r="N13" s="27">
        <f t="shared" si="10"/>
        <v>0</v>
      </c>
      <c r="O13" s="28">
        <v>125</v>
      </c>
      <c r="P13" s="28">
        <f t="shared" si="4"/>
        <v>2.8381135828692533E-2</v>
      </c>
      <c r="Q13" s="29">
        <f t="shared" si="5"/>
        <v>0</v>
      </c>
      <c r="R13" s="28">
        <f t="shared" si="22"/>
        <v>0</v>
      </c>
      <c r="S13" s="28">
        <v>100</v>
      </c>
      <c r="T13" s="28"/>
      <c r="U13" s="29"/>
      <c r="W13" s="41"/>
      <c r="X13" s="43"/>
      <c r="Y13" s="28"/>
      <c r="Z13" s="27" t="b">
        <f t="shared" si="6"/>
        <v>1</v>
      </c>
      <c r="AA13" s="42">
        <v>50</v>
      </c>
      <c r="AB13" s="29">
        <v>40</v>
      </c>
      <c r="AC13" s="27" t="b">
        <f t="shared" si="7"/>
        <v>1</v>
      </c>
      <c r="AD13" s="42">
        <v>65</v>
      </c>
      <c r="AE13" s="49">
        <v>50</v>
      </c>
      <c r="AF13" s="28" t="b">
        <f t="shared" si="8"/>
        <v>1</v>
      </c>
      <c r="AG13" s="42">
        <v>80</v>
      </c>
      <c r="AH13" s="29">
        <v>100</v>
      </c>
      <c r="AY13" s="133"/>
      <c r="AZ13" s="45"/>
      <c r="BA13" s="139"/>
      <c r="BB13" s="45" t="e">
        <f t="shared" si="11"/>
        <v>#N/A</v>
      </c>
      <c r="BC13" s="114" t="s">
        <v>112</v>
      </c>
      <c r="BD13" s="45">
        <v>125</v>
      </c>
      <c r="BE13" s="64"/>
      <c r="BF13" s="120" t="b">
        <f t="shared" si="12"/>
        <v>0</v>
      </c>
      <c r="BG13" s="114" t="s">
        <v>112</v>
      </c>
      <c r="BH13" s="45">
        <v>32</v>
      </c>
      <c r="BI13" s="53">
        <v>12.5</v>
      </c>
      <c r="BJ13" s="139"/>
      <c r="BK13" s="45"/>
      <c r="BL13" s="114"/>
      <c r="BM13" s="45"/>
      <c r="BN13" s="139"/>
      <c r="BO13" s="120" t="e">
        <f t="shared" si="14"/>
        <v>#N/A</v>
      </c>
      <c r="BP13" s="114" t="s">
        <v>225</v>
      </c>
      <c r="BQ13" s="53">
        <v>125</v>
      </c>
      <c r="BR13" s="139"/>
      <c r="BS13" s="120" t="e">
        <f t="shared" si="24"/>
        <v>#N/A</v>
      </c>
      <c r="BT13" s="114" t="s">
        <v>225</v>
      </c>
      <c r="BU13" s="53">
        <v>125</v>
      </c>
      <c r="BV13" s="139"/>
      <c r="BW13" s="45" t="e">
        <f t="shared" si="16"/>
        <v>#N/A</v>
      </c>
      <c r="BX13" s="114" t="s">
        <v>112</v>
      </c>
      <c r="BY13" s="45">
        <v>125</v>
      </c>
      <c r="BZ13" s="139"/>
      <c r="CA13" s="45" t="e">
        <f t="shared" si="17"/>
        <v>#N/A</v>
      </c>
      <c r="CB13" s="114" t="s">
        <v>112</v>
      </c>
      <c r="CC13" s="45">
        <v>125</v>
      </c>
      <c r="CD13" s="139"/>
      <c r="CE13" s="45"/>
      <c r="CF13" s="114"/>
      <c r="CG13" s="45"/>
      <c r="CH13" s="139"/>
      <c r="CI13" s="45"/>
      <c r="CJ13" s="181"/>
      <c r="CK13" s="68"/>
      <c r="CL13" s="45"/>
      <c r="CM13" s="181"/>
      <c r="CN13" s="68"/>
      <c r="CO13" s="64"/>
      <c r="CP13" s="28"/>
      <c r="CQ13" s="68"/>
      <c r="CR13" s="28"/>
      <c r="CS13" s="64"/>
      <c r="CT13" s="139"/>
      <c r="CU13" s="45" t="b">
        <f t="shared" si="23"/>
        <v>0</v>
      </c>
      <c r="CV13" s="114" t="s">
        <v>111</v>
      </c>
      <c r="CW13" s="29" t="s">
        <v>336</v>
      </c>
      <c r="CX13" s="64"/>
      <c r="CY13" s="45"/>
      <c r="CZ13" s="114"/>
      <c r="DA13" s="45"/>
      <c r="DB13" s="64"/>
      <c r="DC13" s="45"/>
      <c r="DD13" s="114"/>
      <c r="DE13" s="53"/>
    </row>
    <row r="14" spans="1:109" x14ac:dyDescent="0.25">
      <c r="A14" s="22" t="s">
        <v>52</v>
      </c>
      <c r="B14" s="222">
        <f>'ОЛ(4)'!O36</f>
        <v>0</v>
      </c>
      <c r="C14" s="222"/>
      <c r="I14" s="27">
        <f t="shared" si="9"/>
        <v>0</v>
      </c>
      <c r="J14" s="28">
        <v>150</v>
      </c>
      <c r="K14" s="28">
        <f t="shared" si="2"/>
        <v>2.6925299052784474E-2</v>
      </c>
      <c r="L14" s="28">
        <f t="shared" si="3"/>
        <v>0</v>
      </c>
      <c r="M14" s="29"/>
      <c r="N14" s="27">
        <f t="shared" si="10"/>
        <v>0</v>
      </c>
      <c r="O14" s="28">
        <v>150</v>
      </c>
      <c r="P14" s="28">
        <f t="shared" si="4"/>
        <v>2.6925299052784474E-2</v>
      </c>
      <c r="Q14" s="29">
        <f t="shared" si="5"/>
        <v>0</v>
      </c>
      <c r="R14" s="28">
        <f t="shared" si="22"/>
        <v>0</v>
      </c>
      <c r="S14" s="28">
        <v>125</v>
      </c>
      <c r="T14" s="28"/>
      <c r="U14" s="29"/>
      <c r="W14" s="27"/>
      <c r="X14" s="28"/>
      <c r="Y14" s="28"/>
      <c r="Z14" s="27" t="b">
        <f t="shared" si="6"/>
        <v>1</v>
      </c>
      <c r="AA14" s="42">
        <v>65</v>
      </c>
      <c r="AB14" s="29">
        <v>50</v>
      </c>
      <c r="AC14" s="27" t="b">
        <f t="shared" si="7"/>
        <v>1</v>
      </c>
      <c r="AD14" s="42">
        <v>65</v>
      </c>
      <c r="AE14" s="49">
        <v>63</v>
      </c>
      <c r="AF14" s="28" t="b">
        <f t="shared" si="8"/>
        <v>1</v>
      </c>
      <c r="AG14" s="42">
        <v>100</v>
      </c>
      <c r="AH14" s="29">
        <v>160</v>
      </c>
      <c r="AY14" s="133"/>
      <c r="AZ14" s="45"/>
      <c r="BA14" s="139"/>
      <c r="BB14" s="45" t="e">
        <f t="shared" si="11"/>
        <v>#N/A</v>
      </c>
      <c r="BC14" s="114" t="s">
        <v>113</v>
      </c>
      <c r="BD14" s="45">
        <v>150</v>
      </c>
      <c r="BE14" s="64"/>
      <c r="BF14" s="120" t="b">
        <f t="shared" si="12"/>
        <v>0</v>
      </c>
      <c r="BG14" s="114" t="s">
        <v>113</v>
      </c>
      <c r="BH14" s="45">
        <v>32</v>
      </c>
      <c r="BI14" s="53">
        <v>16</v>
      </c>
      <c r="BJ14" s="139"/>
      <c r="BK14" s="45"/>
      <c r="BL14" s="114"/>
      <c r="BM14" s="45"/>
      <c r="BN14" s="139"/>
      <c r="BO14" s="120" t="e">
        <f t="shared" si="14"/>
        <v>#N/A</v>
      </c>
      <c r="BP14" s="114" t="s">
        <v>225</v>
      </c>
      <c r="BQ14" s="53">
        <v>150</v>
      </c>
      <c r="BR14" s="139"/>
      <c r="BS14" s="120" t="e">
        <f t="shared" si="24"/>
        <v>#N/A</v>
      </c>
      <c r="BT14" s="114" t="s">
        <v>225</v>
      </c>
      <c r="BU14" s="53">
        <v>150</v>
      </c>
      <c r="BV14" s="139"/>
      <c r="BW14" s="45" t="e">
        <f t="shared" si="16"/>
        <v>#N/A</v>
      </c>
      <c r="BX14" s="114" t="s">
        <v>113</v>
      </c>
      <c r="BY14" s="45">
        <v>150</v>
      </c>
      <c r="BZ14" s="139"/>
      <c r="CA14" s="45" t="e">
        <f t="shared" si="17"/>
        <v>#N/A</v>
      </c>
      <c r="CB14" s="114" t="s">
        <v>113</v>
      </c>
      <c r="CC14" s="45">
        <v>150</v>
      </c>
      <c r="CD14" s="139"/>
      <c r="CE14" s="45"/>
      <c r="CF14" s="114"/>
      <c r="CG14" s="45"/>
      <c r="CH14" s="139"/>
      <c r="CI14" s="45"/>
      <c r="CJ14" s="181"/>
      <c r="CK14" s="68"/>
      <c r="CL14" s="45"/>
      <c r="CM14" s="181"/>
      <c r="CN14" s="68"/>
      <c r="CO14" s="64"/>
      <c r="CP14" s="28"/>
      <c r="CQ14" s="68"/>
      <c r="CR14" s="28"/>
      <c r="CS14" s="64"/>
      <c r="CT14" s="139"/>
      <c r="CU14" s="45" t="b">
        <f t="shared" si="23"/>
        <v>0</v>
      </c>
      <c r="CV14" s="114" t="s">
        <v>112</v>
      </c>
      <c r="CW14" s="29" t="s">
        <v>334</v>
      </c>
      <c r="CX14" s="64"/>
      <c r="CY14" s="45"/>
      <c r="CZ14" s="114"/>
      <c r="DA14" s="45"/>
      <c r="DB14" s="64"/>
      <c r="DC14" s="45"/>
      <c r="DD14" s="114"/>
      <c r="DE14" s="53"/>
    </row>
    <row r="15" spans="1:109" x14ac:dyDescent="0.25">
      <c r="A15" s="22" t="s">
        <v>59</v>
      </c>
      <c r="B15" s="222">
        <f>'ОЛ(4)'!I36</f>
        <v>0</v>
      </c>
      <c r="C15" s="222"/>
      <c r="E15" t="s">
        <v>72</v>
      </c>
      <c r="F15" s="25">
        <f>3.6*B4*1.163/0.42</f>
        <v>0</v>
      </c>
      <c r="I15" s="27">
        <f t="shared" si="9"/>
        <v>0</v>
      </c>
      <c r="J15" s="28">
        <v>200</v>
      </c>
      <c r="K15" s="28">
        <f t="shared" si="2"/>
        <v>2.4846042519733526E-2</v>
      </c>
      <c r="L15" s="28">
        <f t="shared" si="3"/>
        <v>0</v>
      </c>
      <c r="M15" s="29"/>
      <c r="N15" s="27">
        <f t="shared" si="10"/>
        <v>0</v>
      </c>
      <c r="O15" s="28">
        <v>200</v>
      </c>
      <c r="P15" s="28">
        <f t="shared" si="4"/>
        <v>2.4846042519733526E-2</v>
      </c>
      <c r="Q15" s="29">
        <f t="shared" si="5"/>
        <v>0</v>
      </c>
      <c r="R15" s="28">
        <f t="shared" si="22"/>
        <v>0</v>
      </c>
      <c r="S15" s="28">
        <v>150</v>
      </c>
      <c r="T15" s="28"/>
      <c r="U15" s="29"/>
      <c r="W15" s="27"/>
      <c r="X15" s="28"/>
      <c r="Y15" s="28"/>
      <c r="Z15" s="27" t="b">
        <f t="shared" si="6"/>
        <v>1</v>
      </c>
      <c r="AA15" s="42">
        <v>65</v>
      </c>
      <c r="AB15" s="29">
        <v>63</v>
      </c>
      <c r="AC15" s="27" t="b">
        <f t="shared" si="7"/>
        <v>1</v>
      </c>
      <c r="AD15" s="42">
        <v>80</v>
      </c>
      <c r="AE15" s="49">
        <v>80</v>
      </c>
      <c r="AF15" s="28" t="b">
        <f t="shared" si="8"/>
        <v>1</v>
      </c>
      <c r="AG15" s="42">
        <v>125</v>
      </c>
      <c r="AH15" s="29">
        <v>250</v>
      </c>
      <c r="AY15" s="133"/>
      <c r="AZ15" s="45"/>
      <c r="BA15" s="139"/>
      <c r="BB15" s="45" t="e">
        <f t="shared" si="11"/>
        <v>#N/A</v>
      </c>
      <c r="BC15" s="114" t="s">
        <v>114</v>
      </c>
      <c r="BD15" s="45">
        <v>200</v>
      </c>
      <c r="BE15" s="64"/>
      <c r="BF15" s="120" t="b">
        <f t="shared" si="12"/>
        <v>0</v>
      </c>
      <c r="BG15" s="114" t="s">
        <v>114</v>
      </c>
      <c r="BH15" s="45">
        <v>40</v>
      </c>
      <c r="BI15" s="53">
        <v>20</v>
      </c>
      <c r="BJ15" s="139"/>
      <c r="BK15" s="45"/>
      <c r="BL15" s="114"/>
      <c r="BM15" s="45"/>
      <c r="BN15" s="139"/>
      <c r="BO15" s="120" t="e">
        <f t="shared" si="14"/>
        <v>#N/A</v>
      </c>
      <c r="BP15" s="114" t="s">
        <v>225</v>
      </c>
      <c r="BQ15" s="53">
        <v>200</v>
      </c>
      <c r="BR15" s="139"/>
      <c r="BS15" s="120" t="e">
        <f t="shared" si="24"/>
        <v>#N/A</v>
      </c>
      <c r="BT15" s="114" t="s">
        <v>225</v>
      </c>
      <c r="BU15" s="53">
        <v>200</v>
      </c>
      <c r="BV15" s="139"/>
      <c r="BW15" s="45" t="e">
        <f t="shared" si="16"/>
        <v>#N/A</v>
      </c>
      <c r="BX15" s="114" t="s">
        <v>114</v>
      </c>
      <c r="BY15" s="45">
        <v>200</v>
      </c>
      <c r="BZ15" s="139"/>
      <c r="CA15" s="45" t="e">
        <f t="shared" si="17"/>
        <v>#N/A</v>
      </c>
      <c r="CB15" s="114" t="s">
        <v>114</v>
      </c>
      <c r="CC15" s="45">
        <v>200</v>
      </c>
      <c r="CD15" s="139"/>
      <c r="CE15" s="45"/>
      <c r="CF15" s="114"/>
      <c r="CG15" s="45"/>
      <c r="CH15" s="139"/>
      <c r="CI15" s="45"/>
      <c r="CJ15" s="181"/>
      <c r="CK15" s="28"/>
      <c r="CL15" s="28"/>
      <c r="CM15" s="28"/>
      <c r="CN15" s="28"/>
      <c r="CO15" s="64"/>
      <c r="CP15" s="28"/>
      <c r="CQ15" s="28"/>
      <c r="CR15" s="28"/>
      <c r="CS15" s="64"/>
      <c r="CT15" s="139"/>
      <c r="CU15" s="45" t="b">
        <f t="shared" si="23"/>
        <v>0</v>
      </c>
      <c r="CV15" s="114" t="s">
        <v>113</v>
      </c>
      <c r="CW15" s="29" t="s">
        <v>335</v>
      </c>
      <c r="CX15" s="64"/>
      <c r="CY15" s="45"/>
      <c r="CZ15" s="114"/>
      <c r="DA15" s="45"/>
      <c r="DB15" s="64"/>
      <c r="DC15" s="45"/>
      <c r="DD15" s="114"/>
      <c r="DE15" s="53"/>
    </row>
    <row r="16" spans="1:109" x14ac:dyDescent="0.25">
      <c r="A16" s="22" t="s">
        <v>297</v>
      </c>
      <c r="B16" s="222">
        <f>'ОЛ(4)'!U36</f>
        <v>0</v>
      </c>
      <c r="C16" s="222"/>
      <c r="E16" t="s">
        <v>73</v>
      </c>
      <c r="F16" t="e">
        <f>VLOOKUP(1,R4:U17,2,FALSE)</f>
        <v>#N/A</v>
      </c>
      <c r="I16" s="27">
        <f t="shared" si="9"/>
        <v>0</v>
      </c>
      <c r="J16" s="28">
        <v>250</v>
      </c>
      <c r="K16" s="28">
        <f t="shared" si="2"/>
        <v>2.339473539768467E-2</v>
      </c>
      <c r="L16" s="28">
        <f t="shared" si="3"/>
        <v>0</v>
      </c>
      <c r="M16" s="29"/>
      <c r="N16" s="27">
        <f t="shared" si="10"/>
        <v>0</v>
      </c>
      <c r="O16" s="28">
        <v>250</v>
      </c>
      <c r="P16" s="28">
        <f t="shared" si="4"/>
        <v>2.339473539768467E-2</v>
      </c>
      <c r="Q16" s="29">
        <f t="shared" si="5"/>
        <v>0</v>
      </c>
      <c r="R16" s="28">
        <f t="shared" si="22"/>
        <v>0</v>
      </c>
      <c r="S16" s="28">
        <v>200</v>
      </c>
      <c r="T16" s="28"/>
      <c r="U16" s="29"/>
      <c r="W16" s="27"/>
      <c r="X16" s="28"/>
      <c r="Y16" s="28"/>
      <c r="Z16" s="27" t="b">
        <f t="shared" si="6"/>
        <v>1</v>
      </c>
      <c r="AA16" s="42">
        <v>80</v>
      </c>
      <c r="AB16" s="29">
        <v>80</v>
      </c>
      <c r="AC16" s="27" t="b">
        <f t="shared" si="7"/>
        <v>1</v>
      </c>
      <c r="AD16" s="42">
        <v>80</v>
      </c>
      <c r="AE16" s="49">
        <v>100</v>
      </c>
      <c r="AF16" s="28" t="b">
        <f t="shared" si="8"/>
        <v>1</v>
      </c>
      <c r="AG16" s="42">
        <v>150</v>
      </c>
      <c r="AH16" s="29">
        <v>400</v>
      </c>
      <c r="AY16" s="133"/>
      <c r="AZ16" s="45"/>
      <c r="BA16" s="139"/>
      <c r="BB16" s="45"/>
      <c r="BC16" s="114"/>
      <c r="BD16" s="45"/>
      <c r="BE16" s="64"/>
      <c r="BF16" s="120" t="b">
        <f t="shared" si="12"/>
        <v>0</v>
      </c>
      <c r="BG16" s="114" t="s">
        <v>115</v>
      </c>
      <c r="BH16" s="45">
        <v>40</v>
      </c>
      <c r="BI16" s="53">
        <v>25</v>
      </c>
      <c r="BJ16" s="139"/>
      <c r="BK16" s="45"/>
      <c r="BL16" s="114"/>
      <c r="BM16" s="45"/>
      <c r="BN16" s="64"/>
      <c r="BO16" s="27"/>
      <c r="BP16" s="28"/>
      <c r="BQ16" s="29"/>
      <c r="BR16" s="64"/>
      <c r="BS16" s="28"/>
      <c r="BT16" s="28"/>
      <c r="BU16" s="29"/>
      <c r="BV16" s="64"/>
      <c r="BW16" s="28"/>
      <c r="BX16" s="28"/>
      <c r="BY16" s="28"/>
      <c r="BZ16" s="64"/>
      <c r="CA16" s="28"/>
      <c r="CB16" s="28"/>
      <c r="CC16" s="28"/>
      <c r="CD16" s="64"/>
      <c r="CE16" s="28"/>
      <c r="CF16" s="28"/>
      <c r="CG16" s="28"/>
      <c r="CH16" s="64"/>
      <c r="CI16" s="45"/>
      <c r="CJ16" s="28"/>
      <c r="CK16" s="28"/>
      <c r="CL16" s="28"/>
      <c r="CM16" s="28"/>
      <c r="CN16" s="28"/>
      <c r="CO16" s="64"/>
      <c r="CP16" s="28"/>
      <c r="CQ16" s="28"/>
      <c r="CR16" s="28"/>
      <c r="CS16" s="64"/>
      <c r="CT16" s="64"/>
      <c r="CU16" s="45" t="b">
        <f t="shared" si="23"/>
        <v>0</v>
      </c>
      <c r="CV16" s="114" t="s">
        <v>114</v>
      </c>
      <c r="CW16" s="29" t="s">
        <v>340</v>
      </c>
      <c r="CX16" s="64"/>
      <c r="CY16" s="28"/>
      <c r="CZ16" s="28"/>
      <c r="DA16" s="28"/>
      <c r="DB16" s="64"/>
      <c r="DC16" s="28"/>
      <c r="DD16" s="28"/>
      <c r="DE16" s="29"/>
    </row>
    <row r="17" spans="1:109" x14ac:dyDescent="0.25">
      <c r="A17" s="22" t="s">
        <v>294</v>
      </c>
      <c r="B17" s="222">
        <f>'ОЛ(4)'!AA36</f>
        <v>0</v>
      </c>
      <c r="C17" s="222"/>
      <c r="E17" t="s">
        <v>49</v>
      </c>
      <c r="F17" s="25">
        <f>F15</f>
        <v>0</v>
      </c>
      <c r="I17" s="27">
        <f t="shared" si="9"/>
        <v>0</v>
      </c>
      <c r="J17" s="28">
        <v>300</v>
      </c>
      <c r="K17" s="28">
        <f t="shared" si="2"/>
        <v>2.2301284149115197E-2</v>
      </c>
      <c r="L17" s="28">
        <f t="shared" si="3"/>
        <v>0</v>
      </c>
      <c r="M17" s="29"/>
      <c r="N17" s="27">
        <f t="shared" si="10"/>
        <v>0</v>
      </c>
      <c r="O17" s="28">
        <v>300</v>
      </c>
      <c r="P17" s="28">
        <f t="shared" si="4"/>
        <v>2.2301284149115197E-2</v>
      </c>
      <c r="Q17" s="29">
        <f t="shared" si="5"/>
        <v>0</v>
      </c>
      <c r="R17" s="28">
        <f t="shared" si="22"/>
        <v>0</v>
      </c>
      <c r="S17" s="28">
        <v>250</v>
      </c>
      <c r="T17" s="28"/>
      <c r="U17" s="29"/>
      <c r="W17" s="27"/>
      <c r="X17" s="28"/>
      <c r="Y17" s="28"/>
      <c r="Z17" s="27" t="b">
        <f t="shared" si="6"/>
        <v>1</v>
      </c>
      <c r="AA17" s="42">
        <v>80</v>
      </c>
      <c r="AB17" s="29">
        <v>100</v>
      </c>
      <c r="AC17" s="48" t="b">
        <f t="shared" si="7"/>
        <v>1</v>
      </c>
      <c r="AD17" s="42">
        <v>100</v>
      </c>
      <c r="AE17" s="49">
        <v>125</v>
      </c>
      <c r="AF17" s="28"/>
      <c r="AG17" s="28"/>
      <c r="AH17" s="29"/>
      <c r="AY17" s="133"/>
      <c r="AZ17" s="45"/>
      <c r="BA17" s="139"/>
      <c r="BB17" s="45"/>
      <c r="BC17" s="114"/>
      <c r="BD17" s="45"/>
      <c r="BE17" s="64"/>
      <c r="BF17" s="120" t="b">
        <f t="shared" si="12"/>
        <v>0</v>
      </c>
      <c r="BG17" s="114" t="s">
        <v>116</v>
      </c>
      <c r="BH17" s="45">
        <v>50</v>
      </c>
      <c r="BI17" s="53">
        <v>31.5</v>
      </c>
      <c r="BJ17" s="139"/>
      <c r="BK17" s="45"/>
      <c r="BL17" s="114"/>
      <c r="BM17" s="45"/>
      <c r="BN17" s="64"/>
      <c r="BO17" s="27"/>
      <c r="BP17" s="28"/>
      <c r="BQ17" s="29"/>
      <c r="BR17" s="64"/>
      <c r="BS17" s="28"/>
      <c r="BT17" s="28"/>
      <c r="BU17" s="29"/>
      <c r="BV17" s="64"/>
      <c r="BW17" s="28"/>
      <c r="BX17" s="28"/>
      <c r="BY17" s="28"/>
      <c r="BZ17" s="64"/>
      <c r="CA17" s="28"/>
      <c r="CB17" s="28"/>
      <c r="CC17" s="28"/>
      <c r="CD17" s="64"/>
      <c r="CE17" s="28"/>
      <c r="CF17" s="28"/>
      <c r="CG17" s="28"/>
      <c r="CH17" s="64"/>
      <c r="CI17" s="45"/>
      <c r="CJ17" s="28"/>
      <c r="CK17" s="28"/>
      <c r="CL17" s="28"/>
      <c r="CM17" s="28"/>
      <c r="CN17" s="28"/>
      <c r="CO17" s="64"/>
      <c r="CP17" s="28"/>
      <c r="CQ17" s="28"/>
      <c r="CR17" s="28"/>
      <c r="CS17" s="64"/>
      <c r="CT17" s="64"/>
      <c r="CU17" s="45" t="b">
        <f t="shared" si="23"/>
        <v>0</v>
      </c>
      <c r="CV17" s="114" t="s">
        <v>115</v>
      </c>
      <c r="CW17" s="29" t="s">
        <v>337</v>
      </c>
      <c r="CX17" s="64"/>
      <c r="CY17" s="28"/>
      <c r="CZ17" s="28"/>
      <c r="DA17" s="28"/>
      <c r="DB17" s="64"/>
      <c r="DC17" s="28"/>
      <c r="DD17" s="28"/>
      <c r="DE17" s="29"/>
    </row>
    <row r="18" spans="1:109" x14ac:dyDescent="0.25">
      <c r="A18" s="22"/>
      <c r="C18" s="23"/>
      <c r="E18" s="222" t="e">
        <f>VLOOKUP(TRUE,IF(B15="Stratos-Z",AK4:AL8,IF(B15="Yonos MAXO-Z",AM4:AN8,FALSE)),2,FALSE)</f>
        <v>#N/A</v>
      </c>
      <c r="F18" s="222"/>
      <c r="I18" s="27"/>
      <c r="J18" s="28"/>
      <c r="K18" s="28"/>
      <c r="L18" s="28"/>
      <c r="M18" s="29"/>
      <c r="N18" s="27"/>
      <c r="O18" s="28"/>
      <c r="P18" s="28"/>
      <c r="Q18" s="29"/>
      <c r="R18" s="28"/>
      <c r="S18" s="28"/>
      <c r="T18" s="28"/>
      <c r="U18" s="29"/>
      <c r="W18" s="27"/>
      <c r="X18" s="28"/>
      <c r="Y18" s="28"/>
      <c r="Z18" s="48" t="b">
        <f t="shared" si="6"/>
        <v>1</v>
      </c>
      <c r="AA18" s="42">
        <v>100</v>
      </c>
      <c r="AB18" s="29">
        <v>125</v>
      </c>
      <c r="AC18" s="48" t="b">
        <f t="shared" si="7"/>
        <v>1</v>
      </c>
      <c r="AD18" s="42">
        <v>100</v>
      </c>
      <c r="AE18" s="49">
        <v>160</v>
      </c>
      <c r="AF18" s="28"/>
      <c r="AG18" s="28"/>
      <c r="AH18" s="29"/>
      <c r="AY18" s="133"/>
      <c r="AZ18" s="45"/>
      <c r="BA18" s="139"/>
      <c r="BB18" s="45"/>
      <c r="BC18" s="114"/>
      <c r="BD18" s="45"/>
      <c r="BE18" s="64"/>
      <c r="BF18" s="120" t="b">
        <f t="shared" si="12"/>
        <v>0</v>
      </c>
      <c r="BG18" s="114" t="s">
        <v>117</v>
      </c>
      <c r="BH18" s="45">
        <v>50</v>
      </c>
      <c r="BI18" s="53">
        <v>40</v>
      </c>
      <c r="BJ18" s="139"/>
      <c r="BK18" s="45"/>
      <c r="BL18" s="114"/>
      <c r="BM18" s="45"/>
      <c r="BN18" s="64"/>
      <c r="BO18" s="27"/>
      <c r="BP18" s="28"/>
      <c r="BQ18" s="29"/>
      <c r="BR18" s="64"/>
      <c r="BS18" s="28"/>
      <c r="BT18" s="28"/>
      <c r="BU18" s="29"/>
      <c r="BV18" s="64"/>
      <c r="BW18" s="28"/>
      <c r="BX18" s="28"/>
      <c r="BY18" s="28"/>
      <c r="BZ18" s="64"/>
      <c r="CA18" s="28"/>
      <c r="CB18" s="28"/>
      <c r="CC18" s="28"/>
      <c r="CD18" s="64"/>
      <c r="CE18" s="28"/>
      <c r="CF18" s="28"/>
      <c r="CG18" s="28"/>
      <c r="CH18" s="64"/>
      <c r="CI18" s="45"/>
      <c r="CJ18" s="28"/>
      <c r="CK18" s="28"/>
      <c r="CL18" s="28"/>
      <c r="CM18" s="28"/>
      <c r="CN18" s="28"/>
      <c r="CO18" s="64"/>
      <c r="CP18" s="28"/>
      <c r="CQ18" s="28"/>
      <c r="CR18" s="28"/>
      <c r="CS18" s="64"/>
      <c r="CT18" s="64"/>
      <c r="CU18" s="45" t="b">
        <f t="shared" si="23"/>
        <v>0</v>
      </c>
      <c r="CV18" s="114" t="s">
        <v>116</v>
      </c>
      <c r="CW18" s="29" t="s">
        <v>338</v>
      </c>
      <c r="CX18" s="64"/>
      <c r="CY18" s="28"/>
      <c r="CZ18" s="28"/>
      <c r="DA18" s="28"/>
      <c r="DB18" s="64"/>
      <c r="DC18" s="28"/>
      <c r="DD18" s="28"/>
      <c r="DE18" s="29"/>
    </row>
    <row r="19" spans="1:109" x14ac:dyDescent="0.25">
      <c r="A19" s="22"/>
      <c r="C19" s="23"/>
      <c r="I19" s="27"/>
      <c r="J19" s="30"/>
      <c r="K19" s="28"/>
      <c r="L19" s="28"/>
      <c r="M19" s="29"/>
      <c r="N19" s="27"/>
      <c r="O19" s="28"/>
      <c r="P19" s="28"/>
      <c r="Q19" s="29"/>
      <c r="R19" s="28"/>
      <c r="S19" s="28"/>
      <c r="T19" s="28"/>
      <c r="U19" s="29"/>
      <c r="W19" s="27"/>
      <c r="X19" s="28"/>
      <c r="Y19" s="28"/>
      <c r="Z19" s="48" t="b">
        <f t="shared" si="6"/>
        <v>1</v>
      </c>
      <c r="AA19" s="28">
        <v>100</v>
      </c>
      <c r="AB19" s="29">
        <v>160</v>
      </c>
      <c r="AC19" s="48" t="b">
        <f t="shared" si="7"/>
        <v>1</v>
      </c>
      <c r="AD19" s="42">
        <v>125</v>
      </c>
      <c r="AE19" s="49">
        <v>200</v>
      </c>
      <c r="AF19" s="28"/>
      <c r="AG19" s="28"/>
      <c r="AH19" s="29"/>
      <c r="AY19" s="133"/>
      <c r="AZ19" s="45"/>
      <c r="BA19" s="139"/>
      <c r="BB19" s="45"/>
      <c r="BC19" s="114"/>
      <c r="BD19" s="45"/>
      <c r="BE19" s="64"/>
      <c r="BF19" s="120" t="b">
        <f t="shared" si="12"/>
        <v>0</v>
      </c>
      <c r="BG19" s="114" t="s">
        <v>118</v>
      </c>
      <c r="BH19" s="45">
        <v>65</v>
      </c>
      <c r="BI19" s="53">
        <v>50</v>
      </c>
      <c r="BJ19" s="139"/>
      <c r="BK19" s="45"/>
      <c r="BL19" s="114"/>
      <c r="BM19" s="45"/>
      <c r="BN19" s="64"/>
      <c r="BO19" s="27"/>
      <c r="BP19" s="28"/>
      <c r="BQ19" s="29"/>
      <c r="BR19" s="64"/>
      <c r="BS19" s="28"/>
      <c r="BT19" s="28"/>
      <c r="BU19" s="29"/>
      <c r="BV19" s="64"/>
      <c r="BW19" s="28"/>
      <c r="BX19" s="28"/>
      <c r="BY19" s="28"/>
      <c r="BZ19" s="64"/>
      <c r="CA19" s="28"/>
      <c r="CB19" s="28"/>
      <c r="CC19" s="28"/>
      <c r="CD19" s="64"/>
      <c r="CE19" s="28"/>
      <c r="CF19" s="28"/>
      <c r="CG19" s="28"/>
      <c r="CH19" s="64"/>
      <c r="CI19" s="28"/>
      <c r="CJ19" s="28"/>
      <c r="CK19" s="28"/>
      <c r="CL19" s="28"/>
      <c r="CM19" s="28"/>
      <c r="CN19" s="28"/>
      <c r="CO19" s="64"/>
      <c r="CP19" s="28"/>
      <c r="CQ19" s="28"/>
      <c r="CR19" s="28"/>
      <c r="CS19" s="64"/>
      <c r="CT19" s="64"/>
      <c r="CU19" s="45" t="b">
        <f t="shared" si="23"/>
        <v>0</v>
      </c>
      <c r="CV19" s="114" t="s">
        <v>117</v>
      </c>
      <c r="CW19" s="29" t="s">
        <v>339</v>
      </c>
      <c r="CX19" s="64"/>
      <c r="CY19" s="28"/>
      <c r="CZ19" s="28"/>
      <c r="DA19" s="28"/>
      <c r="DB19" s="64"/>
      <c r="DC19" s="28"/>
      <c r="DD19" s="28"/>
      <c r="DE19" s="29"/>
    </row>
    <row r="20" spans="1:109" x14ac:dyDescent="0.25">
      <c r="A20" s="22"/>
      <c r="C20" s="23"/>
      <c r="I20" s="27"/>
      <c r="J20" s="30" t="s">
        <v>39</v>
      </c>
      <c r="K20" s="28">
        <v>958.4</v>
      </c>
      <c r="L20" s="28"/>
      <c r="M20" s="29"/>
      <c r="N20" s="27"/>
      <c r="O20" s="28"/>
      <c r="P20" s="28"/>
      <c r="Q20" s="29"/>
      <c r="R20" s="28"/>
      <c r="S20" s="28"/>
      <c r="T20" s="28"/>
      <c r="U20" s="29"/>
      <c r="W20" s="27"/>
      <c r="X20" s="28"/>
      <c r="Y20" s="28"/>
      <c r="Z20" s="48" t="b">
        <f t="shared" si="6"/>
        <v>1</v>
      </c>
      <c r="AA20" s="28">
        <v>125</v>
      </c>
      <c r="AB20" s="29">
        <v>250</v>
      </c>
      <c r="AC20" s="48" t="b">
        <f t="shared" si="7"/>
        <v>1</v>
      </c>
      <c r="AD20" s="42">
        <v>125</v>
      </c>
      <c r="AE20" s="49">
        <v>250</v>
      </c>
      <c r="AF20" s="28"/>
      <c r="AG20" s="28"/>
      <c r="AH20" s="29"/>
      <c r="AY20" s="133"/>
      <c r="AZ20" s="45"/>
      <c r="BA20" s="139"/>
      <c r="BB20" s="45"/>
      <c r="BC20" s="114"/>
      <c r="BD20" s="45"/>
      <c r="BE20" s="64"/>
      <c r="BF20" s="120" t="b">
        <f t="shared" si="12"/>
        <v>0</v>
      </c>
      <c r="BG20" s="114" t="s">
        <v>119</v>
      </c>
      <c r="BH20" s="45">
        <v>65</v>
      </c>
      <c r="BI20" s="53">
        <v>63</v>
      </c>
      <c r="BJ20" s="139"/>
      <c r="BK20" s="45"/>
      <c r="BL20" s="114"/>
      <c r="BM20" s="45"/>
      <c r="BN20" s="64"/>
      <c r="BO20" s="27"/>
      <c r="BP20" s="28"/>
      <c r="BQ20" s="29"/>
      <c r="BR20" s="64"/>
      <c r="BS20" s="28"/>
      <c r="BT20" s="28"/>
      <c r="BU20" s="29"/>
      <c r="BV20" s="64"/>
      <c r="BW20" s="28"/>
      <c r="BX20" s="28"/>
      <c r="BY20" s="28"/>
      <c r="BZ20" s="64"/>
      <c r="CA20" s="28"/>
      <c r="CB20" s="28"/>
      <c r="CC20" s="28"/>
      <c r="CD20" s="64"/>
      <c r="CE20" s="28"/>
      <c r="CF20" s="28"/>
      <c r="CG20" s="28"/>
      <c r="CH20" s="64"/>
      <c r="CI20" s="28"/>
      <c r="CJ20" s="28"/>
      <c r="CK20" s="28"/>
      <c r="CL20" s="28"/>
      <c r="CM20" s="28"/>
      <c r="CN20" s="28"/>
      <c r="CO20" s="64"/>
      <c r="CP20" s="28"/>
      <c r="CQ20" s="28"/>
      <c r="CR20" s="28"/>
      <c r="CS20" s="64"/>
      <c r="CT20" s="64"/>
      <c r="CU20" s="28"/>
      <c r="CV20" s="28"/>
      <c r="CW20" s="28"/>
      <c r="CX20" s="64"/>
      <c r="CY20" s="28"/>
      <c r="CZ20" s="28"/>
      <c r="DA20" s="28"/>
      <c r="DB20" s="64"/>
      <c r="DC20" s="28"/>
      <c r="DD20" s="28"/>
      <c r="DE20" s="29"/>
    </row>
    <row r="21" spans="1:109" ht="15.75" thickBot="1" x14ac:dyDescent="0.3">
      <c r="I21" s="31"/>
      <c r="J21" s="32" t="s">
        <v>40</v>
      </c>
      <c r="K21" s="33">
        <v>0.5</v>
      </c>
      <c r="L21" s="33"/>
      <c r="M21" s="34"/>
      <c r="N21" s="31"/>
      <c r="O21" s="33"/>
      <c r="P21" s="33"/>
      <c r="Q21" s="34"/>
      <c r="R21" s="33"/>
      <c r="S21" s="33"/>
      <c r="T21" s="33"/>
      <c r="U21" s="34"/>
      <c r="W21" s="27"/>
      <c r="X21" s="28"/>
      <c r="Y21" s="28"/>
      <c r="Z21" s="48" t="b">
        <f t="shared" si="6"/>
        <v>1</v>
      </c>
      <c r="AA21" s="28">
        <v>150</v>
      </c>
      <c r="AB21" s="29">
        <v>315</v>
      </c>
      <c r="AC21" s="48" t="b">
        <f t="shared" si="7"/>
        <v>1</v>
      </c>
      <c r="AD21" s="42">
        <v>150</v>
      </c>
      <c r="AE21" s="49">
        <v>315</v>
      </c>
      <c r="AF21" s="28"/>
      <c r="AG21" s="28"/>
      <c r="AH21" s="29"/>
      <c r="AY21" s="133"/>
      <c r="AZ21" s="45"/>
      <c r="BA21" s="139"/>
      <c r="BB21" s="45"/>
      <c r="BC21" s="114"/>
      <c r="BD21" s="45"/>
      <c r="BE21" s="64"/>
      <c r="BF21" s="120" t="b">
        <f t="shared" si="12"/>
        <v>0</v>
      </c>
      <c r="BG21" s="114" t="s">
        <v>120</v>
      </c>
      <c r="BH21" s="45">
        <v>80</v>
      </c>
      <c r="BI21" s="53">
        <v>80</v>
      </c>
      <c r="BJ21" s="139"/>
      <c r="BK21" s="45"/>
      <c r="BL21" s="114"/>
      <c r="BM21" s="45"/>
      <c r="BN21" s="64"/>
      <c r="BO21" s="27"/>
      <c r="BP21" s="28"/>
      <c r="BQ21" s="29"/>
      <c r="BR21" s="64"/>
      <c r="BS21" s="28"/>
      <c r="BT21" s="28"/>
      <c r="BU21" s="29"/>
      <c r="BV21" s="64"/>
      <c r="BW21" s="28"/>
      <c r="BX21" s="28"/>
      <c r="BY21" s="28"/>
      <c r="BZ21" s="64"/>
      <c r="CA21" s="28"/>
      <c r="CB21" s="28"/>
      <c r="CC21" s="28"/>
      <c r="CD21" s="64"/>
      <c r="CE21" s="28"/>
      <c r="CF21" s="28"/>
      <c r="CG21" s="28"/>
      <c r="CH21" s="64"/>
      <c r="CI21" s="28"/>
      <c r="CJ21" s="28"/>
      <c r="CK21" s="28"/>
      <c r="CL21" s="28"/>
      <c r="CM21" s="28"/>
      <c r="CN21" s="28"/>
      <c r="CO21" s="64"/>
      <c r="CP21" s="28"/>
      <c r="CQ21" s="28"/>
      <c r="CR21" s="28"/>
      <c r="CS21" s="64"/>
      <c r="CT21" s="64"/>
      <c r="CU21" s="28"/>
      <c r="CV21" s="28"/>
      <c r="CW21" s="28"/>
      <c r="CX21" s="64"/>
      <c r="CY21" s="28"/>
      <c r="CZ21" s="28"/>
      <c r="DA21" s="28"/>
      <c r="DB21" s="64"/>
      <c r="DC21" s="28"/>
      <c r="DD21" s="28"/>
      <c r="DE21" s="29"/>
    </row>
    <row r="22" spans="1:109" ht="15.75" thickBot="1" x14ac:dyDescent="0.3">
      <c r="I22" s="28"/>
      <c r="J22" s="30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W22" s="31"/>
      <c r="X22" s="33"/>
      <c r="Y22" s="33"/>
      <c r="Z22" s="31"/>
      <c r="AA22" s="33"/>
      <c r="AB22" s="34"/>
      <c r="AC22" s="50" t="b">
        <f t="shared" si="7"/>
        <v>1</v>
      </c>
      <c r="AD22" s="46">
        <v>150</v>
      </c>
      <c r="AE22" s="51">
        <v>400</v>
      </c>
      <c r="AF22" s="33"/>
      <c r="AG22" s="33"/>
      <c r="AH22" s="34"/>
      <c r="AY22" s="133"/>
      <c r="AZ22" s="45"/>
      <c r="BA22" s="139"/>
      <c r="BB22" s="45"/>
      <c r="BC22" s="114"/>
      <c r="BD22" s="45"/>
      <c r="BE22" s="64"/>
      <c r="BF22" s="120" t="b">
        <f t="shared" si="12"/>
        <v>0</v>
      </c>
      <c r="BG22" s="114" t="s">
        <v>121</v>
      </c>
      <c r="BH22" s="45">
        <v>80</v>
      </c>
      <c r="BI22" s="53">
        <v>100</v>
      </c>
      <c r="BJ22" s="139"/>
      <c r="BK22" s="45"/>
      <c r="BL22" s="114"/>
      <c r="BM22" s="45"/>
      <c r="BN22" s="64"/>
      <c r="BO22" s="27"/>
      <c r="BP22" s="28"/>
      <c r="BQ22" s="29"/>
      <c r="BR22" s="64"/>
      <c r="BS22" s="28"/>
      <c r="BT22" s="28"/>
      <c r="BU22" s="29"/>
      <c r="BV22" s="64"/>
      <c r="BW22" s="28"/>
      <c r="BX22" s="28"/>
      <c r="BY22" s="28"/>
      <c r="BZ22" s="64"/>
      <c r="CA22" s="28"/>
      <c r="CB22" s="28"/>
      <c r="CC22" s="28"/>
      <c r="CD22" s="64"/>
      <c r="CE22" s="28"/>
      <c r="CF22" s="28"/>
      <c r="CG22" s="28"/>
      <c r="CH22" s="64"/>
      <c r="CI22" s="28"/>
      <c r="CJ22" s="28"/>
      <c r="CK22" s="28"/>
      <c r="CL22" s="28"/>
      <c r="CM22" s="28"/>
      <c r="CN22" s="28"/>
      <c r="CO22" s="64"/>
      <c r="CP22" s="28"/>
      <c r="CQ22" s="28"/>
      <c r="CR22" s="28"/>
      <c r="CS22" s="64"/>
      <c r="CT22" s="64"/>
      <c r="CU22" s="28"/>
      <c r="CV22" s="28"/>
      <c r="CW22" s="28"/>
      <c r="CX22" s="64"/>
      <c r="CY22" s="28"/>
      <c r="CZ22" s="28"/>
      <c r="DA22" s="28"/>
      <c r="DB22" s="64"/>
      <c r="DC22" s="28"/>
      <c r="DD22" s="28"/>
      <c r="DE22" s="29"/>
    </row>
    <row r="23" spans="1:109" x14ac:dyDescent="0.25">
      <c r="AY23" s="133"/>
      <c r="AZ23" s="45"/>
      <c r="BA23" s="139"/>
      <c r="BB23" s="45"/>
      <c r="BC23" s="114"/>
      <c r="BD23" s="45"/>
      <c r="BE23" s="64"/>
      <c r="BF23" s="120" t="b">
        <f t="shared" si="12"/>
        <v>0</v>
      </c>
      <c r="BG23" s="114" t="s">
        <v>122</v>
      </c>
      <c r="BH23" s="45">
        <v>100</v>
      </c>
      <c r="BI23" s="53">
        <v>125</v>
      </c>
      <c r="BJ23" s="139"/>
      <c r="BK23" s="45"/>
      <c r="BL23" s="114"/>
      <c r="BM23" s="45"/>
      <c r="BN23" s="64"/>
      <c r="BO23" s="27"/>
      <c r="BP23" s="28"/>
      <c r="BQ23" s="29"/>
      <c r="BR23" s="64"/>
      <c r="BS23" s="28"/>
      <c r="BT23" s="28"/>
      <c r="BU23" s="29"/>
      <c r="BV23" s="64"/>
      <c r="BW23" s="28"/>
      <c r="BX23" s="28"/>
      <c r="BY23" s="28"/>
      <c r="BZ23" s="64"/>
      <c r="CA23" s="28"/>
      <c r="CB23" s="28"/>
      <c r="CC23" s="28"/>
      <c r="CD23" s="64"/>
      <c r="CE23" s="28"/>
      <c r="CF23" s="28"/>
      <c r="CG23" s="28"/>
      <c r="CH23" s="64"/>
      <c r="CI23" s="28"/>
      <c r="CJ23" s="28"/>
      <c r="CK23" s="28"/>
      <c r="CL23" s="28"/>
      <c r="CM23" s="28"/>
      <c r="CN23" s="28"/>
      <c r="CO23" s="64"/>
      <c r="CP23" s="28"/>
      <c r="CQ23" s="28"/>
      <c r="CR23" s="28"/>
      <c r="CS23" s="64"/>
      <c r="CT23" s="64"/>
      <c r="CU23" s="28"/>
      <c r="CV23" s="28"/>
      <c r="CW23" s="28"/>
      <c r="CX23" s="64"/>
      <c r="CY23" s="28"/>
      <c r="CZ23" s="28"/>
      <c r="DA23" s="28"/>
      <c r="DB23" s="64"/>
      <c r="DC23" s="28"/>
      <c r="DD23" s="28"/>
      <c r="DE23" s="29"/>
    </row>
    <row r="24" spans="1:109" x14ac:dyDescent="0.25">
      <c r="AY24" s="133"/>
      <c r="AZ24" s="45"/>
      <c r="BA24" s="139"/>
      <c r="BB24" s="45"/>
      <c r="BC24" s="114"/>
      <c r="BD24" s="45"/>
      <c r="BE24" s="64"/>
      <c r="BF24" s="120" t="b">
        <f t="shared" si="12"/>
        <v>0</v>
      </c>
      <c r="BG24" s="114" t="s">
        <v>123</v>
      </c>
      <c r="BH24" s="45">
        <v>100</v>
      </c>
      <c r="BI24" s="53">
        <v>160</v>
      </c>
      <c r="BJ24" s="139"/>
      <c r="BK24" s="45"/>
      <c r="BL24" s="114"/>
      <c r="BM24" s="45"/>
      <c r="BN24" s="64"/>
      <c r="BO24" s="27"/>
      <c r="BP24" s="28"/>
      <c r="BQ24" s="29"/>
      <c r="BR24" s="64"/>
      <c r="BS24" s="28"/>
      <c r="BT24" s="28"/>
      <c r="BU24" s="29"/>
      <c r="BV24" s="64"/>
      <c r="BW24" s="28"/>
      <c r="BX24" s="28"/>
      <c r="BY24" s="28"/>
      <c r="BZ24" s="64"/>
      <c r="CA24" s="28"/>
      <c r="CB24" s="28"/>
      <c r="CC24" s="28"/>
      <c r="CD24" s="64"/>
      <c r="CE24" s="28"/>
      <c r="CF24" s="28"/>
      <c r="CG24" s="28"/>
      <c r="CH24" s="64"/>
      <c r="CI24" s="28"/>
      <c r="CJ24" s="28"/>
      <c r="CK24" s="28"/>
      <c r="CL24" s="28"/>
      <c r="CM24" s="28"/>
      <c r="CN24" s="28"/>
      <c r="CO24" s="64"/>
      <c r="CP24" s="28"/>
      <c r="CQ24" s="28"/>
      <c r="CR24" s="28"/>
      <c r="CS24" s="64"/>
      <c r="CT24" s="64"/>
      <c r="CU24" s="28"/>
      <c r="CV24" s="28"/>
      <c r="CW24" s="28"/>
      <c r="CX24" s="64"/>
      <c r="CY24" s="28"/>
      <c r="CZ24" s="28"/>
      <c r="DA24" s="28"/>
      <c r="DB24" s="64"/>
      <c r="DC24" s="28"/>
      <c r="DD24" s="28"/>
      <c r="DE24" s="29"/>
    </row>
    <row r="25" spans="1:109" x14ac:dyDescent="0.25">
      <c r="AY25" s="133"/>
      <c r="AZ25" s="45"/>
      <c r="BA25" s="139"/>
      <c r="BB25" s="45"/>
      <c r="BC25" s="114"/>
      <c r="BD25" s="45"/>
      <c r="BE25" s="64"/>
      <c r="BF25" s="120" t="b">
        <f t="shared" si="12"/>
        <v>0</v>
      </c>
      <c r="BG25" s="114" t="s">
        <v>128</v>
      </c>
      <c r="BH25" s="45">
        <v>125</v>
      </c>
      <c r="BI25" s="53">
        <v>250</v>
      </c>
      <c r="BJ25" s="139"/>
      <c r="BK25" s="45"/>
      <c r="BL25" s="114"/>
      <c r="BM25" s="45"/>
      <c r="BN25" s="64"/>
      <c r="BO25" s="27"/>
      <c r="BP25" s="28"/>
      <c r="BQ25" s="29"/>
      <c r="BR25" s="64"/>
      <c r="BS25" s="28"/>
      <c r="BT25" s="28"/>
      <c r="BU25" s="29"/>
      <c r="BV25" s="64"/>
      <c r="BW25" s="28"/>
      <c r="BX25" s="28"/>
      <c r="BY25" s="28"/>
      <c r="BZ25" s="64"/>
      <c r="CA25" s="28"/>
      <c r="CB25" s="28"/>
      <c r="CC25" s="28"/>
      <c r="CD25" s="64"/>
      <c r="CE25" s="28"/>
      <c r="CF25" s="28"/>
      <c r="CG25" s="28"/>
      <c r="CH25" s="64"/>
      <c r="CI25" s="28"/>
      <c r="CJ25" s="28"/>
      <c r="CK25" s="28"/>
      <c r="CL25" s="28"/>
      <c r="CM25" s="28"/>
      <c r="CN25" s="28"/>
      <c r="CO25" s="64"/>
      <c r="CP25" s="28"/>
      <c r="CQ25" s="28"/>
      <c r="CR25" s="28"/>
      <c r="CS25" s="64"/>
      <c r="CT25" s="64"/>
      <c r="CU25" s="28"/>
      <c r="CV25" s="28"/>
      <c r="CW25" s="28"/>
      <c r="CX25" s="64"/>
      <c r="CY25" s="28"/>
      <c r="CZ25" s="28"/>
      <c r="DA25" s="28"/>
      <c r="DB25" s="64"/>
      <c r="DC25" s="28"/>
      <c r="DD25" s="28"/>
      <c r="DE25" s="29"/>
    </row>
    <row r="26" spans="1:109" ht="15.75" thickBot="1" x14ac:dyDescent="0.3">
      <c r="AY26" s="136"/>
      <c r="AZ26" s="52"/>
      <c r="BA26" s="140"/>
      <c r="BB26" s="52"/>
      <c r="BC26" s="137"/>
      <c r="BD26" s="52"/>
      <c r="BE26" s="65"/>
      <c r="BF26" s="129" t="b">
        <f t="shared" si="12"/>
        <v>0</v>
      </c>
      <c r="BG26" s="137" t="s">
        <v>129</v>
      </c>
      <c r="BH26" s="52">
        <v>150</v>
      </c>
      <c r="BI26" s="159">
        <v>315</v>
      </c>
      <c r="BJ26" s="140"/>
      <c r="BK26" s="52"/>
      <c r="BL26" s="137"/>
      <c r="BM26" s="52"/>
      <c r="BN26" s="65"/>
      <c r="BO26" s="31"/>
      <c r="BP26" s="33"/>
      <c r="BQ26" s="34"/>
      <c r="BR26" s="65"/>
      <c r="BS26" s="33"/>
      <c r="BT26" s="33"/>
      <c r="BU26" s="34"/>
      <c r="BV26" s="65"/>
      <c r="BW26" s="33"/>
      <c r="BX26" s="33"/>
      <c r="BY26" s="33"/>
      <c r="BZ26" s="65"/>
      <c r="CA26" s="33"/>
      <c r="CB26" s="33"/>
      <c r="CC26" s="33"/>
      <c r="CD26" s="65"/>
      <c r="CE26" s="33"/>
      <c r="CF26" s="33"/>
      <c r="CG26" s="33"/>
      <c r="CH26" s="65"/>
      <c r="CI26" s="33"/>
      <c r="CJ26" s="33"/>
      <c r="CK26" s="33"/>
      <c r="CL26" s="33"/>
      <c r="CM26" s="33"/>
      <c r="CN26" s="33"/>
      <c r="CO26" s="65"/>
      <c r="CP26" s="33"/>
      <c r="CQ26" s="33"/>
      <c r="CR26" s="33"/>
      <c r="CS26" s="65"/>
      <c r="CT26" s="65"/>
      <c r="CU26" s="33"/>
      <c r="CV26" s="33"/>
      <c r="CW26" s="33"/>
      <c r="CX26" s="65"/>
      <c r="CY26" s="33"/>
      <c r="CZ26" s="33"/>
      <c r="DA26" s="33"/>
      <c r="DB26" s="65"/>
      <c r="DC26" s="33"/>
      <c r="DD26" s="33"/>
      <c r="DE26" s="34"/>
    </row>
  </sheetData>
  <mergeCells count="27">
    <mergeCell ref="B14:C14"/>
    <mergeCell ref="I2:U2"/>
    <mergeCell ref="B15:C15"/>
    <mergeCell ref="B16:C16"/>
    <mergeCell ref="B17:C17"/>
    <mergeCell ref="E13:F13"/>
    <mergeCell ref="E18:F18"/>
    <mergeCell ref="AT2:AV2"/>
    <mergeCell ref="AY2:AZ2"/>
    <mergeCell ref="BC2:BD2"/>
    <mergeCell ref="BG2:BI2"/>
    <mergeCell ref="E9:F9"/>
    <mergeCell ref="AP2:AR2"/>
    <mergeCell ref="W2:AH2"/>
    <mergeCell ref="AJ2:AL2"/>
    <mergeCell ref="Z3:AB3"/>
    <mergeCell ref="AC3:AE3"/>
    <mergeCell ref="AF3:AH3"/>
    <mergeCell ref="CY2:DA2"/>
    <mergeCell ref="DC2:DE2"/>
    <mergeCell ref="CB2:CC2"/>
    <mergeCell ref="CF2:CG2"/>
    <mergeCell ref="BL2:BM2"/>
    <mergeCell ref="BX2:BY2"/>
    <mergeCell ref="CJ2:CN2"/>
    <mergeCell ref="CP2:CR2"/>
    <mergeCell ref="CU2:CW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DP93"/>
  <sheetViews>
    <sheetView zoomScale="85" zoomScaleNormal="85" workbookViewId="0">
      <selection activeCell="Y31" sqref="Y31"/>
    </sheetView>
  </sheetViews>
  <sheetFormatPr defaultRowHeight="15" x14ac:dyDescent="0.25"/>
  <cols>
    <col min="1" max="1" width="6.7109375" customWidth="1"/>
    <col min="2" max="2" width="6.42578125" customWidth="1"/>
    <col min="5" max="5" width="4.85546875" customWidth="1"/>
    <col min="6" max="6" width="11.85546875" customWidth="1"/>
    <col min="9" max="9" width="4.140625" customWidth="1"/>
    <col min="10" max="10" width="6" customWidth="1"/>
    <col min="11" max="12" width="8" customWidth="1"/>
    <col min="13" max="13" width="4.7109375" customWidth="1"/>
    <col min="14" max="14" width="2.7109375" customWidth="1"/>
    <col min="15" max="15" width="5.5703125" customWidth="1"/>
    <col min="16" max="17" width="9.140625" customWidth="1"/>
    <col min="18" max="18" width="3.5703125" customWidth="1"/>
    <col min="19" max="19" width="5.85546875" customWidth="1"/>
    <col min="20" max="21" width="9.140625" customWidth="1"/>
    <col min="22" max="22" width="4.85546875" customWidth="1"/>
    <col min="23" max="23" width="6" customWidth="1"/>
    <col min="24" max="25" width="9.140625" customWidth="1"/>
    <col min="26" max="26" width="4.140625" customWidth="1"/>
    <col min="27" max="27" width="6.140625" customWidth="1"/>
    <col min="28" max="29" width="9.140625" customWidth="1"/>
    <col min="30" max="30" width="9.42578125" customWidth="1"/>
    <col min="31" max="42" width="9.140625" customWidth="1"/>
    <col min="44" max="44" width="9.140625" customWidth="1"/>
    <col min="45" max="45" width="9.85546875" customWidth="1"/>
    <col min="46" max="46" width="15.7109375" customWidth="1"/>
    <col min="47" max="47" width="11.5703125" customWidth="1"/>
    <col min="48" max="48" width="23.7109375" customWidth="1"/>
    <col min="50" max="50" width="9.140625" customWidth="1"/>
    <col min="51" max="51" width="6.28515625" customWidth="1"/>
    <col min="52" max="52" width="15.28515625" customWidth="1"/>
    <col min="59" max="59" width="10.5703125" customWidth="1"/>
    <col min="62" max="62" width="4.85546875" customWidth="1"/>
    <col min="63" max="63" width="13.85546875" customWidth="1"/>
    <col min="64" max="64" width="3.28515625" customWidth="1"/>
    <col min="65" max="65" width="11.28515625" customWidth="1"/>
    <col min="66" max="67" width="6.28515625" customWidth="1"/>
    <col min="68" max="68" width="3.5703125" customWidth="1"/>
    <col min="69" max="69" width="8.28515625" customWidth="1"/>
    <col min="70" max="72" width="6.140625" customWidth="1"/>
    <col min="73" max="73" width="3.28515625" customWidth="1"/>
    <col min="74" max="74" width="9.5703125" customWidth="1"/>
    <col min="75" max="75" width="6.140625" customWidth="1"/>
    <col min="76" max="76" width="15.28515625" bestFit="1" customWidth="1"/>
    <col min="77" max="77" width="3.28515625" customWidth="1"/>
    <col min="78" max="80" width="8.7109375" customWidth="1"/>
    <col min="81" max="81" width="3.28515625" customWidth="1"/>
    <col min="82" max="84" width="8.7109375" customWidth="1"/>
    <col min="85" max="85" width="3.28515625" customWidth="1"/>
    <col min="86" max="86" width="8.7109375" customWidth="1"/>
    <col min="87" max="88" width="6.28515625" customWidth="1"/>
    <col min="89" max="89" width="3.28515625" customWidth="1"/>
    <col min="90" max="90" width="8.7109375" customWidth="1"/>
    <col min="91" max="92" width="6.28515625" customWidth="1"/>
    <col min="93" max="93" width="3.28515625" customWidth="1"/>
    <col min="94" max="94" width="8.7109375" customWidth="1"/>
    <col min="95" max="95" width="6.28515625" customWidth="1"/>
    <col min="96" max="96" width="15" bestFit="1" customWidth="1"/>
    <col min="97" max="97" width="3.28515625" customWidth="1"/>
    <col min="98" max="98" width="9.5703125" customWidth="1"/>
    <col min="99" max="99" width="6.140625" customWidth="1"/>
    <col min="100" max="100" width="16.85546875" customWidth="1"/>
    <col min="101" max="101" width="8.5703125" customWidth="1"/>
    <col min="102" max="102" width="7" customWidth="1"/>
    <col min="103" max="103" width="25.140625" customWidth="1"/>
    <col min="104" max="104" width="3.5703125" customWidth="1"/>
    <col min="105" max="105" width="8.5703125" bestFit="1" customWidth="1"/>
    <col min="106" max="106" width="5.85546875" customWidth="1"/>
    <col min="107" max="107" width="16.140625" customWidth="1"/>
    <col min="108" max="108" width="3.7109375" customWidth="1"/>
    <col min="109" max="109" width="3.28515625" customWidth="1"/>
    <col min="110" max="110" width="8.5703125" bestFit="1" customWidth="1"/>
    <col min="111" max="111" width="6.28515625" customWidth="1"/>
    <col min="112" max="112" width="11.42578125" bestFit="1" customWidth="1"/>
    <col min="113" max="113" width="3.5703125" customWidth="1"/>
    <col min="114" max="114" width="8.7109375" customWidth="1"/>
    <col min="115" max="115" width="6.28515625" customWidth="1"/>
    <col min="116" max="116" width="11.42578125" bestFit="1" customWidth="1"/>
    <col min="117" max="117" width="3.5703125" customWidth="1"/>
    <col min="118" max="118" width="8.5703125" bestFit="1" customWidth="1"/>
    <col min="119" max="119" width="6.28515625" customWidth="1"/>
    <col min="120" max="120" width="13.7109375" customWidth="1"/>
  </cols>
  <sheetData>
    <row r="1" spans="1:120" ht="15.75" thickBot="1" x14ac:dyDescent="0.3">
      <c r="AU1" s="33"/>
      <c r="AV1" s="33"/>
    </row>
    <row r="2" spans="1:120" ht="15.75" thickBot="1" x14ac:dyDescent="0.3">
      <c r="B2" t="s">
        <v>80</v>
      </c>
      <c r="I2" s="223" t="s">
        <v>47</v>
      </c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224"/>
      <c r="X2" s="224"/>
      <c r="Y2" s="224"/>
      <c r="Z2" s="224"/>
      <c r="AA2" s="224"/>
      <c r="AB2" s="224"/>
      <c r="AC2" s="225"/>
      <c r="AE2" s="223" t="s">
        <v>52</v>
      </c>
      <c r="AF2" s="224"/>
      <c r="AG2" s="224"/>
      <c r="AH2" s="224"/>
      <c r="AI2" s="224"/>
      <c r="AJ2" s="224"/>
      <c r="AK2" s="224"/>
      <c r="AL2" s="224"/>
      <c r="AM2" s="224"/>
      <c r="AN2" s="224"/>
      <c r="AO2" s="224"/>
      <c r="AP2" s="225"/>
      <c r="AR2" s="223" t="s">
        <v>308</v>
      </c>
      <c r="AS2" s="224"/>
      <c r="AT2" s="224"/>
      <c r="AU2" s="187"/>
      <c r="AV2" s="188"/>
      <c r="AX2" s="223" t="s">
        <v>77</v>
      </c>
      <c r="AY2" s="224"/>
      <c r="AZ2" s="225"/>
      <c r="BB2" s="223" t="s">
        <v>286</v>
      </c>
      <c r="BC2" s="224"/>
      <c r="BD2" s="224"/>
      <c r="BE2" s="224"/>
      <c r="BF2" s="224"/>
      <c r="BG2" s="225"/>
      <c r="BJ2" s="210" t="s">
        <v>93</v>
      </c>
      <c r="BK2" s="220"/>
      <c r="BL2" s="184"/>
      <c r="BM2" s="185"/>
      <c r="BN2" s="220" t="s">
        <v>94</v>
      </c>
      <c r="BO2" s="220"/>
      <c r="BP2" s="141"/>
      <c r="BQ2" s="158"/>
      <c r="BR2" s="220" t="s">
        <v>95</v>
      </c>
      <c r="BS2" s="220"/>
      <c r="BT2" s="221"/>
      <c r="BU2" s="184"/>
      <c r="BV2" s="185"/>
      <c r="BW2" s="220" t="s">
        <v>97</v>
      </c>
      <c r="BX2" s="220"/>
      <c r="BY2" s="184"/>
      <c r="BZ2" s="185"/>
      <c r="CA2" s="185" t="s">
        <v>98</v>
      </c>
      <c r="CB2" s="186"/>
      <c r="CC2" s="184"/>
      <c r="CD2" s="185"/>
      <c r="CE2" s="185" t="s">
        <v>99</v>
      </c>
      <c r="CF2" s="186"/>
      <c r="CG2" s="184"/>
      <c r="CH2" s="185"/>
      <c r="CI2" s="220" t="s">
        <v>100</v>
      </c>
      <c r="CJ2" s="220"/>
      <c r="CK2" s="184"/>
      <c r="CL2" s="185"/>
      <c r="CM2" s="220" t="s">
        <v>219</v>
      </c>
      <c r="CN2" s="220"/>
      <c r="CO2" s="184"/>
      <c r="CP2" s="185"/>
      <c r="CQ2" s="220" t="s">
        <v>229</v>
      </c>
      <c r="CR2" s="220"/>
      <c r="CS2" s="184"/>
      <c r="CT2" s="185"/>
      <c r="CU2" s="224" t="s">
        <v>230</v>
      </c>
      <c r="CV2" s="224"/>
      <c r="CW2" s="224"/>
      <c r="CX2" s="224"/>
      <c r="CY2" s="224"/>
      <c r="CZ2" s="141"/>
      <c r="DA2" s="210" t="s">
        <v>231</v>
      </c>
      <c r="DB2" s="220"/>
      <c r="DC2" s="221"/>
      <c r="DD2" s="142"/>
      <c r="DE2" s="184"/>
      <c r="DF2" s="210" t="s">
        <v>232</v>
      </c>
      <c r="DG2" s="220"/>
      <c r="DH2" s="221"/>
      <c r="DI2" s="141"/>
      <c r="DJ2" s="210" t="s">
        <v>283</v>
      </c>
      <c r="DK2" s="220"/>
      <c r="DL2" s="221"/>
      <c r="DM2" s="141"/>
      <c r="DN2" s="210" t="s">
        <v>284</v>
      </c>
      <c r="DO2" s="220"/>
      <c r="DP2" s="221"/>
    </row>
    <row r="3" spans="1:120" ht="15.75" thickBot="1" x14ac:dyDescent="0.3">
      <c r="I3" s="35"/>
      <c r="J3" s="36" t="s">
        <v>42</v>
      </c>
      <c r="K3" s="37" t="s">
        <v>41</v>
      </c>
      <c r="L3" s="36" t="s">
        <v>46</v>
      </c>
      <c r="M3" s="38"/>
      <c r="N3" s="35"/>
      <c r="O3" s="36" t="s">
        <v>79</v>
      </c>
      <c r="P3" s="37" t="s">
        <v>41</v>
      </c>
      <c r="Q3" s="38" t="s">
        <v>46</v>
      </c>
      <c r="R3" s="36"/>
      <c r="S3" s="36" t="s">
        <v>43</v>
      </c>
      <c r="T3" s="37" t="s">
        <v>41</v>
      </c>
      <c r="U3" s="38" t="s">
        <v>46</v>
      </c>
      <c r="V3" s="36"/>
      <c r="W3" s="36" t="s">
        <v>71</v>
      </c>
      <c r="X3" s="37" t="s">
        <v>41</v>
      </c>
      <c r="Y3" s="38" t="s">
        <v>46</v>
      </c>
      <c r="Z3" s="36"/>
      <c r="AA3" s="36" t="s">
        <v>73</v>
      </c>
      <c r="AB3" s="37"/>
      <c r="AC3" s="38"/>
      <c r="AE3" s="35" t="s">
        <v>55</v>
      </c>
      <c r="AF3" s="36" t="s">
        <v>56</v>
      </c>
      <c r="AG3" s="38" t="s">
        <v>57</v>
      </c>
      <c r="AH3" s="223" t="s">
        <v>55</v>
      </c>
      <c r="AI3" s="224"/>
      <c r="AJ3" s="225"/>
      <c r="AK3" s="223" t="s">
        <v>56</v>
      </c>
      <c r="AL3" s="224"/>
      <c r="AM3" s="225"/>
      <c r="AN3" s="223" t="s">
        <v>57</v>
      </c>
      <c r="AO3" s="224"/>
      <c r="AP3" s="225"/>
      <c r="AR3" s="164" t="s">
        <v>49</v>
      </c>
      <c r="AS3" s="45"/>
      <c r="AT3" s="191"/>
      <c r="AU3" s="45"/>
      <c r="AV3" s="29"/>
      <c r="AX3" s="27" t="b">
        <f t="shared" ref="AX3:AX7" si="0">IF($F$17&lt;AY3,TRUE,FALSE)</f>
        <v>1</v>
      </c>
      <c r="AY3" s="28">
        <v>2</v>
      </c>
      <c r="AZ3" s="29" t="s">
        <v>302</v>
      </c>
      <c r="BA3" s="64"/>
      <c r="BB3" s="189"/>
      <c r="BC3" s="190"/>
      <c r="BD3" s="190" t="s">
        <v>327</v>
      </c>
      <c r="BE3" s="190"/>
      <c r="BF3" s="190" t="s">
        <v>328</v>
      </c>
      <c r="BG3" s="191" t="s">
        <v>332</v>
      </c>
      <c r="BJ3" s="133" t="s">
        <v>102</v>
      </c>
      <c r="BK3" s="45" t="s">
        <v>124</v>
      </c>
      <c r="BL3" s="139"/>
      <c r="BM3" s="45" t="s">
        <v>30</v>
      </c>
      <c r="BN3" s="134" t="s">
        <v>102</v>
      </c>
      <c r="BO3" s="193" t="s">
        <v>103</v>
      </c>
      <c r="BP3" s="64"/>
      <c r="BQ3" s="27" t="s">
        <v>52</v>
      </c>
      <c r="BR3" s="134" t="s">
        <v>102</v>
      </c>
      <c r="BS3" s="193" t="s">
        <v>103</v>
      </c>
      <c r="BT3" s="53" t="s">
        <v>127</v>
      </c>
      <c r="BU3" s="139"/>
      <c r="BV3" s="45" t="s">
        <v>52</v>
      </c>
      <c r="BW3" s="114" t="s">
        <v>102</v>
      </c>
      <c r="BX3" s="45" t="s">
        <v>133</v>
      </c>
      <c r="BY3" s="139"/>
      <c r="BZ3" s="189" t="s">
        <v>322</v>
      </c>
      <c r="CA3" s="195" t="s">
        <v>102</v>
      </c>
      <c r="CB3" s="182" t="s">
        <v>103</v>
      </c>
      <c r="CC3" s="139"/>
      <c r="CD3" s="189" t="s">
        <v>31</v>
      </c>
      <c r="CE3" s="195" t="s">
        <v>102</v>
      </c>
      <c r="CF3" s="182" t="s">
        <v>103</v>
      </c>
      <c r="CG3" s="139"/>
      <c r="CH3" s="45" t="s">
        <v>68</v>
      </c>
      <c r="CI3" s="134" t="s">
        <v>102</v>
      </c>
      <c r="CJ3" s="193" t="s">
        <v>103</v>
      </c>
      <c r="CK3" s="139"/>
      <c r="CL3" s="45" t="s">
        <v>323</v>
      </c>
      <c r="CM3" s="134" t="s">
        <v>102</v>
      </c>
      <c r="CN3" s="193" t="s">
        <v>103</v>
      </c>
      <c r="CO3" s="139"/>
      <c r="CP3" s="45" t="s">
        <v>324</v>
      </c>
      <c r="CQ3" s="134" t="s">
        <v>102</v>
      </c>
      <c r="CR3" s="193" t="s">
        <v>103</v>
      </c>
      <c r="CS3" s="139"/>
      <c r="CT3" s="45"/>
      <c r="CU3" s="134" t="s">
        <v>102</v>
      </c>
      <c r="CV3" s="45" t="s">
        <v>148</v>
      </c>
      <c r="CW3" s="45"/>
      <c r="CX3" s="45"/>
      <c r="CY3" s="45" t="s">
        <v>148</v>
      </c>
      <c r="CZ3" s="64"/>
      <c r="DA3" s="28"/>
      <c r="DB3" s="114" t="s">
        <v>102</v>
      </c>
      <c r="DC3" s="45" t="s">
        <v>148</v>
      </c>
      <c r="DD3" s="64"/>
      <c r="DE3" s="139"/>
      <c r="DF3" s="45"/>
      <c r="DG3" s="134" t="s">
        <v>102</v>
      </c>
      <c r="DH3" s="193" t="s">
        <v>220</v>
      </c>
      <c r="DI3" s="64"/>
      <c r="DJ3" s="45"/>
      <c r="DK3" s="134" t="s">
        <v>102</v>
      </c>
      <c r="DL3" s="193" t="s">
        <v>293</v>
      </c>
      <c r="DM3" s="64"/>
      <c r="DN3" s="45"/>
      <c r="DO3" s="134" t="s">
        <v>102</v>
      </c>
      <c r="DP3" s="183" t="s">
        <v>294</v>
      </c>
    </row>
    <row r="4" spans="1:120" x14ac:dyDescent="0.25">
      <c r="A4" s="22" t="s">
        <v>29</v>
      </c>
      <c r="B4" s="24">
        <f>IF('ОЛ(4)'!D37=2,'ОЛ(4)'!C17,0)</f>
        <v>0</v>
      </c>
      <c r="C4" t="s">
        <v>36</v>
      </c>
      <c r="E4" t="s">
        <v>44</v>
      </c>
      <c r="F4" s="25">
        <f>F17*1.2</f>
        <v>0</v>
      </c>
      <c r="I4" s="27">
        <f>IF($B$11&lt;12,(IF((L4&gt;4)*AND(L4&lt;16),2,0)),IF((L4&gt;4)*AND(L4&lt;20),2,0))</f>
        <v>0</v>
      </c>
      <c r="J4" s="28">
        <v>15</v>
      </c>
      <c r="K4" s="28">
        <f t="shared" ref="K4:K17" si="1">1/POWER(1.14+2*LOG10((J4/1000)/($K$21/1000)),2)</f>
        <v>5.9655827422120798E-2</v>
      </c>
      <c r="L4" s="28">
        <f t="shared" ref="L4:L17" si="2">0.00638*K4*POWER($F$4,2)/(POWER(J4/1000,5)*$K$20)</f>
        <v>0</v>
      </c>
      <c r="M4" s="29"/>
      <c r="N4" s="27">
        <f>IF((Q4&gt;4)*AND(Q4&lt;18),1,0)</f>
        <v>0</v>
      </c>
      <c r="O4" s="28">
        <v>15</v>
      </c>
      <c r="P4" s="28">
        <f t="shared" ref="P4:P17" si="3">1/POWER(1.14+2*LOG10((O4/1000)/($K$21/1000)),2)</f>
        <v>5.9655827422120798E-2</v>
      </c>
      <c r="Q4" s="29">
        <f t="shared" ref="Q4:Q17" si="4">0.00638*P4*POWER($F$11,2)/(POWER(O4/1000,5)*$K$20)</f>
        <v>6915.2050833854037</v>
      </c>
      <c r="R4" s="28">
        <f>IF((U4&gt;4)*AND(U4&lt;16),1,0)</f>
        <v>0</v>
      </c>
      <c r="S4" s="28">
        <v>15</v>
      </c>
      <c r="T4" s="28">
        <f t="shared" ref="T4:T17" si="5">1/POWER(1.14+2*LOG10((S4/1000)/($K$21/1000)),2)</f>
        <v>5.9655827422120798E-2</v>
      </c>
      <c r="U4" s="29">
        <f t="shared" ref="U4:U17" si="6">0.00638*T4*POWER($F$14,2)/(POWER(S4/1000,5)*$K$20)</f>
        <v>6915.2050833854037</v>
      </c>
      <c r="V4" s="28">
        <f>IF((Y4&gt;4)*AND(Y4&lt;16),1,0)</f>
        <v>0</v>
      </c>
      <c r="W4" s="28">
        <v>15</v>
      </c>
      <c r="X4" s="28">
        <f t="shared" ref="X4:X17" si="7">1/POWER(1.14+2*LOG10((W4/1000)/($K$21/1000)),2)</f>
        <v>5.9655827422120798E-2</v>
      </c>
      <c r="Y4" s="29">
        <f t="shared" ref="Y4:Y17" si="8">0.00638*X4*POWER($F$17,2)/(POWER(W4/1000,5)*$K$20)</f>
        <v>0</v>
      </c>
      <c r="Z4" s="28">
        <f>V4</f>
        <v>0</v>
      </c>
      <c r="AA4" s="28">
        <v>15</v>
      </c>
      <c r="AB4" s="28"/>
      <c r="AC4" s="29"/>
      <c r="AE4" s="41" t="s">
        <v>53</v>
      </c>
      <c r="AF4" s="28">
        <f>IF(B11&gt;12,3,1.8)</f>
        <v>3</v>
      </c>
      <c r="AG4" s="28"/>
      <c r="AH4" s="40" t="b">
        <f t="shared" ref="AH4:AH21" si="9">IF(AJ4&gt;$AF$5,TRUE,FALSE)</f>
        <v>1</v>
      </c>
      <c r="AI4" s="47">
        <v>15</v>
      </c>
      <c r="AJ4" s="39">
        <v>1.6</v>
      </c>
      <c r="AK4" s="40" t="b">
        <f t="shared" ref="AK4:AK22" si="10">IF(AM4&gt;$AF$5,TRUE,FALSE)</f>
        <v>1</v>
      </c>
      <c r="AL4" s="47">
        <v>15</v>
      </c>
      <c r="AM4" s="39">
        <v>1.6</v>
      </c>
      <c r="AN4" s="28" t="b">
        <f t="shared" ref="AN4:AN16" si="11">IF(AP4&gt;$AF$5,TRUE,FALSE)</f>
        <v>1</v>
      </c>
      <c r="AO4" s="42">
        <v>15</v>
      </c>
      <c r="AP4" s="29">
        <v>1.6</v>
      </c>
      <c r="AR4" s="64">
        <v>1.5</v>
      </c>
      <c r="AS4" s="28" t="b">
        <f>IF($F$23&lt;AR4,TRUE,FALSE)</f>
        <v>1</v>
      </c>
      <c r="AT4" s="29" t="s">
        <v>74</v>
      </c>
      <c r="AU4" s="28" t="b">
        <f>IF($F$23&lt;AR4,TRUE,FALSE)</f>
        <v>1</v>
      </c>
      <c r="AV4" s="194" t="s">
        <v>309</v>
      </c>
      <c r="AX4" s="27" t="b">
        <f t="shared" si="0"/>
        <v>1</v>
      </c>
      <c r="AY4" s="28">
        <v>3</v>
      </c>
      <c r="AZ4" s="29" t="s">
        <v>303</v>
      </c>
      <c r="BA4" s="64"/>
      <c r="BB4" s="28" t="b">
        <f>IF(AND(BC4=1,BE4=1),TRUE,FALSE)</f>
        <v>0</v>
      </c>
      <c r="BC4" s="28">
        <f>IF(BD4&gt;$B$4,1,0)</f>
        <v>1</v>
      </c>
      <c r="BD4" s="28">
        <v>0.01</v>
      </c>
      <c r="BE4" s="28">
        <f>IF(BF4&gt;$F$11,1,0)</f>
        <v>0</v>
      </c>
      <c r="BF4">
        <v>2</v>
      </c>
      <c r="BG4" s="29" t="s">
        <v>329</v>
      </c>
      <c r="BJ4" s="133" t="s">
        <v>130</v>
      </c>
      <c r="BK4" s="45" t="s">
        <v>318</v>
      </c>
      <c r="BL4" s="139"/>
      <c r="BM4" s="45" t="e">
        <f>IF($F$5=BO4,TRUE,FALSE)</f>
        <v>#N/A</v>
      </c>
      <c r="BN4" s="114" t="s">
        <v>101</v>
      </c>
      <c r="BO4" s="45">
        <v>15</v>
      </c>
      <c r="BP4" s="64"/>
      <c r="BQ4" s="120" t="b">
        <f>IF($F$7=BT4,TRUE,FALSE)</f>
        <v>0</v>
      </c>
      <c r="BR4" s="114" t="s">
        <v>101</v>
      </c>
      <c r="BS4" s="45">
        <v>15</v>
      </c>
      <c r="BT4" s="53">
        <v>0.63</v>
      </c>
      <c r="BU4" s="139"/>
      <c r="BV4" s="45" t="b">
        <f>IF($B$14=BX4,TRUE,FALSE)</f>
        <v>0</v>
      </c>
      <c r="BW4" s="114" t="s">
        <v>130</v>
      </c>
      <c r="BX4" s="45" t="s">
        <v>55</v>
      </c>
      <c r="BY4" s="139"/>
      <c r="BZ4" s="120" t="b">
        <f>IF($F$12=CB4,TRUE,FALSE)</f>
        <v>0</v>
      </c>
      <c r="CA4" s="114" t="s">
        <v>101</v>
      </c>
      <c r="CB4" s="53">
        <v>15</v>
      </c>
      <c r="CC4" s="139"/>
      <c r="CD4" s="120" t="b">
        <f>IF($F$15=CF4,TRUE,FALSE)</f>
        <v>0</v>
      </c>
      <c r="CE4" s="114" t="s">
        <v>101</v>
      </c>
      <c r="CF4" s="53">
        <v>15</v>
      </c>
      <c r="CG4" s="139"/>
      <c r="CH4" s="45" t="e">
        <f>IF($F$18=CJ4,TRUE,FALSE)</f>
        <v>#N/A</v>
      </c>
      <c r="CI4" s="114" t="s">
        <v>101</v>
      </c>
      <c r="CJ4" s="45">
        <v>15</v>
      </c>
      <c r="CK4" s="139"/>
      <c r="CL4" s="45" t="e">
        <f>IF($F$22=CN4,TRUE,FALSE)</f>
        <v>#N/A</v>
      </c>
      <c r="CM4" s="114" t="s">
        <v>101</v>
      </c>
      <c r="CN4" s="45">
        <v>15</v>
      </c>
      <c r="CO4" s="139"/>
      <c r="CP4" s="45" t="b">
        <f>IF($E$19=CR4,TRUE,FALSE)</f>
        <v>1</v>
      </c>
      <c r="CQ4" s="114" t="s">
        <v>130</v>
      </c>
      <c r="CR4" s="29" t="s">
        <v>302</v>
      </c>
      <c r="CS4" s="139"/>
      <c r="CT4" s="45" t="e">
        <f>IF($E$24=CV4,TRUE,FALSE)</f>
        <v>#N/A</v>
      </c>
      <c r="CU4" s="193">
        <v>1</v>
      </c>
      <c r="CV4" s="28" t="s">
        <v>74</v>
      </c>
      <c r="CW4" s="193" t="e">
        <f>IF($E$24=CY4,TRUE,FALSE)</f>
        <v>#N/A</v>
      </c>
      <c r="CX4" s="193">
        <v>1</v>
      </c>
      <c r="CY4" s="194" t="s">
        <v>309</v>
      </c>
      <c r="CZ4" s="64"/>
      <c r="DB4" s="192"/>
      <c r="DD4" s="64"/>
      <c r="DE4" s="139"/>
      <c r="DF4" s="45"/>
      <c r="DG4" s="114"/>
      <c r="DI4" s="64"/>
      <c r="DJ4" s="45" t="b">
        <f>IF($B$16=DL4,TRUE,FALSE)</f>
        <v>0</v>
      </c>
      <c r="DK4" s="114" t="s">
        <v>130</v>
      </c>
      <c r="DL4" s="45" t="s">
        <v>248</v>
      </c>
      <c r="DM4" s="64"/>
      <c r="DN4" s="45" t="b">
        <f>IF($B$17=DP4,TRUE,FALSE)</f>
        <v>0</v>
      </c>
      <c r="DO4" s="114" t="s">
        <v>130</v>
      </c>
      <c r="DP4" s="29" t="s">
        <v>298</v>
      </c>
    </row>
    <row r="5" spans="1:120" x14ac:dyDescent="0.25">
      <c r="A5" s="22"/>
      <c r="B5" s="24"/>
      <c r="C5" s="23"/>
      <c r="E5" t="s">
        <v>42</v>
      </c>
      <c r="F5" t="e">
        <f>VLOOKUP(2,I4:L17,2,FALSE)</f>
        <v>#N/A</v>
      </c>
      <c r="I5" s="27">
        <f t="shared" ref="I5:I17" si="12">IF($B$11&lt;12,(IF((L5&gt;4)*AND(L5&lt;16),2,0)),IF((L5&gt;4)*AND(L5&lt;20),2,0))</f>
        <v>0</v>
      </c>
      <c r="J5" s="28">
        <v>20</v>
      </c>
      <c r="K5" s="28">
        <f t="shared" si="1"/>
        <v>5.2990299783484442E-2</v>
      </c>
      <c r="L5" s="28">
        <f t="shared" si="2"/>
        <v>0</v>
      </c>
      <c r="M5" s="29"/>
      <c r="N5" s="27">
        <f t="shared" ref="N5:N17" si="13">IF((Q5&gt;4)*AND(Q5&lt;18),1,0)</f>
        <v>0</v>
      </c>
      <c r="O5" s="28">
        <v>20</v>
      </c>
      <c r="P5" s="28">
        <f t="shared" si="3"/>
        <v>5.2990299783484442E-2</v>
      </c>
      <c r="Q5" s="29">
        <f t="shared" si="4"/>
        <v>1457.6554614898398</v>
      </c>
      <c r="R5" s="28">
        <f t="shared" ref="R5:R17" si="14">IF((U5&gt;4)*AND(U5&lt;16),1,0)</f>
        <v>0</v>
      </c>
      <c r="S5" s="28">
        <v>20</v>
      </c>
      <c r="T5" s="28">
        <f t="shared" si="5"/>
        <v>5.2990299783484442E-2</v>
      </c>
      <c r="U5" s="29">
        <f t="shared" si="6"/>
        <v>1457.6554614898398</v>
      </c>
      <c r="V5" s="28">
        <f t="shared" ref="V5:V17" si="15">IF((Y5&gt;4)*AND(Y5&lt;16),1,0)</f>
        <v>0</v>
      </c>
      <c r="W5" s="28">
        <v>20</v>
      </c>
      <c r="X5" s="28">
        <f t="shared" si="7"/>
        <v>5.2990299783484442E-2</v>
      </c>
      <c r="Y5" s="29">
        <f t="shared" si="8"/>
        <v>0</v>
      </c>
      <c r="Z5" s="28">
        <f>V5</f>
        <v>0</v>
      </c>
      <c r="AA5" s="28">
        <v>15</v>
      </c>
      <c r="AB5" s="28"/>
      <c r="AC5" s="29"/>
      <c r="AE5" s="41" t="s">
        <v>54</v>
      </c>
      <c r="AF5" s="43">
        <f>F4/SQRT(0.1*AF4)</f>
        <v>0</v>
      </c>
      <c r="AG5" s="43"/>
      <c r="AH5" s="27" t="b">
        <f t="shared" si="9"/>
        <v>1</v>
      </c>
      <c r="AI5" s="42">
        <v>15</v>
      </c>
      <c r="AJ5" s="29">
        <v>2.5</v>
      </c>
      <c r="AK5" s="27" t="b">
        <f t="shared" si="10"/>
        <v>1</v>
      </c>
      <c r="AL5" s="42">
        <v>15</v>
      </c>
      <c r="AM5" s="29">
        <v>2.5</v>
      </c>
      <c r="AN5" s="28" t="b">
        <f t="shared" si="11"/>
        <v>1</v>
      </c>
      <c r="AO5" s="42">
        <v>15</v>
      </c>
      <c r="AP5" s="29">
        <v>2.5</v>
      </c>
      <c r="AR5" s="64">
        <v>4</v>
      </c>
      <c r="AS5" s="28" t="b">
        <f t="shared" ref="AS5:AS7" si="16">IF($F$23&lt;AR5,TRUE,FALSE)</f>
        <v>1</v>
      </c>
      <c r="AT5" s="29" t="s">
        <v>75</v>
      </c>
      <c r="AU5" s="28" t="b">
        <f t="shared" ref="AU5:AU7" si="17">IF($F$23&lt;AR5,TRUE,FALSE)</f>
        <v>1</v>
      </c>
      <c r="AV5" s="194" t="s">
        <v>310</v>
      </c>
      <c r="AX5" s="27" t="b">
        <f t="shared" si="0"/>
        <v>1</v>
      </c>
      <c r="AY5" s="28">
        <v>5</v>
      </c>
      <c r="AZ5" s="29" t="s">
        <v>304</v>
      </c>
      <c r="BA5" s="64"/>
      <c r="BB5" s="28" t="b">
        <f t="shared" ref="BB5:BB68" si="18">IF(AND(BC5=1,BE5=1),TRUE,FALSE)</f>
        <v>0</v>
      </c>
      <c r="BC5" s="28">
        <f t="shared" ref="BC5:BC68" si="19">IF(BD5&gt;$B$4,1,0)</f>
        <v>1</v>
      </c>
      <c r="BD5" s="28">
        <v>0.02</v>
      </c>
      <c r="BE5" s="28">
        <f t="shared" ref="BE5:BE67" si="20">IF(BF5&gt;$F$11,1,0)</f>
        <v>0</v>
      </c>
      <c r="BF5">
        <v>2</v>
      </c>
      <c r="BG5" s="29" t="s">
        <v>329</v>
      </c>
      <c r="BJ5" s="133" t="s">
        <v>131</v>
      </c>
      <c r="BK5" s="45" t="s">
        <v>319</v>
      </c>
      <c r="BL5" s="139"/>
      <c r="BM5" s="45" t="e">
        <f t="shared" ref="BM5:BM15" si="21">IF($F$5=BO5,TRUE,FALSE)</f>
        <v>#N/A</v>
      </c>
      <c r="BN5" s="114" t="s">
        <v>104</v>
      </c>
      <c r="BO5" s="45">
        <v>20</v>
      </c>
      <c r="BP5" s="64"/>
      <c r="BQ5" s="120" t="b">
        <f t="shared" ref="BQ5:BQ26" si="22">IF($F$7=BT5,TRUE,FALSE)</f>
        <v>0</v>
      </c>
      <c r="BR5" s="114" t="s">
        <v>104</v>
      </c>
      <c r="BS5" s="45">
        <v>15</v>
      </c>
      <c r="BT5" s="53">
        <v>1.25</v>
      </c>
      <c r="BU5" s="139"/>
      <c r="BV5" s="45" t="b">
        <f t="shared" ref="BV5:BV6" si="23">IF($B$14=BX5,TRUE,FALSE)</f>
        <v>0</v>
      </c>
      <c r="BW5" s="114" t="s">
        <v>131</v>
      </c>
      <c r="BX5" s="45" t="s">
        <v>57</v>
      </c>
      <c r="BY5" s="139"/>
      <c r="BZ5" s="120" t="b">
        <f t="shared" ref="BZ5:BZ15" si="24">IF($F$12=CB5,TRUE,FALSE)</f>
        <v>0</v>
      </c>
      <c r="CA5" s="114" t="s">
        <v>104</v>
      </c>
      <c r="CB5" s="53">
        <v>20</v>
      </c>
      <c r="CC5" s="139"/>
      <c r="CD5" s="120" t="b">
        <f t="shared" ref="CD5:CD15" si="25">IF($F$15=CF5,TRUE,FALSE)</f>
        <v>0</v>
      </c>
      <c r="CE5" s="114" t="s">
        <v>104</v>
      </c>
      <c r="CF5" s="53">
        <v>20</v>
      </c>
      <c r="CG5" s="139"/>
      <c r="CH5" s="45" t="e">
        <f t="shared" ref="CH5:CH15" si="26">IF($F$18=CJ5,TRUE,FALSE)</f>
        <v>#N/A</v>
      </c>
      <c r="CI5" s="114" t="s">
        <v>104</v>
      </c>
      <c r="CJ5" s="45">
        <v>20</v>
      </c>
      <c r="CK5" s="139"/>
      <c r="CL5" s="45" t="e">
        <f t="shared" ref="CL5:CL15" si="27">IF($F$22=CN5,TRUE,FALSE)</f>
        <v>#N/A</v>
      </c>
      <c r="CM5" s="114" t="s">
        <v>104</v>
      </c>
      <c r="CN5" s="45">
        <v>20</v>
      </c>
      <c r="CO5" s="139"/>
      <c r="CP5" s="45" t="b">
        <f t="shared" ref="CP5:CP9" si="28">IF($E$19=CR5,TRUE,FALSE)</f>
        <v>0</v>
      </c>
      <c r="CQ5" s="114" t="s">
        <v>131</v>
      </c>
      <c r="CR5" s="29" t="s">
        <v>303</v>
      </c>
      <c r="CS5" s="139"/>
      <c r="CT5" s="45" t="e">
        <f t="shared" ref="CT5:CT6" si="29">IF($E$24=CV5,TRUE,FALSE)</f>
        <v>#N/A</v>
      </c>
      <c r="CU5" s="193"/>
      <c r="CV5" s="28"/>
      <c r="CW5" s="193" t="e">
        <f t="shared" ref="CW5:CW7" si="30">IF($E$24=CY5,TRUE,FALSE)</f>
        <v>#N/A</v>
      </c>
      <c r="CX5" s="193">
        <v>2</v>
      </c>
      <c r="CY5" s="194" t="s">
        <v>310</v>
      </c>
      <c r="CZ5" s="64"/>
      <c r="DA5" s="28" t="b">
        <f>IF($B$15=DC5,TRUE,FALSE)</f>
        <v>0</v>
      </c>
      <c r="DB5" s="193">
        <v>1</v>
      </c>
      <c r="DC5" s="193" t="s">
        <v>313</v>
      </c>
      <c r="DD5" s="64"/>
      <c r="DE5" s="139"/>
      <c r="DF5" s="45" t="b">
        <f>IF($E$9=DH5,TRUE,FALSE)</f>
        <v>0</v>
      </c>
      <c r="DG5" s="114" t="s">
        <v>101</v>
      </c>
      <c r="DH5" s="29" t="s">
        <v>329</v>
      </c>
      <c r="DI5" s="64"/>
      <c r="DJ5" s="45" t="b">
        <f t="shared" ref="DJ5:DJ6" si="31">IF($B$16=DL5,TRUE,FALSE)</f>
        <v>0</v>
      </c>
      <c r="DK5" s="114" t="s">
        <v>131</v>
      </c>
      <c r="DL5" s="45" t="s">
        <v>57</v>
      </c>
      <c r="DM5" s="64"/>
      <c r="DN5" s="45" t="b">
        <f>IF($B$17=DP5,TRUE,FALSE)</f>
        <v>0</v>
      </c>
      <c r="DO5" s="114" t="s">
        <v>225</v>
      </c>
      <c r="DP5" s="53" t="s">
        <v>249</v>
      </c>
    </row>
    <row r="6" spans="1:120" x14ac:dyDescent="0.25">
      <c r="A6" s="22"/>
      <c r="B6" s="24"/>
      <c r="C6" s="23"/>
      <c r="E6" t="s">
        <v>58</v>
      </c>
      <c r="F6">
        <f>VLOOKUP(TRUE,IF(B14="IMI Hydronic",AH4:AJ21,IF(B14="Siemens",AK4:AM22,AN4:AP16)),2,FALSE)</f>
        <v>15</v>
      </c>
      <c r="I6" s="27">
        <f t="shared" si="12"/>
        <v>0</v>
      </c>
      <c r="J6" s="28">
        <v>25</v>
      </c>
      <c r="K6" s="28">
        <f t="shared" si="1"/>
        <v>4.8560427292756572E-2</v>
      </c>
      <c r="L6" s="28">
        <f t="shared" si="2"/>
        <v>0</v>
      </c>
      <c r="M6" s="29"/>
      <c r="N6" s="27">
        <f t="shared" si="13"/>
        <v>0</v>
      </c>
      <c r="O6" s="28">
        <v>25</v>
      </c>
      <c r="P6" s="28">
        <f t="shared" si="3"/>
        <v>4.8560427292756572E-2</v>
      </c>
      <c r="Q6" s="29">
        <f t="shared" si="4"/>
        <v>437.71450869197099</v>
      </c>
      <c r="R6" s="28">
        <f t="shared" si="14"/>
        <v>0</v>
      </c>
      <c r="S6" s="28">
        <v>25</v>
      </c>
      <c r="T6" s="28">
        <f t="shared" si="5"/>
        <v>4.8560427292756572E-2</v>
      </c>
      <c r="U6" s="29">
        <f t="shared" si="6"/>
        <v>437.71450869197099</v>
      </c>
      <c r="V6" s="28">
        <f t="shared" si="15"/>
        <v>0</v>
      </c>
      <c r="W6" s="28">
        <v>25</v>
      </c>
      <c r="X6" s="28">
        <f t="shared" si="7"/>
        <v>4.8560427292756572E-2</v>
      </c>
      <c r="Y6" s="29">
        <f t="shared" si="8"/>
        <v>0</v>
      </c>
      <c r="Z6" s="28">
        <f t="shared" ref="Z6:Z17" si="32">V6</f>
        <v>0</v>
      </c>
      <c r="AA6" s="28">
        <v>20</v>
      </c>
      <c r="AB6" s="28"/>
      <c r="AC6" s="29"/>
      <c r="AE6" s="27"/>
      <c r="AF6" s="28"/>
      <c r="AG6" s="28"/>
      <c r="AH6" s="27" t="b">
        <f t="shared" si="9"/>
        <v>1</v>
      </c>
      <c r="AI6" s="42">
        <v>15</v>
      </c>
      <c r="AJ6" s="29">
        <v>4</v>
      </c>
      <c r="AK6" s="27" t="b">
        <f t="shared" si="10"/>
        <v>1</v>
      </c>
      <c r="AL6" s="42">
        <v>15</v>
      </c>
      <c r="AM6" s="29">
        <v>4</v>
      </c>
      <c r="AN6" s="28" t="b">
        <f t="shared" si="11"/>
        <v>1</v>
      </c>
      <c r="AO6" s="42">
        <v>15</v>
      </c>
      <c r="AP6" s="29">
        <v>4</v>
      </c>
      <c r="AR6" s="64">
        <v>6</v>
      </c>
      <c r="AS6" s="28" t="b">
        <f t="shared" si="16"/>
        <v>1</v>
      </c>
      <c r="AT6" s="29" t="s">
        <v>75</v>
      </c>
      <c r="AU6" s="28" t="b">
        <f t="shared" si="17"/>
        <v>1</v>
      </c>
      <c r="AV6" s="194" t="s">
        <v>311</v>
      </c>
      <c r="AX6" s="27" t="b">
        <f t="shared" si="0"/>
        <v>1</v>
      </c>
      <c r="AY6" s="28">
        <v>8</v>
      </c>
      <c r="AZ6" s="29" t="s">
        <v>305</v>
      </c>
      <c r="BA6" s="64"/>
      <c r="BB6" s="28" t="b">
        <f t="shared" si="18"/>
        <v>1</v>
      </c>
      <c r="BC6" s="28">
        <f t="shared" si="19"/>
        <v>1</v>
      </c>
      <c r="BD6" s="28">
        <v>0.02</v>
      </c>
      <c r="BE6" s="28">
        <f t="shared" si="20"/>
        <v>1</v>
      </c>
      <c r="BF6">
        <v>4</v>
      </c>
      <c r="BG6" s="29" t="s">
        <v>330</v>
      </c>
      <c r="BJ6" s="133"/>
      <c r="BK6" s="45"/>
      <c r="BL6" s="139"/>
      <c r="BM6" s="45" t="e">
        <f t="shared" si="21"/>
        <v>#N/A</v>
      </c>
      <c r="BN6" s="114" t="s">
        <v>105</v>
      </c>
      <c r="BO6" s="45">
        <v>25</v>
      </c>
      <c r="BP6" s="64"/>
      <c r="BQ6" s="120" t="b">
        <f t="shared" si="22"/>
        <v>1</v>
      </c>
      <c r="BR6" s="114" t="s">
        <v>105</v>
      </c>
      <c r="BS6" s="45">
        <v>15</v>
      </c>
      <c r="BT6" s="53">
        <v>1.6</v>
      </c>
      <c r="BU6" s="139"/>
      <c r="BV6" s="45" t="b">
        <f t="shared" si="23"/>
        <v>0</v>
      </c>
      <c r="BW6" s="114" t="s">
        <v>132</v>
      </c>
      <c r="BX6" s="45" t="s">
        <v>56</v>
      </c>
      <c r="BY6" s="139"/>
      <c r="BZ6" s="120" t="b">
        <f t="shared" si="24"/>
        <v>0</v>
      </c>
      <c r="CA6" s="114" t="s">
        <v>105</v>
      </c>
      <c r="CB6" s="53">
        <v>25</v>
      </c>
      <c r="CC6" s="139"/>
      <c r="CD6" s="120" t="b">
        <f t="shared" si="25"/>
        <v>0</v>
      </c>
      <c r="CE6" s="114" t="s">
        <v>105</v>
      </c>
      <c r="CF6" s="53">
        <v>25</v>
      </c>
      <c r="CG6" s="139"/>
      <c r="CH6" s="45" t="e">
        <f t="shared" si="26"/>
        <v>#N/A</v>
      </c>
      <c r="CI6" s="114" t="s">
        <v>105</v>
      </c>
      <c r="CJ6" s="45">
        <v>25</v>
      </c>
      <c r="CK6" s="139"/>
      <c r="CL6" s="45" t="e">
        <f t="shared" si="27"/>
        <v>#N/A</v>
      </c>
      <c r="CM6" s="114" t="s">
        <v>105</v>
      </c>
      <c r="CN6" s="45">
        <v>25</v>
      </c>
      <c r="CO6" s="139"/>
      <c r="CP6" s="45" t="b">
        <f t="shared" si="28"/>
        <v>0</v>
      </c>
      <c r="CQ6" s="114" t="s">
        <v>132</v>
      </c>
      <c r="CR6" s="29" t="s">
        <v>304</v>
      </c>
      <c r="CS6" s="139"/>
      <c r="CT6" s="45" t="e">
        <f t="shared" si="29"/>
        <v>#N/A</v>
      </c>
      <c r="CU6" s="193">
        <v>3</v>
      </c>
      <c r="CV6" s="28" t="s">
        <v>75</v>
      </c>
      <c r="CW6" s="193" t="e">
        <f t="shared" si="30"/>
        <v>#N/A</v>
      </c>
      <c r="CX6" s="193">
        <v>3</v>
      </c>
      <c r="CY6" s="194" t="s">
        <v>311</v>
      </c>
      <c r="CZ6" s="64"/>
      <c r="DA6" s="28" t="b">
        <f>IF($B$15=DC6,TRUE,FALSE)</f>
        <v>0</v>
      </c>
      <c r="DB6" s="193">
        <v>2</v>
      </c>
      <c r="DC6" s="68" t="s">
        <v>258</v>
      </c>
      <c r="DD6" s="64"/>
      <c r="DE6" s="139"/>
      <c r="DF6" s="45" t="b">
        <f t="shared" ref="DF6:DF19" si="33">IF($E$9=DH6,TRUE,FALSE)</f>
        <v>0</v>
      </c>
      <c r="DG6" s="114" t="s">
        <v>104</v>
      </c>
      <c r="DH6" s="29" t="s">
        <v>331</v>
      </c>
      <c r="DI6" s="64"/>
      <c r="DJ6" s="45" t="b">
        <f t="shared" si="31"/>
        <v>0</v>
      </c>
      <c r="DK6" s="114" t="s">
        <v>132</v>
      </c>
      <c r="DL6" s="68" t="s">
        <v>56</v>
      </c>
      <c r="DM6" s="64"/>
      <c r="DN6" s="45"/>
      <c r="DO6" s="114"/>
      <c r="DP6" s="53"/>
    </row>
    <row r="7" spans="1:120" x14ac:dyDescent="0.25">
      <c r="A7" s="22" t="s">
        <v>68</v>
      </c>
      <c r="B7" s="24">
        <f>IF(('ОЛ(4)'!N17-B8)&lt;5,B8+5,'ОЛ(4)'!N17)</f>
        <v>5</v>
      </c>
      <c r="C7" s="23" t="s">
        <v>37</v>
      </c>
      <c r="E7" t="s">
        <v>48</v>
      </c>
      <c r="F7">
        <f>VLOOKUP(TRUE,IF(B14="IMI Hydronic",AH4:AJ21,IF(B14="Siemens",AK4:AM22,AN4:AP16)),3,FALSE)</f>
        <v>1.6</v>
      </c>
      <c r="I7" s="27">
        <f t="shared" si="12"/>
        <v>0</v>
      </c>
      <c r="J7" s="28">
        <v>32</v>
      </c>
      <c r="K7" s="28">
        <f t="shared" si="1"/>
        <v>4.4277322004702871E-2</v>
      </c>
      <c r="L7" s="28">
        <f t="shared" si="2"/>
        <v>0</v>
      </c>
      <c r="M7" s="29"/>
      <c r="N7" s="27">
        <f t="shared" si="13"/>
        <v>0</v>
      </c>
      <c r="O7" s="28">
        <v>32</v>
      </c>
      <c r="P7" s="28">
        <f t="shared" si="3"/>
        <v>4.4277322004702871E-2</v>
      </c>
      <c r="Q7" s="29">
        <f t="shared" si="4"/>
        <v>116.1555432405238</v>
      </c>
      <c r="R7" s="28">
        <f t="shared" si="14"/>
        <v>0</v>
      </c>
      <c r="S7" s="28">
        <v>32</v>
      </c>
      <c r="T7" s="28">
        <f t="shared" si="5"/>
        <v>4.4277322004702871E-2</v>
      </c>
      <c r="U7" s="29">
        <f t="shared" si="6"/>
        <v>116.1555432405238</v>
      </c>
      <c r="V7" s="28">
        <f t="shared" si="15"/>
        <v>0</v>
      </c>
      <c r="W7" s="28">
        <v>32</v>
      </c>
      <c r="X7" s="28">
        <f t="shared" si="7"/>
        <v>4.4277322004702871E-2</v>
      </c>
      <c r="Y7" s="29">
        <f t="shared" si="8"/>
        <v>0</v>
      </c>
      <c r="Z7" s="28">
        <f t="shared" si="32"/>
        <v>0</v>
      </c>
      <c r="AA7" s="28">
        <v>25</v>
      </c>
      <c r="AB7" s="28"/>
      <c r="AC7" s="29"/>
      <c r="AE7" s="27"/>
      <c r="AF7" s="28"/>
      <c r="AG7" s="28"/>
      <c r="AH7" s="27" t="b">
        <f t="shared" si="9"/>
        <v>1</v>
      </c>
      <c r="AI7" s="42">
        <v>20</v>
      </c>
      <c r="AJ7" s="29">
        <v>6.3</v>
      </c>
      <c r="AK7" s="27" t="b">
        <f t="shared" si="10"/>
        <v>1</v>
      </c>
      <c r="AL7" s="42">
        <v>20</v>
      </c>
      <c r="AM7" s="29">
        <v>6.3</v>
      </c>
      <c r="AN7" s="28" t="b">
        <f t="shared" si="11"/>
        <v>1</v>
      </c>
      <c r="AO7" s="42">
        <v>20</v>
      </c>
      <c r="AP7" s="29">
        <v>6.3</v>
      </c>
      <c r="AR7" s="64">
        <v>12</v>
      </c>
      <c r="AS7" s="28" t="b">
        <f t="shared" si="16"/>
        <v>1</v>
      </c>
      <c r="AT7" s="29" t="s">
        <v>76</v>
      </c>
      <c r="AU7" s="28" t="b">
        <f t="shared" si="17"/>
        <v>1</v>
      </c>
      <c r="AV7" s="194" t="s">
        <v>312</v>
      </c>
      <c r="AX7" s="27" t="b">
        <f t="shared" si="0"/>
        <v>1</v>
      </c>
      <c r="AY7" s="28">
        <v>14</v>
      </c>
      <c r="AZ7" s="29" t="s">
        <v>306</v>
      </c>
      <c r="BA7" s="64"/>
      <c r="BB7" s="28" t="b">
        <f t="shared" si="18"/>
        <v>0</v>
      </c>
      <c r="BC7" s="28">
        <f t="shared" si="19"/>
        <v>1</v>
      </c>
      <c r="BD7" s="42">
        <v>0.03</v>
      </c>
      <c r="BE7" s="28">
        <f t="shared" si="20"/>
        <v>0</v>
      </c>
      <c r="BF7">
        <v>2</v>
      </c>
      <c r="BG7" s="29" t="s">
        <v>329</v>
      </c>
      <c r="BJ7" s="133"/>
      <c r="BK7" s="45"/>
      <c r="BL7" s="139"/>
      <c r="BM7" s="45" t="e">
        <f t="shared" si="21"/>
        <v>#N/A</v>
      </c>
      <c r="BN7" s="114" t="s">
        <v>106</v>
      </c>
      <c r="BO7" s="45">
        <v>32</v>
      </c>
      <c r="BP7" s="64"/>
      <c r="BQ7" s="120" t="b">
        <f t="shared" si="22"/>
        <v>0</v>
      </c>
      <c r="BR7" s="114" t="s">
        <v>106</v>
      </c>
      <c r="BS7" s="45">
        <v>15</v>
      </c>
      <c r="BT7" s="53">
        <v>2.5</v>
      </c>
      <c r="BU7" s="139"/>
      <c r="BV7" s="45"/>
      <c r="BW7" s="114"/>
      <c r="BX7" s="45"/>
      <c r="BY7" s="139"/>
      <c r="BZ7" s="120" t="b">
        <f t="shared" si="24"/>
        <v>0</v>
      </c>
      <c r="CA7" s="114" t="s">
        <v>106</v>
      </c>
      <c r="CB7" s="53">
        <v>32</v>
      </c>
      <c r="CC7" s="139"/>
      <c r="CD7" s="120" t="b">
        <f t="shared" si="25"/>
        <v>0</v>
      </c>
      <c r="CE7" s="114" t="s">
        <v>106</v>
      </c>
      <c r="CF7" s="53">
        <v>32</v>
      </c>
      <c r="CG7" s="139"/>
      <c r="CH7" s="45" t="e">
        <f t="shared" si="26"/>
        <v>#N/A</v>
      </c>
      <c r="CI7" s="114" t="s">
        <v>106</v>
      </c>
      <c r="CJ7" s="45">
        <v>32</v>
      </c>
      <c r="CK7" s="139"/>
      <c r="CL7" s="45" t="e">
        <f t="shared" si="27"/>
        <v>#N/A</v>
      </c>
      <c r="CM7" s="114" t="s">
        <v>106</v>
      </c>
      <c r="CN7" s="45">
        <v>32</v>
      </c>
      <c r="CO7" s="139"/>
      <c r="CP7" s="45" t="b">
        <f t="shared" si="28"/>
        <v>0</v>
      </c>
      <c r="CQ7" s="114" t="s">
        <v>226</v>
      </c>
      <c r="CR7" s="29" t="s">
        <v>305</v>
      </c>
      <c r="CS7" s="139"/>
      <c r="CT7" s="45" t="e">
        <f>IF($E$24=CV7,TRUE,FALSE)</f>
        <v>#N/A</v>
      </c>
      <c r="CU7" s="68">
        <v>4</v>
      </c>
      <c r="CV7" s="28" t="s">
        <v>76</v>
      </c>
      <c r="CW7" s="193" t="e">
        <f t="shared" si="30"/>
        <v>#N/A</v>
      </c>
      <c r="CX7" s="68">
        <v>4</v>
      </c>
      <c r="CY7" s="194" t="s">
        <v>312</v>
      </c>
      <c r="CZ7" s="64"/>
      <c r="DA7" s="28"/>
      <c r="DB7" s="193"/>
      <c r="DD7" s="64"/>
      <c r="DE7" s="139"/>
      <c r="DF7" s="45" t="b">
        <f t="shared" si="33"/>
        <v>1</v>
      </c>
      <c r="DG7" s="114" t="s">
        <v>105</v>
      </c>
      <c r="DH7" s="29" t="s">
        <v>330</v>
      </c>
      <c r="DI7" s="64"/>
      <c r="DJ7" s="45"/>
      <c r="DK7" s="28"/>
      <c r="DL7" s="28"/>
      <c r="DM7" s="64"/>
      <c r="DN7" s="45"/>
      <c r="DO7" s="114"/>
      <c r="DP7" s="135"/>
    </row>
    <row r="8" spans="1:120" x14ac:dyDescent="0.25">
      <c r="A8" s="22" t="s">
        <v>69</v>
      </c>
      <c r="B8" s="24">
        <f>'ОЛ(4)'!R17</f>
        <v>0</v>
      </c>
      <c r="C8" s="23" t="s">
        <v>37</v>
      </c>
      <c r="E8" s="44" t="s">
        <v>53</v>
      </c>
      <c r="F8" s="25">
        <f>(F4^2/F7^2)*10</f>
        <v>0</v>
      </c>
      <c r="I8" s="27">
        <f t="shared" si="12"/>
        <v>0</v>
      </c>
      <c r="J8" s="28">
        <v>40</v>
      </c>
      <c r="K8" s="28">
        <f t="shared" si="1"/>
        <v>4.0875226338606248E-2</v>
      </c>
      <c r="L8" s="28">
        <f t="shared" si="2"/>
        <v>0</v>
      </c>
      <c r="M8" s="29"/>
      <c r="N8" s="27">
        <f t="shared" si="13"/>
        <v>0</v>
      </c>
      <c r="O8" s="28">
        <v>40</v>
      </c>
      <c r="P8" s="28">
        <f t="shared" si="3"/>
        <v>4.0875226338606248E-2</v>
      </c>
      <c r="Q8" s="29">
        <f t="shared" si="4"/>
        <v>35.137325342770062</v>
      </c>
      <c r="R8" s="28">
        <f t="shared" si="14"/>
        <v>0</v>
      </c>
      <c r="S8" s="28">
        <v>40</v>
      </c>
      <c r="T8" s="28">
        <f t="shared" si="5"/>
        <v>4.0875226338606248E-2</v>
      </c>
      <c r="U8" s="29">
        <f t="shared" si="6"/>
        <v>35.137325342770062</v>
      </c>
      <c r="V8" s="28">
        <f t="shared" si="15"/>
        <v>0</v>
      </c>
      <c r="W8" s="28">
        <v>40</v>
      </c>
      <c r="X8" s="28">
        <f t="shared" si="7"/>
        <v>4.0875226338606248E-2</v>
      </c>
      <c r="Y8" s="29">
        <f t="shared" si="8"/>
        <v>0</v>
      </c>
      <c r="Z8" s="28">
        <f t="shared" si="32"/>
        <v>0</v>
      </c>
      <c r="AA8" s="28">
        <v>32</v>
      </c>
      <c r="AB8" s="28"/>
      <c r="AC8" s="29"/>
      <c r="AE8" s="41"/>
      <c r="AF8" s="28"/>
      <c r="AG8" s="43"/>
      <c r="AH8" s="27" t="b">
        <f t="shared" si="9"/>
        <v>1</v>
      </c>
      <c r="AI8" s="42">
        <v>25</v>
      </c>
      <c r="AJ8" s="29">
        <v>10</v>
      </c>
      <c r="AK8" s="27" t="b">
        <f t="shared" si="10"/>
        <v>1</v>
      </c>
      <c r="AL8" s="42">
        <v>25</v>
      </c>
      <c r="AM8" s="29">
        <v>10</v>
      </c>
      <c r="AN8" s="28" t="b">
        <f t="shared" si="11"/>
        <v>1</v>
      </c>
      <c r="AO8" s="42">
        <v>25</v>
      </c>
      <c r="AP8" s="29">
        <v>10</v>
      </c>
      <c r="AR8" s="64"/>
      <c r="AS8" s="45"/>
      <c r="AT8" s="29"/>
      <c r="AU8" s="28"/>
      <c r="AV8" s="29"/>
      <c r="AX8" s="27" t="b">
        <f>IF($F$17&lt;AY8,TRUE,FALSE)</f>
        <v>1</v>
      </c>
      <c r="AY8" s="28">
        <v>20</v>
      </c>
      <c r="AZ8" s="29" t="s">
        <v>307</v>
      </c>
      <c r="BA8" s="64"/>
      <c r="BB8" s="28" t="b">
        <f t="shared" si="18"/>
        <v>1</v>
      </c>
      <c r="BC8" s="28">
        <f t="shared" si="19"/>
        <v>1</v>
      </c>
      <c r="BD8" s="42">
        <v>0.03</v>
      </c>
      <c r="BE8" s="28">
        <f t="shared" si="20"/>
        <v>1</v>
      </c>
      <c r="BF8">
        <v>6</v>
      </c>
      <c r="BG8" s="29" t="s">
        <v>330</v>
      </c>
      <c r="BJ8" s="133"/>
      <c r="BK8" s="45"/>
      <c r="BL8" s="139"/>
      <c r="BM8" s="45" t="e">
        <f t="shared" si="21"/>
        <v>#N/A</v>
      </c>
      <c r="BN8" s="114" t="s">
        <v>107</v>
      </c>
      <c r="BO8" s="45">
        <v>40</v>
      </c>
      <c r="BP8" s="64"/>
      <c r="BQ8" s="120" t="b">
        <f t="shared" si="22"/>
        <v>0</v>
      </c>
      <c r="BR8" s="114" t="s">
        <v>107</v>
      </c>
      <c r="BS8" s="45">
        <v>15</v>
      </c>
      <c r="BT8" s="53">
        <v>4</v>
      </c>
      <c r="BU8" s="139"/>
      <c r="BV8" s="45"/>
      <c r="BW8" s="114"/>
      <c r="BX8" s="45"/>
      <c r="BY8" s="139"/>
      <c r="BZ8" s="120" t="b">
        <f t="shared" si="24"/>
        <v>0</v>
      </c>
      <c r="CA8" s="114" t="s">
        <v>107</v>
      </c>
      <c r="CB8" s="53">
        <v>40</v>
      </c>
      <c r="CC8" s="139"/>
      <c r="CD8" s="120" t="b">
        <f t="shared" si="25"/>
        <v>0</v>
      </c>
      <c r="CE8" s="114" t="s">
        <v>107</v>
      </c>
      <c r="CF8" s="53">
        <v>40</v>
      </c>
      <c r="CG8" s="139"/>
      <c r="CH8" s="45" t="e">
        <f t="shared" si="26"/>
        <v>#N/A</v>
      </c>
      <c r="CI8" s="114" t="s">
        <v>107</v>
      </c>
      <c r="CJ8" s="45">
        <v>40</v>
      </c>
      <c r="CK8" s="139"/>
      <c r="CL8" s="45" t="e">
        <f t="shared" si="27"/>
        <v>#N/A</v>
      </c>
      <c r="CM8" s="114" t="s">
        <v>107</v>
      </c>
      <c r="CN8" s="45">
        <v>40</v>
      </c>
      <c r="CO8" s="139"/>
      <c r="CP8" s="45" t="b">
        <f t="shared" si="28"/>
        <v>0</v>
      </c>
      <c r="CQ8" s="114" t="s">
        <v>227</v>
      </c>
      <c r="CR8" s="29" t="s">
        <v>306</v>
      </c>
      <c r="CS8" s="139"/>
      <c r="CT8" s="45"/>
      <c r="CU8" s="68"/>
      <c r="CV8" s="193"/>
      <c r="CW8" s="193"/>
      <c r="CX8" s="68"/>
      <c r="CY8" s="193"/>
      <c r="CZ8" s="64"/>
      <c r="DD8" s="64"/>
      <c r="DE8" s="139"/>
      <c r="DF8" s="45" t="b">
        <f t="shared" si="33"/>
        <v>0</v>
      </c>
      <c r="DG8" s="114" t="s">
        <v>106</v>
      </c>
      <c r="DH8" s="29" t="s">
        <v>333</v>
      </c>
      <c r="DI8" s="64"/>
      <c r="DJ8" s="45"/>
      <c r="DK8" s="114"/>
      <c r="DL8" s="45"/>
      <c r="DM8" s="64"/>
      <c r="DN8" s="45"/>
      <c r="DO8" s="114"/>
      <c r="DP8" s="53"/>
    </row>
    <row r="9" spans="1:120" ht="15.75" thickBot="1" x14ac:dyDescent="0.3">
      <c r="A9" s="22" t="s">
        <v>34</v>
      </c>
      <c r="B9" s="24">
        <f>'ОЛ(4)'!W13*100</f>
        <v>60</v>
      </c>
      <c r="C9" s="23" t="s">
        <v>38</v>
      </c>
      <c r="E9" s="232" t="str">
        <f>VLOOKUP(TRUE,BB4:BG93,6,FALSE)</f>
        <v>НН14-16/1</v>
      </c>
      <c r="F9" s="232"/>
      <c r="I9" s="27">
        <f t="shared" si="12"/>
        <v>0</v>
      </c>
      <c r="J9" s="28">
        <v>50</v>
      </c>
      <c r="K9" s="28">
        <f t="shared" si="1"/>
        <v>3.7850686611455138E-2</v>
      </c>
      <c r="L9" s="28">
        <f t="shared" si="2"/>
        <v>0</v>
      </c>
      <c r="M9" s="29"/>
      <c r="N9" s="27">
        <f t="shared" si="13"/>
        <v>1</v>
      </c>
      <c r="O9" s="28">
        <v>50</v>
      </c>
      <c r="P9" s="28">
        <f t="shared" si="3"/>
        <v>3.7850686611455138E-2</v>
      </c>
      <c r="Q9" s="29">
        <f t="shared" si="4"/>
        <v>10.661841607354788</v>
      </c>
      <c r="R9" s="28">
        <f t="shared" si="14"/>
        <v>1</v>
      </c>
      <c r="S9" s="28">
        <v>50</v>
      </c>
      <c r="T9" s="28">
        <f t="shared" si="5"/>
        <v>3.7850686611455138E-2</v>
      </c>
      <c r="U9" s="29">
        <f t="shared" si="6"/>
        <v>10.661841607354788</v>
      </c>
      <c r="V9" s="28">
        <f t="shared" si="15"/>
        <v>0</v>
      </c>
      <c r="W9" s="28">
        <v>50</v>
      </c>
      <c r="X9" s="28">
        <f t="shared" si="7"/>
        <v>3.7850686611455138E-2</v>
      </c>
      <c r="Y9" s="29">
        <f t="shared" si="8"/>
        <v>0</v>
      </c>
      <c r="Z9" s="28">
        <f t="shared" si="32"/>
        <v>0</v>
      </c>
      <c r="AA9" s="28">
        <v>40</v>
      </c>
      <c r="AB9" s="28"/>
      <c r="AC9" s="29"/>
      <c r="AE9" s="41"/>
      <c r="AF9" s="43"/>
      <c r="AG9" s="28"/>
      <c r="AH9" s="27" t="b">
        <f t="shared" si="9"/>
        <v>1</v>
      </c>
      <c r="AI9" s="42">
        <v>32</v>
      </c>
      <c r="AJ9" s="29">
        <v>16</v>
      </c>
      <c r="AK9" s="27" t="b">
        <f t="shared" si="10"/>
        <v>1</v>
      </c>
      <c r="AL9" s="42">
        <v>32</v>
      </c>
      <c r="AM9" s="29">
        <v>16</v>
      </c>
      <c r="AN9" s="28" t="b">
        <f t="shared" si="11"/>
        <v>1</v>
      </c>
      <c r="AO9" s="42">
        <v>32</v>
      </c>
      <c r="AP9" s="29">
        <v>16</v>
      </c>
      <c r="AR9" s="64"/>
      <c r="AS9" s="45"/>
      <c r="AT9" s="29"/>
      <c r="AU9" s="28"/>
      <c r="AV9" s="29"/>
      <c r="AX9" s="31"/>
      <c r="AY9" s="33"/>
      <c r="AZ9" s="34"/>
      <c r="BB9" s="28" t="b">
        <f t="shared" si="18"/>
        <v>0</v>
      </c>
      <c r="BC9" s="28">
        <f t="shared" si="19"/>
        <v>1</v>
      </c>
      <c r="BD9" s="42">
        <v>0.04</v>
      </c>
      <c r="BE9" s="28">
        <f t="shared" si="20"/>
        <v>0</v>
      </c>
      <c r="BF9" s="28">
        <v>1.88</v>
      </c>
      <c r="BG9" s="29" t="s">
        <v>329</v>
      </c>
      <c r="BJ9" s="133"/>
      <c r="BK9" s="45"/>
      <c r="BL9" s="139"/>
      <c r="BM9" s="45" t="e">
        <f t="shared" si="21"/>
        <v>#N/A</v>
      </c>
      <c r="BN9" s="114" t="s">
        <v>108</v>
      </c>
      <c r="BO9" s="45">
        <v>50</v>
      </c>
      <c r="BP9" s="64"/>
      <c r="BQ9" s="120" t="b">
        <f t="shared" si="22"/>
        <v>0</v>
      </c>
      <c r="BR9" s="114" t="s">
        <v>108</v>
      </c>
      <c r="BS9" s="45">
        <v>20</v>
      </c>
      <c r="BT9" s="53">
        <v>5</v>
      </c>
      <c r="BU9" s="139"/>
      <c r="BV9" s="45"/>
      <c r="BW9" s="114"/>
      <c r="BX9" s="45"/>
      <c r="BY9" s="139"/>
      <c r="BZ9" s="120" t="b">
        <f t="shared" si="24"/>
        <v>1</v>
      </c>
      <c r="CA9" s="114" t="s">
        <v>108</v>
      </c>
      <c r="CB9" s="53">
        <v>50</v>
      </c>
      <c r="CC9" s="139"/>
      <c r="CD9" s="120" t="b">
        <f t="shared" si="25"/>
        <v>1</v>
      </c>
      <c r="CE9" s="114" t="s">
        <v>108</v>
      </c>
      <c r="CF9" s="53">
        <v>50</v>
      </c>
      <c r="CG9" s="139"/>
      <c r="CH9" s="45" t="e">
        <f t="shared" si="26"/>
        <v>#N/A</v>
      </c>
      <c r="CI9" s="114" t="s">
        <v>108</v>
      </c>
      <c r="CJ9" s="45">
        <v>50</v>
      </c>
      <c r="CK9" s="139"/>
      <c r="CL9" s="45" t="e">
        <f t="shared" si="27"/>
        <v>#N/A</v>
      </c>
      <c r="CM9" s="114" t="s">
        <v>108</v>
      </c>
      <c r="CN9" s="45">
        <v>50</v>
      </c>
      <c r="CO9" s="139"/>
      <c r="CP9" s="45" t="b">
        <f t="shared" si="28"/>
        <v>0</v>
      </c>
      <c r="CQ9" s="114" t="s">
        <v>296</v>
      </c>
      <c r="CR9" s="29" t="s">
        <v>307</v>
      </c>
      <c r="CS9" s="139"/>
      <c r="CT9" s="45"/>
      <c r="CU9" s="68"/>
      <c r="CV9" s="193"/>
      <c r="CW9" s="193"/>
      <c r="CX9" s="68"/>
      <c r="CY9" s="193"/>
      <c r="CZ9" s="64"/>
      <c r="DA9" s="28"/>
      <c r="DB9" s="28"/>
      <c r="DC9" s="28"/>
      <c r="DD9" s="64"/>
      <c r="DE9" s="139"/>
      <c r="DF9" s="45" t="b">
        <f t="shared" si="33"/>
        <v>0</v>
      </c>
      <c r="DG9" s="114" t="s">
        <v>107</v>
      </c>
      <c r="DH9" s="29" t="s">
        <v>314</v>
      </c>
      <c r="DI9" s="64"/>
      <c r="DJ9" s="45"/>
      <c r="DK9" s="114"/>
      <c r="DL9" s="45"/>
      <c r="DM9" s="64"/>
      <c r="DN9" s="45"/>
      <c r="DO9" s="114"/>
      <c r="DP9" s="53"/>
    </row>
    <row r="10" spans="1:120" x14ac:dyDescent="0.25">
      <c r="A10" s="22" t="s">
        <v>35</v>
      </c>
      <c r="B10" s="24">
        <f>'ОЛ(4)'!AC13*100</f>
        <v>40</v>
      </c>
      <c r="C10" s="23" t="s">
        <v>38</v>
      </c>
      <c r="I10" s="27">
        <f t="shared" si="12"/>
        <v>0</v>
      </c>
      <c r="J10" s="28">
        <v>65</v>
      </c>
      <c r="K10" s="28">
        <f t="shared" si="1"/>
        <v>3.4705101432211748E-2</v>
      </c>
      <c r="L10" s="28">
        <f t="shared" si="2"/>
        <v>0</v>
      </c>
      <c r="M10" s="29"/>
      <c r="N10" s="27">
        <f t="shared" si="13"/>
        <v>0</v>
      </c>
      <c r="O10" s="28">
        <v>65</v>
      </c>
      <c r="P10" s="28">
        <f t="shared" si="3"/>
        <v>3.4705101432211748E-2</v>
      </c>
      <c r="Q10" s="29">
        <f t="shared" si="4"/>
        <v>2.6329039790459161</v>
      </c>
      <c r="R10" s="28">
        <f t="shared" si="14"/>
        <v>0</v>
      </c>
      <c r="S10" s="28">
        <v>65</v>
      </c>
      <c r="T10" s="28">
        <f t="shared" si="5"/>
        <v>3.4705101432211748E-2</v>
      </c>
      <c r="U10" s="29">
        <f t="shared" si="6"/>
        <v>2.6329039790459161</v>
      </c>
      <c r="V10" s="28">
        <f t="shared" si="15"/>
        <v>0</v>
      </c>
      <c r="W10" s="28">
        <v>65</v>
      </c>
      <c r="X10" s="28">
        <f t="shared" si="7"/>
        <v>3.4705101432211748E-2</v>
      </c>
      <c r="Y10" s="29">
        <f t="shared" si="8"/>
        <v>0</v>
      </c>
      <c r="Z10" s="28">
        <f t="shared" si="32"/>
        <v>0</v>
      </c>
      <c r="AA10" s="28">
        <v>50</v>
      </c>
      <c r="AB10" s="28"/>
      <c r="AC10" s="29"/>
      <c r="AE10" s="27"/>
      <c r="AF10" s="28"/>
      <c r="AG10" s="28"/>
      <c r="AH10" s="27" t="b">
        <f t="shared" si="9"/>
        <v>1</v>
      </c>
      <c r="AI10" s="42">
        <v>40</v>
      </c>
      <c r="AJ10" s="29">
        <v>20</v>
      </c>
      <c r="AK10" s="27" t="b">
        <f t="shared" si="10"/>
        <v>1</v>
      </c>
      <c r="AL10" s="42">
        <v>40</v>
      </c>
      <c r="AM10" s="29">
        <v>25</v>
      </c>
      <c r="AN10" s="28" t="b">
        <f t="shared" si="11"/>
        <v>1</v>
      </c>
      <c r="AO10" s="42">
        <v>40</v>
      </c>
      <c r="AP10" s="29">
        <v>25</v>
      </c>
      <c r="AR10" s="64"/>
      <c r="AS10" s="45"/>
      <c r="AT10" s="29"/>
      <c r="AU10" s="28"/>
      <c r="AV10" s="29"/>
      <c r="BA10" s="29"/>
      <c r="BB10" s="28" t="b">
        <f t="shared" si="18"/>
        <v>1</v>
      </c>
      <c r="BC10" s="28">
        <f t="shared" si="19"/>
        <v>1</v>
      </c>
      <c r="BD10" s="42">
        <v>0.04</v>
      </c>
      <c r="BE10" s="28">
        <f t="shared" si="20"/>
        <v>1</v>
      </c>
      <c r="BF10" s="42">
        <v>8</v>
      </c>
      <c r="BG10" s="29" t="s">
        <v>330</v>
      </c>
      <c r="BJ10" s="133"/>
      <c r="BK10" s="45"/>
      <c r="BL10" s="139"/>
      <c r="BM10" s="45" t="e">
        <f t="shared" si="21"/>
        <v>#N/A</v>
      </c>
      <c r="BN10" s="114" t="s">
        <v>109</v>
      </c>
      <c r="BO10" s="45">
        <v>65</v>
      </c>
      <c r="BP10" s="64"/>
      <c r="BQ10" s="120" t="b">
        <f t="shared" si="22"/>
        <v>0</v>
      </c>
      <c r="BR10" s="114" t="s">
        <v>109</v>
      </c>
      <c r="BS10" s="45">
        <v>20</v>
      </c>
      <c r="BT10" s="53">
        <v>6.3</v>
      </c>
      <c r="BU10" s="139"/>
      <c r="BV10" s="45"/>
      <c r="BW10" s="114"/>
      <c r="BX10" s="45"/>
      <c r="BY10" s="139"/>
      <c r="BZ10" s="120" t="b">
        <f t="shared" si="24"/>
        <v>0</v>
      </c>
      <c r="CA10" s="114" t="s">
        <v>109</v>
      </c>
      <c r="CB10" s="53">
        <v>65</v>
      </c>
      <c r="CC10" s="139"/>
      <c r="CD10" s="120" t="b">
        <f t="shared" si="25"/>
        <v>0</v>
      </c>
      <c r="CE10" s="114" t="s">
        <v>109</v>
      </c>
      <c r="CF10" s="53">
        <v>65</v>
      </c>
      <c r="CG10" s="139"/>
      <c r="CH10" s="45" t="e">
        <f t="shared" si="26"/>
        <v>#N/A</v>
      </c>
      <c r="CI10" s="114" t="s">
        <v>109</v>
      </c>
      <c r="CJ10" s="45">
        <v>65</v>
      </c>
      <c r="CK10" s="139"/>
      <c r="CL10" s="45" t="e">
        <f t="shared" si="27"/>
        <v>#N/A</v>
      </c>
      <c r="CM10" s="114" t="s">
        <v>109</v>
      </c>
      <c r="CN10" s="45">
        <v>65</v>
      </c>
      <c r="CO10" s="139"/>
      <c r="CP10" s="45"/>
      <c r="CQ10" s="114"/>
      <c r="CR10" s="45"/>
      <c r="CS10" s="139"/>
      <c r="CT10" s="45"/>
      <c r="CU10" s="68"/>
      <c r="CV10" s="193"/>
      <c r="CW10" s="193"/>
      <c r="CX10" s="68"/>
      <c r="CY10" s="193"/>
      <c r="CZ10" s="64"/>
      <c r="DD10" s="64"/>
      <c r="DE10" s="139"/>
      <c r="DF10" s="45" t="b">
        <f t="shared" si="33"/>
        <v>0</v>
      </c>
      <c r="DG10" s="114" t="s">
        <v>108</v>
      </c>
      <c r="DH10" s="29" t="s">
        <v>315</v>
      </c>
      <c r="DI10" s="64"/>
      <c r="DJ10" s="45"/>
      <c r="DK10" s="114"/>
      <c r="DL10" s="45"/>
      <c r="DM10" s="64"/>
      <c r="DN10" s="45"/>
      <c r="DO10" s="114"/>
      <c r="DP10" s="53"/>
    </row>
    <row r="11" spans="1:120" ht="15.75" thickBot="1" x14ac:dyDescent="0.3">
      <c r="A11" s="26" t="s">
        <v>50</v>
      </c>
      <c r="B11">
        <f>B9-B10</f>
        <v>20</v>
      </c>
      <c r="C11" s="23" t="s">
        <v>38</v>
      </c>
      <c r="E11" t="s">
        <v>78</v>
      </c>
      <c r="F11" s="25">
        <f>'БОВ (1)'!F4+'БОВ (2)'!F4+'БОВ (3)'!F4</f>
        <v>3.6363636363636362</v>
      </c>
      <c r="I11" s="27">
        <f t="shared" si="12"/>
        <v>0</v>
      </c>
      <c r="J11" s="28">
        <v>80</v>
      </c>
      <c r="K11" s="28">
        <f t="shared" si="1"/>
        <v>3.248549788373601E-2</v>
      </c>
      <c r="L11" s="28">
        <f t="shared" si="2"/>
        <v>0</v>
      </c>
      <c r="M11" s="29"/>
      <c r="N11" s="27">
        <f t="shared" si="13"/>
        <v>0</v>
      </c>
      <c r="O11" s="28">
        <v>80</v>
      </c>
      <c r="P11" s="28">
        <f t="shared" si="3"/>
        <v>3.248549788373601E-2</v>
      </c>
      <c r="Q11" s="29">
        <f t="shared" si="4"/>
        <v>0.87266604547872617</v>
      </c>
      <c r="R11" s="28">
        <f t="shared" si="14"/>
        <v>0</v>
      </c>
      <c r="S11" s="28">
        <v>80</v>
      </c>
      <c r="T11" s="28">
        <f t="shared" si="5"/>
        <v>3.248549788373601E-2</v>
      </c>
      <c r="U11" s="29">
        <f t="shared" si="6"/>
        <v>0.87266604547872617</v>
      </c>
      <c r="V11" s="28">
        <f t="shared" si="15"/>
        <v>0</v>
      </c>
      <c r="W11" s="28">
        <v>80</v>
      </c>
      <c r="X11" s="28">
        <f t="shared" si="7"/>
        <v>3.248549788373601E-2</v>
      </c>
      <c r="Y11" s="29">
        <f t="shared" si="8"/>
        <v>0</v>
      </c>
      <c r="Z11" s="28">
        <f t="shared" si="32"/>
        <v>0</v>
      </c>
      <c r="AA11" s="28">
        <v>65</v>
      </c>
      <c r="AB11" s="28"/>
      <c r="AC11" s="29"/>
      <c r="AE11" s="27"/>
      <c r="AF11" s="28"/>
      <c r="AG11" s="43"/>
      <c r="AH11" s="27" t="b">
        <f t="shared" si="9"/>
        <v>1</v>
      </c>
      <c r="AI11" s="42">
        <v>40</v>
      </c>
      <c r="AJ11" s="29">
        <v>25</v>
      </c>
      <c r="AK11" s="27" t="b">
        <f t="shared" si="10"/>
        <v>1</v>
      </c>
      <c r="AL11" s="42">
        <v>50</v>
      </c>
      <c r="AM11" s="49">
        <v>31.5</v>
      </c>
      <c r="AN11" s="28" t="b">
        <f t="shared" si="11"/>
        <v>1</v>
      </c>
      <c r="AO11" s="42">
        <v>50</v>
      </c>
      <c r="AP11" s="29">
        <v>40</v>
      </c>
      <c r="AR11" s="65"/>
      <c r="AS11" s="52"/>
      <c r="AT11" s="34"/>
      <c r="AU11" s="33"/>
      <c r="AV11" s="34"/>
      <c r="BA11" s="29"/>
      <c r="BB11" s="28" t="b">
        <f t="shared" si="18"/>
        <v>0</v>
      </c>
      <c r="BC11" s="28">
        <f t="shared" si="19"/>
        <v>1</v>
      </c>
      <c r="BD11" s="42">
        <v>0.05</v>
      </c>
      <c r="BE11" s="28">
        <f t="shared" si="20"/>
        <v>0</v>
      </c>
      <c r="BF11" s="42">
        <v>2</v>
      </c>
      <c r="BG11" s="29" t="s">
        <v>329</v>
      </c>
      <c r="BJ11" s="133"/>
      <c r="BK11" s="45"/>
      <c r="BL11" s="139"/>
      <c r="BM11" s="45" t="e">
        <f t="shared" si="21"/>
        <v>#N/A</v>
      </c>
      <c r="BN11" s="114" t="s">
        <v>110</v>
      </c>
      <c r="BO11" s="45">
        <v>80</v>
      </c>
      <c r="BP11" s="64"/>
      <c r="BQ11" s="120" t="b">
        <f t="shared" si="22"/>
        <v>0</v>
      </c>
      <c r="BR11" s="114" t="s">
        <v>110</v>
      </c>
      <c r="BS11" s="45">
        <v>25</v>
      </c>
      <c r="BT11" s="53">
        <v>8</v>
      </c>
      <c r="BU11" s="139"/>
      <c r="BV11" s="45"/>
      <c r="BW11" s="114"/>
      <c r="BX11" s="45"/>
      <c r="BY11" s="139"/>
      <c r="BZ11" s="120" t="b">
        <f t="shared" si="24"/>
        <v>0</v>
      </c>
      <c r="CA11" s="114" t="s">
        <v>110</v>
      </c>
      <c r="CB11" s="53">
        <v>80</v>
      </c>
      <c r="CC11" s="139"/>
      <c r="CD11" s="120" t="b">
        <f t="shared" si="25"/>
        <v>0</v>
      </c>
      <c r="CE11" s="114" t="s">
        <v>110</v>
      </c>
      <c r="CF11" s="53">
        <v>80</v>
      </c>
      <c r="CG11" s="139"/>
      <c r="CH11" s="45" t="e">
        <f t="shared" si="26"/>
        <v>#N/A</v>
      </c>
      <c r="CI11" s="114" t="s">
        <v>110</v>
      </c>
      <c r="CJ11" s="45">
        <v>80</v>
      </c>
      <c r="CK11" s="139"/>
      <c r="CL11" s="45" t="e">
        <f t="shared" si="27"/>
        <v>#N/A</v>
      </c>
      <c r="CM11" s="114" t="s">
        <v>110</v>
      </c>
      <c r="CN11" s="45">
        <v>80</v>
      </c>
      <c r="CO11" s="139"/>
      <c r="CP11" s="45"/>
      <c r="CQ11" s="114"/>
      <c r="CR11" s="45"/>
      <c r="CS11" s="139"/>
      <c r="CT11" s="45"/>
      <c r="CU11" s="68"/>
      <c r="CV11" s="193"/>
      <c r="CW11" s="193"/>
      <c r="CX11" s="193"/>
      <c r="CY11" s="193"/>
      <c r="CZ11" s="64"/>
      <c r="DD11" s="64"/>
      <c r="DE11" s="139"/>
      <c r="DF11" s="45" t="b">
        <f t="shared" si="33"/>
        <v>0</v>
      </c>
      <c r="DG11" s="114" t="s">
        <v>109</v>
      </c>
      <c r="DH11" s="29" t="s">
        <v>316</v>
      </c>
      <c r="DI11" s="64"/>
      <c r="DJ11" s="45"/>
      <c r="DK11" s="114"/>
      <c r="DL11" s="45"/>
      <c r="DM11" s="64"/>
      <c r="DN11" s="45"/>
      <c r="DO11" s="114"/>
      <c r="DP11" s="53"/>
    </row>
    <row r="12" spans="1:120" x14ac:dyDescent="0.25">
      <c r="E12" t="s">
        <v>79</v>
      </c>
      <c r="F12">
        <f>VLOOKUP(1,N4:Q17,2,FALSE)</f>
        <v>50</v>
      </c>
      <c r="I12" s="27">
        <f t="shared" si="12"/>
        <v>0</v>
      </c>
      <c r="J12" s="28">
        <v>100</v>
      </c>
      <c r="K12" s="28">
        <f t="shared" si="1"/>
        <v>3.0329450982592862E-2</v>
      </c>
      <c r="L12" s="28">
        <f t="shared" si="2"/>
        <v>0</v>
      </c>
      <c r="M12" s="29"/>
      <c r="N12" s="27">
        <f t="shared" si="13"/>
        <v>0</v>
      </c>
      <c r="O12" s="28">
        <v>100</v>
      </c>
      <c r="P12" s="28">
        <f t="shared" si="3"/>
        <v>3.0329450982592862E-2</v>
      </c>
      <c r="Q12" s="29">
        <f t="shared" si="4"/>
        <v>0.26697649977088861</v>
      </c>
      <c r="R12" s="28">
        <f t="shared" si="14"/>
        <v>0</v>
      </c>
      <c r="S12" s="28">
        <v>100</v>
      </c>
      <c r="T12" s="28">
        <f t="shared" si="5"/>
        <v>3.0329450982592862E-2</v>
      </c>
      <c r="U12" s="29">
        <f t="shared" si="6"/>
        <v>0.26697649977088861</v>
      </c>
      <c r="V12" s="28">
        <f t="shared" si="15"/>
        <v>0</v>
      </c>
      <c r="W12" s="28">
        <v>100</v>
      </c>
      <c r="X12" s="28">
        <f t="shared" si="7"/>
        <v>3.0329450982592862E-2</v>
      </c>
      <c r="Y12" s="29">
        <f t="shared" si="8"/>
        <v>0</v>
      </c>
      <c r="Z12" s="28">
        <f t="shared" si="32"/>
        <v>0</v>
      </c>
      <c r="AA12" s="28">
        <v>80</v>
      </c>
      <c r="AB12" s="28"/>
      <c r="AC12" s="29"/>
      <c r="AE12" s="41"/>
      <c r="AF12" s="28"/>
      <c r="AG12" s="28"/>
      <c r="AH12" s="27" t="b">
        <f t="shared" si="9"/>
        <v>1</v>
      </c>
      <c r="AI12" s="42">
        <v>50</v>
      </c>
      <c r="AJ12" s="29">
        <v>31.5</v>
      </c>
      <c r="AK12" s="27" t="b">
        <f t="shared" si="10"/>
        <v>1</v>
      </c>
      <c r="AL12" s="42">
        <v>50</v>
      </c>
      <c r="AM12" s="49">
        <v>40</v>
      </c>
      <c r="AN12" s="28" t="b">
        <f t="shared" si="11"/>
        <v>1</v>
      </c>
      <c r="AO12" s="42">
        <v>65</v>
      </c>
      <c r="AP12" s="29">
        <v>63</v>
      </c>
      <c r="BA12" s="29"/>
      <c r="BB12" s="28" t="b">
        <f t="shared" si="18"/>
        <v>1</v>
      </c>
      <c r="BC12" s="28">
        <f t="shared" si="19"/>
        <v>1</v>
      </c>
      <c r="BD12" s="42">
        <v>0.05</v>
      </c>
      <c r="BE12" s="28">
        <f t="shared" si="20"/>
        <v>1</v>
      </c>
      <c r="BF12" s="42">
        <v>10</v>
      </c>
      <c r="BG12" s="29" t="s">
        <v>330</v>
      </c>
      <c r="BJ12" s="133"/>
      <c r="BK12" s="45"/>
      <c r="BL12" s="139"/>
      <c r="BM12" s="45" t="e">
        <f t="shared" si="21"/>
        <v>#N/A</v>
      </c>
      <c r="BN12" s="114" t="s">
        <v>111</v>
      </c>
      <c r="BO12" s="45">
        <v>100</v>
      </c>
      <c r="BP12" s="64"/>
      <c r="BQ12" s="120" t="b">
        <f t="shared" si="22"/>
        <v>0</v>
      </c>
      <c r="BR12" s="114" t="s">
        <v>111</v>
      </c>
      <c r="BS12" s="45">
        <v>25</v>
      </c>
      <c r="BT12" s="53">
        <v>10</v>
      </c>
      <c r="BU12" s="139"/>
      <c r="BV12" s="45"/>
      <c r="BW12" s="114"/>
      <c r="BX12" s="45"/>
      <c r="BY12" s="139"/>
      <c r="BZ12" s="120" t="b">
        <f t="shared" si="24"/>
        <v>0</v>
      </c>
      <c r="CA12" s="114" t="s">
        <v>111</v>
      </c>
      <c r="CB12" s="53">
        <v>100</v>
      </c>
      <c r="CC12" s="139"/>
      <c r="CD12" s="120" t="b">
        <f t="shared" si="25"/>
        <v>0</v>
      </c>
      <c r="CE12" s="114" t="s">
        <v>111</v>
      </c>
      <c r="CF12" s="53">
        <v>100</v>
      </c>
      <c r="CG12" s="139"/>
      <c r="CH12" s="45" t="e">
        <f t="shared" si="26"/>
        <v>#N/A</v>
      </c>
      <c r="CI12" s="114" t="s">
        <v>111</v>
      </c>
      <c r="CJ12" s="45">
        <v>100</v>
      </c>
      <c r="CK12" s="139"/>
      <c r="CL12" s="45" t="e">
        <f t="shared" si="27"/>
        <v>#N/A</v>
      </c>
      <c r="CM12" s="114" t="s">
        <v>111</v>
      </c>
      <c r="CN12" s="45">
        <v>100</v>
      </c>
      <c r="CO12" s="139"/>
      <c r="CP12" s="45"/>
      <c r="CQ12" s="114"/>
      <c r="CR12" s="45"/>
      <c r="CS12" s="139"/>
      <c r="CT12" s="45"/>
      <c r="CU12" s="193"/>
      <c r="CV12" s="28"/>
      <c r="CW12" s="28"/>
      <c r="CX12" s="28"/>
      <c r="CY12" s="28"/>
      <c r="CZ12" s="64"/>
      <c r="DD12" s="64"/>
      <c r="DE12" s="139"/>
      <c r="DF12" s="45" t="b">
        <f t="shared" si="33"/>
        <v>0</v>
      </c>
      <c r="DG12" s="114" t="s">
        <v>110</v>
      </c>
      <c r="DH12" s="29" t="s">
        <v>317</v>
      </c>
      <c r="DI12" s="64"/>
      <c r="DJ12" s="45"/>
      <c r="DK12" s="114"/>
      <c r="DL12" s="45"/>
      <c r="DM12" s="64"/>
      <c r="DN12" s="45"/>
      <c r="DO12" s="114"/>
      <c r="DP12" s="53"/>
    </row>
    <row r="13" spans="1:120" x14ac:dyDescent="0.25">
      <c r="A13" s="22"/>
      <c r="C13" s="23"/>
      <c r="I13" s="27">
        <f t="shared" si="12"/>
        <v>0</v>
      </c>
      <c r="J13" s="28">
        <v>125</v>
      </c>
      <c r="K13" s="28">
        <f t="shared" si="1"/>
        <v>2.8381135828692533E-2</v>
      </c>
      <c r="L13" s="28">
        <f t="shared" si="2"/>
        <v>0</v>
      </c>
      <c r="M13" s="29"/>
      <c r="N13" s="27">
        <f t="shared" si="13"/>
        <v>0</v>
      </c>
      <c r="O13" s="28">
        <v>125</v>
      </c>
      <c r="P13" s="28">
        <f t="shared" si="3"/>
        <v>2.8381135828692533E-2</v>
      </c>
      <c r="Q13" s="29">
        <f t="shared" si="4"/>
        <v>8.1863101248150896E-2</v>
      </c>
      <c r="R13" s="28">
        <f t="shared" si="14"/>
        <v>0</v>
      </c>
      <c r="S13" s="28">
        <v>125</v>
      </c>
      <c r="T13" s="28">
        <f t="shared" si="5"/>
        <v>2.8381135828692533E-2</v>
      </c>
      <c r="U13" s="29">
        <f t="shared" si="6"/>
        <v>8.1863101248150896E-2</v>
      </c>
      <c r="V13" s="28">
        <f t="shared" si="15"/>
        <v>0</v>
      </c>
      <c r="W13" s="28">
        <v>125</v>
      </c>
      <c r="X13" s="28">
        <f t="shared" si="7"/>
        <v>2.8381135828692533E-2</v>
      </c>
      <c r="Y13" s="29">
        <f t="shared" si="8"/>
        <v>0</v>
      </c>
      <c r="Z13" s="28">
        <f t="shared" si="32"/>
        <v>0</v>
      </c>
      <c r="AA13" s="28">
        <v>100</v>
      </c>
      <c r="AB13" s="28"/>
      <c r="AC13" s="29"/>
      <c r="AE13" s="41"/>
      <c r="AF13" s="43"/>
      <c r="AG13" s="28"/>
      <c r="AH13" s="27" t="b">
        <f t="shared" si="9"/>
        <v>1</v>
      </c>
      <c r="AI13" s="42">
        <v>50</v>
      </c>
      <c r="AJ13" s="29">
        <v>40</v>
      </c>
      <c r="AK13" s="27" t="b">
        <f t="shared" si="10"/>
        <v>1</v>
      </c>
      <c r="AL13" s="42">
        <v>65</v>
      </c>
      <c r="AM13" s="49">
        <v>50</v>
      </c>
      <c r="AN13" s="28" t="b">
        <f t="shared" si="11"/>
        <v>1</v>
      </c>
      <c r="AO13" s="42">
        <v>80</v>
      </c>
      <c r="AP13" s="29">
        <v>100</v>
      </c>
      <c r="BA13" s="29"/>
      <c r="BB13" s="28" t="b">
        <f t="shared" si="18"/>
        <v>0</v>
      </c>
      <c r="BC13" s="28">
        <f t="shared" si="19"/>
        <v>1</v>
      </c>
      <c r="BD13" s="42">
        <v>0.06</v>
      </c>
      <c r="BE13" s="28">
        <f t="shared" si="20"/>
        <v>0</v>
      </c>
      <c r="BF13" s="42">
        <v>1.78</v>
      </c>
      <c r="BG13" s="29" t="s">
        <v>329</v>
      </c>
      <c r="BJ13" s="133"/>
      <c r="BK13" s="45"/>
      <c r="BL13" s="139"/>
      <c r="BM13" s="45" t="e">
        <f t="shared" si="21"/>
        <v>#N/A</v>
      </c>
      <c r="BN13" s="114" t="s">
        <v>112</v>
      </c>
      <c r="BO13" s="45">
        <v>125</v>
      </c>
      <c r="BP13" s="64"/>
      <c r="BQ13" s="120" t="b">
        <f t="shared" si="22"/>
        <v>0</v>
      </c>
      <c r="BR13" s="114" t="s">
        <v>112</v>
      </c>
      <c r="BS13" s="45">
        <v>32</v>
      </c>
      <c r="BT13" s="53">
        <v>12.5</v>
      </c>
      <c r="BU13" s="139"/>
      <c r="BV13" s="45"/>
      <c r="BW13" s="114"/>
      <c r="BX13" s="45"/>
      <c r="BY13" s="139"/>
      <c r="BZ13" s="120" t="b">
        <f t="shared" si="24"/>
        <v>0</v>
      </c>
      <c r="CA13" s="114" t="s">
        <v>112</v>
      </c>
      <c r="CB13" s="53">
        <v>125</v>
      </c>
      <c r="CC13" s="139"/>
      <c r="CD13" s="120" t="b">
        <f t="shared" si="25"/>
        <v>0</v>
      </c>
      <c r="CE13" s="114" t="s">
        <v>112</v>
      </c>
      <c r="CF13" s="53">
        <v>125</v>
      </c>
      <c r="CG13" s="139"/>
      <c r="CH13" s="45" t="e">
        <f t="shared" si="26"/>
        <v>#N/A</v>
      </c>
      <c r="CI13" s="114" t="s">
        <v>112</v>
      </c>
      <c r="CJ13" s="45">
        <v>125</v>
      </c>
      <c r="CK13" s="139"/>
      <c r="CL13" s="45" t="e">
        <f t="shared" si="27"/>
        <v>#N/A</v>
      </c>
      <c r="CM13" s="114" t="s">
        <v>112</v>
      </c>
      <c r="CN13" s="45">
        <v>125</v>
      </c>
      <c r="CO13" s="139"/>
      <c r="CP13" s="45"/>
      <c r="CQ13" s="114"/>
      <c r="CR13" s="45"/>
      <c r="CS13" s="139"/>
      <c r="CT13" s="45"/>
      <c r="CU13" s="193"/>
      <c r="CV13" s="68"/>
      <c r="CW13" s="45"/>
      <c r="CX13" s="193"/>
      <c r="CY13" s="68"/>
      <c r="CZ13" s="64"/>
      <c r="DA13" s="28"/>
      <c r="DB13" s="68"/>
      <c r="DC13" s="28"/>
      <c r="DD13" s="64"/>
      <c r="DE13" s="139"/>
      <c r="DF13" s="45" t="b">
        <f t="shared" si="33"/>
        <v>0</v>
      </c>
      <c r="DG13" s="114" t="s">
        <v>111</v>
      </c>
      <c r="DH13" s="29" t="s">
        <v>336</v>
      </c>
      <c r="DI13" s="64"/>
      <c r="DJ13" s="45"/>
      <c r="DK13" s="114"/>
      <c r="DL13" s="45"/>
      <c r="DM13" s="64"/>
      <c r="DN13" s="45"/>
      <c r="DO13" s="114"/>
      <c r="DP13" s="53"/>
    </row>
    <row r="14" spans="1:120" x14ac:dyDescent="0.25">
      <c r="A14" s="22" t="s">
        <v>52</v>
      </c>
      <c r="B14" s="222">
        <f>'ОЛ(4)'!O36</f>
        <v>0</v>
      </c>
      <c r="C14" s="222"/>
      <c r="E14" t="s">
        <v>45</v>
      </c>
      <c r="F14" s="25">
        <f>F4+F11</f>
        <v>3.6363636363636362</v>
      </c>
      <c r="I14" s="27">
        <f t="shared" si="12"/>
        <v>0</v>
      </c>
      <c r="J14" s="28">
        <v>150</v>
      </c>
      <c r="K14" s="28">
        <f t="shared" si="1"/>
        <v>2.6925299052784474E-2</v>
      </c>
      <c r="L14" s="28">
        <f t="shared" si="2"/>
        <v>0</v>
      </c>
      <c r="M14" s="29"/>
      <c r="N14" s="27">
        <f t="shared" si="13"/>
        <v>0</v>
      </c>
      <c r="O14" s="28">
        <v>150</v>
      </c>
      <c r="P14" s="28">
        <f t="shared" si="3"/>
        <v>2.6925299052784474E-2</v>
      </c>
      <c r="Q14" s="29">
        <f t="shared" si="4"/>
        <v>3.1211362397841013E-2</v>
      </c>
      <c r="R14" s="28">
        <f t="shared" si="14"/>
        <v>0</v>
      </c>
      <c r="S14" s="28">
        <v>150</v>
      </c>
      <c r="T14" s="28">
        <f t="shared" si="5"/>
        <v>2.6925299052784474E-2</v>
      </c>
      <c r="U14" s="29">
        <f t="shared" si="6"/>
        <v>3.1211362397841013E-2</v>
      </c>
      <c r="V14" s="28">
        <f t="shared" si="15"/>
        <v>0</v>
      </c>
      <c r="W14" s="28">
        <v>150</v>
      </c>
      <c r="X14" s="28">
        <f t="shared" si="7"/>
        <v>2.6925299052784474E-2</v>
      </c>
      <c r="Y14" s="29">
        <f t="shared" si="8"/>
        <v>0</v>
      </c>
      <c r="Z14" s="28">
        <f t="shared" si="32"/>
        <v>0</v>
      </c>
      <c r="AA14" s="28">
        <v>125</v>
      </c>
      <c r="AB14" s="28"/>
      <c r="AC14" s="29"/>
      <c r="AE14" s="27"/>
      <c r="AF14" s="28"/>
      <c r="AG14" s="28"/>
      <c r="AH14" s="27" t="b">
        <f t="shared" si="9"/>
        <v>1</v>
      </c>
      <c r="AI14" s="42">
        <v>65</v>
      </c>
      <c r="AJ14" s="29">
        <v>50</v>
      </c>
      <c r="AK14" s="27" t="b">
        <f t="shared" si="10"/>
        <v>1</v>
      </c>
      <c r="AL14" s="42">
        <v>65</v>
      </c>
      <c r="AM14" s="49">
        <v>63</v>
      </c>
      <c r="AN14" s="28" t="b">
        <f t="shared" si="11"/>
        <v>1</v>
      </c>
      <c r="AO14" s="42">
        <v>100</v>
      </c>
      <c r="AP14" s="29">
        <v>160</v>
      </c>
      <c r="BA14" s="29"/>
      <c r="BB14" s="28" t="b">
        <f t="shared" si="18"/>
        <v>1</v>
      </c>
      <c r="BC14" s="28">
        <f t="shared" si="19"/>
        <v>1</v>
      </c>
      <c r="BD14" s="42">
        <v>0.06</v>
      </c>
      <c r="BE14" s="28">
        <f t="shared" si="20"/>
        <v>1</v>
      </c>
      <c r="BF14" s="42">
        <v>12</v>
      </c>
      <c r="BG14" s="29" t="s">
        <v>330</v>
      </c>
      <c r="BJ14" s="133"/>
      <c r="BK14" s="45"/>
      <c r="BL14" s="139"/>
      <c r="BM14" s="45" t="e">
        <f t="shared" si="21"/>
        <v>#N/A</v>
      </c>
      <c r="BN14" s="114" t="s">
        <v>113</v>
      </c>
      <c r="BO14" s="45">
        <v>150</v>
      </c>
      <c r="BP14" s="64"/>
      <c r="BQ14" s="120" t="b">
        <f t="shared" si="22"/>
        <v>0</v>
      </c>
      <c r="BR14" s="114" t="s">
        <v>113</v>
      </c>
      <c r="BS14" s="45">
        <v>32</v>
      </c>
      <c r="BT14" s="53">
        <v>16</v>
      </c>
      <c r="BU14" s="139"/>
      <c r="BV14" s="45"/>
      <c r="BW14" s="114"/>
      <c r="BX14" s="45"/>
      <c r="BY14" s="139"/>
      <c r="BZ14" s="120" t="b">
        <f t="shared" si="24"/>
        <v>0</v>
      </c>
      <c r="CA14" s="114" t="s">
        <v>113</v>
      </c>
      <c r="CB14" s="53">
        <v>150</v>
      </c>
      <c r="CC14" s="139"/>
      <c r="CD14" s="120" t="b">
        <f t="shared" si="25"/>
        <v>0</v>
      </c>
      <c r="CE14" s="114" t="s">
        <v>113</v>
      </c>
      <c r="CF14" s="53">
        <v>150</v>
      </c>
      <c r="CG14" s="139"/>
      <c r="CH14" s="45" t="e">
        <f t="shared" si="26"/>
        <v>#N/A</v>
      </c>
      <c r="CI14" s="114" t="s">
        <v>113</v>
      </c>
      <c r="CJ14" s="45">
        <v>150</v>
      </c>
      <c r="CK14" s="139"/>
      <c r="CL14" s="45" t="e">
        <f t="shared" si="27"/>
        <v>#N/A</v>
      </c>
      <c r="CM14" s="114" t="s">
        <v>113</v>
      </c>
      <c r="CN14" s="45">
        <v>150</v>
      </c>
      <c r="CO14" s="139"/>
      <c r="CP14" s="45"/>
      <c r="CQ14" s="114"/>
      <c r="CR14" s="45"/>
      <c r="CS14" s="139"/>
      <c r="CT14" s="45"/>
      <c r="CU14" s="193"/>
      <c r="CV14" s="68"/>
      <c r="CW14" s="45"/>
      <c r="CX14" s="193"/>
      <c r="CY14" s="68"/>
      <c r="CZ14" s="64"/>
      <c r="DA14" s="28"/>
      <c r="DB14" s="68"/>
      <c r="DC14" s="28"/>
      <c r="DD14" s="64"/>
      <c r="DE14" s="139"/>
      <c r="DF14" s="45" t="b">
        <f t="shared" si="33"/>
        <v>0</v>
      </c>
      <c r="DG14" s="114" t="s">
        <v>112</v>
      </c>
      <c r="DH14" s="29" t="s">
        <v>334</v>
      </c>
      <c r="DI14" s="64"/>
      <c r="DJ14" s="45"/>
      <c r="DK14" s="114"/>
      <c r="DL14" s="45"/>
      <c r="DM14" s="64"/>
      <c r="DN14" s="45"/>
      <c r="DO14" s="114"/>
      <c r="DP14" s="53"/>
    </row>
    <row r="15" spans="1:120" x14ac:dyDescent="0.25">
      <c r="A15" s="22" t="s">
        <v>59</v>
      </c>
      <c r="B15" s="222">
        <f>'ОЛ(4)'!I36</f>
        <v>0</v>
      </c>
      <c r="C15" s="222"/>
      <c r="E15" t="s">
        <v>43</v>
      </c>
      <c r="F15">
        <f>VLOOKUP(1,R4:U17,2,FALSE)</f>
        <v>50</v>
      </c>
      <c r="I15" s="27">
        <f t="shared" si="12"/>
        <v>0</v>
      </c>
      <c r="J15" s="28">
        <v>200</v>
      </c>
      <c r="K15" s="28">
        <f t="shared" si="1"/>
        <v>2.4846042519733526E-2</v>
      </c>
      <c r="L15" s="28">
        <f t="shared" si="2"/>
        <v>0</v>
      </c>
      <c r="M15" s="29"/>
      <c r="N15" s="27">
        <f t="shared" si="13"/>
        <v>0</v>
      </c>
      <c r="O15" s="28">
        <v>200</v>
      </c>
      <c r="P15" s="28">
        <f t="shared" si="3"/>
        <v>2.4846042519733526E-2</v>
      </c>
      <c r="Q15" s="29">
        <f t="shared" si="4"/>
        <v>6.8346413821546497E-3</v>
      </c>
      <c r="R15" s="28">
        <f t="shared" si="14"/>
        <v>0</v>
      </c>
      <c r="S15" s="28">
        <v>200</v>
      </c>
      <c r="T15" s="28">
        <f t="shared" si="5"/>
        <v>2.4846042519733526E-2</v>
      </c>
      <c r="U15" s="29">
        <f t="shared" si="6"/>
        <v>6.8346413821546497E-3</v>
      </c>
      <c r="V15" s="28">
        <f t="shared" si="15"/>
        <v>0</v>
      </c>
      <c r="W15" s="28">
        <v>200</v>
      </c>
      <c r="X15" s="28">
        <f t="shared" si="7"/>
        <v>2.4846042519733526E-2</v>
      </c>
      <c r="Y15" s="29">
        <f t="shared" si="8"/>
        <v>0</v>
      </c>
      <c r="Z15" s="28">
        <f t="shared" si="32"/>
        <v>0</v>
      </c>
      <c r="AA15" s="28">
        <v>150</v>
      </c>
      <c r="AB15" s="28"/>
      <c r="AC15" s="29"/>
      <c r="AE15" s="27"/>
      <c r="AF15" s="28"/>
      <c r="AG15" s="28"/>
      <c r="AH15" s="27" t="b">
        <f t="shared" si="9"/>
        <v>1</v>
      </c>
      <c r="AI15" s="42">
        <v>65</v>
      </c>
      <c r="AJ15" s="29">
        <v>63</v>
      </c>
      <c r="AK15" s="27" t="b">
        <f t="shared" si="10"/>
        <v>1</v>
      </c>
      <c r="AL15" s="42">
        <v>80</v>
      </c>
      <c r="AM15" s="49">
        <v>80</v>
      </c>
      <c r="AN15" s="28" t="b">
        <f t="shared" si="11"/>
        <v>1</v>
      </c>
      <c r="AO15" s="42">
        <v>125</v>
      </c>
      <c r="AP15" s="29">
        <v>250</v>
      </c>
      <c r="BA15" s="29"/>
      <c r="BB15" s="28" t="b">
        <f t="shared" si="18"/>
        <v>0</v>
      </c>
      <c r="BC15" s="28">
        <f t="shared" si="19"/>
        <v>1</v>
      </c>
      <c r="BD15" s="42">
        <v>7.0000000000000007E-2</v>
      </c>
      <c r="BE15" s="28">
        <f t="shared" si="20"/>
        <v>0</v>
      </c>
      <c r="BF15" s="42">
        <v>1.5</v>
      </c>
      <c r="BG15" s="29" t="s">
        <v>329</v>
      </c>
      <c r="BJ15" s="133"/>
      <c r="BK15" s="45"/>
      <c r="BL15" s="139"/>
      <c r="BM15" s="45" t="e">
        <f t="shared" si="21"/>
        <v>#N/A</v>
      </c>
      <c r="BN15" s="114" t="s">
        <v>114</v>
      </c>
      <c r="BO15" s="45">
        <v>200</v>
      </c>
      <c r="BP15" s="64"/>
      <c r="BQ15" s="120" t="b">
        <f t="shared" si="22"/>
        <v>0</v>
      </c>
      <c r="BR15" s="114" t="s">
        <v>114</v>
      </c>
      <c r="BS15" s="45">
        <v>40</v>
      </c>
      <c r="BT15" s="53">
        <v>20</v>
      </c>
      <c r="BU15" s="139"/>
      <c r="BV15" s="45"/>
      <c r="BW15" s="114"/>
      <c r="BX15" s="45"/>
      <c r="BY15" s="139"/>
      <c r="BZ15" s="120" t="b">
        <f t="shared" si="24"/>
        <v>0</v>
      </c>
      <c r="CA15" s="114" t="s">
        <v>114</v>
      </c>
      <c r="CB15" s="53">
        <v>200</v>
      </c>
      <c r="CC15" s="139"/>
      <c r="CD15" s="120" t="b">
        <f t="shared" si="25"/>
        <v>0</v>
      </c>
      <c r="CE15" s="114" t="s">
        <v>114</v>
      </c>
      <c r="CF15" s="53">
        <v>200</v>
      </c>
      <c r="CG15" s="139"/>
      <c r="CH15" s="45" t="e">
        <f t="shared" si="26"/>
        <v>#N/A</v>
      </c>
      <c r="CI15" s="114" t="s">
        <v>114</v>
      </c>
      <c r="CJ15" s="45">
        <v>200</v>
      </c>
      <c r="CK15" s="139"/>
      <c r="CL15" s="45" t="e">
        <f t="shared" si="27"/>
        <v>#N/A</v>
      </c>
      <c r="CM15" s="114" t="s">
        <v>114</v>
      </c>
      <c r="CN15" s="45">
        <v>200</v>
      </c>
      <c r="CO15" s="139"/>
      <c r="CP15" s="45"/>
      <c r="CQ15" s="114"/>
      <c r="CR15" s="45"/>
      <c r="CS15" s="139"/>
      <c r="CT15" s="45"/>
      <c r="CU15" s="193"/>
      <c r="CV15" s="28"/>
      <c r="CW15" s="28"/>
      <c r="CX15" s="28"/>
      <c r="CY15" s="28"/>
      <c r="CZ15" s="64"/>
      <c r="DA15" s="28"/>
      <c r="DB15" s="28"/>
      <c r="DC15" s="28"/>
      <c r="DD15" s="64"/>
      <c r="DE15" s="139"/>
      <c r="DF15" s="45" t="b">
        <f t="shared" si="33"/>
        <v>0</v>
      </c>
      <c r="DG15" s="114" t="s">
        <v>113</v>
      </c>
      <c r="DH15" s="29" t="s">
        <v>335</v>
      </c>
      <c r="DI15" s="64"/>
      <c r="DJ15" s="45"/>
      <c r="DK15" s="114"/>
      <c r="DL15" s="45"/>
      <c r="DM15" s="64"/>
      <c r="DN15" s="45"/>
      <c r="DO15" s="114"/>
      <c r="DP15" s="53"/>
    </row>
    <row r="16" spans="1:120" x14ac:dyDescent="0.25">
      <c r="A16" s="22" t="s">
        <v>297</v>
      </c>
      <c r="B16" s="222">
        <f>'ОЛ(4)'!U36</f>
        <v>0</v>
      </c>
      <c r="C16" s="222"/>
      <c r="I16" s="27">
        <f t="shared" si="12"/>
        <v>0</v>
      </c>
      <c r="J16" s="28">
        <v>250</v>
      </c>
      <c r="K16" s="28">
        <f t="shared" si="1"/>
        <v>2.339473539768467E-2</v>
      </c>
      <c r="L16" s="28">
        <f t="shared" si="2"/>
        <v>0</v>
      </c>
      <c r="M16" s="29"/>
      <c r="N16" s="27">
        <f t="shared" si="13"/>
        <v>0</v>
      </c>
      <c r="O16" s="28">
        <v>250</v>
      </c>
      <c r="P16" s="28">
        <f t="shared" si="3"/>
        <v>2.339473539768467E-2</v>
      </c>
      <c r="Q16" s="29">
        <f t="shared" si="4"/>
        <v>2.1087572085889939E-3</v>
      </c>
      <c r="R16" s="28">
        <f t="shared" si="14"/>
        <v>0</v>
      </c>
      <c r="S16" s="28">
        <v>250</v>
      </c>
      <c r="T16" s="28">
        <f t="shared" si="5"/>
        <v>2.339473539768467E-2</v>
      </c>
      <c r="U16" s="29">
        <f t="shared" si="6"/>
        <v>2.1087572085889939E-3</v>
      </c>
      <c r="V16" s="28">
        <f t="shared" si="15"/>
        <v>0</v>
      </c>
      <c r="W16" s="28">
        <v>250</v>
      </c>
      <c r="X16" s="28">
        <f t="shared" si="7"/>
        <v>2.339473539768467E-2</v>
      </c>
      <c r="Y16" s="29">
        <f t="shared" si="8"/>
        <v>0</v>
      </c>
      <c r="Z16" s="28">
        <f t="shared" si="32"/>
        <v>0</v>
      </c>
      <c r="AA16" s="28">
        <v>200</v>
      </c>
      <c r="AB16" s="28"/>
      <c r="AC16" s="29"/>
      <c r="AE16" s="27"/>
      <c r="AF16" s="28"/>
      <c r="AG16" s="28"/>
      <c r="AH16" s="27" t="b">
        <f t="shared" si="9"/>
        <v>1</v>
      </c>
      <c r="AI16" s="42">
        <v>80</v>
      </c>
      <c r="AJ16" s="29">
        <v>80</v>
      </c>
      <c r="AK16" s="27" t="b">
        <f t="shared" si="10"/>
        <v>1</v>
      </c>
      <c r="AL16" s="42">
        <v>80</v>
      </c>
      <c r="AM16" s="49">
        <v>100</v>
      </c>
      <c r="AN16" s="28" t="b">
        <f t="shared" si="11"/>
        <v>1</v>
      </c>
      <c r="AO16" s="42">
        <v>150</v>
      </c>
      <c r="AP16" s="29">
        <v>400</v>
      </c>
      <c r="BA16" s="29"/>
      <c r="BB16" s="28" t="b">
        <f t="shared" si="18"/>
        <v>0</v>
      </c>
      <c r="BC16" s="28">
        <f t="shared" si="19"/>
        <v>1</v>
      </c>
      <c r="BD16" s="42">
        <v>7.0000000000000007E-2</v>
      </c>
      <c r="BE16" s="28">
        <f t="shared" si="20"/>
        <v>0</v>
      </c>
      <c r="BF16" s="42">
        <v>1.7</v>
      </c>
      <c r="BG16" s="29" t="s">
        <v>331</v>
      </c>
      <c r="BJ16" s="133"/>
      <c r="BK16" s="45"/>
      <c r="BL16" s="139"/>
      <c r="BM16" s="45"/>
      <c r="BN16" s="114"/>
      <c r="BO16" s="45"/>
      <c r="BP16" s="64"/>
      <c r="BQ16" s="120" t="b">
        <f t="shared" si="22"/>
        <v>0</v>
      </c>
      <c r="BR16" s="114" t="s">
        <v>115</v>
      </c>
      <c r="BS16" s="45">
        <v>40</v>
      </c>
      <c r="BT16" s="53">
        <v>25</v>
      </c>
      <c r="BU16" s="139"/>
      <c r="BV16" s="45"/>
      <c r="BW16" s="114"/>
      <c r="BX16" s="45"/>
      <c r="BY16" s="64"/>
      <c r="BZ16" s="27"/>
      <c r="CA16" s="28"/>
      <c r="CB16" s="29"/>
      <c r="CC16" s="64"/>
      <c r="CD16" s="28"/>
      <c r="CE16" s="28"/>
      <c r="CF16" s="29"/>
      <c r="CG16" s="64"/>
      <c r="CH16" s="28"/>
      <c r="CI16" s="28"/>
      <c r="CJ16" s="28"/>
      <c r="CK16" s="64"/>
      <c r="CL16" s="28"/>
      <c r="CM16" s="28"/>
      <c r="CN16" s="28"/>
      <c r="CO16" s="64"/>
      <c r="CP16" s="28"/>
      <c r="CQ16" s="28"/>
      <c r="CR16" s="28"/>
      <c r="CS16" s="64"/>
      <c r="CT16" s="45"/>
      <c r="CU16" s="28"/>
      <c r="CV16" s="28"/>
      <c r="CW16" s="28"/>
      <c r="CX16" s="28"/>
      <c r="CY16" s="28"/>
      <c r="CZ16" s="64"/>
      <c r="DA16" s="28"/>
      <c r="DB16" s="28"/>
      <c r="DC16" s="28"/>
      <c r="DD16" s="64"/>
      <c r="DE16" s="64"/>
      <c r="DF16" s="45" t="b">
        <f t="shared" si="33"/>
        <v>0</v>
      </c>
      <c r="DG16" s="114" t="s">
        <v>114</v>
      </c>
      <c r="DH16" s="29" t="s">
        <v>340</v>
      </c>
      <c r="DI16" s="64"/>
      <c r="DJ16" s="28"/>
      <c r="DK16" s="28"/>
      <c r="DL16" s="28"/>
      <c r="DM16" s="64"/>
      <c r="DN16" s="28"/>
      <c r="DO16" s="28"/>
      <c r="DP16" s="29"/>
    </row>
    <row r="17" spans="1:120" x14ac:dyDescent="0.25">
      <c r="A17" s="22" t="s">
        <v>294</v>
      </c>
      <c r="B17" s="222">
        <f>'ОЛ(4)'!AA36</f>
        <v>0</v>
      </c>
      <c r="C17" s="222"/>
      <c r="E17" t="s">
        <v>70</v>
      </c>
      <c r="F17" s="25">
        <f>B4*1000/(B7-B8)</f>
        <v>0</v>
      </c>
      <c r="I17" s="27">
        <f t="shared" si="12"/>
        <v>0</v>
      </c>
      <c r="J17" s="28">
        <v>300</v>
      </c>
      <c r="K17" s="28">
        <f t="shared" si="1"/>
        <v>2.2301284149115197E-2</v>
      </c>
      <c r="L17" s="28">
        <f t="shared" si="2"/>
        <v>0</v>
      </c>
      <c r="M17" s="29"/>
      <c r="N17" s="27">
        <f t="shared" si="13"/>
        <v>0</v>
      </c>
      <c r="O17" s="28">
        <v>300</v>
      </c>
      <c r="P17" s="28">
        <f t="shared" si="3"/>
        <v>2.2301284149115197E-2</v>
      </c>
      <c r="Q17" s="29">
        <f t="shared" si="4"/>
        <v>8.0785251928715295E-4</v>
      </c>
      <c r="R17" s="28">
        <f t="shared" si="14"/>
        <v>0</v>
      </c>
      <c r="S17" s="28">
        <v>300</v>
      </c>
      <c r="T17" s="28">
        <f t="shared" si="5"/>
        <v>2.2301284149115197E-2</v>
      </c>
      <c r="U17" s="29">
        <f t="shared" si="6"/>
        <v>8.0785251928715295E-4</v>
      </c>
      <c r="V17" s="28">
        <f t="shared" si="15"/>
        <v>0</v>
      </c>
      <c r="W17" s="28">
        <v>300</v>
      </c>
      <c r="X17" s="28">
        <f t="shared" si="7"/>
        <v>2.2301284149115197E-2</v>
      </c>
      <c r="Y17" s="29">
        <f t="shared" si="8"/>
        <v>0</v>
      </c>
      <c r="Z17" s="28">
        <f t="shared" si="32"/>
        <v>0</v>
      </c>
      <c r="AA17" s="28">
        <v>250</v>
      </c>
      <c r="AB17" s="28"/>
      <c r="AC17" s="29"/>
      <c r="AE17" s="27"/>
      <c r="AF17" s="28"/>
      <c r="AG17" s="28"/>
      <c r="AH17" s="27" t="b">
        <f t="shared" si="9"/>
        <v>1</v>
      </c>
      <c r="AI17" s="42">
        <v>80</v>
      </c>
      <c r="AJ17" s="29">
        <v>100</v>
      </c>
      <c r="AK17" s="48" t="b">
        <f t="shared" si="10"/>
        <v>1</v>
      </c>
      <c r="AL17" s="42">
        <v>100</v>
      </c>
      <c r="AM17" s="49">
        <v>125</v>
      </c>
      <c r="AN17" s="28"/>
      <c r="AO17" s="28"/>
      <c r="AP17" s="29"/>
      <c r="BA17" s="29"/>
      <c r="BB17" s="28" t="b">
        <f t="shared" si="18"/>
        <v>1</v>
      </c>
      <c r="BC17" s="28">
        <f t="shared" si="19"/>
        <v>1</v>
      </c>
      <c r="BD17" s="42">
        <v>7.0000000000000007E-2</v>
      </c>
      <c r="BE17" s="28">
        <f t="shared" si="20"/>
        <v>1</v>
      </c>
      <c r="BF17" s="42">
        <v>14</v>
      </c>
      <c r="BG17" s="29" t="s">
        <v>330</v>
      </c>
      <c r="BJ17" s="133"/>
      <c r="BK17" s="45"/>
      <c r="BL17" s="139"/>
      <c r="BM17" s="45"/>
      <c r="BN17" s="114"/>
      <c r="BO17" s="45"/>
      <c r="BP17" s="64"/>
      <c r="BQ17" s="120" t="b">
        <f t="shared" si="22"/>
        <v>0</v>
      </c>
      <c r="BR17" s="114" t="s">
        <v>116</v>
      </c>
      <c r="BS17" s="45">
        <v>50</v>
      </c>
      <c r="BT17" s="53">
        <v>31.5</v>
      </c>
      <c r="BU17" s="139"/>
      <c r="BV17" s="45"/>
      <c r="BW17" s="114"/>
      <c r="BX17" s="45"/>
      <c r="BY17" s="64"/>
      <c r="BZ17" s="27"/>
      <c r="CA17" s="28"/>
      <c r="CB17" s="29"/>
      <c r="CC17" s="64"/>
      <c r="CD17" s="28"/>
      <c r="CE17" s="28"/>
      <c r="CF17" s="29"/>
      <c r="CG17" s="64"/>
      <c r="CH17" s="28"/>
      <c r="CI17" s="28"/>
      <c r="CJ17" s="28"/>
      <c r="CK17" s="64"/>
      <c r="CL17" s="28"/>
      <c r="CM17" s="28"/>
      <c r="CN17" s="28"/>
      <c r="CO17" s="64"/>
      <c r="CP17" s="28"/>
      <c r="CQ17" s="28"/>
      <c r="CR17" s="28"/>
      <c r="CS17" s="64"/>
      <c r="CT17" s="45"/>
      <c r="CU17" s="28"/>
      <c r="CV17" s="28"/>
      <c r="CW17" s="28"/>
      <c r="CX17" s="28"/>
      <c r="CY17" s="28"/>
      <c r="CZ17" s="64"/>
      <c r="DA17" s="28"/>
      <c r="DB17" s="28"/>
      <c r="DC17" s="28"/>
      <c r="DD17" s="64"/>
      <c r="DE17" s="64"/>
      <c r="DF17" s="45" t="b">
        <f t="shared" si="33"/>
        <v>0</v>
      </c>
      <c r="DG17" s="114" t="s">
        <v>115</v>
      </c>
      <c r="DH17" s="29" t="s">
        <v>337</v>
      </c>
      <c r="DI17" s="64"/>
      <c r="DJ17" s="28"/>
      <c r="DK17" s="28"/>
      <c r="DL17" s="28"/>
      <c r="DM17" s="64"/>
      <c r="DN17" s="28"/>
      <c r="DO17" s="28"/>
      <c r="DP17" s="29"/>
    </row>
    <row r="18" spans="1:120" x14ac:dyDescent="0.25">
      <c r="A18" s="22"/>
      <c r="C18" s="23"/>
      <c r="E18" t="s">
        <v>71</v>
      </c>
      <c r="F18" t="e">
        <f>VLOOKUP(1,V4:Y17,2,FALSE)</f>
        <v>#N/A</v>
      </c>
      <c r="I18" s="27"/>
      <c r="J18" s="28"/>
      <c r="K18" s="28"/>
      <c r="L18" s="28"/>
      <c r="M18" s="29"/>
      <c r="N18" s="27"/>
      <c r="O18" s="28"/>
      <c r="P18" s="28"/>
      <c r="Q18" s="29"/>
      <c r="R18" s="28"/>
      <c r="S18" s="28"/>
      <c r="T18" s="28"/>
      <c r="U18" s="29"/>
      <c r="V18" s="28"/>
      <c r="W18" s="28"/>
      <c r="X18" s="28"/>
      <c r="Y18" s="29"/>
      <c r="Z18" s="28"/>
      <c r="AA18" s="28"/>
      <c r="AB18" s="28"/>
      <c r="AC18" s="29"/>
      <c r="AE18" s="27"/>
      <c r="AF18" s="28"/>
      <c r="AG18" s="28"/>
      <c r="AH18" s="48" t="b">
        <f t="shared" si="9"/>
        <v>1</v>
      </c>
      <c r="AI18" s="42">
        <v>100</v>
      </c>
      <c r="AJ18" s="29">
        <v>125</v>
      </c>
      <c r="AK18" s="48" t="b">
        <f t="shared" si="10"/>
        <v>1</v>
      </c>
      <c r="AL18" s="42">
        <v>100</v>
      </c>
      <c r="AM18" s="49">
        <v>160</v>
      </c>
      <c r="AN18" s="28"/>
      <c r="AO18" s="28"/>
      <c r="AP18" s="29"/>
      <c r="BA18" s="29"/>
      <c r="BB18" s="28" t="b">
        <f t="shared" si="18"/>
        <v>0</v>
      </c>
      <c r="BC18" s="28">
        <f t="shared" si="19"/>
        <v>1</v>
      </c>
      <c r="BD18" s="42">
        <v>0.08</v>
      </c>
      <c r="BE18" s="28">
        <f t="shared" si="20"/>
        <v>0</v>
      </c>
      <c r="BF18" s="42">
        <v>1.2</v>
      </c>
      <c r="BG18" s="29" t="s">
        <v>331</v>
      </c>
      <c r="BJ18" s="133"/>
      <c r="BK18" s="45"/>
      <c r="BL18" s="139"/>
      <c r="BM18" s="45"/>
      <c r="BN18" s="114"/>
      <c r="BO18" s="45"/>
      <c r="BP18" s="64"/>
      <c r="BQ18" s="120" t="b">
        <f t="shared" si="22"/>
        <v>0</v>
      </c>
      <c r="BR18" s="114" t="s">
        <v>117</v>
      </c>
      <c r="BS18" s="45">
        <v>50</v>
      </c>
      <c r="BT18" s="53">
        <v>40</v>
      </c>
      <c r="BU18" s="139"/>
      <c r="BV18" s="45"/>
      <c r="BW18" s="114"/>
      <c r="BX18" s="45"/>
      <c r="BY18" s="64"/>
      <c r="BZ18" s="27"/>
      <c r="CA18" s="28"/>
      <c r="CB18" s="29"/>
      <c r="CC18" s="64"/>
      <c r="CD18" s="28"/>
      <c r="CE18" s="28"/>
      <c r="CF18" s="29"/>
      <c r="CG18" s="64"/>
      <c r="CH18" s="28"/>
      <c r="CI18" s="28"/>
      <c r="CJ18" s="28"/>
      <c r="CK18" s="64"/>
      <c r="CL18" s="28"/>
      <c r="CM18" s="28"/>
      <c r="CN18" s="28"/>
      <c r="CO18" s="64"/>
      <c r="CP18" s="28"/>
      <c r="CQ18" s="28"/>
      <c r="CR18" s="28"/>
      <c r="CS18" s="64"/>
      <c r="CT18" s="45"/>
      <c r="CU18" s="28"/>
      <c r="CV18" s="28"/>
      <c r="CW18" s="28"/>
      <c r="CX18" s="28"/>
      <c r="CY18" s="28"/>
      <c r="CZ18" s="64"/>
      <c r="DA18" s="28"/>
      <c r="DB18" s="28"/>
      <c r="DC18" s="28"/>
      <c r="DD18" s="64"/>
      <c r="DE18" s="64"/>
      <c r="DF18" s="45" t="b">
        <f t="shared" si="33"/>
        <v>0</v>
      </c>
      <c r="DG18" s="114" t="s">
        <v>116</v>
      </c>
      <c r="DH18" s="29" t="s">
        <v>338</v>
      </c>
      <c r="DI18" s="64"/>
      <c r="DJ18" s="28"/>
      <c r="DK18" s="28"/>
      <c r="DL18" s="28"/>
      <c r="DM18" s="64"/>
      <c r="DN18" s="28"/>
      <c r="DO18" s="28"/>
      <c r="DP18" s="29"/>
    </row>
    <row r="19" spans="1:120" x14ac:dyDescent="0.25">
      <c r="A19" s="22"/>
      <c r="C19" s="23"/>
      <c r="E19" s="222" t="str">
        <f>VLOOKUP(TRUE,AX3:AZ9,3,FALSE)</f>
        <v>"Пульсар" 15</v>
      </c>
      <c r="F19" s="222"/>
      <c r="I19" s="27"/>
      <c r="J19" s="30"/>
      <c r="K19" s="28"/>
      <c r="L19" s="28"/>
      <c r="M19" s="29"/>
      <c r="N19" s="27"/>
      <c r="O19" s="28"/>
      <c r="P19" s="28"/>
      <c r="Q19" s="29"/>
      <c r="R19" s="28"/>
      <c r="S19" s="28"/>
      <c r="T19" s="28"/>
      <c r="U19" s="29"/>
      <c r="V19" s="28"/>
      <c r="W19" s="28"/>
      <c r="X19" s="28"/>
      <c r="Y19" s="29"/>
      <c r="Z19" s="28"/>
      <c r="AA19" s="28"/>
      <c r="AB19" s="28"/>
      <c r="AC19" s="29"/>
      <c r="AE19" s="27"/>
      <c r="AF19" s="28"/>
      <c r="AG19" s="28"/>
      <c r="AH19" s="48" t="b">
        <f t="shared" si="9"/>
        <v>1</v>
      </c>
      <c r="AI19" s="28">
        <v>100</v>
      </c>
      <c r="AJ19" s="29">
        <v>160</v>
      </c>
      <c r="AK19" s="48" t="b">
        <f t="shared" si="10"/>
        <v>1</v>
      </c>
      <c r="AL19" s="42">
        <v>125</v>
      </c>
      <c r="AM19" s="49">
        <v>200</v>
      </c>
      <c r="AN19" s="28"/>
      <c r="AO19" s="28"/>
      <c r="AP19" s="29"/>
      <c r="BA19" s="29"/>
      <c r="BB19" s="28" t="b">
        <f t="shared" si="18"/>
        <v>1</v>
      </c>
      <c r="BC19" s="28">
        <f t="shared" si="19"/>
        <v>1</v>
      </c>
      <c r="BD19" s="42">
        <v>0.08</v>
      </c>
      <c r="BE19" s="28">
        <f t="shared" si="20"/>
        <v>1</v>
      </c>
      <c r="BF19" s="42">
        <v>16</v>
      </c>
      <c r="BG19" s="29" t="s">
        <v>330</v>
      </c>
      <c r="BJ19" s="133"/>
      <c r="BK19" s="45"/>
      <c r="BL19" s="139"/>
      <c r="BM19" s="45"/>
      <c r="BN19" s="114"/>
      <c r="BO19" s="45"/>
      <c r="BP19" s="64"/>
      <c r="BQ19" s="120" t="b">
        <f t="shared" si="22"/>
        <v>0</v>
      </c>
      <c r="BR19" s="114" t="s">
        <v>118</v>
      </c>
      <c r="BS19" s="45">
        <v>65</v>
      </c>
      <c r="BT19" s="53">
        <v>50</v>
      </c>
      <c r="BU19" s="139"/>
      <c r="BV19" s="45"/>
      <c r="BW19" s="114"/>
      <c r="BX19" s="45"/>
      <c r="BY19" s="64"/>
      <c r="BZ19" s="27"/>
      <c r="CA19" s="28"/>
      <c r="CB19" s="29"/>
      <c r="CC19" s="64"/>
      <c r="CD19" s="28"/>
      <c r="CE19" s="28"/>
      <c r="CF19" s="29"/>
      <c r="CG19" s="64"/>
      <c r="CH19" s="28"/>
      <c r="CI19" s="28"/>
      <c r="CJ19" s="28"/>
      <c r="CK19" s="64"/>
      <c r="CL19" s="28"/>
      <c r="CM19" s="28"/>
      <c r="CN19" s="28"/>
      <c r="CO19" s="64"/>
      <c r="CP19" s="28"/>
      <c r="CQ19" s="28"/>
      <c r="CR19" s="28"/>
      <c r="CS19" s="64"/>
      <c r="CT19" s="28"/>
      <c r="CU19" s="28"/>
      <c r="CV19" s="28"/>
      <c r="CW19" s="28"/>
      <c r="CX19" s="28"/>
      <c r="CY19" s="28"/>
      <c r="CZ19" s="64"/>
      <c r="DA19" s="28"/>
      <c r="DB19" s="28"/>
      <c r="DC19" s="28"/>
      <c r="DD19" s="64"/>
      <c r="DE19" s="64"/>
      <c r="DF19" s="45" t="b">
        <f t="shared" si="33"/>
        <v>0</v>
      </c>
      <c r="DG19" s="114" t="s">
        <v>117</v>
      </c>
      <c r="DH19" s="29" t="s">
        <v>339</v>
      </c>
      <c r="DI19" s="64"/>
      <c r="DJ19" s="28"/>
      <c r="DK19" s="28"/>
      <c r="DL19" s="28"/>
      <c r="DM19" s="64"/>
      <c r="DN19" s="28"/>
      <c r="DO19" s="28"/>
      <c r="DP19" s="29"/>
    </row>
    <row r="20" spans="1:120" x14ac:dyDescent="0.25">
      <c r="A20" s="22"/>
      <c r="C20" s="23"/>
      <c r="I20" s="27"/>
      <c r="J20" s="30" t="s">
        <v>39</v>
      </c>
      <c r="K20" s="28">
        <v>958.4</v>
      </c>
      <c r="L20" s="28"/>
      <c r="M20" s="29"/>
      <c r="N20" s="27"/>
      <c r="O20" s="28"/>
      <c r="P20" s="28"/>
      <c r="Q20" s="29"/>
      <c r="R20" s="28"/>
      <c r="S20" s="28"/>
      <c r="T20" s="28"/>
      <c r="U20" s="29"/>
      <c r="V20" s="28"/>
      <c r="W20" s="28"/>
      <c r="X20" s="28"/>
      <c r="Y20" s="29"/>
      <c r="Z20" s="28"/>
      <c r="AA20" s="28"/>
      <c r="AB20" s="28"/>
      <c r="AC20" s="29"/>
      <c r="AE20" s="27"/>
      <c r="AF20" s="28"/>
      <c r="AG20" s="28"/>
      <c r="AH20" s="48" t="b">
        <f t="shared" si="9"/>
        <v>1</v>
      </c>
      <c r="AI20" s="28">
        <v>125</v>
      </c>
      <c r="AJ20" s="29">
        <v>250</v>
      </c>
      <c r="AK20" s="48" t="b">
        <f t="shared" si="10"/>
        <v>1</v>
      </c>
      <c r="AL20" s="42">
        <v>125</v>
      </c>
      <c r="AM20" s="49">
        <v>250</v>
      </c>
      <c r="AN20" s="28"/>
      <c r="AO20" s="28"/>
      <c r="AP20" s="29"/>
      <c r="BA20" s="29"/>
      <c r="BB20" s="28" t="b">
        <f t="shared" si="18"/>
        <v>1</v>
      </c>
      <c r="BC20" s="28">
        <f t="shared" si="19"/>
        <v>1</v>
      </c>
      <c r="BD20" s="42">
        <v>0.09</v>
      </c>
      <c r="BE20" s="28">
        <f t="shared" si="20"/>
        <v>1</v>
      </c>
      <c r="BF20" s="42">
        <v>17</v>
      </c>
      <c r="BG20" s="29" t="s">
        <v>330</v>
      </c>
      <c r="BJ20" s="133"/>
      <c r="BK20" s="45"/>
      <c r="BL20" s="139"/>
      <c r="BM20" s="45"/>
      <c r="BN20" s="114"/>
      <c r="BO20" s="45"/>
      <c r="BP20" s="64"/>
      <c r="BQ20" s="120" t="b">
        <f t="shared" si="22"/>
        <v>0</v>
      </c>
      <c r="BR20" s="114" t="s">
        <v>119</v>
      </c>
      <c r="BS20" s="45">
        <v>65</v>
      </c>
      <c r="BT20" s="53">
        <v>63</v>
      </c>
      <c r="BU20" s="139"/>
      <c r="BV20" s="45"/>
      <c r="BW20" s="114"/>
      <c r="BX20" s="45"/>
      <c r="BY20" s="64"/>
      <c r="BZ20" s="27"/>
      <c r="CA20" s="28"/>
      <c r="CB20" s="29"/>
      <c r="CC20" s="64"/>
      <c r="CD20" s="28"/>
      <c r="CE20" s="28"/>
      <c r="CF20" s="29"/>
      <c r="CG20" s="64"/>
      <c r="CH20" s="28"/>
      <c r="CI20" s="28"/>
      <c r="CJ20" s="28"/>
      <c r="CK20" s="64"/>
      <c r="CL20" s="28"/>
      <c r="CM20" s="28"/>
      <c r="CN20" s="28"/>
      <c r="CO20" s="64"/>
      <c r="CP20" s="28"/>
      <c r="CQ20" s="28"/>
      <c r="CR20" s="28"/>
      <c r="CS20" s="64"/>
      <c r="CT20" s="28"/>
      <c r="CU20" s="28"/>
      <c r="CV20" s="28"/>
      <c r="CW20" s="28"/>
      <c r="CX20" s="28"/>
      <c r="CY20" s="28"/>
      <c r="CZ20" s="64"/>
      <c r="DA20" s="28"/>
      <c r="DB20" s="28"/>
      <c r="DC20" s="28"/>
      <c r="DD20" s="64"/>
      <c r="DE20" s="64"/>
      <c r="DF20" s="45"/>
      <c r="DG20" s="114"/>
      <c r="DH20" s="28"/>
      <c r="DI20" s="64"/>
      <c r="DJ20" s="28"/>
      <c r="DK20" s="28"/>
      <c r="DL20" s="28"/>
      <c r="DM20" s="64"/>
      <c r="DN20" s="28"/>
      <c r="DO20" s="28"/>
      <c r="DP20" s="29"/>
    </row>
    <row r="21" spans="1:120" ht="15.75" thickBot="1" x14ac:dyDescent="0.3">
      <c r="E21" t="s">
        <v>72</v>
      </c>
      <c r="F21" s="25">
        <f>3.6*B4*1.163/0.42</f>
        <v>0</v>
      </c>
      <c r="I21" s="31"/>
      <c r="J21" s="32" t="s">
        <v>40</v>
      </c>
      <c r="K21" s="33">
        <v>0.5</v>
      </c>
      <c r="L21" s="33"/>
      <c r="M21" s="34"/>
      <c r="N21" s="31"/>
      <c r="O21" s="33"/>
      <c r="P21" s="33"/>
      <c r="Q21" s="34"/>
      <c r="R21" s="33"/>
      <c r="S21" s="33"/>
      <c r="T21" s="33"/>
      <c r="U21" s="34"/>
      <c r="V21" s="33"/>
      <c r="W21" s="33"/>
      <c r="X21" s="33"/>
      <c r="Y21" s="34"/>
      <c r="Z21" s="33"/>
      <c r="AA21" s="33"/>
      <c r="AB21" s="33"/>
      <c r="AC21" s="34"/>
      <c r="AE21" s="27"/>
      <c r="AF21" s="28"/>
      <c r="AG21" s="28"/>
      <c r="AH21" s="48" t="b">
        <f t="shared" si="9"/>
        <v>1</v>
      </c>
      <c r="AI21" s="28">
        <v>150</v>
      </c>
      <c r="AJ21" s="29">
        <v>315</v>
      </c>
      <c r="AK21" s="48" t="b">
        <f t="shared" si="10"/>
        <v>1</v>
      </c>
      <c r="AL21" s="42">
        <v>150</v>
      </c>
      <c r="AM21" s="49">
        <v>315</v>
      </c>
      <c r="AN21" s="28"/>
      <c r="AO21" s="28"/>
      <c r="AP21" s="29"/>
      <c r="BA21" s="29"/>
      <c r="BB21" s="28" t="b">
        <f t="shared" si="18"/>
        <v>1</v>
      </c>
      <c r="BC21" s="28">
        <f t="shared" si="19"/>
        <v>1</v>
      </c>
      <c r="BD21" s="42">
        <v>0.09</v>
      </c>
      <c r="BE21" s="28">
        <f t="shared" si="20"/>
        <v>1</v>
      </c>
      <c r="BF21" s="42">
        <v>18</v>
      </c>
      <c r="BG21" s="29" t="s">
        <v>333</v>
      </c>
      <c r="BJ21" s="133"/>
      <c r="BK21" s="45"/>
      <c r="BL21" s="139"/>
      <c r="BM21" s="45"/>
      <c r="BN21" s="114"/>
      <c r="BO21" s="45"/>
      <c r="BP21" s="64"/>
      <c r="BQ21" s="120" t="b">
        <f t="shared" si="22"/>
        <v>0</v>
      </c>
      <c r="BR21" s="114" t="s">
        <v>120</v>
      </c>
      <c r="BS21" s="45">
        <v>80</v>
      </c>
      <c r="BT21" s="53">
        <v>80</v>
      </c>
      <c r="BU21" s="139"/>
      <c r="BV21" s="45"/>
      <c r="BW21" s="114"/>
      <c r="BX21" s="45"/>
      <c r="BY21" s="64"/>
      <c r="BZ21" s="27"/>
      <c r="CA21" s="28"/>
      <c r="CB21" s="29"/>
      <c r="CC21" s="64"/>
      <c r="CD21" s="28"/>
      <c r="CE21" s="28"/>
      <c r="CF21" s="29"/>
      <c r="CG21" s="64"/>
      <c r="CH21" s="28"/>
      <c r="CI21" s="28"/>
      <c r="CJ21" s="28"/>
      <c r="CK21" s="64"/>
      <c r="CL21" s="28"/>
      <c r="CM21" s="28"/>
      <c r="CN21" s="28"/>
      <c r="CO21" s="64"/>
      <c r="CP21" s="28"/>
      <c r="CQ21" s="28"/>
      <c r="CR21" s="28"/>
      <c r="CS21" s="64"/>
      <c r="CT21" s="28"/>
      <c r="CU21" s="28"/>
      <c r="CV21" s="28"/>
      <c r="CW21" s="28"/>
      <c r="CX21" s="28"/>
      <c r="CY21" s="28"/>
      <c r="CZ21" s="64"/>
      <c r="DA21" s="28"/>
      <c r="DB21" s="28"/>
      <c r="DC21" s="28"/>
      <c r="DD21" s="64"/>
      <c r="DE21" s="64"/>
      <c r="DF21" s="45"/>
      <c r="DG21" s="114"/>
      <c r="DH21" s="28"/>
      <c r="DI21" s="64"/>
      <c r="DJ21" s="28"/>
      <c r="DK21" s="28"/>
      <c r="DL21" s="28"/>
      <c r="DM21" s="64"/>
      <c r="DN21" s="28"/>
      <c r="DO21" s="28"/>
      <c r="DP21" s="29"/>
    </row>
    <row r="22" spans="1:120" ht="15.75" thickBot="1" x14ac:dyDescent="0.3">
      <c r="E22" t="s">
        <v>73</v>
      </c>
      <c r="F22" t="e">
        <f>VLOOKUP(1,Z4:AC17,2,FALSE)</f>
        <v>#N/A</v>
      </c>
      <c r="I22" s="28"/>
      <c r="J22" s="30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E22" s="31"/>
      <c r="AF22" s="33"/>
      <c r="AG22" s="33"/>
      <c r="AH22" s="31"/>
      <c r="AI22" s="33"/>
      <c r="AJ22" s="34"/>
      <c r="AK22" s="50" t="b">
        <f t="shared" si="10"/>
        <v>1</v>
      </c>
      <c r="AL22" s="46">
        <v>150</v>
      </c>
      <c r="AM22" s="51">
        <v>400</v>
      </c>
      <c r="AN22" s="33"/>
      <c r="AO22" s="33"/>
      <c r="AP22" s="34"/>
      <c r="BB22" s="28" t="b">
        <f t="shared" si="18"/>
        <v>1</v>
      </c>
      <c r="BC22" s="28">
        <f t="shared" si="19"/>
        <v>1</v>
      </c>
      <c r="BD22" s="42">
        <v>0.1</v>
      </c>
      <c r="BE22" s="28">
        <f t="shared" si="20"/>
        <v>1</v>
      </c>
      <c r="BF22" s="42">
        <v>16</v>
      </c>
      <c r="BG22" s="29" t="s">
        <v>330</v>
      </c>
      <c r="BJ22" s="133"/>
      <c r="BK22" s="45"/>
      <c r="BL22" s="139"/>
      <c r="BM22" s="45"/>
      <c r="BN22" s="114"/>
      <c r="BO22" s="45"/>
      <c r="BP22" s="64"/>
      <c r="BQ22" s="120" t="b">
        <f t="shared" si="22"/>
        <v>0</v>
      </c>
      <c r="BR22" s="114" t="s">
        <v>121</v>
      </c>
      <c r="BS22" s="45">
        <v>80</v>
      </c>
      <c r="BT22" s="53">
        <v>100</v>
      </c>
      <c r="BU22" s="139"/>
      <c r="BV22" s="45"/>
      <c r="BW22" s="114"/>
      <c r="BX22" s="45"/>
      <c r="BY22" s="64"/>
      <c r="BZ22" s="27"/>
      <c r="CA22" s="28"/>
      <c r="CB22" s="29"/>
      <c r="CC22" s="64"/>
      <c r="CD22" s="28"/>
      <c r="CE22" s="28"/>
      <c r="CF22" s="29"/>
      <c r="CG22" s="64"/>
      <c r="CH22" s="28"/>
      <c r="CI22" s="28"/>
      <c r="CJ22" s="28"/>
      <c r="CK22" s="64"/>
      <c r="CL22" s="28"/>
      <c r="CM22" s="28"/>
      <c r="CN22" s="28"/>
      <c r="CO22" s="64"/>
      <c r="CP22" s="28"/>
      <c r="CQ22" s="28"/>
      <c r="CR22" s="28"/>
      <c r="CS22" s="64"/>
      <c r="CT22" s="28"/>
      <c r="CU22" s="28"/>
      <c r="CV22" s="28"/>
      <c r="CW22" s="28"/>
      <c r="CX22" s="28"/>
      <c r="CY22" s="28"/>
      <c r="CZ22" s="64"/>
      <c r="DA22" s="28"/>
      <c r="DB22" s="28"/>
      <c r="DC22" s="28"/>
      <c r="DD22" s="64"/>
      <c r="DE22" s="64"/>
      <c r="DF22" s="45"/>
      <c r="DG22" s="114"/>
      <c r="DH22" s="28"/>
      <c r="DI22" s="64"/>
      <c r="DJ22" s="28"/>
      <c r="DK22" s="28"/>
      <c r="DL22" s="28"/>
      <c r="DM22" s="64"/>
      <c r="DN22" s="28"/>
      <c r="DO22" s="28"/>
      <c r="DP22" s="29"/>
    </row>
    <row r="23" spans="1:120" x14ac:dyDescent="0.25">
      <c r="E23" t="s">
        <v>49</v>
      </c>
      <c r="F23" s="25">
        <f>F21</f>
        <v>0</v>
      </c>
      <c r="BB23" s="28" t="b">
        <f t="shared" si="18"/>
        <v>1</v>
      </c>
      <c r="BC23" s="28">
        <f t="shared" si="19"/>
        <v>1</v>
      </c>
      <c r="BD23" s="42">
        <v>0.1</v>
      </c>
      <c r="BE23" s="28">
        <f t="shared" si="20"/>
        <v>1</v>
      </c>
      <c r="BF23" s="42">
        <v>20</v>
      </c>
      <c r="BG23" s="29" t="s">
        <v>333</v>
      </c>
      <c r="BJ23" s="133"/>
      <c r="BK23" s="45"/>
      <c r="BL23" s="139"/>
      <c r="BM23" s="45"/>
      <c r="BN23" s="114"/>
      <c r="BO23" s="45"/>
      <c r="BP23" s="64"/>
      <c r="BQ23" s="120" t="b">
        <f t="shared" si="22"/>
        <v>0</v>
      </c>
      <c r="BR23" s="114" t="s">
        <v>122</v>
      </c>
      <c r="BS23" s="45">
        <v>100</v>
      </c>
      <c r="BT23" s="53">
        <v>125</v>
      </c>
      <c r="BU23" s="139"/>
      <c r="BV23" s="45"/>
      <c r="BW23" s="114"/>
      <c r="BX23" s="45"/>
      <c r="BY23" s="64"/>
      <c r="BZ23" s="27"/>
      <c r="CA23" s="28"/>
      <c r="CB23" s="29"/>
      <c r="CC23" s="64"/>
      <c r="CD23" s="28"/>
      <c r="CE23" s="28"/>
      <c r="CF23" s="29"/>
      <c r="CG23" s="64"/>
      <c r="CH23" s="28"/>
      <c r="CI23" s="28"/>
      <c r="CJ23" s="28"/>
      <c r="CK23" s="64"/>
      <c r="CL23" s="28"/>
      <c r="CM23" s="28"/>
      <c r="CN23" s="28"/>
      <c r="CO23" s="64"/>
      <c r="CP23" s="28"/>
      <c r="CQ23" s="28"/>
      <c r="CR23" s="28"/>
      <c r="CS23" s="64"/>
      <c r="CT23" s="28"/>
      <c r="CU23" s="28"/>
      <c r="CV23" s="28"/>
      <c r="CW23" s="28"/>
      <c r="CX23" s="28"/>
      <c r="CY23" s="28"/>
      <c r="CZ23" s="64"/>
      <c r="DA23" s="28"/>
      <c r="DB23" s="28"/>
      <c r="DC23" s="28"/>
      <c r="DD23" s="64"/>
      <c r="DE23" s="64"/>
      <c r="DF23" s="45"/>
      <c r="DG23" s="114"/>
      <c r="DH23" s="28"/>
      <c r="DI23" s="64"/>
      <c r="DJ23" s="28"/>
      <c r="DK23" s="28"/>
      <c r="DL23" s="28"/>
      <c r="DM23" s="64"/>
      <c r="DN23" s="28"/>
      <c r="DO23" s="28"/>
      <c r="DP23" s="29"/>
    </row>
    <row r="24" spans="1:120" x14ac:dyDescent="0.25">
      <c r="E24" s="222" t="e">
        <f>VLOOKUP(TRUE,IF(B15="Stratos-Z",AS4:AT8,IF(B15="Yonos MAXO-Z",AU4:AV8,FALSE)),2,FALSE)</f>
        <v>#N/A</v>
      </c>
      <c r="F24" s="222"/>
      <c r="BB24" s="28" t="b">
        <f t="shared" si="18"/>
        <v>1</v>
      </c>
      <c r="BC24" s="28">
        <f t="shared" si="19"/>
        <v>1</v>
      </c>
      <c r="BD24" s="42">
        <v>0.15</v>
      </c>
      <c r="BE24" s="28">
        <f t="shared" si="20"/>
        <v>1</v>
      </c>
      <c r="BF24" s="42">
        <v>15</v>
      </c>
      <c r="BG24" s="29" t="s">
        <v>314</v>
      </c>
      <c r="BJ24" s="133"/>
      <c r="BK24" s="45"/>
      <c r="BL24" s="139"/>
      <c r="BM24" s="45"/>
      <c r="BN24" s="114"/>
      <c r="BO24" s="45"/>
      <c r="BP24" s="64"/>
      <c r="BQ24" s="120" t="b">
        <f t="shared" si="22"/>
        <v>0</v>
      </c>
      <c r="BR24" s="114" t="s">
        <v>123</v>
      </c>
      <c r="BS24" s="45">
        <v>100</v>
      </c>
      <c r="BT24" s="53">
        <v>160</v>
      </c>
      <c r="BU24" s="139"/>
      <c r="BV24" s="45"/>
      <c r="BW24" s="114"/>
      <c r="BX24" s="45"/>
      <c r="BY24" s="64"/>
      <c r="BZ24" s="27"/>
      <c r="CA24" s="28"/>
      <c r="CB24" s="29"/>
      <c r="CC24" s="64"/>
      <c r="CD24" s="28"/>
      <c r="CE24" s="28"/>
      <c r="CF24" s="29"/>
      <c r="CG24" s="64"/>
      <c r="CH24" s="28"/>
      <c r="CI24" s="28"/>
      <c r="CJ24" s="28"/>
      <c r="CK24" s="64"/>
      <c r="CL24" s="28"/>
      <c r="CM24" s="28"/>
      <c r="CN24" s="28"/>
      <c r="CO24" s="64"/>
      <c r="CP24" s="28"/>
      <c r="CQ24" s="28"/>
      <c r="CR24" s="28"/>
      <c r="CS24" s="64"/>
      <c r="CT24" s="28"/>
      <c r="CU24" s="28"/>
      <c r="CV24" s="28"/>
      <c r="CW24" s="28"/>
      <c r="CX24" s="28"/>
      <c r="CY24" s="28"/>
      <c r="CZ24" s="64"/>
      <c r="DA24" s="28"/>
      <c r="DB24" s="28"/>
      <c r="DC24" s="28"/>
      <c r="DD24" s="64"/>
      <c r="DE24" s="64"/>
      <c r="DF24" s="28"/>
      <c r="DG24" s="28"/>
      <c r="DH24" s="28"/>
      <c r="DI24" s="64"/>
      <c r="DJ24" s="28"/>
      <c r="DK24" s="28"/>
      <c r="DL24" s="28"/>
      <c r="DM24" s="64"/>
      <c r="DN24" s="28"/>
      <c r="DO24" s="28"/>
      <c r="DP24" s="29"/>
    </row>
    <row r="25" spans="1:120" x14ac:dyDescent="0.25">
      <c r="BB25" s="28" t="b">
        <f t="shared" si="18"/>
        <v>1</v>
      </c>
      <c r="BC25" s="28">
        <f t="shared" si="19"/>
        <v>1</v>
      </c>
      <c r="BD25" s="42">
        <v>0.15</v>
      </c>
      <c r="BE25" s="28">
        <f t="shared" si="20"/>
        <v>1</v>
      </c>
      <c r="BF25" s="42">
        <v>29.3</v>
      </c>
      <c r="BG25" s="29" t="s">
        <v>315</v>
      </c>
      <c r="BJ25" s="133"/>
      <c r="BK25" s="45"/>
      <c r="BL25" s="139"/>
      <c r="BM25" s="45"/>
      <c r="BN25" s="114"/>
      <c r="BO25" s="45"/>
      <c r="BP25" s="64"/>
      <c r="BQ25" s="120" t="b">
        <f t="shared" si="22"/>
        <v>0</v>
      </c>
      <c r="BR25" s="114" t="s">
        <v>128</v>
      </c>
      <c r="BS25" s="45">
        <v>125</v>
      </c>
      <c r="BT25" s="53">
        <v>250</v>
      </c>
      <c r="BU25" s="139"/>
      <c r="BV25" s="45"/>
      <c r="BW25" s="114"/>
      <c r="BX25" s="45"/>
      <c r="BY25" s="64"/>
      <c r="BZ25" s="27"/>
      <c r="CA25" s="28"/>
      <c r="CB25" s="29"/>
      <c r="CC25" s="64"/>
      <c r="CD25" s="28"/>
      <c r="CE25" s="28"/>
      <c r="CF25" s="29"/>
      <c r="CG25" s="64"/>
      <c r="CH25" s="28"/>
      <c r="CI25" s="28"/>
      <c r="CJ25" s="28"/>
      <c r="CK25" s="64"/>
      <c r="CL25" s="28"/>
      <c r="CM25" s="28"/>
      <c r="CN25" s="28"/>
      <c r="CO25" s="64"/>
      <c r="CP25" s="28"/>
      <c r="CQ25" s="28"/>
      <c r="CR25" s="28"/>
      <c r="CS25" s="64"/>
      <c r="CT25" s="28"/>
      <c r="CU25" s="28"/>
      <c r="CV25" s="28"/>
      <c r="CW25" s="28"/>
      <c r="CX25" s="28"/>
      <c r="CY25" s="28"/>
      <c r="CZ25" s="64"/>
      <c r="DA25" s="28"/>
      <c r="DB25" s="28"/>
      <c r="DC25" s="28"/>
      <c r="DD25" s="64"/>
      <c r="DE25" s="64"/>
      <c r="DF25" s="28"/>
      <c r="DG25" s="28"/>
      <c r="DH25" s="28"/>
      <c r="DI25" s="64"/>
      <c r="DJ25" s="28"/>
      <c r="DK25" s="28"/>
      <c r="DL25" s="28"/>
      <c r="DM25" s="64"/>
      <c r="DN25" s="28"/>
      <c r="DO25" s="28"/>
      <c r="DP25" s="29"/>
    </row>
    <row r="26" spans="1:120" ht="15.75" thickBot="1" x14ac:dyDescent="0.3">
      <c r="BB26" s="28" t="b">
        <f t="shared" si="18"/>
        <v>1</v>
      </c>
      <c r="BC26" s="28">
        <f t="shared" si="19"/>
        <v>1</v>
      </c>
      <c r="BD26" s="42">
        <v>0.15</v>
      </c>
      <c r="BE26" s="28">
        <f t="shared" si="20"/>
        <v>1</v>
      </c>
      <c r="BF26" s="42">
        <v>30</v>
      </c>
      <c r="BG26" s="29" t="s">
        <v>316</v>
      </c>
      <c r="BJ26" s="136"/>
      <c r="BK26" s="52"/>
      <c r="BL26" s="140"/>
      <c r="BM26" s="52"/>
      <c r="BN26" s="137"/>
      <c r="BO26" s="52"/>
      <c r="BP26" s="65"/>
      <c r="BQ26" s="129" t="b">
        <f t="shared" si="22"/>
        <v>0</v>
      </c>
      <c r="BR26" s="137" t="s">
        <v>129</v>
      </c>
      <c r="BS26" s="52">
        <v>150</v>
      </c>
      <c r="BT26" s="159">
        <v>315</v>
      </c>
      <c r="BU26" s="140"/>
      <c r="BV26" s="52"/>
      <c r="BW26" s="137"/>
      <c r="BX26" s="52"/>
      <c r="BY26" s="65"/>
      <c r="BZ26" s="31"/>
      <c r="CA26" s="33"/>
      <c r="CB26" s="34"/>
      <c r="CC26" s="65"/>
      <c r="CD26" s="33"/>
      <c r="CE26" s="33"/>
      <c r="CF26" s="34"/>
      <c r="CG26" s="65"/>
      <c r="CH26" s="33"/>
      <c r="CI26" s="33"/>
      <c r="CJ26" s="33"/>
      <c r="CK26" s="65"/>
      <c r="CL26" s="33"/>
      <c r="CM26" s="33"/>
      <c r="CN26" s="33"/>
      <c r="CO26" s="65"/>
      <c r="CP26" s="33"/>
      <c r="CQ26" s="33"/>
      <c r="CR26" s="33"/>
      <c r="CS26" s="65"/>
      <c r="CT26" s="33"/>
      <c r="CU26" s="33"/>
      <c r="CV26" s="33"/>
      <c r="CW26" s="33"/>
      <c r="CX26" s="33"/>
      <c r="CY26" s="33"/>
      <c r="CZ26" s="65"/>
      <c r="DA26" s="33"/>
      <c r="DB26" s="33"/>
      <c r="DC26" s="33"/>
      <c r="DD26" s="65"/>
      <c r="DE26" s="65"/>
      <c r="DF26" s="33"/>
      <c r="DG26" s="33"/>
      <c r="DH26" s="33"/>
      <c r="DI26" s="65"/>
      <c r="DJ26" s="33"/>
      <c r="DK26" s="33"/>
      <c r="DL26" s="33"/>
      <c r="DM26" s="65"/>
      <c r="DN26" s="33"/>
      <c r="DO26" s="33"/>
      <c r="DP26" s="34"/>
    </row>
    <row r="27" spans="1:120" x14ac:dyDescent="0.25">
      <c r="BB27" s="28" t="b">
        <f t="shared" si="18"/>
        <v>1</v>
      </c>
      <c r="BC27" s="28">
        <f t="shared" si="19"/>
        <v>1</v>
      </c>
      <c r="BD27" s="42">
        <v>0.2</v>
      </c>
      <c r="BE27" s="28">
        <f t="shared" si="20"/>
        <v>1</v>
      </c>
      <c r="BF27" s="42">
        <v>11</v>
      </c>
      <c r="BG27" s="29" t="s">
        <v>314</v>
      </c>
    </row>
    <row r="28" spans="1:120" x14ac:dyDescent="0.25">
      <c r="BB28" s="28" t="b">
        <f t="shared" si="18"/>
        <v>1</v>
      </c>
      <c r="BC28" s="28">
        <f t="shared" si="19"/>
        <v>1</v>
      </c>
      <c r="BD28" s="42">
        <v>0.2</v>
      </c>
      <c r="BE28" s="28">
        <f t="shared" si="20"/>
        <v>1</v>
      </c>
      <c r="BF28" s="42">
        <v>26</v>
      </c>
      <c r="BG28" s="29" t="s">
        <v>315</v>
      </c>
    </row>
    <row r="29" spans="1:120" x14ac:dyDescent="0.25">
      <c r="BB29" s="28" t="b">
        <f t="shared" si="18"/>
        <v>1</v>
      </c>
      <c r="BC29" s="28">
        <f t="shared" si="19"/>
        <v>1</v>
      </c>
      <c r="BD29" s="42">
        <v>0.2</v>
      </c>
      <c r="BE29" s="28">
        <f t="shared" si="20"/>
        <v>1</v>
      </c>
      <c r="BF29" s="42">
        <v>38</v>
      </c>
      <c r="BG29" s="29" t="s">
        <v>316</v>
      </c>
    </row>
    <row r="30" spans="1:120" x14ac:dyDescent="0.25">
      <c r="BB30" s="28" t="b">
        <f t="shared" si="18"/>
        <v>1</v>
      </c>
      <c r="BC30" s="28">
        <f t="shared" si="19"/>
        <v>1</v>
      </c>
      <c r="BD30" s="42">
        <v>0.2</v>
      </c>
      <c r="BE30" s="28">
        <f t="shared" si="20"/>
        <v>1</v>
      </c>
      <c r="BF30" s="42">
        <v>40</v>
      </c>
      <c r="BG30" s="29" t="s">
        <v>317</v>
      </c>
    </row>
    <row r="31" spans="1:120" x14ac:dyDescent="0.25">
      <c r="BB31" s="28" t="b">
        <f t="shared" si="18"/>
        <v>1</v>
      </c>
      <c r="BC31" s="28">
        <f t="shared" si="19"/>
        <v>1</v>
      </c>
      <c r="BD31" s="42">
        <v>0.25</v>
      </c>
      <c r="BE31" s="28">
        <f t="shared" si="20"/>
        <v>1</v>
      </c>
      <c r="BF31" s="42">
        <v>23</v>
      </c>
      <c r="BG31" s="29" t="s">
        <v>315</v>
      </c>
    </row>
    <row r="32" spans="1:120" x14ac:dyDescent="0.25">
      <c r="BB32" s="28" t="b">
        <f t="shared" si="18"/>
        <v>1</v>
      </c>
      <c r="BC32" s="28">
        <f t="shared" si="19"/>
        <v>1</v>
      </c>
      <c r="BD32" s="42">
        <v>0.25</v>
      </c>
      <c r="BE32" s="28">
        <f t="shared" si="20"/>
        <v>1</v>
      </c>
      <c r="BF32" s="42">
        <v>36</v>
      </c>
      <c r="BG32" s="29" t="s">
        <v>316</v>
      </c>
    </row>
    <row r="33" spans="54:59" x14ac:dyDescent="0.25">
      <c r="BB33" s="28" t="b">
        <f t="shared" si="18"/>
        <v>1</v>
      </c>
      <c r="BC33" s="28">
        <f t="shared" si="19"/>
        <v>1</v>
      </c>
      <c r="BD33" s="42">
        <v>0.25</v>
      </c>
      <c r="BE33" s="28">
        <f t="shared" si="20"/>
        <v>1</v>
      </c>
      <c r="BF33" s="42">
        <v>45</v>
      </c>
      <c r="BG33" s="29" t="s">
        <v>317</v>
      </c>
    </row>
    <row r="34" spans="54:59" x14ac:dyDescent="0.25">
      <c r="BB34" s="28" t="b">
        <f t="shared" si="18"/>
        <v>1</v>
      </c>
      <c r="BC34" s="28">
        <f t="shared" si="19"/>
        <v>1</v>
      </c>
      <c r="BD34" s="42">
        <v>0.25</v>
      </c>
      <c r="BE34" s="28">
        <f t="shared" si="20"/>
        <v>1</v>
      </c>
      <c r="BF34" s="42">
        <v>50</v>
      </c>
      <c r="BG34" s="49" t="s">
        <v>334</v>
      </c>
    </row>
    <row r="35" spans="54:59" x14ac:dyDescent="0.25">
      <c r="BB35" s="28" t="b">
        <f t="shared" si="18"/>
        <v>1</v>
      </c>
      <c r="BC35" s="28">
        <f t="shared" si="19"/>
        <v>1</v>
      </c>
      <c r="BD35" s="42">
        <v>0.3</v>
      </c>
      <c r="BE35" s="28">
        <f t="shared" si="20"/>
        <v>1</v>
      </c>
      <c r="BF35" s="42">
        <v>21</v>
      </c>
      <c r="BG35" s="29" t="s">
        <v>315</v>
      </c>
    </row>
    <row r="36" spans="54:59" x14ac:dyDescent="0.25">
      <c r="BB36" s="28" t="b">
        <f t="shared" si="18"/>
        <v>1</v>
      </c>
      <c r="BC36" s="28">
        <f t="shared" si="19"/>
        <v>1</v>
      </c>
      <c r="BD36" s="42">
        <v>0.3</v>
      </c>
      <c r="BE36" s="28">
        <f t="shared" si="20"/>
        <v>1</v>
      </c>
      <c r="BF36" s="42">
        <v>33</v>
      </c>
      <c r="BG36" s="29" t="s">
        <v>316</v>
      </c>
    </row>
    <row r="37" spans="54:59" x14ac:dyDescent="0.25">
      <c r="BB37" s="28" t="b">
        <f t="shared" si="18"/>
        <v>1</v>
      </c>
      <c r="BC37" s="28">
        <f t="shared" si="19"/>
        <v>1</v>
      </c>
      <c r="BD37" s="42">
        <v>0.3</v>
      </c>
      <c r="BE37" s="28">
        <f t="shared" si="20"/>
        <v>1</v>
      </c>
      <c r="BF37" s="42">
        <v>45</v>
      </c>
      <c r="BG37" s="29" t="s">
        <v>317</v>
      </c>
    </row>
    <row r="38" spans="54:59" x14ac:dyDescent="0.25">
      <c r="BB38" s="28" t="b">
        <f t="shared" si="18"/>
        <v>1</v>
      </c>
      <c r="BC38" s="28">
        <f t="shared" si="19"/>
        <v>1</v>
      </c>
      <c r="BD38" s="42">
        <v>0.3</v>
      </c>
      <c r="BE38" s="28">
        <f t="shared" si="20"/>
        <v>1</v>
      </c>
      <c r="BF38" s="42">
        <v>46</v>
      </c>
      <c r="BG38" s="29" t="s">
        <v>336</v>
      </c>
    </row>
    <row r="39" spans="54:59" x14ac:dyDescent="0.25">
      <c r="BB39" s="28" t="b">
        <f t="shared" si="18"/>
        <v>1</v>
      </c>
      <c r="BC39" s="28">
        <f t="shared" si="19"/>
        <v>1</v>
      </c>
      <c r="BD39" s="42">
        <v>0.3</v>
      </c>
      <c r="BE39" s="28">
        <f t="shared" si="20"/>
        <v>1</v>
      </c>
      <c r="BF39" s="42">
        <v>60</v>
      </c>
      <c r="BG39" s="49" t="s">
        <v>334</v>
      </c>
    </row>
    <row r="40" spans="54:59" x14ac:dyDescent="0.25">
      <c r="BB40" s="28" t="b">
        <f t="shared" si="18"/>
        <v>1</v>
      </c>
      <c r="BC40" s="28">
        <f t="shared" si="19"/>
        <v>1</v>
      </c>
      <c r="BD40" s="42">
        <v>0.35</v>
      </c>
      <c r="BE40" s="28">
        <f t="shared" si="20"/>
        <v>1</v>
      </c>
      <c r="BF40" s="42">
        <v>17</v>
      </c>
      <c r="BG40" s="29" t="s">
        <v>315</v>
      </c>
    </row>
    <row r="41" spans="54:59" x14ac:dyDescent="0.25">
      <c r="BB41" s="28" t="b">
        <f t="shared" si="18"/>
        <v>1</v>
      </c>
      <c r="BC41" s="28">
        <f t="shared" si="19"/>
        <v>1</v>
      </c>
      <c r="BD41" s="42">
        <v>0.35</v>
      </c>
      <c r="BE41" s="28">
        <f t="shared" si="20"/>
        <v>1</v>
      </c>
      <c r="BF41" s="42">
        <v>31</v>
      </c>
      <c r="BG41" s="29" t="s">
        <v>316</v>
      </c>
    </row>
    <row r="42" spans="54:59" x14ac:dyDescent="0.25">
      <c r="BB42" s="28" t="b">
        <f t="shared" si="18"/>
        <v>1</v>
      </c>
      <c r="BC42" s="28">
        <f t="shared" si="19"/>
        <v>1</v>
      </c>
      <c r="BD42" s="42">
        <v>0.35</v>
      </c>
      <c r="BE42" s="28">
        <f t="shared" si="20"/>
        <v>1</v>
      </c>
      <c r="BF42" s="42">
        <v>43</v>
      </c>
      <c r="BG42" s="29" t="s">
        <v>317</v>
      </c>
    </row>
    <row r="43" spans="54:59" x14ac:dyDescent="0.25">
      <c r="BB43" s="28" t="b">
        <f t="shared" si="18"/>
        <v>1</v>
      </c>
      <c r="BC43" s="28">
        <f t="shared" si="19"/>
        <v>1</v>
      </c>
      <c r="BD43" s="42">
        <v>0.35</v>
      </c>
      <c r="BE43" s="28">
        <f t="shared" si="20"/>
        <v>1</v>
      </c>
      <c r="BF43" s="42">
        <v>46</v>
      </c>
      <c r="BG43" s="29" t="s">
        <v>336</v>
      </c>
    </row>
    <row r="44" spans="54:59" x14ac:dyDescent="0.25">
      <c r="BB44" s="28" t="b">
        <f t="shared" si="18"/>
        <v>1</v>
      </c>
      <c r="BC44" s="28">
        <f t="shared" si="19"/>
        <v>1</v>
      </c>
      <c r="BD44" s="42">
        <v>0.35</v>
      </c>
      <c r="BE44" s="28">
        <f t="shared" si="20"/>
        <v>1</v>
      </c>
      <c r="BF44" s="42">
        <v>65</v>
      </c>
      <c r="BG44" s="49" t="s">
        <v>334</v>
      </c>
    </row>
    <row r="45" spans="54:59" x14ac:dyDescent="0.25">
      <c r="BB45" s="28" t="b">
        <f t="shared" si="18"/>
        <v>1</v>
      </c>
      <c r="BC45" s="28">
        <f t="shared" si="19"/>
        <v>1</v>
      </c>
      <c r="BD45" s="42">
        <v>0.35</v>
      </c>
      <c r="BE45" s="28">
        <f t="shared" si="20"/>
        <v>1</v>
      </c>
      <c r="BF45" s="42">
        <v>70</v>
      </c>
      <c r="BG45" s="49" t="s">
        <v>335</v>
      </c>
    </row>
    <row r="46" spans="54:59" x14ac:dyDescent="0.25">
      <c r="BB46" s="28" t="b">
        <f t="shared" si="18"/>
        <v>1</v>
      </c>
      <c r="BC46" s="28">
        <f t="shared" si="19"/>
        <v>1</v>
      </c>
      <c r="BD46" s="42">
        <v>0.4</v>
      </c>
      <c r="BE46" s="28">
        <f t="shared" si="20"/>
        <v>1</v>
      </c>
      <c r="BF46" s="42">
        <v>27</v>
      </c>
      <c r="BG46" s="29" t="s">
        <v>316</v>
      </c>
    </row>
    <row r="47" spans="54:59" x14ac:dyDescent="0.25">
      <c r="BB47" s="28" t="b">
        <f t="shared" si="18"/>
        <v>1</v>
      </c>
      <c r="BC47" s="28">
        <f t="shared" si="19"/>
        <v>1</v>
      </c>
      <c r="BD47" s="42">
        <v>0.4</v>
      </c>
      <c r="BE47" s="28">
        <f t="shared" si="20"/>
        <v>1</v>
      </c>
      <c r="BF47" s="42">
        <v>41</v>
      </c>
      <c r="BG47" s="29" t="s">
        <v>317</v>
      </c>
    </row>
    <row r="48" spans="54:59" x14ac:dyDescent="0.25">
      <c r="BB48" s="28" t="b">
        <f t="shared" si="18"/>
        <v>1</v>
      </c>
      <c r="BC48" s="28">
        <f t="shared" si="19"/>
        <v>1</v>
      </c>
      <c r="BD48" s="42">
        <v>0.4</v>
      </c>
      <c r="BE48" s="28">
        <f t="shared" si="20"/>
        <v>1</v>
      </c>
      <c r="BF48" s="42">
        <v>47</v>
      </c>
      <c r="BG48" s="29" t="s">
        <v>336</v>
      </c>
    </row>
    <row r="49" spans="54:59" x14ac:dyDescent="0.25">
      <c r="BB49" s="28" t="b">
        <f t="shared" si="18"/>
        <v>1</v>
      </c>
      <c r="BC49" s="28">
        <f t="shared" si="19"/>
        <v>1</v>
      </c>
      <c r="BD49" s="42">
        <v>0.4</v>
      </c>
      <c r="BE49" s="28">
        <f t="shared" si="20"/>
        <v>1</v>
      </c>
      <c r="BF49" s="42">
        <v>57</v>
      </c>
      <c r="BG49" s="49" t="s">
        <v>334</v>
      </c>
    </row>
    <row r="50" spans="54:59" x14ac:dyDescent="0.25">
      <c r="BB50" s="28" t="b">
        <f t="shared" si="18"/>
        <v>1</v>
      </c>
      <c r="BC50" s="28">
        <f t="shared" si="19"/>
        <v>1</v>
      </c>
      <c r="BD50" s="42">
        <v>0.4</v>
      </c>
      <c r="BE50" s="28">
        <f t="shared" si="20"/>
        <v>1</v>
      </c>
      <c r="BF50" s="42">
        <v>80</v>
      </c>
      <c r="BG50" s="49" t="s">
        <v>335</v>
      </c>
    </row>
    <row r="51" spans="54:59" x14ac:dyDescent="0.25">
      <c r="BB51" s="28" t="b">
        <f t="shared" si="18"/>
        <v>1</v>
      </c>
      <c r="BC51" s="28">
        <f t="shared" si="19"/>
        <v>1</v>
      </c>
      <c r="BD51" s="42">
        <v>0.45</v>
      </c>
      <c r="BE51" s="28">
        <f t="shared" si="20"/>
        <v>1</v>
      </c>
      <c r="BF51" s="42">
        <v>24</v>
      </c>
      <c r="BG51" s="29" t="s">
        <v>316</v>
      </c>
    </row>
    <row r="52" spans="54:59" x14ac:dyDescent="0.25">
      <c r="BB52" s="28" t="b">
        <f t="shared" si="18"/>
        <v>1</v>
      </c>
      <c r="BC52" s="28">
        <f t="shared" si="19"/>
        <v>1</v>
      </c>
      <c r="BD52" s="42">
        <v>0.45</v>
      </c>
      <c r="BE52" s="28">
        <f t="shared" si="20"/>
        <v>1</v>
      </c>
      <c r="BF52" s="42">
        <v>39</v>
      </c>
      <c r="BG52" s="29" t="s">
        <v>317</v>
      </c>
    </row>
    <row r="53" spans="54:59" x14ac:dyDescent="0.25">
      <c r="BB53" s="28" t="b">
        <f t="shared" si="18"/>
        <v>1</v>
      </c>
      <c r="BC53" s="28">
        <f t="shared" si="19"/>
        <v>1</v>
      </c>
      <c r="BD53" s="42">
        <v>0.45</v>
      </c>
      <c r="BE53" s="28">
        <f t="shared" si="20"/>
        <v>1</v>
      </c>
      <c r="BF53" s="42">
        <v>45</v>
      </c>
      <c r="BG53" s="29" t="s">
        <v>336</v>
      </c>
    </row>
    <row r="54" spans="54:59" x14ac:dyDescent="0.25">
      <c r="BB54" s="28" t="b">
        <f t="shared" si="18"/>
        <v>1</v>
      </c>
      <c r="BC54" s="28">
        <f t="shared" si="19"/>
        <v>1</v>
      </c>
      <c r="BD54" s="42">
        <v>0.45</v>
      </c>
      <c r="BE54" s="28">
        <f t="shared" si="20"/>
        <v>1</v>
      </c>
      <c r="BF54" s="42">
        <v>70</v>
      </c>
      <c r="BG54" s="49" t="s">
        <v>337</v>
      </c>
    </row>
    <row r="55" spans="54:59" x14ac:dyDescent="0.25">
      <c r="BB55" s="28" t="b">
        <f t="shared" si="18"/>
        <v>1</v>
      </c>
      <c r="BC55" s="28">
        <f t="shared" si="19"/>
        <v>1</v>
      </c>
      <c r="BD55" s="42">
        <v>0.45</v>
      </c>
      <c r="BE55" s="28">
        <f t="shared" si="20"/>
        <v>1</v>
      </c>
      <c r="BF55" s="42">
        <v>90</v>
      </c>
      <c r="BG55" s="49" t="s">
        <v>338</v>
      </c>
    </row>
    <row r="56" spans="54:59" x14ac:dyDescent="0.25">
      <c r="BB56" s="28" t="b">
        <f t="shared" si="18"/>
        <v>1</v>
      </c>
      <c r="BC56" s="28">
        <f t="shared" si="19"/>
        <v>1</v>
      </c>
      <c r="BD56" s="42">
        <v>0.5</v>
      </c>
      <c r="BE56" s="28">
        <f t="shared" si="20"/>
        <v>1</v>
      </c>
      <c r="BF56" s="42">
        <v>22</v>
      </c>
      <c r="BG56" s="29" t="s">
        <v>316</v>
      </c>
    </row>
    <row r="57" spans="54:59" x14ac:dyDescent="0.25">
      <c r="BB57" s="28" t="b">
        <f t="shared" si="18"/>
        <v>1</v>
      </c>
      <c r="BC57" s="28">
        <f t="shared" si="19"/>
        <v>1</v>
      </c>
      <c r="BD57" s="42">
        <v>0.5</v>
      </c>
      <c r="BE57" s="28">
        <f t="shared" si="20"/>
        <v>1</v>
      </c>
      <c r="BF57" s="42">
        <v>37</v>
      </c>
      <c r="BG57" s="29" t="s">
        <v>317</v>
      </c>
    </row>
    <row r="58" spans="54:59" x14ac:dyDescent="0.25">
      <c r="BB58" s="28" t="b">
        <f t="shared" si="18"/>
        <v>1</v>
      </c>
      <c r="BC58" s="28">
        <f t="shared" si="19"/>
        <v>1</v>
      </c>
      <c r="BD58" s="42">
        <v>0.5</v>
      </c>
      <c r="BE58" s="28">
        <f t="shared" si="20"/>
        <v>1</v>
      </c>
      <c r="BF58" s="42">
        <v>43</v>
      </c>
      <c r="BG58" s="29" t="s">
        <v>336</v>
      </c>
    </row>
    <row r="59" spans="54:59" x14ac:dyDescent="0.25">
      <c r="BB59" s="28" t="b">
        <f t="shared" si="18"/>
        <v>1</v>
      </c>
      <c r="BC59" s="28">
        <f t="shared" si="19"/>
        <v>1</v>
      </c>
      <c r="BD59" s="42">
        <v>0.5</v>
      </c>
      <c r="BE59" s="28">
        <f t="shared" si="20"/>
        <v>1</v>
      </c>
      <c r="BF59" s="42">
        <v>66</v>
      </c>
      <c r="BG59" s="49" t="s">
        <v>337</v>
      </c>
    </row>
    <row r="60" spans="54:59" x14ac:dyDescent="0.25">
      <c r="BB60" s="28" t="b">
        <f t="shared" si="18"/>
        <v>1</v>
      </c>
      <c r="BC60" s="28">
        <f t="shared" si="19"/>
        <v>1</v>
      </c>
      <c r="BD60" s="42">
        <v>0.5</v>
      </c>
      <c r="BE60" s="28">
        <f t="shared" si="20"/>
        <v>1</v>
      </c>
      <c r="BF60" s="42">
        <v>100</v>
      </c>
      <c r="BG60" s="49" t="s">
        <v>338</v>
      </c>
    </row>
    <row r="61" spans="54:59" x14ac:dyDescent="0.25">
      <c r="BB61" s="28" t="b">
        <f t="shared" si="18"/>
        <v>1</v>
      </c>
      <c r="BC61" s="28">
        <f t="shared" si="19"/>
        <v>1</v>
      </c>
      <c r="BD61" s="42">
        <v>0.55000000000000004</v>
      </c>
      <c r="BE61" s="28">
        <f t="shared" si="20"/>
        <v>1</v>
      </c>
      <c r="BF61" s="42">
        <v>35</v>
      </c>
      <c r="BG61" s="29" t="s">
        <v>317</v>
      </c>
    </row>
    <row r="62" spans="54:59" x14ac:dyDescent="0.25">
      <c r="BB62" s="28" t="b">
        <f t="shared" si="18"/>
        <v>1</v>
      </c>
      <c r="BC62" s="28">
        <f t="shared" si="19"/>
        <v>1</v>
      </c>
      <c r="BD62" s="42">
        <v>0.55000000000000004</v>
      </c>
      <c r="BE62" s="28">
        <f t="shared" si="20"/>
        <v>1</v>
      </c>
      <c r="BF62" s="42">
        <v>42</v>
      </c>
      <c r="BG62" s="29" t="s">
        <v>336</v>
      </c>
    </row>
    <row r="63" spans="54:59" x14ac:dyDescent="0.25">
      <c r="BB63" s="28" t="b">
        <f t="shared" si="18"/>
        <v>1</v>
      </c>
      <c r="BC63" s="28">
        <f t="shared" si="19"/>
        <v>1</v>
      </c>
      <c r="BD63" s="42">
        <v>0.55000000000000004</v>
      </c>
      <c r="BE63" s="28">
        <f t="shared" si="20"/>
        <v>1</v>
      </c>
      <c r="BF63" s="42">
        <v>62</v>
      </c>
      <c r="BG63" s="49" t="s">
        <v>337</v>
      </c>
    </row>
    <row r="64" spans="54:59" x14ac:dyDescent="0.25">
      <c r="BB64" s="28" t="b">
        <f t="shared" si="18"/>
        <v>1</v>
      </c>
      <c r="BC64" s="28">
        <f t="shared" si="19"/>
        <v>1</v>
      </c>
      <c r="BD64" s="42">
        <v>0.55000000000000004</v>
      </c>
      <c r="BE64" s="28">
        <f t="shared" si="20"/>
        <v>1</v>
      </c>
      <c r="BF64" s="42">
        <v>110</v>
      </c>
      <c r="BG64" s="49" t="s">
        <v>338</v>
      </c>
    </row>
    <row r="65" spans="54:59" x14ac:dyDescent="0.25">
      <c r="BB65" s="28" t="b">
        <f t="shared" si="18"/>
        <v>1</v>
      </c>
      <c r="BC65" s="28">
        <f t="shared" si="19"/>
        <v>1</v>
      </c>
      <c r="BD65" s="42">
        <v>0.6</v>
      </c>
      <c r="BE65" s="28">
        <f t="shared" si="20"/>
        <v>1</v>
      </c>
      <c r="BF65" s="42">
        <v>33</v>
      </c>
      <c r="BG65" s="29" t="s">
        <v>317</v>
      </c>
    </row>
    <row r="66" spans="54:59" x14ac:dyDescent="0.25">
      <c r="BB66" s="28" t="b">
        <f t="shared" si="18"/>
        <v>1</v>
      </c>
      <c r="BC66" s="28">
        <f t="shared" si="19"/>
        <v>1</v>
      </c>
      <c r="BD66" s="42">
        <v>0.6</v>
      </c>
      <c r="BE66" s="28">
        <f t="shared" si="20"/>
        <v>1</v>
      </c>
      <c r="BF66" s="42">
        <v>41</v>
      </c>
      <c r="BG66" s="29" t="s">
        <v>336</v>
      </c>
    </row>
    <row r="67" spans="54:59" x14ac:dyDescent="0.25">
      <c r="BB67" s="28" t="b">
        <f t="shared" si="18"/>
        <v>1</v>
      </c>
      <c r="BC67" s="28">
        <f t="shared" si="19"/>
        <v>1</v>
      </c>
      <c r="BD67" s="42">
        <v>0.6</v>
      </c>
      <c r="BE67" s="28">
        <f t="shared" si="20"/>
        <v>1</v>
      </c>
      <c r="BF67" s="42">
        <v>55</v>
      </c>
      <c r="BG67" s="49" t="s">
        <v>337</v>
      </c>
    </row>
    <row r="68" spans="54:59" x14ac:dyDescent="0.25">
      <c r="BB68" s="28" t="b">
        <f t="shared" si="18"/>
        <v>1</v>
      </c>
      <c r="BC68" s="28">
        <f t="shared" si="19"/>
        <v>1</v>
      </c>
      <c r="BD68" s="42">
        <v>0.6</v>
      </c>
      <c r="BE68" s="28">
        <f>IF(BF68&gt;=$F$11,1,0)</f>
        <v>1</v>
      </c>
      <c r="BF68" s="42">
        <v>120</v>
      </c>
      <c r="BG68" s="49" t="s">
        <v>338</v>
      </c>
    </row>
    <row r="69" spans="54:59" x14ac:dyDescent="0.25">
      <c r="BB69" s="28" t="b">
        <f t="shared" ref="BB69:BB93" si="34">IF(AND(BC69=1,BE69=1),TRUE,FALSE)</f>
        <v>1</v>
      </c>
      <c r="BC69" s="28">
        <f t="shared" ref="BC69:BC90" si="35">IF(BD69&gt;$B$4,1,0)</f>
        <v>1</v>
      </c>
      <c r="BD69" s="42">
        <v>0.65</v>
      </c>
      <c r="BE69" s="28">
        <f t="shared" ref="BE69:BE92" si="36">IF(BF69&gt;$F$11,1,0)</f>
        <v>1</v>
      </c>
      <c r="BF69" s="42">
        <v>30</v>
      </c>
      <c r="BG69" s="29" t="s">
        <v>317</v>
      </c>
    </row>
    <row r="70" spans="54:59" x14ac:dyDescent="0.25">
      <c r="BB70" s="28" t="b">
        <f t="shared" si="34"/>
        <v>1</v>
      </c>
      <c r="BC70" s="28">
        <f t="shared" si="35"/>
        <v>1</v>
      </c>
      <c r="BD70" s="42">
        <v>0.65</v>
      </c>
      <c r="BE70" s="28">
        <f t="shared" si="36"/>
        <v>1</v>
      </c>
      <c r="BF70" s="42">
        <v>41</v>
      </c>
      <c r="BG70" s="29" t="s">
        <v>336</v>
      </c>
    </row>
    <row r="71" spans="54:59" x14ac:dyDescent="0.25">
      <c r="BB71" s="28" t="b">
        <f t="shared" si="34"/>
        <v>1</v>
      </c>
      <c r="BC71" s="28">
        <f t="shared" si="35"/>
        <v>1</v>
      </c>
      <c r="BD71" s="42">
        <v>0.65</v>
      </c>
      <c r="BE71" s="28">
        <f t="shared" si="36"/>
        <v>1</v>
      </c>
      <c r="BF71" s="42">
        <v>51</v>
      </c>
      <c r="BG71" s="49" t="s">
        <v>337</v>
      </c>
    </row>
    <row r="72" spans="54:59" x14ac:dyDescent="0.25">
      <c r="BB72" s="28" t="b">
        <f t="shared" si="34"/>
        <v>1</v>
      </c>
      <c r="BC72" s="28">
        <f t="shared" si="35"/>
        <v>1</v>
      </c>
      <c r="BD72" s="42">
        <v>0.65</v>
      </c>
      <c r="BE72" s="28">
        <f>IF(BF72&gt;=$F$11,1,0)</f>
        <v>1</v>
      </c>
      <c r="BF72" s="42">
        <v>120</v>
      </c>
      <c r="BG72" s="49" t="s">
        <v>338</v>
      </c>
    </row>
    <row r="73" spans="54:59" x14ac:dyDescent="0.25">
      <c r="BB73" s="28" t="b">
        <f t="shared" si="34"/>
        <v>1</v>
      </c>
      <c r="BC73" s="28">
        <f t="shared" si="35"/>
        <v>1</v>
      </c>
      <c r="BD73" s="42">
        <v>0.7</v>
      </c>
      <c r="BE73" s="28">
        <f t="shared" si="36"/>
        <v>1</v>
      </c>
      <c r="BF73" s="42">
        <v>40</v>
      </c>
      <c r="BG73" s="29" t="s">
        <v>336</v>
      </c>
    </row>
    <row r="74" spans="54:59" x14ac:dyDescent="0.25">
      <c r="BB74" s="28" t="b">
        <f t="shared" si="34"/>
        <v>1</v>
      </c>
      <c r="BC74" s="28">
        <f t="shared" si="35"/>
        <v>1</v>
      </c>
      <c r="BD74" s="42">
        <v>0.7</v>
      </c>
      <c r="BE74" s="28">
        <f t="shared" si="36"/>
        <v>1</v>
      </c>
      <c r="BF74" s="42">
        <v>45</v>
      </c>
      <c r="BG74" s="49" t="s">
        <v>337</v>
      </c>
    </row>
    <row r="75" spans="54:59" x14ac:dyDescent="0.25">
      <c r="BB75" s="28" t="b">
        <f t="shared" si="34"/>
        <v>1</v>
      </c>
      <c r="BC75" s="28">
        <f t="shared" si="35"/>
        <v>1</v>
      </c>
      <c r="BD75" s="42">
        <v>0.7</v>
      </c>
      <c r="BE75" s="28">
        <f>IF(BF75&gt;=$F$11,1,0)</f>
        <v>1</v>
      </c>
      <c r="BF75" s="42">
        <v>120</v>
      </c>
      <c r="BG75" s="49" t="s">
        <v>338</v>
      </c>
    </row>
    <row r="76" spans="54:59" x14ac:dyDescent="0.25">
      <c r="BB76" s="28" t="b">
        <f t="shared" si="34"/>
        <v>1</v>
      </c>
      <c r="BC76" s="28">
        <f t="shared" si="35"/>
        <v>1</v>
      </c>
      <c r="BD76" s="42">
        <v>0.75</v>
      </c>
      <c r="BE76" s="28">
        <f t="shared" si="36"/>
        <v>1</v>
      </c>
      <c r="BF76" s="42">
        <v>41</v>
      </c>
      <c r="BG76" s="29" t="s">
        <v>336</v>
      </c>
    </row>
    <row r="77" spans="54:59" x14ac:dyDescent="0.25">
      <c r="BB77" s="28" t="b">
        <f t="shared" si="34"/>
        <v>1</v>
      </c>
      <c r="BC77" s="28">
        <f t="shared" si="35"/>
        <v>1</v>
      </c>
      <c r="BD77" s="42">
        <v>0.75</v>
      </c>
      <c r="BE77" s="28">
        <f>IF(BF77&gt;=$F$11,1,0)</f>
        <v>1</v>
      </c>
      <c r="BF77" s="42">
        <v>120</v>
      </c>
      <c r="BG77" s="49" t="s">
        <v>338</v>
      </c>
    </row>
    <row r="78" spans="54:59" x14ac:dyDescent="0.25">
      <c r="BB78" s="28" t="b">
        <f t="shared" si="34"/>
        <v>1</v>
      </c>
      <c r="BC78" s="28">
        <f t="shared" si="35"/>
        <v>1</v>
      </c>
      <c r="BD78" s="42">
        <v>0.8</v>
      </c>
      <c r="BE78" s="28">
        <f t="shared" si="36"/>
        <v>1</v>
      </c>
      <c r="BF78" s="42">
        <v>40</v>
      </c>
      <c r="BG78" s="29" t="s">
        <v>336</v>
      </c>
    </row>
    <row r="79" spans="54:59" x14ac:dyDescent="0.25">
      <c r="BB79" s="28" t="b">
        <f t="shared" si="34"/>
        <v>1</v>
      </c>
      <c r="BC79" s="28">
        <f t="shared" si="35"/>
        <v>1</v>
      </c>
      <c r="BD79" s="42">
        <v>0.8</v>
      </c>
      <c r="BE79" s="28">
        <f t="shared" si="36"/>
        <v>1</v>
      </c>
      <c r="BF79" s="42">
        <v>117</v>
      </c>
      <c r="BG79" s="49" t="s">
        <v>338</v>
      </c>
    </row>
    <row r="80" spans="54:59" x14ac:dyDescent="0.25">
      <c r="BB80" s="28" t="b">
        <f t="shared" si="34"/>
        <v>1</v>
      </c>
      <c r="BC80" s="28">
        <f t="shared" si="35"/>
        <v>1</v>
      </c>
      <c r="BD80" s="42">
        <v>0.8</v>
      </c>
      <c r="BE80" s="28">
        <f>IF(BF80&gt;=$F$11,1,0)</f>
        <v>1</v>
      </c>
      <c r="BF80" s="42">
        <v>120</v>
      </c>
      <c r="BG80" s="49" t="s">
        <v>339</v>
      </c>
    </row>
    <row r="81" spans="54:59" x14ac:dyDescent="0.25">
      <c r="BB81" s="28" t="b">
        <f t="shared" si="34"/>
        <v>1</v>
      </c>
      <c r="BC81" s="28">
        <f t="shared" si="35"/>
        <v>1</v>
      </c>
      <c r="BD81" s="42">
        <v>0.85</v>
      </c>
      <c r="BE81" s="28">
        <f t="shared" si="36"/>
        <v>1</v>
      </c>
      <c r="BF81" s="42">
        <v>39</v>
      </c>
      <c r="BG81" s="29" t="s">
        <v>336</v>
      </c>
    </row>
    <row r="82" spans="54:59" x14ac:dyDescent="0.25">
      <c r="BB82" s="28" t="b">
        <f t="shared" si="34"/>
        <v>1</v>
      </c>
      <c r="BC82" s="28">
        <f t="shared" si="35"/>
        <v>1</v>
      </c>
      <c r="BD82" s="42">
        <v>0.85</v>
      </c>
      <c r="BE82" s="28">
        <f t="shared" si="36"/>
        <v>1</v>
      </c>
      <c r="BF82" s="42">
        <v>114</v>
      </c>
      <c r="BG82" s="49" t="s">
        <v>338</v>
      </c>
    </row>
    <row r="83" spans="54:59" x14ac:dyDescent="0.25">
      <c r="BB83" s="28" t="b">
        <f t="shared" si="34"/>
        <v>1</v>
      </c>
      <c r="BC83" s="28">
        <f t="shared" si="35"/>
        <v>1</v>
      </c>
      <c r="BD83" s="42">
        <v>0.85</v>
      </c>
      <c r="BE83" s="28">
        <f>IF(BF83&gt;=$F$11,1,0)</f>
        <v>1</v>
      </c>
      <c r="BF83" s="42">
        <v>120</v>
      </c>
      <c r="BG83" s="49" t="s">
        <v>339</v>
      </c>
    </row>
    <row r="84" spans="54:59" x14ac:dyDescent="0.25">
      <c r="BB84" s="28" t="b">
        <f t="shared" si="34"/>
        <v>1</v>
      </c>
      <c r="BC84" s="28">
        <f t="shared" si="35"/>
        <v>1</v>
      </c>
      <c r="BD84" s="42">
        <v>0.9</v>
      </c>
      <c r="BE84" s="28">
        <f t="shared" si="36"/>
        <v>1</v>
      </c>
      <c r="BF84" s="42">
        <v>37</v>
      </c>
      <c r="BG84" s="29" t="s">
        <v>336</v>
      </c>
    </row>
    <row r="85" spans="54:59" x14ac:dyDescent="0.25">
      <c r="BB85" s="28" t="b">
        <f t="shared" si="34"/>
        <v>1</v>
      </c>
      <c r="BC85" s="28">
        <f t="shared" si="35"/>
        <v>1</v>
      </c>
      <c r="BD85" s="42">
        <v>0.9</v>
      </c>
      <c r="BE85" s="28">
        <f t="shared" si="36"/>
        <v>1</v>
      </c>
      <c r="BF85" s="42">
        <v>43</v>
      </c>
      <c r="BG85" s="49" t="s">
        <v>340</v>
      </c>
    </row>
    <row r="86" spans="54:59" x14ac:dyDescent="0.25">
      <c r="BB86" s="28" t="b">
        <f t="shared" si="34"/>
        <v>1</v>
      </c>
      <c r="BC86" s="28">
        <f t="shared" si="35"/>
        <v>1</v>
      </c>
      <c r="BD86" s="42">
        <v>0.9</v>
      </c>
      <c r="BE86" s="28">
        <f t="shared" si="36"/>
        <v>1</v>
      </c>
      <c r="BF86" s="42">
        <v>110</v>
      </c>
      <c r="BG86" s="49" t="s">
        <v>338</v>
      </c>
    </row>
    <row r="87" spans="54:59" x14ac:dyDescent="0.25">
      <c r="BB87" s="28" t="b">
        <f t="shared" si="34"/>
        <v>1</v>
      </c>
      <c r="BC87" s="28">
        <f t="shared" si="35"/>
        <v>1</v>
      </c>
      <c r="BD87" s="42">
        <v>0.9</v>
      </c>
      <c r="BE87" s="28">
        <f>IF(BF87&gt;=$F$11,1,0)</f>
        <v>1</v>
      </c>
      <c r="BF87" s="42">
        <v>120</v>
      </c>
      <c r="BG87" s="49" t="s">
        <v>339</v>
      </c>
    </row>
    <row r="88" spans="54:59" x14ac:dyDescent="0.25">
      <c r="BB88" s="28" t="b">
        <f t="shared" si="34"/>
        <v>1</v>
      </c>
      <c r="BC88" s="28">
        <f t="shared" si="35"/>
        <v>1</v>
      </c>
      <c r="BD88" s="42">
        <v>0.95</v>
      </c>
      <c r="BE88" s="28">
        <f t="shared" si="36"/>
        <v>1</v>
      </c>
      <c r="BF88" s="42">
        <v>44</v>
      </c>
      <c r="BG88" s="49" t="s">
        <v>340</v>
      </c>
    </row>
    <row r="89" spans="54:59" x14ac:dyDescent="0.25">
      <c r="BB89" s="28" t="b">
        <f t="shared" si="34"/>
        <v>1</v>
      </c>
      <c r="BC89" s="28">
        <f t="shared" si="35"/>
        <v>1</v>
      </c>
      <c r="BD89" s="42">
        <v>0.95</v>
      </c>
      <c r="BE89" s="28">
        <f t="shared" si="36"/>
        <v>1</v>
      </c>
      <c r="BF89" s="42">
        <v>106</v>
      </c>
      <c r="BG89" s="49" t="s">
        <v>338</v>
      </c>
    </row>
    <row r="90" spans="54:59" x14ac:dyDescent="0.25">
      <c r="BB90" s="28" t="b">
        <f t="shared" si="34"/>
        <v>1</v>
      </c>
      <c r="BC90" s="28">
        <f t="shared" si="35"/>
        <v>1</v>
      </c>
      <c r="BD90" s="42">
        <v>0.95</v>
      </c>
      <c r="BE90" s="28">
        <f>IF(BF90&gt;=$F$11,1,0)</f>
        <v>1</v>
      </c>
      <c r="BF90" s="42">
        <v>120</v>
      </c>
      <c r="BG90" s="49" t="s">
        <v>339</v>
      </c>
    </row>
    <row r="91" spans="54:59" x14ac:dyDescent="0.25">
      <c r="BB91" s="28" t="b">
        <f t="shared" si="34"/>
        <v>1</v>
      </c>
      <c r="BC91" s="28">
        <f t="shared" ref="BC91:BC92" si="37">IF(BD91&gt;=$B$4,1,0)</f>
        <v>1</v>
      </c>
      <c r="BD91" s="42">
        <v>1</v>
      </c>
      <c r="BE91" s="28">
        <f t="shared" si="36"/>
        <v>1</v>
      </c>
      <c r="BF91" s="42">
        <v>41</v>
      </c>
      <c r="BG91" s="49" t="s">
        <v>340</v>
      </c>
    </row>
    <row r="92" spans="54:59" x14ac:dyDescent="0.25">
      <c r="BB92" s="28" t="b">
        <f t="shared" si="34"/>
        <v>1</v>
      </c>
      <c r="BC92" s="28">
        <f t="shared" si="37"/>
        <v>1</v>
      </c>
      <c r="BD92" s="42">
        <v>1</v>
      </c>
      <c r="BE92" s="28">
        <f t="shared" si="36"/>
        <v>1</v>
      </c>
      <c r="BF92" s="42">
        <v>101</v>
      </c>
      <c r="BG92" s="49" t="s">
        <v>338</v>
      </c>
    </row>
    <row r="93" spans="54:59" x14ac:dyDescent="0.25">
      <c r="BB93" s="28" t="b">
        <f t="shared" si="34"/>
        <v>1</v>
      </c>
      <c r="BC93" s="28">
        <f>IF(BD93&gt;=$B$4,1,0)</f>
        <v>1</v>
      </c>
      <c r="BD93" s="42">
        <v>1</v>
      </c>
      <c r="BE93" s="28">
        <f>IF(BF93&gt;=$F$11,1,0)</f>
        <v>1</v>
      </c>
      <c r="BF93" s="42">
        <v>120</v>
      </c>
      <c r="BG93" s="49" t="s">
        <v>339</v>
      </c>
    </row>
  </sheetData>
  <mergeCells count="27">
    <mergeCell ref="DN2:DP2"/>
    <mergeCell ref="AR2:AT2"/>
    <mergeCell ref="AX2:AZ2"/>
    <mergeCell ref="BB2:BG2"/>
    <mergeCell ref="BJ2:BK2"/>
    <mergeCell ref="CQ2:CR2"/>
    <mergeCell ref="CU2:CY2"/>
    <mergeCell ref="DA2:DC2"/>
    <mergeCell ref="DF2:DH2"/>
    <mergeCell ref="DJ2:DL2"/>
    <mergeCell ref="BN2:BO2"/>
    <mergeCell ref="BR2:BT2"/>
    <mergeCell ref="BW2:BX2"/>
    <mergeCell ref="CI2:CJ2"/>
    <mergeCell ref="CM2:CN2"/>
    <mergeCell ref="B14:C14"/>
    <mergeCell ref="I2:AC2"/>
    <mergeCell ref="B15:C15"/>
    <mergeCell ref="B16:C16"/>
    <mergeCell ref="B17:C17"/>
    <mergeCell ref="E9:F9"/>
    <mergeCell ref="AE2:AP2"/>
    <mergeCell ref="AH3:AJ3"/>
    <mergeCell ref="AK3:AM3"/>
    <mergeCell ref="AN3:AP3"/>
    <mergeCell ref="E24:F24"/>
    <mergeCell ref="E19:F19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CJ26"/>
  <sheetViews>
    <sheetView zoomScale="70" zoomScaleNormal="70" workbookViewId="0">
      <selection activeCell="G30" sqref="G30"/>
    </sheetView>
  </sheetViews>
  <sheetFormatPr defaultRowHeight="15" x14ac:dyDescent="0.25"/>
  <cols>
    <col min="1" max="1" width="9" customWidth="1"/>
    <col min="2" max="2" width="6.42578125" customWidth="1"/>
    <col min="5" max="5" width="4.85546875" customWidth="1"/>
    <col min="6" max="6" width="10" customWidth="1"/>
    <col min="9" max="9" width="9.140625" customWidth="1"/>
    <col min="10" max="10" width="6" customWidth="1"/>
    <col min="11" max="16" width="8" customWidth="1"/>
    <col min="18" max="36" width="9.140625" customWidth="1"/>
    <col min="38" max="38" width="9.140625" customWidth="1"/>
    <col min="39" max="39" width="5.140625" customWidth="1"/>
    <col min="40" max="40" width="10.140625" customWidth="1"/>
    <col min="41" max="41" width="9.140625" customWidth="1"/>
    <col min="42" max="42" width="5.5703125" customWidth="1"/>
    <col min="43" max="43" width="10.140625" customWidth="1"/>
    <col min="52" max="52" width="4.85546875" customWidth="1"/>
    <col min="53" max="53" width="12.85546875" bestFit="1" customWidth="1"/>
    <col min="54" max="54" width="3.28515625" customWidth="1"/>
    <col min="55" max="55" width="11.28515625" customWidth="1"/>
    <col min="56" max="57" width="6.28515625" customWidth="1"/>
    <col min="58" max="58" width="3.5703125" customWidth="1"/>
    <col min="59" max="59" width="8.28515625" customWidth="1"/>
    <col min="60" max="61" width="6.140625" customWidth="1"/>
    <col min="62" max="62" width="3.28515625" customWidth="1"/>
    <col min="63" max="63" width="9.5703125" customWidth="1"/>
    <col min="64" max="64" width="6.140625" customWidth="1"/>
    <col min="65" max="65" width="15.28515625" bestFit="1" customWidth="1"/>
    <col min="66" max="66" width="3.28515625" customWidth="1"/>
    <col min="67" max="67" width="10.5703125" customWidth="1"/>
    <col min="68" max="68" width="6.28515625" customWidth="1"/>
    <col min="69" max="69" width="11" customWidth="1"/>
    <col min="70" max="70" width="3.28515625" customWidth="1"/>
    <col min="71" max="71" width="8.5703125" bestFit="1" customWidth="1"/>
    <col min="72" max="72" width="6.28515625" customWidth="1"/>
    <col min="73" max="73" width="11.42578125" bestFit="1" customWidth="1"/>
    <col min="74" max="76" width="11.42578125" customWidth="1"/>
    <col min="77" max="77" width="3.5703125" customWidth="1"/>
    <col min="78" max="78" width="8.7109375" customWidth="1"/>
    <col min="79" max="79" width="6.28515625" customWidth="1"/>
    <col min="80" max="80" width="11.42578125" bestFit="1" customWidth="1"/>
    <col min="81" max="81" width="3.5703125" customWidth="1"/>
    <col min="82" max="82" width="8.7109375" customWidth="1"/>
    <col min="83" max="83" width="6.28515625" customWidth="1"/>
    <col min="84" max="84" width="11.42578125" bestFit="1" customWidth="1"/>
    <col min="85" max="85" width="3.5703125" customWidth="1"/>
    <col min="86" max="86" width="8.5703125" bestFit="1" customWidth="1"/>
    <col min="87" max="87" width="6.28515625" customWidth="1"/>
    <col min="88" max="88" width="13.7109375" customWidth="1"/>
  </cols>
  <sheetData>
    <row r="1" spans="1:88" ht="15.75" thickBot="1" x14ac:dyDescent="0.3"/>
    <row r="2" spans="1:88" ht="15.75" thickBot="1" x14ac:dyDescent="0.3">
      <c r="B2" t="s">
        <v>2</v>
      </c>
      <c r="I2" s="223" t="s">
        <v>47</v>
      </c>
      <c r="J2" s="224"/>
      <c r="K2" s="224"/>
      <c r="L2" s="224"/>
      <c r="M2" s="224"/>
      <c r="N2" s="224"/>
      <c r="O2" s="224"/>
      <c r="P2" s="225"/>
      <c r="R2" s="223" t="s">
        <v>52</v>
      </c>
      <c r="S2" s="224"/>
      <c r="T2" s="224"/>
      <c r="U2" s="224"/>
      <c r="V2" s="224"/>
      <c r="W2" s="224"/>
      <c r="X2" s="224"/>
      <c r="Y2" s="224"/>
      <c r="Z2" s="224"/>
      <c r="AA2" s="224"/>
      <c r="AB2" s="225"/>
      <c r="AC2" s="223" t="s">
        <v>380</v>
      </c>
      <c r="AD2" s="224"/>
      <c r="AE2" s="224"/>
      <c r="AF2" s="224"/>
      <c r="AG2" s="224"/>
      <c r="AH2" s="224"/>
      <c r="AI2" s="224"/>
      <c r="AJ2" s="225"/>
      <c r="AL2" s="223" t="s">
        <v>90</v>
      </c>
      <c r="AM2" s="224"/>
      <c r="AN2" s="224"/>
      <c r="AO2" s="224"/>
      <c r="AP2" s="224"/>
      <c r="AQ2" s="225"/>
      <c r="AZ2" s="210" t="s">
        <v>93</v>
      </c>
      <c r="BA2" s="220"/>
      <c r="BB2" s="196"/>
      <c r="BC2" s="197"/>
      <c r="BD2" s="220" t="s">
        <v>94</v>
      </c>
      <c r="BE2" s="220"/>
      <c r="BF2" s="141"/>
      <c r="BG2" s="158"/>
      <c r="BH2" s="205" t="s">
        <v>95</v>
      </c>
      <c r="BI2" s="205"/>
      <c r="BJ2" s="196"/>
      <c r="BK2" s="197"/>
      <c r="BL2" s="220" t="s">
        <v>97</v>
      </c>
      <c r="BM2" s="220"/>
      <c r="BN2" s="196"/>
      <c r="BO2" s="197"/>
      <c r="BP2" s="220" t="s">
        <v>98</v>
      </c>
      <c r="BQ2" s="220"/>
      <c r="BR2" s="196"/>
      <c r="BS2" s="210" t="s">
        <v>99</v>
      </c>
      <c r="BT2" s="220"/>
      <c r="BU2" s="220"/>
      <c r="BV2" s="220"/>
      <c r="BW2" s="220"/>
      <c r="BX2" s="221"/>
      <c r="BY2" s="141"/>
      <c r="BZ2" s="210" t="s">
        <v>100</v>
      </c>
      <c r="CA2" s="220"/>
      <c r="CB2" s="221"/>
      <c r="CC2" s="141"/>
      <c r="CD2" s="210" t="s">
        <v>219</v>
      </c>
      <c r="CE2" s="220"/>
      <c r="CF2" s="221"/>
      <c r="CG2" s="141"/>
      <c r="CH2" s="210" t="s">
        <v>229</v>
      </c>
      <c r="CI2" s="220"/>
      <c r="CJ2" s="221"/>
    </row>
    <row r="3" spans="1:88" ht="15.75" thickBot="1" x14ac:dyDescent="0.3">
      <c r="I3" s="35"/>
      <c r="J3" s="36" t="s">
        <v>42</v>
      </c>
      <c r="K3" s="37" t="s">
        <v>41</v>
      </c>
      <c r="L3" s="38" t="s">
        <v>46</v>
      </c>
      <c r="M3" s="35"/>
      <c r="N3" s="36" t="s">
        <v>326</v>
      </c>
      <c r="O3" s="37" t="s">
        <v>41</v>
      </c>
      <c r="P3" s="38" t="s">
        <v>46</v>
      </c>
      <c r="R3" s="35"/>
      <c r="S3" s="36"/>
      <c r="T3" s="38"/>
      <c r="U3" s="223" t="s">
        <v>325</v>
      </c>
      <c r="V3" s="224"/>
      <c r="W3" s="224"/>
      <c r="X3" s="225"/>
      <c r="Y3" s="223" t="s">
        <v>57</v>
      </c>
      <c r="Z3" s="224"/>
      <c r="AA3" s="224"/>
      <c r="AB3" s="225"/>
      <c r="AC3" s="202"/>
      <c r="AD3" s="202"/>
      <c r="AE3" s="223" t="s">
        <v>57</v>
      </c>
      <c r="AF3" s="224"/>
      <c r="AG3" s="225"/>
      <c r="AH3" s="223" t="s">
        <v>55</v>
      </c>
      <c r="AI3" s="224"/>
      <c r="AJ3" s="225"/>
      <c r="AL3" s="40" t="b">
        <f>IF($F$4&lt;AM3,TRUE,FALSE)</f>
        <v>0</v>
      </c>
      <c r="AM3" s="54">
        <v>2</v>
      </c>
      <c r="AN3" s="39" t="s">
        <v>81</v>
      </c>
      <c r="AO3" s="40" t="b">
        <f t="shared" ref="AO3:AO10" si="0">IF($F$14&lt;AP3,TRUE,FALSE)</f>
        <v>1</v>
      </c>
      <c r="AP3" s="54">
        <v>2</v>
      </c>
      <c r="AQ3" s="39" t="s">
        <v>81</v>
      </c>
      <c r="AZ3" s="133" t="s">
        <v>102</v>
      </c>
      <c r="BA3" s="45" t="s">
        <v>124</v>
      </c>
      <c r="BB3" s="139"/>
      <c r="BC3" s="45" t="s">
        <v>320</v>
      </c>
      <c r="BD3" s="134" t="s">
        <v>102</v>
      </c>
      <c r="BE3" s="198" t="s">
        <v>103</v>
      </c>
      <c r="BF3" s="64"/>
      <c r="BG3" s="45" t="s">
        <v>344</v>
      </c>
      <c r="BH3" s="134" t="s">
        <v>102</v>
      </c>
      <c r="BI3" s="203" t="s">
        <v>103</v>
      </c>
      <c r="BJ3" s="139"/>
      <c r="BK3" s="45" t="s">
        <v>350</v>
      </c>
      <c r="BL3" s="114" t="s">
        <v>102</v>
      </c>
      <c r="BM3" s="45" t="s">
        <v>332</v>
      </c>
      <c r="BN3" s="139"/>
      <c r="BO3" s="45" t="s">
        <v>355</v>
      </c>
      <c r="BP3" s="134" t="s">
        <v>102</v>
      </c>
      <c r="BQ3" s="198" t="s">
        <v>332</v>
      </c>
      <c r="BR3" s="139"/>
      <c r="BS3" s="45"/>
      <c r="BT3" s="134" t="s">
        <v>102</v>
      </c>
      <c r="BU3" s="198" t="s">
        <v>325</v>
      </c>
      <c r="BV3" s="203"/>
      <c r="BW3" s="134" t="s">
        <v>102</v>
      </c>
      <c r="BX3" s="203" t="s">
        <v>57</v>
      </c>
      <c r="BY3" s="64"/>
      <c r="BZ3" s="45"/>
      <c r="CA3" s="134" t="s">
        <v>102</v>
      </c>
      <c r="CB3" s="203" t="s">
        <v>52</v>
      </c>
      <c r="CC3" s="64"/>
      <c r="CD3" s="45" t="s">
        <v>347</v>
      </c>
      <c r="CE3" s="134" t="s">
        <v>102</v>
      </c>
      <c r="CF3" s="198" t="s">
        <v>103</v>
      </c>
      <c r="CG3" s="64"/>
      <c r="CH3" s="45"/>
      <c r="CI3" s="134" t="s">
        <v>102</v>
      </c>
      <c r="CJ3" s="201" t="s">
        <v>347</v>
      </c>
    </row>
    <row r="4" spans="1:88" x14ac:dyDescent="0.25">
      <c r="A4" s="22"/>
      <c r="E4" t="s">
        <v>44</v>
      </c>
      <c r="F4" s="25">
        <f>IF('БГ-С'!B4=0,('БОВ (1)'!F4+'БОВ (2)'!F4+'БОВ (3)'!F4+БГ!F4),'БГ-С'!F14)</f>
        <v>3.6363636363636362</v>
      </c>
      <c r="I4" s="27">
        <f t="shared" ref="I4:I17" si="1">IF($B$9&lt;12,(IF((L4&gt;4)*AND(L4&lt;16),2,0)),IF((L4&gt;4)*AND(L4&lt;20),2,0))</f>
        <v>0</v>
      </c>
      <c r="J4" s="28">
        <v>15</v>
      </c>
      <c r="K4" s="28">
        <f t="shared" ref="K4:K17" si="2">1/POWER(1.14+2*LOG10((J4/1000)/($K$21/1000)),2)</f>
        <v>5.9655827422120798E-2</v>
      </c>
      <c r="L4" s="29">
        <f t="shared" ref="L4:L17" si="3">0.00638*K4*POWER($F$4,2)/(POWER(J4/1000,5)*$K$20)</f>
        <v>6915.2050833854037</v>
      </c>
      <c r="M4" s="40">
        <f t="shared" ref="M4:M17" si="4">IF($B$9&lt;12,(IF((P4&gt;4)*AND(P4&lt;16),2,0)),IF((P4&gt;4)*AND(P4&lt;20),2,0))</f>
        <v>0</v>
      </c>
      <c r="N4" s="54">
        <v>15</v>
      </c>
      <c r="O4" s="54">
        <f t="shared" ref="O4:O17" si="5">1/POWER(1.14+2*LOG10((N4/1000)/($K$21/1000)),2)</f>
        <v>5.9655827422120798E-2</v>
      </c>
      <c r="P4" s="39">
        <f t="shared" ref="P4:P17" si="6">0.00638*O4*POWER($F$14,2)/(POWER(N4/1000,5)*$K$20)</f>
        <v>79.54257867195831</v>
      </c>
      <c r="R4" s="41" t="s">
        <v>53</v>
      </c>
      <c r="S4" s="28">
        <v>3</v>
      </c>
      <c r="T4" s="28"/>
      <c r="U4" s="40" t="b">
        <f t="shared" ref="U4:U7" si="7">IF(X4&gt;$S$5,TRUE,FALSE)</f>
        <v>0</v>
      </c>
      <c r="V4" s="54" t="s">
        <v>356</v>
      </c>
      <c r="W4" s="47">
        <v>15</v>
      </c>
      <c r="X4" s="39">
        <v>1.6</v>
      </c>
      <c r="Y4" s="40" t="b">
        <f t="shared" ref="Y4:Y14" si="8">IF(AB4&gt;$S$5,TRUE,FALSE)</f>
        <v>0</v>
      </c>
      <c r="Z4" s="54" t="s">
        <v>375</v>
      </c>
      <c r="AA4" s="47">
        <v>15</v>
      </c>
      <c r="AB4" s="39">
        <v>4</v>
      </c>
      <c r="AC4" s="41" t="s">
        <v>348</v>
      </c>
      <c r="AD4" s="28">
        <v>1.5</v>
      </c>
      <c r="AE4" s="27" t="b">
        <f t="shared" ref="AE4:AE13" si="9">IF(AG4&gt;$AD$5,TRUE,FALSE)</f>
        <v>0</v>
      </c>
      <c r="AF4" s="47">
        <v>15</v>
      </c>
      <c r="AG4" s="39">
        <v>2.5</v>
      </c>
      <c r="AH4" s="27" t="b">
        <f t="shared" ref="AH4:AH13" si="10">IF(AJ4&gt;$AD$5,TRUE,FALSE)</f>
        <v>0</v>
      </c>
      <c r="AI4" s="47">
        <v>15</v>
      </c>
      <c r="AJ4" s="39">
        <v>2</v>
      </c>
      <c r="AL4" s="27" t="b">
        <f t="shared" ref="AL4:AL10" si="11">IF($F$4&lt;AM4,TRUE,FALSE)</f>
        <v>1</v>
      </c>
      <c r="AM4" s="28">
        <v>4</v>
      </c>
      <c r="AN4" s="29" t="s">
        <v>82</v>
      </c>
      <c r="AO4" s="27" t="b">
        <f t="shared" si="0"/>
        <v>1</v>
      </c>
      <c r="AP4" s="28">
        <v>4</v>
      </c>
      <c r="AQ4" s="29" t="s">
        <v>82</v>
      </c>
      <c r="AZ4" s="133" t="s">
        <v>130</v>
      </c>
      <c r="BA4" s="45" t="s">
        <v>342</v>
      </c>
      <c r="BB4" s="139"/>
      <c r="BC4" s="45" t="b">
        <f>IF($F$5=BE4,TRUE,FALSE)</f>
        <v>0</v>
      </c>
      <c r="BD4" s="114" t="s">
        <v>101</v>
      </c>
      <c r="BE4" s="45">
        <v>15</v>
      </c>
      <c r="BF4" s="64"/>
      <c r="BG4" s="45" t="b">
        <f>IF($F$15=BI4,TRUE,FALSE)</f>
        <v>0</v>
      </c>
      <c r="BH4" s="114" t="s">
        <v>130</v>
      </c>
      <c r="BI4" s="45">
        <v>15</v>
      </c>
      <c r="BJ4" s="139"/>
      <c r="BK4" s="45" t="b">
        <f>IF($E$12=BM4,TRUE,FALSE)</f>
        <v>0</v>
      </c>
      <c r="BL4" s="114" t="s">
        <v>130</v>
      </c>
      <c r="BM4" s="45" t="s">
        <v>81</v>
      </c>
      <c r="BN4" s="139"/>
      <c r="BO4" s="45" t="b">
        <f>IF($E$16=BQ4,TRUE,FALSE)</f>
        <v>1</v>
      </c>
      <c r="BP4" s="114" t="s">
        <v>130</v>
      </c>
      <c r="BQ4" s="45" t="s">
        <v>81</v>
      </c>
      <c r="BR4" s="139"/>
      <c r="BS4" s="45" t="b">
        <f>IF($E$9=BU4,TRUE,FALSE)</f>
        <v>0</v>
      </c>
      <c r="BT4" s="114" t="s">
        <v>225</v>
      </c>
      <c r="BU4" s="45"/>
      <c r="BV4" t="b">
        <f>IF($E$9=BX4,TRUE,FALSE)</f>
        <v>0</v>
      </c>
      <c r="BW4" s="114" t="s">
        <v>225</v>
      </c>
      <c r="BX4" s="28" t="s">
        <v>373</v>
      </c>
      <c r="BY4" s="64"/>
      <c r="BZ4" s="45" t="b">
        <f>IF($B$12=CB4,TRUE,FALSE)</f>
        <v>0</v>
      </c>
      <c r="CA4" s="114" t="s">
        <v>130</v>
      </c>
      <c r="CB4" s="45" t="s">
        <v>55</v>
      </c>
      <c r="CC4" s="64"/>
      <c r="CD4" s="45" t="b">
        <f>IF($F$10=CF4,TRUE,FALSE)</f>
        <v>0</v>
      </c>
      <c r="CE4" s="114" t="s">
        <v>101</v>
      </c>
      <c r="CF4" s="45">
        <v>15</v>
      </c>
      <c r="CG4" s="64"/>
      <c r="CH4" s="45" t="b">
        <f>IF($B$13=CJ4,TRUE,FALSE)</f>
        <v>0</v>
      </c>
      <c r="CI4" s="114" t="s">
        <v>130</v>
      </c>
      <c r="CJ4" s="53" t="s">
        <v>55</v>
      </c>
    </row>
    <row r="5" spans="1:88" x14ac:dyDescent="0.25">
      <c r="A5" s="22"/>
      <c r="C5" s="23"/>
      <c r="E5" t="s">
        <v>42</v>
      </c>
      <c r="F5">
        <f>VLOOKUP(2,I4:L17,2,FALSE)</f>
        <v>50</v>
      </c>
      <c r="I5" s="27">
        <f t="shared" si="1"/>
        <v>0</v>
      </c>
      <c r="J5" s="28">
        <v>20</v>
      </c>
      <c r="K5" s="28">
        <f t="shared" si="2"/>
        <v>5.2990299783484442E-2</v>
      </c>
      <c r="L5" s="29">
        <f t="shared" si="3"/>
        <v>1457.6554614898398</v>
      </c>
      <c r="M5" s="27">
        <f t="shared" si="4"/>
        <v>0</v>
      </c>
      <c r="N5" s="28">
        <v>20</v>
      </c>
      <c r="O5" s="28">
        <f t="shared" si="5"/>
        <v>5.2990299783484442E-2</v>
      </c>
      <c r="P5" s="29">
        <f t="shared" si="6"/>
        <v>16.766773049253221</v>
      </c>
      <c r="R5" s="41" t="s">
        <v>54</v>
      </c>
      <c r="S5" s="43">
        <f>F4/SQRT(0.1*S4)</f>
        <v>6.6390613030929213</v>
      </c>
      <c r="T5" s="43"/>
      <c r="U5" s="27" t="b">
        <f t="shared" si="7"/>
        <v>0</v>
      </c>
      <c r="V5" s="28" t="s">
        <v>357</v>
      </c>
      <c r="W5" s="42">
        <v>15</v>
      </c>
      <c r="X5" s="29">
        <v>2.5</v>
      </c>
      <c r="Y5" s="27" t="b">
        <f t="shared" si="8"/>
        <v>0</v>
      </c>
      <c r="Z5" s="28" t="s">
        <v>358</v>
      </c>
      <c r="AA5" s="42">
        <v>20</v>
      </c>
      <c r="AB5" s="29">
        <v>6.3</v>
      </c>
      <c r="AC5" s="41" t="s">
        <v>54</v>
      </c>
      <c r="AD5" s="43">
        <f>F4/SQRT(0.1*AD4)</f>
        <v>9.3890505362604042</v>
      </c>
      <c r="AE5" s="27" t="b">
        <f t="shared" si="9"/>
        <v>0</v>
      </c>
      <c r="AF5" s="42">
        <v>20</v>
      </c>
      <c r="AG5" s="29">
        <v>5</v>
      </c>
      <c r="AH5" s="27" t="b">
        <f t="shared" si="10"/>
        <v>0</v>
      </c>
      <c r="AI5" s="42">
        <v>20</v>
      </c>
      <c r="AJ5" s="29">
        <v>4.5</v>
      </c>
      <c r="AL5" s="27" t="b">
        <f t="shared" si="11"/>
        <v>1</v>
      </c>
      <c r="AM5" s="28">
        <v>10</v>
      </c>
      <c r="AN5" s="29" t="s">
        <v>83</v>
      </c>
      <c r="AO5" s="27" t="b">
        <f t="shared" si="0"/>
        <v>1</v>
      </c>
      <c r="AP5" s="28">
        <v>10</v>
      </c>
      <c r="AQ5" s="29" t="s">
        <v>83</v>
      </c>
      <c r="AZ5" s="133" t="s">
        <v>131</v>
      </c>
      <c r="BA5" s="45" t="s">
        <v>343</v>
      </c>
      <c r="BB5" s="139"/>
      <c r="BC5" s="45" t="b">
        <f t="shared" ref="BC5:BC15" si="12">IF($F$5=BE5,TRUE,FALSE)</f>
        <v>0</v>
      </c>
      <c r="BD5" s="114" t="s">
        <v>104</v>
      </c>
      <c r="BE5" s="45">
        <v>20</v>
      </c>
      <c r="BF5" s="64"/>
      <c r="BG5" s="45" t="b">
        <f t="shared" ref="BG5:BG12" si="13">IF($F$15=BI5,TRUE,FALSE)</f>
        <v>0</v>
      </c>
      <c r="BH5" s="114" t="s">
        <v>131</v>
      </c>
      <c r="BI5" s="45">
        <v>20</v>
      </c>
      <c r="BJ5" s="139"/>
      <c r="BK5" s="45" t="b">
        <f t="shared" ref="BK5:BK12" si="14">IF($E$12=BM5,TRUE,FALSE)</f>
        <v>1</v>
      </c>
      <c r="BL5" s="114" t="s">
        <v>131</v>
      </c>
      <c r="BM5" s="45" t="s">
        <v>82</v>
      </c>
      <c r="BN5" s="139"/>
      <c r="BO5" s="45" t="b">
        <f t="shared" ref="BO5:BO12" si="15">IF($E$16=BQ5,TRUE,FALSE)</f>
        <v>0</v>
      </c>
      <c r="BP5" s="114" t="s">
        <v>131</v>
      </c>
      <c r="BQ5" s="45" t="s">
        <v>82</v>
      </c>
      <c r="BR5" s="139"/>
      <c r="BS5" s="45" t="b">
        <f t="shared" ref="BS5:BS20" si="16">IF($E$9=BU5,TRUE,FALSE)</f>
        <v>0</v>
      </c>
      <c r="BT5" s="114" t="s">
        <v>101</v>
      </c>
      <c r="BU5" s="45" t="s">
        <v>356</v>
      </c>
      <c r="BV5" t="b">
        <f t="shared" ref="BV5:BV20" si="17">IF($E$9=BX5,TRUE,FALSE)</f>
        <v>0</v>
      </c>
      <c r="BW5" s="114" t="s">
        <v>101</v>
      </c>
      <c r="BX5" s="45"/>
      <c r="BY5" s="64"/>
      <c r="BZ5" s="45" t="b">
        <f t="shared" ref="BZ5:BZ6" si="18">IF($B$12=CB5,TRUE,FALSE)</f>
        <v>0</v>
      </c>
      <c r="CA5" s="114" t="s">
        <v>131</v>
      </c>
      <c r="CB5" s="45" t="s">
        <v>57</v>
      </c>
      <c r="CC5" s="64"/>
      <c r="CD5" s="45" t="b">
        <f t="shared" ref="CD5:CD15" si="19">IF($F$10=CF5,TRUE,FALSE)</f>
        <v>0</v>
      </c>
      <c r="CE5" s="114" t="s">
        <v>104</v>
      </c>
      <c r="CF5" s="45">
        <v>20</v>
      </c>
      <c r="CG5" s="64"/>
      <c r="CH5" s="45" t="b">
        <f t="shared" ref="CH5:CH6" si="20">IF($B$13=CJ5,TRUE,FALSE)</f>
        <v>0</v>
      </c>
      <c r="CI5" s="114" t="s">
        <v>131</v>
      </c>
      <c r="CJ5" s="53" t="s">
        <v>57</v>
      </c>
    </row>
    <row r="6" spans="1:88" x14ac:dyDescent="0.25">
      <c r="A6" s="22"/>
      <c r="C6" s="23"/>
      <c r="E6" t="s">
        <v>58</v>
      </c>
      <c r="F6" t="str">
        <f>VLOOKUP(TRUE,IF(B12="Danfoss",Y4:AB13,U4:X19),2,FALSE)</f>
        <v>25-10,0</v>
      </c>
      <c r="I6" s="27">
        <f t="shared" si="1"/>
        <v>0</v>
      </c>
      <c r="J6" s="28">
        <v>25</v>
      </c>
      <c r="K6" s="28">
        <f t="shared" si="2"/>
        <v>4.8560427292756572E-2</v>
      </c>
      <c r="L6" s="29">
        <f t="shared" si="3"/>
        <v>437.71450869197099</v>
      </c>
      <c r="M6" s="27">
        <f t="shared" si="4"/>
        <v>2</v>
      </c>
      <c r="N6" s="28">
        <v>25</v>
      </c>
      <c r="O6" s="28">
        <f t="shared" si="5"/>
        <v>4.8560427292756572E-2</v>
      </c>
      <c r="P6" s="29">
        <f t="shared" si="6"/>
        <v>5.0348384933861885</v>
      </c>
      <c r="R6" s="27"/>
      <c r="S6" s="28"/>
      <c r="T6" s="28"/>
      <c r="U6" s="27" t="b">
        <f t="shared" si="7"/>
        <v>0</v>
      </c>
      <c r="V6" s="28" t="s">
        <v>359</v>
      </c>
      <c r="W6" s="42">
        <v>20</v>
      </c>
      <c r="X6" s="29">
        <v>4</v>
      </c>
      <c r="Y6" s="27" t="b">
        <f t="shared" si="8"/>
        <v>1</v>
      </c>
      <c r="Z6" s="28" t="s">
        <v>376</v>
      </c>
      <c r="AA6" s="42">
        <v>25</v>
      </c>
      <c r="AB6" s="29">
        <v>8</v>
      </c>
      <c r="AC6" s="28"/>
      <c r="AD6" s="28"/>
      <c r="AE6" s="27" t="b">
        <f t="shared" si="9"/>
        <v>0</v>
      </c>
      <c r="AF6" s="42">
        <v>25</v>
      </c>
      <c r="AG6" s="29">
        <v>7</v>
      </c>
      <c r="AH6" s="27" t="b">
        <f t="shared" si="10"/>
        <v>0</v>
      </c>
      <c r="AI6" s="42">
        <v>25</v>
      </c>
      <c r="AJ6" s="29">
        <v>7</v>
      </c>
      <c r="AL6" s="27" t="b">
        <f t="shared" si="11"/>
        <v>1</v>
      </c>
      <c r="AM6" s="28">
        <v>15</v>
      </c>
      <c r="AN6" s="29" t="s">
        <v>85</v>
      </c>
      <c r="AO6" s="27" t="b">
        <f t="shared" si="0"/>
        <v>1</v>
      </c>
      <c r="AP6" s="28">
        <v>15</v>
      </c>
      <c r="AQ6" s="29" t="s">
        <v>85</v>
      </c>
      <c r="AZ6" s="133"/>
      <c r="BA6" s="45"/>
      <c r="BB6" s="139"/>
      <c r="BC6" s="45" t="b">
        <f t="shared" si="12"/>
        <v>0</v>
      </c>
      <c r="BD6" s="114" t="s">
        <v>105</v>
      </c>
      <c r="BE6" s="45">
        <v>25</v>
      </c>
      <c r="BF6" s="64"/>
      <c r="BG6" s="45" t="b">
        <f t="shared" si="13"/>
        <v>1</v>
      </c>
      <c r="BH6" s="114" t="s">
        <v>132</v>
      </c>
      <c r="BI6" s="45">
        <v>25</v>
      </c>
      <c r="BJ6" s="139"/>
      <c r="BK6" s="45" t="b">
        <f t="shared" si="14"/>
        <v>0</v>
      </c>
      <c r="BL6" s="114" t="s">
        <v>132</v>
      </c>
      <c r="BM6" s="45" t="s">
        <v>83</v>
      </c>
      <c r="BN6" s="139"/>
      <c r="BO6" s="45" t="b">
        <f t="shared" si="15"/>
        <v>0</v>
      </c>
      <c r="BP6" s="114" t="s">
        <v>132</v>
      </c>
      <c r="BQ6" s="45" t="s">
        <v>83</v>
      </c>
      <c r="BR6" s="139"/>
      <c r="BS6" s="45" t="b">
        <f t="shared" si="16"/>
        <v>0</v>
      </c>
      <c r="BT6" s="114" t="s">
        <v>104</v>
      </c>
      <c r="BU6" s="45" t="s">
        <v>357</v>
      </c>
      <c r="BV6" t="b">
        <f t="shared" si="17"/>
        <v>0</v>
      </c>
      <c r="BW6" s="114" t="s">
        <v>104</v>
      </c>
      <c r="BX6" t="s">
        <v>375</v>
      </c>
      <c r="BY6" s="64"/>
      <c r="BZ6" s="45" t="b">
        <f t="shared" si="18"/>
        <v>0</v>
      </c>
      <c r="CA6" s="114" t="s">
        <v>132</v>
      </c>
      <c r="CB6" s="68" t="s">
        <v>325</v>
      </c>
      <c r="CC6" s="64"/>
      <c r="CD6" s="45" t="b">
        <f t="shared" si="19"/>
        <v>0</v>
      </c>
      <c r="CE6" s="114" t="s">
        <v>105</v>
      </c>
      <c r="CF6" s="68">
        <v>25</v>
      </c>
      <c r="CG6" s="64"/>
      <c r="CH6" s="45" t="b">
        <f t="shared" si="20"/>
        <v>0</v>
      </c>
      <c r="CI6" s="114" t="s">
        <v>132</v>
      </c>
      <c r="CJ6" s="135" t="s">
        <v>381</v>
      </c>
    </row>
    <row r="7" spans="1:88" x14ac:dyDescent="0.25">
      <c r="A7" s="22"/>
      <c r="C7" s="23"/>
      <c r="E7" t="s">
        <v>48</v>
      </c>
      <c r="F7">
        <f>VLOOKUP(TRUE,IF(B12="Danfoss",Y4:AB13,U4:X19),3,FALSE)</f>
        <v>25</v>
      </c>
      <c r="I7" s="27">
        <f t="shared" si="1"/>
        <v>0</v>
      </c>
      <c r="J7" s="28">
        <v>32</v>
      </c>
      <c r="K7" s="28">
        <f t="shared" si="2"/>
        <v>4.4277322004702871E-2</v>
      </c>
      <c r="L7" s="29">
        <f t="shared" si="3"/>
        <v>116.1555432405238</v>
      </c>
      <c r="M7" s="27">
        <f t="shared" si="4"/>
        <v>0</v>
      </c>
      <c r="N7" s="28">
        <v>32</v>
      </c>
      <c r="O7" s="28">
        <f t="shared" si="5"/>
        <v>4.4277322004702871E-2</v>
      </c>
      <c r="P7" s="29">
        <f t="shared" si="6"/>
        <v>1.3360863958455773</v>
      </c>
      <c r="R7" s="27"/>
      <c r="S7" s="28"/>
      <c r="T7" s="28"/>
      <c r="U7" s="27" t="b">
        <f t="shared" si="7"/>
        <v>0</v>
      </c>
      <c r="V7" s="28" t="s">
        <v>360</v>
      </c>
      <c r="W7" s="42">
        <v>20</v>
      </c>
      <c r="X7" s="29">
        <v>6.3</v>
      </c>
      <c r="Y7" s="27" t="b">
        <f t="shared" si="8"/>
        <v>1</v>
      </c>
      <c r="Z7" s="28" t="s">
        <v>362</v>
      </c>
      <c r="AA7" s="42">
        <v>32</v>
      </c>
      <c r="AB7" s="29">
        <v>16</v>
      </c>
      <c r="AC7" s="28"/>
      <c r="AD7" s="28"/>
      <c r="AE7" s="27" t="b">
        <f t="shared" si="9"/>
        <v>1</v>
      </c>
      <c r="AF7" s="42">
        <v>32</v>
      </c>
      <c r="AG7" s="29">
        <v>10</v>
      </c>
      <c r="AH7" s="27" t="b">
        <f t="shared" si="10"/>
        <v>1</v>
      </c>
      <c r="AI7" s="42">
        <v>32</v>
      </c>
      <c r="AJ7" s="29">
        <v>10</v>
      </c>
      <c r="AL7" s="27" t="b">
        <f t="shared" si="11"/>
        <v>1</v>
      </c>
      <c r="AM7" s="28">
        <v>25</v>
      </c>
      <c r="AN7" s="29" t="s">
        <v>84</v>
      </c>
      <c r="AO7" s="27" t="b">
        <f t="shared" si="0"/>
        <v>1</v>
      </c>
      <c r="AP7" s="28">
        <v>25</v>
      </c>
      <c r="AQ7" s="29" t="s">
        <v>84</v>
      </c>
      <c r="AZ7" s="133"/>
      <c r="BA7" s="45"/>
      <c r="BB7" s="139"/>
      <c r="BC7" s="45" t="b">
        <f t="shared" si="12"/>
        <v>0</v>
      </c>
      <c r="BD7" s="114" t="s">
        <v>106</v>
      </c>
      <c r="BE7" s="45">
        <v>32</v>
      </c>
      <c r="BF7" s="64"/>
      <c r="BG7" s="45" t="b">
        <f t="shared" si="13"/>
        <v>0</v>
      </c>
      <c r="BH7" s="114" t="s">
        <v>226</v>
      </c>
      <c r="BI7" s="45">
        <v>32</v>
      </c>
      <c r="BJ7" s="139"/>
      <c r="BK7" s="45" t="b">
        <f t="shared" si="14"/>
        <v>0</v>
      </c>
      <c r="BL7" s="114" t="s">
        <v>226</v>
      </c>
      <c r="BM7" s="45" t="s">
        <v>85</v>
      </c>
      <c r="BN7" s="139"/>
      <c r="BO7" s="45" t="b">
        <f t="shared" si="15"/>
        <v>0</v>
      </c>
      <c r="BP7" s="114" t="s">
        <v>226</v>
      </c>
      <c r="BQ7" s="45" t="s">
        <v>85</v>
      </c>
      <c r="BR7" s="139"/>
      <c r="BS7" s="45" t="b">
        <f t="shared" si="16"/>
        <v>0</v>
      </c>
      <c r="BT7" s="114" t="s">
        <v>105</v>
      </c>
      <c r="BU7" s="68" t="s">
        <v>359</v>
      </c>
      <c r="BV7" t="b">
        <f t="shared" si="17"/>
        <v>0</v>
      </c>
      <c r="BW7" s="114" t="s">
        <v>105</v>
      </c>
      <c r="BY7" s="64"/>
      <c r="BZ7" s="45"/>
      <c r="CA7" s="114"/>
      <c r="CB7" s="45"/>
      <c r="CC7" s="64"/>
      <c r="CD7" s="45" t="b">
        <f t="shared" si="19"/>
        <v>1</v>
      </c>
      <c r="CE7" s="114" t="s">
        <v>106</v>
      </c>
      <c r="CF7" s="45">
        <v>32</v>
      </c>
      <c r="CG7" s="64"/>
      <c r="CH7" s="45"/>
      <c r="CI7" s="114"/>
      <c r="CJ7" s="135"/>
    </row>
    <row r="8" spans="1:88" x14ac:dyDescent="0.25">
      <c r="A8" s="22"/>
      <c r="C8" s="23"/>
      <c r="E8" s="44" t="s">
        <v>53</v>
      </c>
      <c r="F8" s="25">
        <f>(F4^2/F7^2)*10</f>
        <v>0.21157024793388429</v>
      </c>
      <c r="I8" s="27">
        <f t="shared" si="1"/>
        <v>0</v>
      </c>
      <c r="J8" s="28">
        <v>40</v>
      </c>
      <c r="K8" s="28">
        <f t="shared" si="2"/>
        <v>4.0875226338606248E-2</v>
      </c>
      <c r="L8" s="29">
        <f t="shared" si="3"/>
        <v>35.137325342770062</v>
      </c>
      <c r="M8" s="27">
        <f t="shared" si="4"/>
        <v>0</v>
      </c>
      <c r="N8" s="28">
        <v>40</v>
      </c>
      <c r="O8" s="28">
        <f t="shared" si="5"/>
        <v>4.0875226338606248E-2</v>
      </c>
      <c r="P8" s="29">
        <f t="shared" si="6"/>
        <v>0.40416928083804654</v>
      </c>
      <c r="R8" s="41"/>
      <c r="S8" s="28"/>
      <c r="T8" s="43"/>
      <c r="U8" s="27" t="b">
        <f t="shared" ref="U8:U19" si="21">IF(X8&gt;$S$5,TRUE,FALSE)</f>
        <v>1</v>
      </c>
      <c r="V8" s="28" t="s">
        <v>361</v>
      </c>
      <c r="W8" s="42">
        <v>25</v>
      </c>
      <c r="X8" s="29">
        <v>10</v>
      </c>
      <c r="Y8" s="27" t="b">
        <f t="shared" si="8"/>
        <v>1</v>
      </c>
      <c r="Z8" s="28" t="s">
        <v>377</v>
      </c>
      <c r="AA8" s="42">
        <v>40</v>
      </c>
      <c r="AB8" s="29">
        <v>20</v>
      </c>
      <c r="AC8" s="28"/>
      <c r="AD8" s="28"/>
      <c r="AE8" s="27" t="b">
        <f t="shared" si="9"/>
        <v>1</v>
      </c>
      <c r="AF8" s="42">
        <v>40</v>
      </c>
      <c r="AG8" s="29">
        <v>15</v>
      </c>
      <c r="AH8" s="27" t="b">
        <f t="shared" si="10"/>
        <v>1</v>
      </c>
      <c r="AI8" s="42">
        <v>40</v>
      </c>
      <c r="AJ8" s="29">
        <v>15</v>
      </c>
      <c r="AL8" s="27" t="b">
        <f t="shared" si="11"/>
        <v>1</v>
      </c>
      <c r="AM8" s="28">
        <v>40</v>
      </c>
      <c r="AN8" s="29" t="s">
        <v>86</v>
      </c>
      <c r="AO8" s="27" t="b">
        <f t="shared" si="0"/>
        <v>1</v>
      </c>
      <c r="AP8" s="28">
        <v>40</v>
      </c>
      <c r="AQ8" s="29" t="s">
        <v>86</v>
      </c>
      <c r="AZ8" s="133"/>
      <c r="BA8" s="45"/>
      <c r="BB8" s="139"/>
      <c r="BC8" s="45" t="b">
        <f t="shared" si="12"/>
        <v>0</v>
      </c>
      <c r="BD8" s="114" t="s">
        <v>107</v>
      </c>
      <c r="BE8" s="45">
        <v>40</v>
      </c>
      <c r="BF8" s="64"/>
      <c r="BG8" s="45" t="b">
        <f t="shared" si="13"/>
        <v>0</v>
      </c>
      <c r="BH8" s="114" t="s">
        <v>227</v>
      </c>
      <c r="BI8" s="45">
        <v>40</v>
      </c>
      <c r="BJ8" s="139"/>
      <c r="BK8" s="45" t="b">
        <f t="shared" si="14"/>
        <v>0</v>
      </c>
      <c r="BL8" s="114" t="s">
        <v>227</v>
      </c>
      <c r="BM8" s="45" t="s">
        <v>84</v>
      </c>
      <c r="BN8" s="139"/>
      <c r="BO8" s="45" t="b">
        <f t="shared" si="15"/>
        <v>0</v>
      </c>
      <c r="BP8" s="114" t="s">
        <v>227</v>
      </c>
      <c r="BQ8" s="45" t="s">
        <v>84</v>
      </c>
      <c r="BR8" s="139"/>
      <c r="BS8" s="45" t="b">
        <f t="shared" si="16"/>
        <v>0</v>
      </c>
      <c r="BT8" s="114" t="s">
        <v>106</v>
      </c>
      <c r="BU8" s="45" t="s">
        <v>360</v>
      </c>
      <c r="BV8" t="b">
        <f t="shared" si="17"/>
        <v>0</v>
      </c>
      <c r="BW8" s="114" t="s">
        <v>106</v>
      </c>
      <c r="BX8" t="s">
        <v>358</v>
      </c>
      <c r="BY8" s="64"/>
      <c r="BZ8" s="45"/>
      <c r="CA8" s="114"/>
      <c r="CB8" s="45"/>
      <c r="CC8" s="64"/>
      <c r="CD8" s="45" t="b">
        <f t="shared" si="19"/>
        <v>0</v>
      </c>
      <c r="CE8" s="114" t="s">
        <v>107</v>
      </c>
      <c r="CF8" s="45">
        <v>40</v>
      </c>
      <c r="CG8" s="64"/>
      <c r="CH8" s="45"/>
      <c r="CI8" s="114"/>
      <c r="CJ8" s="53"/>
    </row>
    <row r="9" spans="1:88" x14ac:dyDescent="0.25">
      <c r="A9" s="26"/>
      <c r="C9" s="23"/>
      <c r="E9" s="233" t="str">
        <f>VLOOKUP(TRUE,IF(B12="Вогез",U4:X19,Y4:AB14),2,FALSE)</f>
        <v>25-8,0</v>
      </c>
      <c r="F9" s="233"/>
      <c r="I9" s="27">
        <f t="shared" si="1"/>
        <v>2</v>
      </c>
      <c r="J9" s="28">
        <v>50</v>
      </c>
      <c r="K9" s="28">
        <f t="shared" si="2"/>
        <v>3.7850686611455138E-2</v>
      </c>
      <c r="L9" s="29">
        <f t="shared" si="3"/>
        <v>10.661841607354788</v>
      </c>
      <c r="M9" s="27">
        <f t="shared" si="4"/>
        <v>0</v>
      </c>
      <c r="N9" s="28">
        <v>50</v>
      </c>
      <c r="O9" s="28">
        <f t="shared" si="5"/>
        <v>3.7850686611455138E-2</v>
      </c>
      <c r="P9" s="29">
        <f t="shared" si="6"/>
        <v>0.12263849945369888</v>
      </c>
      <c r="R9" s="41"/>
      <c r="S9" s="43"/>
      <c r="T9" s="28"/>
      <c r="U9" s="27" t="b">
        <f t="shared" si="21"/>
        <v>1</v>
      </c>
      <c r="V9" s="28" t="s">
        <v>362</v>
      </c>
      <c r="W9" s="42">
        <v>32</v>
      </c>
      <c r="X9" s="29">
        <v>16</v>
      </c>
      <c r="Y9" s="27" t="b">
        <f t="shared" si="8"/>
        <v>1</v>
      </c>
      <c r="Z9" s="28" t="s">
        <v>364</v>
      </c>
      <c r="AA9" s="42">
        <v>50</v>
      </c>
      <c r="AB9" s="29">
        <v>32</v>
      </c>
      <c r="AC9" s="28"/>
      <c r="AD9" s="28"/>
      <c r="AE9" s="27" t="b">
        <f t="shared" si="9"/>
        <v>1</v>
      </c>
      <c r="AF9" s="42">
        <v>50</v>
      </c>
      <c r="AG9" s="29">
        <v>25</v>
      </c>
      <c r="AH9" s="27" t="b">
        <f t="shared" si="10"/>
        <v>1</v>
      </c>
      <c r="AI9" s="42">
        <v>50</v>
      </c>
      <c r="AJ9" s="29">
        <v>25</v>
      </c>
      <c r="AL9" s="27" t="b">
        <f t="shared" si="11"/>
        <v>1</v>
      </c>
      <c r="AM9" s="28">
        <v>65</v>
      </c>
      <c r="AN9" s="29" t="s">
        <v>87</v>
      </c>
      <c r="AO9" s="27" t="b">
        <f t="shared" si="0"/>
        <v>1</v>
      </c>
      <c r="AP9" s="28">
        <v>65</v>
      </c>
      <c r="AQ9" s="29" t="s">
        <v>87</v>
      </c>
      <c r="AZ9" s="133"/>
      <c r="BA9" s="45"/>
      <c r="BB9" s="139"/>
      <c r="BC9" s="45" t="b">
        <f t="shared" si="12"/>
        <v>1</v>
      </c>
      <c r="BD9" s="114" t="s">
        <v>108</v>
      </c>
      <c r="BE9" s="45">
        <v>50</v>
      </c>
      <c r="BF9" s="64"/>
      <c r="BG9" s="45" t="b">
        <f t="shared" si="13"/>
        <v>0</v>
      </c>
      <c r="BH9" s="114" t="s">
        <v>296</v>
      </c>
      <c r="BI9" s="45">
        <v>50</v>
      </c>
      <c r="BJ9" s="139"/>
      <c r="BK9" s="45" t="b">
        <f t="shared" si="14"/>
        <v>0</v>
      </c>
      <c r="BL9" s="114" t="s">
        <v>296</v>
      </c>
      <c r="BM9" s="45" t="s">
        <v>86</v>
      </c>
      <c r="BN9" s="139"/>
      <c r="BO9" s="45" t="b">
        <f t="shared" si="15"/>
        <v>0</v>
      </c>
      <c r="BP9" s="114" t="s">
        <v>296</v>
      </c>
      <c r="BQ9" s="45" t="s">
        <v>86</v>
      </c>
      <c r="BR9" s="139"/>
      <c r="BS9" s="45" t="b">
        <f t="shared" si="16"/>
        <v>0</v>
      </c>
      <c r="BT9" s="114" t="s">
        <v>107</v>
      </c>
      <c r="BU9" s="45" t="s">
        <v>361</v>
      </c>
      <c r="BV9" t="b">
        <f t="shared" si="17"/>
        <v>1</v>
      </c>
      <c r="BW9" s="114" t="s">
        <v>107</v>
      </c>
      <c r="BX9" t="s">
        <v>376</v>
      </c>
      <c r="BY9" s="64"/>
      <c r="BZ9" s="45"/>
      <c r="CA9" s="114"/>
      <c r="CB9" s="45"/>
      <c r="CC9" s="64"/>
      <c r="CD9" s="45" t="b">
        <f t="shared" si="19"/>
        <v>0</v>
      </c>
      <c r="CE9" s="114" t="s">
        <v>108</v>
      </c>
      <c r="CF9" s="45">
        <v>50</v>
      </c>
      <c r="CG9" s="64"/>
      <c r="CH9" s="45"/>
      <c r="CI9" s="114"/>
      <c r="CJ9" s="53"/>
    </row>
    <row r="10" spans="1:88" ht="15.75" thickBot="1" x14ac:dyDescent="0.3">
      <c r="E10" s="44" t="s">
        <v>349</v>
      </c>
      <c r="F10" s="25">
        <f>VLOOKUP(TRUE,IF(B13="Danfoss",AE4:AG15,AH4:AJ14),2,FALSE)</f>
        <v>32</v>
      </c>
      <c r="I10" s="27">
        <f t="shared" si="1"/>
        <v>0</v>
      </c>
      <c r="J10" s="28">
        <v>65</v>
      </c>
      <c r="K10" s="28">
        <f t="shared" si="2"/>
        <v>3.4705101432211748E-2</v>
      </c>
      <c r="L10" s="29">
        <f t="shared" si="3"/>
        <v>2.6329039790459161</v>
      </c>
      <c r="M10" s="27">
        <f t="shared" si="4"/>
        <v>0</v>
      </c>
      <c r="N10" s="28">
        <v>65</v>
      </c>
      <c r="O10" s="28">
        <f t="shared" si="5"/>
        <v>3.4705101432211748E-2</v>
      </c>
      <c r="P10" s="29">
        <f t="shared" si="6"/>
        <v>3.0285142575474336E-2</v>
      </c>
      <c r="R10" s="27"/>
      <c r="S10" s="28"/>
      <c r="T10" s="28"/>
      <c r="U10" s="27" t="b">
        <f t="shared" si="21"/>
        <v>1</v>
      </c>
      <c r="V10" s="28" t="s">
        <v>363</v>
      </c>
      <c r="W10" s="42">
        <v>40</v>
      </c>
      <c r="X10" s="29">
        <v>25</v>
      </c>
      <c r="Y10" s="27" t="b">
        <f t="shared" si="8"/>
        <v>1</v>
      </c>
      <c r="Z10" s="28" t="s">
        <v>378</v>
      </c>
      <c r="AA10" s="42">
        <v>65</v>
      </c>
      <c r="AB10" s="29">
        <v>50</v>
      </c>
      <c r="AC10" s="28"/>
      <c r="AD10" s="28"/>
      <c r="AE10" s="27" t="b">
        <f t="shared" si="9"/>
        <v>1</v>
      </c>
      <c r="AF10" s="42">
        <v>65</v>
      </c>
      <c r="AG10" s="29">
        <v>50</v>
      </c>
      <c r="AH10" s="27" t="b">
        <f t="shared" si="10"/>
        <v>1</v>
      </c>
      <c r="AI10" s="42">
        <v>65</v>
      </c>
      <c r="AJ10" s="29">
        <v>40</v>
      </c>
      <c r="AL10" s="27" t="b">
        <f t="shared" si="11"/>
        <v>1</v>
      </c>
      <c r="AM10" s="28">
        <v>85</v>
      </c>
      <c r="AN10" s="29" t="s">
        <v>88</v>
      </c>
      <c r="AO10" s="31" t="b">
        <f t="shared" si="0"/>
        <v>1</v>
      </c>
      <c r="AP10" s="33">
        <v>85</v>
      </c>
      <c r="AQ10" s="34" t="s">
        <v>88</v>
      </c>
      <c r="AZ10" s="133"/>
      <c r="BA10" s="45"/>
      <c r="BB10" s="139"/>
      <c r="BC10" s="45" t="b">
        <f t="shared" si="12"/>
        <v>0</v>
      </c>
      <c r="BD10" s="114" t="s">
        <v>109</v>
      </c>
      <c r="BE10" s="45">
        <v>65</v>
      </c>
      <c r="BF10" s="64"/>
      <c r="BG10" s="45" t="b">
        <f t="shared" si="13"/>
        <v>0</v>
      </c>
      <c r="BH10" s="114" t="s">
        <v>351</v>
      </c>
      <c r="BI10" s="45">
        <v>65</v>
      </c>
      <c r="BJ10" s="139"/>
      <c r="BK10" s="45" t="b">
        <f t="shared" si="14"/>
        <v>0</v>
      </c>
      <c r="BL10" s="114" t="s">
        <v>351</v>
      </c>
      <c r="BM10" s="45" t="s">
        <v>87</v>
      </c>
      <c r="BN10" s="139"/>
      <c r="BO10" s="45" t="b">
        <f t="shared" si="15"/>
        <v>0</v>
      </c>
      <c r="BP10" s="114" t="s">
        <v>351</v>
      </c>
      <c r="BQ10" s="45" t="s">
        <v>87</v>
      </c>
      <c r="BR10" s="139"/>
      <c r="BS10" s="45" t="b">
        <f t="shared" si="16"/>
        <v>0</v>
      </c>
      <c r="BT10" s="114" t="s">
        <v>108</v>
      </c>
      <c r="BU10" s="45" t="s">
        <v>362</v>
      </c>
      <c r="BV10" t="b">
        <f t="shared" si="17"/>
        <v>0</v>
      </c>
      <c r="BW10" s="114" t="s">
        <v>108</v>
      </c>
      <c r="BX10" t="s">
        <v>362</v>
      </c>
      <c r="BY10" s="64"/>
      <c r="BZ10" s="45"/>
      <c r="CA10" s="114"/>
      <c r="CB10" s="45"/>
      <c r="CC10" s="64"/>
      <c r="CD10" s="45" t="b">
        <f t="shared" si="19"/>
        <v>0</v>
      </c>
      <c r="CE10" s="114" t="s">
        <v>109</v>
      </c>
      <c r="CF10" s="45">
        <v>65</v>
      </c>
      <c r="CG10" s="64"/>
      <c r="CH10" s="45"/>
      <c r="CI10" s="114"/>
      <c r="CJ10" s="53"/>
    </row>
    <row r="11" spans="1:88" ht="15.75" thickBot="1" x14ac:dyDescent="0.3">
      <c r="A11" s="23"/>
      <c r="B11" s="23"/>
      <c r="C11" s="23"/>
      <c r="E11" s="44"/>
      <c r="F11" s="25"/>
      <c r="I11" s="27">
        <f t="shared" si="1"/>
        <v>0</v>
      </c>
      <c r="J11" s="28">
        <v>80</v>
      </c>
      <c r="K11" s="28">
        <f t="shared" si="2"/>
        <v>3.248549788373601E-2</v>
      </c>
      <c r="L11" s="29">
        <f t="shared" si="3"/>
        <v>0.87266604547872617</v>
      </c>
      <c r="M11" s="27">
        <f t="shared" si="4"/>
        <v>0</v>
      </c>
      <c r="N11" s="28">
        <v>80</v>
      </c>
      <c r="O11" s="28">
        <f t="shared" si="5"/>
        <v>3.248549788373601E-2</v>
      </c>
      <c r="P11" s="29">
        <f t="shared" si="6"/>
        <v>1.0037895729746889E-2</v>
      </c>
      <c r="R11" s="27"/>
      <c r="S11" s="28"/>
      <c r="T11" s="43"/>
      <c r="U11" s="27" t="b">
        <f t="shared" si="21"/>
        <v>1</v>
      </c>
      <c r="V11" s="28" t="s">
        <v>364</v>
      </c>
      <c r="W11" s="42">
        <v>50</v>
      </c>
      <c r="X11" s="29">
        <v>32</v>
      </c>
      <c r="Y11" s="27" t="b">
        <f t="shared" si="8"/>
        <v>1</v>
      </c>
      <c r="Z11" s="28" t="s">
        <v>379</v>
      </c>
      <c r="AA11" s="42">
        <v>80</v>
      </c>
      <c r="AB11" s="29">
        <v>80</v>
      </c>
      <c r="AC11" s="28"/>
      <c r="AD11" s="28"/>
      <c r="AE11" s="27" t="b">
        <f t="shared" si="9"/>
        <v>1</v>
      </c>
      <c r="AF11" s="42">
        <v>80</v>
      </c>
      <c r="AG11" s="29">
        <v>70</v>
      </c>
      <c r="AH11" s="27" t="b">
        <f t="shared" si="10"/>
        <v>1</v>
      </c>
      <c r="AI11" s="42">
        <v>80</v>
      </c>
      <c r="AJ11" s="29">
        <v>60</v>
      </c>
      <c r="AL11" s="31" t="b">
        <f>IF($F$4&lt;=AM11,TRUE,FALSE)</f>
        <v>1</v>
      </c>
      <c r="AM11" s="33">
        <v>140</v>
      </c>
      <c r="AN11" s="34" t="s">
        <v>353</v>
      </c>
      <c r="AZ11" s="133"/>
      <c r="BA11" s="45"/>
      <c r="BB11" s="139"/>
      <c r="BC11" s="45" t="b">
        <f t="shared" si="12"/>
        <v>0</v>
      </c>
      <c r="BD11" s="114" t="s">
        <v>110</v>
      </c>
      <c r="BE11" s="45">
        <v>80</v>
      </c>
      <c r="BF11" s="64"/>
      <c r="BG11" s="45" t="b">
        <f t="shared" si="13"/>
        <v>0</v>
      </c>
      <c r="BH11" s="114" t="s">
        <v>352</v>
      </c>
      <c r="BI11" s="45">
        <v>80</v>
      </c>
      <c r="BJ11" s="139"/>
      <c r="BK11" s="45" t="b">
        <f t="shared" si="14"/>
        <v>0</v>
      </c>
      <c r="BL11" s="114" t="s">
        <v>352</v>
      </c>
      <c r="BM11" s="45" t="s">
        <v>88</v>
      </c>
      <c r="BN11" s="139"/>
      <c r="BO11" s="45" t="b">
        <f t="shared" si="15"/>
        <v>0</v>
      </c>
      <c r="BP11" s="114" t="s">
        <v>352</v>
      </c>
      <c r="BQ11" s="45" t="s">
        <v>88</v>
      </c>
      <c r="BR11" s="139"/>
      <c r="BS11" s="45" t="b">
        <f t="shared" si="16"/>
        <v>0</v>
      </c>
      <c r="BT11" s="114" t="s">
        <v>109</v>
      </c>
      <c r="BU11" s="45" t="s">
        <v>363</v>
      </c>
      <c r="BV11" t="b">
        <f t="shared" si="17"/>
        <v>0</v>
      </c>
      <c r="BW11" s="114" t="s">
        <v>109</v>
      </c>
      <c r="BX11" t="s">
        <v>377</v>
      </c>
      <c r="BY11" s="64"/>
      <c r="BZ11" s="45"/>
      <c r="CA11" s="114"/>
      <c r="CB11" s="45"/>
      <c r="CC11" s="64"/>
      <c r="CD11" s="45" t="b">
        <f t="shared" si="19"/>
        <v>0</v>
      </c>
      <c r="CE11" s="114" t="s">
        <v>110</v>
      </c>
      <c r="CF11" s="45">
        <v>80</v>
      </c>
      <c r="CG11" s="64"/>
      <c r="CH11" s="45"/>
      <c r="CI11" s="114"/>
      <c r="CJ11" s="53"/>
    </row>
    <row r="12" spans="1:88" x14ac:dyDescent="0.25">
      <c r="A12" s="22" t="s">
        <v>52</v>
      </c>
      <c r="B12" s="222">
        <f>'ОЛ(4)'!R20</f>
        <v>0</v>
      </c>
      <c r="C12" s="222"/>
      <c r="E12" s="222" t="str">
        <f>VLOOKUP(TRUE,AL3:AN11,3,FALSE)</f>
        <v>РС20-12</v>
      </c>
      <c r="F12" s="222"/>
      <c r="I12" s="27">
        <f t="shared" si="1"/>
        <v>0</v>
      </c>
      <c r="J12" s="28">
        <v>100</v>
      </c>
      <c r="K12" s="28">
        <f t="shared" si="2"/>
        <v>3.0329450982592862E-2</v>
      </c>
      <c r="L12" s="29">
        <f t="shared" si="3"/>
        <v>0.26697649977088861</v>
      </c>
      <c r="M12" s="27">
        <f t="shared" si="4"/>
        <v>0</v>
      </c>
      <c r="N12" s="28">
        <v>100</v>
      </c>
      <c r="O12" s="28">
        <f t="shared" si="5"/>
        <v>3.0329450982592862E-2</v>
      </c>
      <c r="P12" s="29">
        <f t="shared" si="6"/>
        <v>3.0709138746458811E-3</v>
      </c>
      <c r="R12" s="27"/>
      <c r="S12" s="28"/>
      <c r="T12" s="28"/>
      <c r="U12" s="27" t="b">
        <f t="shared" si="21"/>
        <v>1</v>
      </c>
      <c r="V12" s="28" t="s">
        <v>365</v>
      </c>
      <c r="W12" s="42">
        <v>65</v>
      </c>
      <c r="X12" s="29">
        <v>40</v>
      </c>
      <c r="Y12" s="48" t="b">
        <f t="shared" si="8"/>
        <v>1</v>
      </c>
      <c r="Z12" s="28" t="s">
        <v>368</v>
      </c>
      <c r="AA12" s="42">
        <v>100</v>
      </c>
      <c r="AB12" s="29">
        <v>125</v>
      </c>
      <c r="AC12" s="28"/>
      <c r="AD12" s="28"/>
      <c r="AE12" s="27" t="b">
        <f t="shared" si="9"/>
        <v>1</v>
      </c>
      <c r="AF12" s="42">
        <v>100</v>
      </c>
      <c r="AG12" s="29">
        <v>100</v>
      </c>
      <c r="AH12" s="27" t="b">
        <f t="shared" si="10"/>
        <v>1</v>
      </c>
      <c r="AI12" s="42">
        <v>100</v>
      </c>
      <c r="AJ12" s="29">
        <v>100</v>
      </c>
      <c r="AZ12" s="133"/>
      <c r="BA12" s="45"/>
      <c r="BB12" s="139"/>
      <c r="BC12" s="45" t="b">
        <f t="shared" si="12"/>
        <v>0</v>
      </c>
      <c r="BD12" s="114" t="s">
        <v>111</v>
      </c>
      <c r="BE12" s="45">
        <v>100</v>
      </c>
      <c r="BF12" s="64"/>
      <c r="BG12" s="45" t="b">
        <f t="shared" si="13"/>
        <v>0</v>
      </c>
      <c r="BH12" s="114" t="s">
        <v>354</v>
      </c>
      <c r="BI12" s="45">
        <v>100</v>
      </c>
      <c r="BJ12" s="139"/>
      <c r="BK12" s="45" t="b">
        <f t="shared" si="14"/>
        <v>0</v>
      </c>
      <c r="BL12" s="114" t="s">
        <v>354</v>
      </c>
      <c r="BM12" s="45" t="s">
        <v>353</v>
      </c>
      <c r="BN12" s="139"/>
      <c r="BO12" s="45" t="b">
        <f t="shared" si="15"/>
        <v>0</v>
      </c>
      <c r="BP12" s="114" t="s">
        <v>354</v>
      </c>
      <c r="BQ12" s="45" t="s">
        <v>353</v>
      </c>
      <c r="BR12" s="139"/>
      <c r="BS12" s="45" t="b">
        <f t="shared" si="16"/>
        <v>0</v>
      </c>
      <c r="BT12" s="114" t="s">
        <v>110</v>
      </c>
      <c r="BU12" s="45" t="s">
        <v>364</v>
      </c>
      <c r="BV12" t="b">
        <f t="shared" si="17"/>
        <v>0</v>
      </c>
      <c r="BW12" s="114" t="s">
        <v>110</v>
      </c>
      <c r="BX12" t="s">
        <v>364</v>
      </c>
      <c r="BY12" s="64"/>
      <c r="BZ12" s="45"/>
      <c r="CA12" s="114"/>
      <c r="CB12" s="45"/>
      <c r="CC12" s="64"/>
      <c r="CD12" s="45" t="b">
        <f t="shared" si="19"/>
        <v>0</v>
      </c>
      <c r="CE12" s="114" t="s">
        <v>111</v>
      </c>
      <c r="CF12" s="45">
        <v>100</v>
      </c>
      <c r="CG12" s="64"/>
      <c r="CH12" s="45"/>
      <c r="CI12" s="114"/>
      <c r="CJ12" s="53"/>
    </row>
    <row r="13" spans="1:88" x14ac:dyDescent="0.25">
      <c r="A13" s="22" t="s">
        <v>347</v>
      </c>
      <c r="B13" s="222">
        <f>'ОЛ(4)'!Z20</f>
        <v>0</v>
      </c>
      <c r="C13" s="222"/>
      <c r="I13" s="27">
        <f t="shared" si="1"/>
        <v>0</v>
      </c>
      <c r="J13" s="28">
        <v>125</v>
      </c>
      <c r="K13" s="28">
        <f t="shared" si="2"/>
        <v>2.8381135828692533E-2</v>
      </c>
      <c r="L13" s="29">
        <f t="shared" si="3"/>
        <v>8.1863101248150896E-2</v>
      </c>
      <c r="M13" s="27">
        <f t="shared" si="4"/>
        <v>0</v>
      </c>
      <c r="N13" s="28">
        <v>125</v>
      </c>
      <c r="O13" s="28">
        <f t="shared" si="5"/>
        <v>2.8381135828692533E-2</v>
      </c>
      <c r="P13" s="29">
        <f t="shared" si="6"/>
        <v>9.4163543855068353E-4</v>
      </c>
      <c r="R13" s="27"/>
      <c r="S13" s="28"/>
      <c r="T13" s="28"/>
      <c r="U13" s="27" t="b">
        <f t="shared" si="21"/>
        <v>1</v>
      </c>
      <c r="V13" s="28" t="s">
        <v>366</v>
      </c>
      <c r="W13" s="42">
        <v>80</v>
      </c>
      <c r="X13" s="29">
        <v>63</v>
      </c>
      <c r="Y13" s="48" t="b">
        <f t="shared" si="8"/>
        <v>1</v>
      </c>
      <c r="Z13" s="28" t="s">
        <v>369</v>
      </c>
      <c r="AA13" s="28">
        <v>125</v>
      </c>
      <c r="AB13" s="29">
        <v>160</v>
      </c>
      <c r="AC13" s="28"/>
      <c r="AD13" s="28"/>
      <c r="AE13" s="27" t="b">
        <f t="shared" si="9"/>
        <v>1</v>
      </c>
      <c r="AF13" s="28">
        <v>125</v>
      </c>
      <c r="AG13" s="29">
        <v>150</v>
      </c>
      <c r="AH13" s="27" t="b">
        <f t="shared" si="10"/>
        <v>1</v>
      </c>
      <c r="AI13" s="28">
        <v>125</v>
      </c>
      <c r="AJ13" s="29">
        <v>150</v>
      </c>
      <c r="AZ13" s="133"/>
      <c r="BA13" s="45"/>
      <c r="BB13" s="139"/>
      <c r="BC13" s="45" t="b">
        <f t="shared" si="12"/>
        <v>0</v>
      </c>
      <c r="BD13" s="114" t="s">
        <v>112</v>
      </c>
      <c r="BE13" s="45">
        <v>125</v>
      </c>
      <c r="BF13" s="64"/>
      <c r="BG13" s="45"/>
      <c r="BH13" s="114"/>
      <c r="BI13" s="45"/>
      <c r="BJ13" s="139"/>
      <c r="BK13" s="45"/>
      <c r="BL13" s="114"/>
      <c r="BM13" s="45"/>
      <c r="BN13" s="139"/>
      <c r="BO13" s="45"/>
      <c r="BP13" s="114"/>
      <c r="BQ13" s="45"/>
      <c r="BR13" s="139"/>
      <c r="BS13" s="45" t="b">
        <f t="shared" si="16"/>
        <v>0</v>
      </c>
      <c r="BT13" s="114" t="s">
        <v>111</v>
      </c>
      <c r="BU13" s="45" t="s">
        <v>365</v>
      </c>
      <c r="BV13" t="b">
        <f t="shared" si="17"/>
        <v>0</v>
      </c>
      <c r="BW13" s="114" t="s">
        <v>111</v>
      </c>
      <c r="BX13" t="s">
        <v>378</v>
      </c>
      <c r="BY13" s="64"/>
      <c r="BZ13" s="45"/>
      <c r="CA13" s="114"/>
      <c r="CB13" s="45"/>
      <c r="CC13" s="64"/>
      <c r="CD13" s="45" t="b">
        <f t="shared" si="19"/>
        <v>0</v>
      </c>
      <c r="CE13" s="114" t="s">
        <v>112</v>
      </c>
      <c r="CF13" s="45">
        <v>125</v>
      </c>
      <c r="CG13" s="64"/>
      <c r="CH13" s="45"/>
      <c r="CI13" s="114"/>
      <c r="CJ13" s="53"/>
    </row>
    <row r="14" spans="1:88" x14ac:dyDescent="0.25">
      <c r="A14" s="22"/>
      <c r="C14" s="23"/>
      <c r="E14" t="s">
        <v>89</v>
      </c>
      <c r="F14" s="25">
        <f>'БОВ (1)'!F16+'БОВ (2)'!F16+'БОВ (3)'!F16</f>
        <v>0.38999999999999996</v>
      </c>
      <c r="I14" s="27">
        <f t="shared" si="1"/>
        <v>0</v>
      </c>
      <c r="J14" s="28">
        <v>150</v>
      </c>
      <c r="K14" s="28">
        <f t="shared" si="2"/>
        <v>2.6925299052784474E-2</v>
      </c>
      <c r="L14" s="29">
        <f t="shared" si="3"/>
        <v>3.1211362397841013E-2</v>
      </c>
      <c r="M14" s="27">
        <f t="shared" si="4"/>
        <v>0</v>
      </c>
      <c r="N14" s="28">
        <v>150</v>
      </c>
      <c r="O14" s="28">
        <f t="shared" si="5"/>
        <v>2.6925299052784474E-2</v>
      </c>
      <c r="P14" s="29">
        <f t="shared" si="6"/>
        <v>3.59010646691316E-4</v>
      </c>
      <c r="R14" s="27"/>
      <c r="S14" s="28"/>
      <c r="T14" s="28"/>
      <c r="U14" s="27" t="b">
        <f t="shared" si="21"/>
        <v>1</v>
      </c>
      <c r="V14" s="28" t="s">
        <v>367</v>
      </c>
      <c r="W14" s="42">
        <v>100</v>
      </c>
      <c r="X14" s="29">
        <v>100</v>
      </c>
      <c r="Y14" s="48" t="b">
        <f t="shared" si="8"/>
        <v>1</v>
      </c>
      <c r="Z14" s="28" t="s">
        <v>373</v>
      </c>
      <c r="AA14" s="28" t="s">
        <v>374</v>
      </c>
      <c r="AB14" s="29">
        <v>400</v>
      </c>
      <c r="AC14" s="28"/>
      <c r="AD14" s="28"/>
      <c r="AE14" s="27" t="b">
        <f>IF(AG14&gt;$AD$5,TRUE,FALSE)</f>
        <v>1</v>
      </c>
      <c r="AF14" s="42">
        <v>150</v>
      </c>
      <c r="AG14" s="29">
        <v>300</v>
      </c>
      <c r="AH14" s="27" t="b">
        <f>IF(AJ14&gt;$AD$5,TRUE,FALSE)</f>
        <v>1</v>
      </c>
      <c r="AI14" s="42">
        <v>150</v>
      </c>
      <c r="AJ14" s="29">
        <v>400</v>
      </c>
      <c r="AZ14" s="133"/>
      <c r="BA14" s="45"/>
      <c r="BB14" s="139"/>
      <c r="BC14" s="45" t="b">
        <f t="shared" si="12"/>
        <v>0</v>
      </c>
      <c r="BD14" s="114" t="s">
        <v>113</v>
      </c>
      <c r="BE14" s="45">
        <v>150</v>
      </c>
      <c r="BF14" s="64"/>
      <c r="BG14" s="45"/>
      <c r="BH14" s="114"/>
      <c r="BI14" s="45"/>
      <c r="BJ14" s="139"/>
      <c r="BK14" s="45"/>
      <c r="BL14" s="114"/>
      <c r="BM14" s="45"/>
      <c r="BN14" s="139"/>
      <c r="BO14" s="45"/>
      <c r="BP14" s="114"/>
      <c r="BQ14" s="45"/>
      <c r="BR14" s="139"/>
      <c r="BS14" s="45" t="b">
        <f t="shared" si="16"/>
        <v>0</v>
      </c>
      <c r="BT14" s="114" t="s">
        <v>112</v>
      </c>
      <c r="BU14" s="45" t="s">
        <v>366</v>
      </c>
      <c r="BV14" t="b">
        <f t="shared" si="17"/>
        <v>0</v>
      </c>
      <c r="BW14" s="114" t="s">
        <v>112</v>
      </c>
      <c r="BX14" t="s">
        <v>379</v>
      </c>
      <c r="BY14" s="64"/>
      <c r="BZ14" s="45"/>
      <c r="CA14" s="114"/>
      <c r="CB14" s="45"/>
      <c r="CC14" s="64"/>
      <c r="CD14" s="45" t="b">
        <f t="shared" si="19"/>
        <v>0</v>
      </c>
      <c r="CE14" s="114" t="s">
        <v>113</v>
      </c>
      <c r="CF14" s="45">
        <v>150</v>
      </c>
      <c r="CG14" s="64"/>
      <c r="CH14" s="45"/>
      <c r="CI14" s="114"/>
      <c r="CJ14" s="53"/>
    </row>
    <row r="15" spans="1:88" x14ac:dyDescent="0.25">
      <c r="C15" s="23"/>
      <c r="E15" t="s">
        <v>42</v>
      </c>
      <c r="F15">
        <f>VLOOKUP(2,M4:P17,2,FALSE)</f>
        <v>25</v>
      </c>
      <c r="I15" s="27">
        <f t="shared" si="1"/>
        <v>0</v>
      </c>
      <c r="J15" s="28">
        <v>200</v>
      </c>
      <c r="K15" s="28">
        <f t="shared" si="2"/>
        <v>2.4846042519733526E-2</v>
      </c>
      <c r="L15" s="29">
        <f t="shared" si="3"/>
        <v>6.8346413821546497E-3</v>
      </c>
      <c r="M15" s="27">
        <f t="shared" si="4"/>
        <v>0</v>
      </c>
      <c r="N15" s="28">
        <v>200</v>
      </c>
      <c r="O15" s="28">
        <f t="shared" si="5"/>
        <v>2.4846042519733526E-2</v>
      </c>
      <c r="P15" s="29">
        <f t="shared" si="6"/>
        <v>7.8615889663320219E-5</v>
      </c>
      <c r="R15" s="27"/>
      <c r="S15" s="28"/>
      <c r="T15" s="28"/>
      <c r="U15" s="48" t="b">
        <f t="shared" si="21"/>
        <v>1</v>
      </c>
      <c r="V15" s="28" t="s">
        <v>368</v>
      </c>
      <c r="W15" s="42">
        <v>100</v>
      </c>
      <c r="X15" s="29">
        <v>125</v>
      </c>
      <c r="Y15" s="27"/>
      <c r="Z15" s="28"/>
      <c r="AA15" s="28"/>
      <c r="AB15" s="29"/>
      <c r="AC15" s="28"/>
      <c r="AD15" s="28"/>
      <c r="AE15" s="27" t="b">
        <f>IF(AG15&gt;$AD$5,TRUE,FALSE)</f>
        <v>1</v>
      </c>
      <c r="AF15" s="42">
        <v>200</v>
      </c>
      <c r="AG15" s="29">
        <v>400</v>
      </c>
      <c r="AH15" s="27"/>
      <c r="AI15" s="42"/>
      <c r="AJ15" s="29"/>
      <c r="AZ15" s="133"/>
      <c r="BA15" s="45"/>
      <c r="BB15" s="139"/>
      <c r="BC15" s="45" t="b">
        <f t="shared" si="12"/>
        <v>0</v>
      </c>
      <c r="BD15" s="114" t="s">
        <v>114</v>
      </c>
      <c r="BE15" s="45">
        <v>200</v>
      </c>
      <c r="BF15" s="64"/>
      <c r="BG15" s="45"/>
      <c r="BH15" s="114"/>
      <c r="BI15" s="45"/>
      <c r="BJ15" s="139"/>
      <c r="BK15" s="45"/>
      <c r="BL15" s="114"/>
      <c r="BM15" s="45"/>
      <c r="BN15" s="139"/>
      <c r="BO15" s="45"/>
      <c r="BP15" s="114"/>
      <c r="BQ15" s="45"/>
      <c r="BR15" s="139"/>
      <c r="BS15" s="45" t="b">
        <f t="shared" si="16"/>
        <v>0</v>
      </c>
      <c r="BT15" s="114" t="s">
        <v>113</v>
      </c>
      <c r="BU15" s="45" t="s">
        <v>367</v>
      </c>
      <c r="BV15" t="b">
        <f t="shared" si="17"/>
        <v>0</v>
      </c>
      <c r="BW15" s="114" t="s">
        <v>113</v>
      </c>
      <c r="BY15" s="64"/>
      <c r="BZ15" s="45"/>
      <c r="CA15" s="114"/>
      <c r="CB15" s="45"/>
      <c r="CC15" s="64"/>
      <c r="CD15" s="45" t="b">
        <f t="shared" si="19"/>
        <v>0</v>
      </c>
      <c r="CE15" s="114" t="s">
        <v>114</v>
      </c>
      <c r="CF15" s="45">
        <v>200</v>
      </c>
      <c r="CG15" s="64"/>
      <c r="CH15" s="45"/>
      <c r="CI15" s="114"/>
      <c r="CJ15" s="53"/>
    </row>
    <row r="16" spans="1:88" x14ac:dyDescent="0.25">
      <c r="C16" s="23"/>
      <c r="E16" s="222" t="str">
        <f>VLOOKUP(TRUE,AO3:AQ10,3,FALSE)</f>
        <v>РС20-6</v>
      </c>
      <c r="F16" s="222"/>
      <c r="I16" s="27">
        <f t="shared" si="1"/>
        <v>0</v>
      </c>
      <c r="J16" s="28">
        <v>250</v>
      </c>
      <c r="K16" s="28">
        <f t="shared" si="2"/>
        <v>2.339473539768467E-2</v>
      </c>
      <c r="L16" s="29">
        <f t="shared" si="3"/>
        <v>2.1087572085889939E-3</v>
      </c>
      <c r="M16" s="27">
        <f t="shared" si="4"/>
        <v>0</v>
      </c>
      <c r="N16" s="28">
        <v>250</v>
      </c>
      <c r="O16" s="28">
        <f t="shared" si="5"/>
        <v>2.339473539768467E-2</v>
      </c>
      <c r="P16" s="29">
        <f t="shared" si="6"/>
        <v>2.425611158912043E-5</v>
      </c>
      <c r="R16" s="27"/>
      <c r="S16" s="28"/>
      <c r="T16" s="28"/>
      <c r="U16" s="48" t="b">
        <f t="shared" si="21"/>
        <v>1</v>
      </c>
      <c r="V16" s="28" t="s">
        <v>369</v>
      </c>
      <c r="W16" s="28">
        <v>125</v>
      </c>
      <c r="X16" s="29">
        <v>160</v>
      </c>
      <c r="Y16" s="27"/>
      <c r="Z16" s="28"/>
      <c r="AA16" s="28"/>
      <c r="AB16" s="29"/>
      <c r="AC16" s="28"/>
      <c r="AD16" s="28"/>
      <c r="AE16" s="27"/>
      <c r="AF16" s="28"/>
      <c r="AG16" s="29"/>
      <c r="AH16" s="27"/>
      <c r="AI16" s="28"/>
      <c r="AJ16" s="29"/>
      <c r="AZ16" s="133"/>
      <c r="BA16" s="45"/>
      <c r="BB16" s="139"/>
      <c r="BC16" s="45"/>
      <c r="BD16" s="114"/>
      <c r="BE16" s="45"/>
      <c r="BF16" s="64"/>
      <c r="BG16" s="120"/>
      <c r="BH16" s="114"/>
      <c r="BI16" s="45"/>
      <c r="BJ16" s="139"/>
      <c r="BK16" s="45"/>
      <c r="BL16" s="114"/>
      <c r="BM16" s="45"/>
      <c r="BN16" s="64"/>
      <c r="BO16" s="28"/>
      <c r="BP16" s="28"/>
      <c r="BQ16" s="28"/>
      <c r="BR16" s="64"/>
      <c r="BS16" s="45" t="b">
        <f t="shared" si="16"/>
        <v>0</v>
      </c>
      <c r="BT16" s="114" t="s">
        <v>114</v>
      </c>
      <c r="BU16" s="45" t="s">
        <v>368</v>
      </c>
      <c r="BV16" t="b">
        <f t="shared" si="17"/>
        <v>0</v>
      </c>
      <c r="BW16" s="114" t="s">
        <v>114</v>
      </c>
      <c r="BX16" t="s">
        <v>368</v>
      </c>
      <c r="BY16" s="64"/>
      <c r="BZ16" s="28"/>
      <c r="CA16" s="28"/>
      <c r="CB16" s="28"/>
      <c r="CC16" s="64"/>
      <c r="CD16" s="28"/>
      <c r="CE16" s="28"/>
      <c r="CF16" s="28"/>
      <c r="CG16" s="64"/>
      <c r="CH16" s="28"/>
      <c r="CI16" s="28"/>
      <c r="CJ16" s="29"/>
    </row>
    <row r="17" spans="1:88" x14ac:dyDescent="0.25">
      <c r="A17" s="22"/>
      <c r="C17" s="23"/>
      <c r="I17" s="27">
        <f t="shared" si="1"/>
        <v>0</v>
      </c>
      <c r="J17" s="28">
        <v>300</v>
      </c>
      <c r="K17" s="28">
        <f t="shared" si="2"/>
        <v>2.2301284149115197E-2</v>
      </c>
      <c r="L17" s="29">
        <f t="shared" si="3"/>
        <v>8.0785251928715295E-4</v>
      </c>
      <c r="M17" s="27">
        <f t="shared" si="4"/>
        <v>0</v>
      </c>
      <c r="N17" s="28">
        <v>300</v>
      </c>
      <c r="O17" s="28">
        <f t="shared" si="5"/>
        <v>2.2301284149115197E-2</v>
      </c>
      <c r="P17" s="29">
        <f t="shared" si="6"/>
        <v>9.2923740938829295E-6</v>
      </c>
      <c r="R17" s="27"/>
      <c r="S17" s="28"/>
      <c r="T17" s="28"/>
      <c r="U17" s="48" t="b">
        <f t="shared" si="21"/>
        <v>1</v>
      </c>
      <c r="V17" s="28" t="s">
        <v>370</v>
      </c>
      <c r="W17" s="28">
        <v>150</v>
      </c>
      <c r="X17" s="29">
        <v>200</v>
      </c>
      <c r="Y17" s="27"/>
      <c r="Z17" s="28"/>
      <c r="AA17" s="28"/>
      <c r="AB17" s="29"/>
      <c r="AC17" s="28"/>
      <c r="AD17" s="28"/>
      <c r="AE17" s="27"/>
      <c r="AF17" s="28"/>
      <c r="AG17" s="29"/>
      <c r="AH17" s="27"/>
      <c r="AI17" s="28"/>
      <c r="AJ17" s="29"/>
      <c r="AZ17" s="133"/>
      <c r="BA17" s="45"/>
      <c r="BB17" s="139"/>
      <c r="BC17" s="45"/>
      <c r="BD17" s="114"/>
      <c r="BE17" s="45"/>
      <c r="BF17" s="64"/>
      <c r="BG17" s="120"/>
      <c r="BH17" s="114"/>
      <c r="BI17" s="45"/>
      <c r="BJ17" s="139"/>
      <c r="BK17" s="45"/>
      <c r="BL17" s="114"/>
      <c r="BM17" s="45"/>
      <c r="BN17" s="64"/>
      <c r="BO17" s="28"/>
      <c r="BP17" s="28"/>
      <c r="BQ17" s="28"/>
      <c r="BR17" s="64"/>
      <c r="BS17" s="45" t="b">
        <f t="shared" si="16"/>
        <v>0</v>
      </c>
      <c r="BT17" s="114" t="s">
        <v>115</v>
      </c>
      <c r="BU17" s="45" t="s">
        <v>369</v>
      </c>
      <c r="BV17" t="b">
        <f t="shared" si="17"/>
        <v>0</v>
      </c>
      <c r="BW17" s="114" t="s">
        <v>115</v>
      </c>
      <c r="BX17" t="s">
        <v>369</v>
      </c>
      <c r="BY17" s="64"/>
      <c r="BZ17" s="28"/>
      <c r="CA17" s="28"/>
      <c r="CB17" s="28"/>
      <c r="CC17" s="64"/>
      <c r="CD17" s="28"/>
      <c r="CE17" s="28"/>
      <c r="CF17" s="28"/>
      <c r="CG17" s="64"/>
      <c r="CH17" s="28"/>
      <c r="CI17" s="28"/>
      <c r="CJ17" s="29"/>
    </row>
    <row r="18" spans="1:88" x14ac:dyDescent="0.25">
      <c r="A18" s="22"/>
      <c r="C18" s="23"/>
      <c r="I18" s="27"/>
      <c r="J18" s="28"/>
      <c r="K18" s="28"/>
      <c r="L18" s="29"/>
      <c r="M18" s="27"/>
      <c r="N18" s="28"/>
      <c r="O18" s="28"/>
      <c r="P18" s="29"/>
      <c r="R18" s="27"/>
      <c r="S18" s="28"/>
      <c r="T18" s="28"/>
      <c r="U18" s="48" t="b">
        <f t="shared" si="21"/>
        <v>1</v>
      </c>
      <c r="V18" s="28" t="s">
        <v>371</v>
      </c>
      <c r="W18" s="28">
        <v>150</v>
      </c>
      <c r="X18" s="29">
        <v>250</v>
      </c>
      <c r="Y18" s="27"/>
      <c r="Z18" s="28"/>
      <c r="AA18" s="28"/>
      <c r="AB18" s="29"/>
      <c r="AC18" s="28"/>
      <c r="AD18" s="28"/>
      <c r="AE18" s="27"/>
      <c r="AF18" s="28"/>
      <c r="AG18" s="29"/>
      <c r="AH18" s="27"/>
      <c r="AI18" s="28"/>
      <c r="AJ18" s="29"/>
      <c r="AZ18" s="133"/>
      <c r="BA18" s="45"/>
      <c r="BB18" s="139"/>
      <c r="BC18" s="45"/>
      <c r="BD18" s="114"/>
      <c r="BE18" s="45"/>
      <c r="BF18" s="64"/>
      <c r="BG18" s="120"/>
      <c r="BH18" s="114"/>
      <c r="BI18" s="45"/>
      <c r="BJ18" s="139"/>
      <c r="BK18" s="45"/>
      <c r="BL18" s="114"/>
      <c r="BM18" s="45"/>
      <c r="BN18" s="64"/>
      <c r="BO18" s="28"/>
      <c r="BP18" s="28"/>
      <c r="BQ18" s="28"/>
      <c r="BR18" s="64"/>
      <c r="BS18" s="45" t="b">
        <f t="shared" si="16"/>
        <v>0</v>
      </c>
      <c r="BT18" s="114" t="s">
        <v>116</v>
      </c>
      <c r="BU18" s="45" t="s">
        <v>370</v>
      </c>
      <c r="BV18" t="b">
        <f t="shared" si="17"/>
        <v>0</v>
      </c>
      <c r="BW18" s="114" t="s">
        <v>116</v>
      </c>
      <c r="BX18" s="28"/>
      <c r="BY18" s="64"/>
      <c r="BZ18" s="28"/>
      <c r="CA18" s="28"/>
      <c r="CB18" s="28"/>
      <c r="CC18" s="64"/>
      <c r="CD18" s="28"/>
      <c r="CE18" s="28"/>
      <c r="CF18" s="28"/>
      <c r="CG18" s="64"/>
      <c r="CH18" s="28"/>
      <c r="CI18" s="28"/>
      <c r="CJ18" s="29"/>
    </row>
    <row r="19" spans="1:88" ht="15.75" thickBot="1" x14ac:dyDescent="0.3">
      <c r="A19" s="22"/>
      <c r="C19" s="23"/>
      <c r="I19" s="27"/>
      <c r="J19" s="30"/>
      <c r="K19" s="28"/>
      <c r="L19" s="29"/>
      <c r="M19" s="27"/>
      <c r="N19" s="28"/>
      <c r="O19" s="28"/>
      <c r="P19" s="29"/>
      <c r="R19" s="31"/>
      <c r="S19" s="33"/>
      <c r="T19" s="33"/>
      <c r="U19" s="50" t="b">
        <f t="shared" si="21"/>
        <v>1</v>
      </c>
      <c r="V19" s="33" t="s">
        <v>372</v>
      </c>
      <c r="W19" s="33">
        <v>150</v>
      </c>
      <c r="X19" s="51">
        <v>280</v>
      </c>
      <c r="Y19" s="31"/>
      <c r="Z19" s="33"/>
      <c r="AA19" s="33"/>
      <c r="AB19" s="34"/>
      <c r="AC19" s="33"/>
      <c r="AD19" s="33"/>
      <c r="AE19" s="31"/>
      <c r="AF19" s="33"/>
      <c r="AG19" s="34"/>
      <c r="AH19" s="31"/>
      <c r="AI19" s="33"/>
      <c r="AJ19" s="34"/>
      <c r="AZ19" s="133"/>
      <c r="BA19" s="45"/>
      <c r="BB19" s="139"/>
      <c r="BC19" s="45"/>
      <c r="BD19" s="114"/>
      <c r="BE19" s="45"/>
      <c r="BF19" s="64"/>
      <c r="BG19" s="120"/>
      <c r="BH19" s="114"/>
      <c r="BI19" s="45"/>
      <c r="BJ19" s="139"/>
      <c r="BK19" s="45"/>
      <c r="BL19" s="114"/>
      <c r="BM19" s="45"/>
      <c r="BN19" s="64"/>
      <c r="BO19" s="28"/>
      <c r="BP19" s="28"/>
      <c r="BQ19" s="28"/>
      <c r="BR19" s="64"/>
      <c r="BS19" s="45" t="b">
        <f t="shared" si="16"/>
        <v>0</v>
      </c>
      <c r="BT19" s="114" t="s">
        <v>117</v>
      </c>
      <c r="BU19" s="45" t="s">
        <v>371</v>
      </c>
      <c r="BV19" t="b">
        <f t="shared" si="17"/>
        <v>0</v>
      </c>
      <c r="BW19" s="114" t="s">
        <v>117</v>
      </c>
      <c r="BX19" s="28"/>
      <c r="BY19" s="64"/>
      <c r="BZ19" s="28"/>
      <c r="CA19" s="28"/>
      <c r="CB19" s="28"/>
      <c r="CC19" s="64"/>
      <c r="CD19" s="28"/>
      <c r="CE19" s="28"/>
      <c r="CF19" s="28"/>
      <c r="CG19" s="64"/>
      <c r="CH19" s="28"/>
      <c r="CI19" s="28"/>
      <c r="CJ19" s="29"/>
    </row>
    <row r="20" spans="1:88" x14ac:dyDescent="0.25">
      <c r="A20" s="22"/>
      <c r="C20" s="23"/>
      <c r="I20" s="27"/>
      <c r="J20" s="30" t="s">
        <v>39</v>
      </c>
      <c r="K20" s="28">
        <v>958.4</v>
      </c>
      <c r="L20" s="29"/>
      <c r="M20" s="27"/>
      <c r="N20" s="28"/>
      <c r="O20" s="28"/>
      <c r="P20" s="29"/>
      <c r="AZ20" s="133"/>
      <c r="BA20" s="45"/>
      <c r="BB20" s="139"/>
      <c r="BC20" s="45"/>
      <c r="BD20" s="114"/>
      <c r="BE20" s="45"/>
      <c r="BF20" s="64"/>
      <c r="BG20" s="120"/>
      <c r="BH20" s="114"/>
      <c r="BI20" s="45"/>
      <c r="BJ20" s="139"/>
      <c r="BK20" s="45"/>
      <c r="BL20" s="114"/>
      <c r="BM20" s="45"/>
      <c r="BN20" s="64"/>
      <c r="BO20" s="28"/>
      <c r="BP20" s="28"/>
      <c r="BQ20" s="28"/>
      <c r="BR20" s="64"/>
      <c r="BS20" s="45" t="b">
        <f t="shared" si="16"/>
        <v>0</v>
      </c>
      <c r="BT20" s="114" t="s">
        <v>118</v>
      </c>
      <c r="BU20" s="45" t="s">
        <v>372</v>
      </c>
      <c r="BV20" t="b">
        <f t="shared" si="17"/>
        <v>0</v>
      </c>
      <c r="BW20" s="114" t="s">
        <v>118</v>
      </c>
      <c r="BX20" s="28"/>
      <c r="BY20" s="64"/>
      <c r="BZ20" s="28"/>
      <c r="CA20" s="28"/>
      <c r="CB20" s="28"/>
      <c r="CC20" s="64"/>
      <c r="CD20" s="28"/>
      <c r="CE20" s="28"/>
      <c r="CF20" s="28"/>
      <c r="CG20" s="64"/>
      <c r="CH20" s="28"/>
      <c r="CI20" s="28"/>
      <c r="CJ20" s="29"/>
    </row>
    <row r="21" spans="1:88" x14ac:dyDescent="0.25">
      <c r="I21" s="27"/>
      <c r="J21" s="30" t="s">
        <v>40</v>
      </c>
      <c r="K21" s="28">
        <v>0.5</v>
      </c>
      <c r="L21" s="29"/>
      <c r="M21" s="27"/>
      <c r="N21" s="28"/>
      <c r="O21" s="28"/>
      <c r="P21" s="29"/>
      <c r="AZ21" s="133"/>
      <c r="BA21" s="45"/>
      <c r="BB21" s="139"/>
      <c r="BC21" s="45"/>
      <c r="BD21" s="114"/>
      <c r="BE21" s="45"/>
      <c r="BF21" s="64"/>
      <c r="BG21" s="120"/>
      <c r="BH21" s="114"/>
      <c r="BI21" s="45"/>
      <c r="BJ21" s="139"/>
      <c r="BK21" s="45"/>
      <c r="BL21" s="114"/>
      <c r="BM21" s="45"/>
      <c r="BN21" s="64"/>
      <c r="BO21" s="28"/>
      <c r="BP21" s="28"/>
      <c r="BQ21" s="28"/>
      <c r="BR21" s="64"/>
      <c r="BS21" s="28"/>
      <c r="BT21" s="28"/>
      <c r="BU21" s="28"/>
      <c r="BV21" s="28"/>
      <c r="BW21" s="28"/>
      <c r="BX21" s="28"/>
      <c r="BY21" s="64"/>
      <c r="BZ21" s="28"/>
      <c r="CA21" s="28"/>
      <c r="CB21" s="28"/>
      <c r="CC21" s="64"/>
      <c r="CD21" s="28"/>
      <c r="CE21" s="28"/>
      <c r="CF21" s="28"/>
      <c r="CG21" s="64"/>
      <c r="CH21" s="28"/>
      <c r="CI21" s="28"/>
      <c r="CJ21" s="29"/>
    </row>
    <row r="22" spans="1:88" ht="15.75" thickBot="1" x14ac:dyDescent="0.3">
      <c r="I22" s="31"/>
      <c r="J22" s="32"/>
      <c r="K22" s="33"/>
      <c r="L22" s="34"/>
      <c r="M22" s="31"/>
      <c r="N22" s="33"/>
      <c r="O22" s="33"/>
      <c r="P22" s="34"/>
      <c r="AZ22" s="133"/>
      <c r="BA22" s="45"/>
      <c r="BB22" s="139"/>
      <c r="BC22" s="45"/>
      <c r="BD22" s="114"/>
      <c r="BE22" s="45"/>
      <c r="BF22" s="64"/>
      <c r="BG22" s="120"/>
      <c r="BH22" s="114"/>
      <c r="BI22" s="45"/>
      <c r="BJ22" s="139"/>
      <c r="BK22" s="45"/>
      <c r="BL22" s="114"/>
      <c r="BM22" s="45"/>
      <c r="BN22" s="64"/>
      <c r="BO22" s="28"/>
      <c r="BP22" s="28"/>
      <c r="BQ22" s="28"/>
      <c r="BR22" s="64"/>
      <c r="BS22" s="28"/>
      <c r="BT22" s="28"/>
      <c r="BU22" s="28"/>
      <c r="BV22" s="28"/>
      <c r="BW22" s="28"/>
      <c r="BX22" s="28"/>
      <c r="BY22" s="64"/>
      <c r="BZ22" s="28"/>
      <c r="CA22" s="28"/>
      <c r="CB22" s="28"/>
      <c r="CC22" s="64"/>
      <c r="CD22" s="28"/>
      <c r="CE22" s="28"/>
      <c r="CF22" s="28"/>
      <c r="CG22" s="64"/>
      <c r="CH22" s="28"/>
      <c r="CI22" s="28"/>
      <c r="CJ22" s="29"/>
    </row>
    <row r="23" spans="1:88" x14ac:dyDescent="0.25">
      <c r="AZ23" s="133"/>
      <c r="BA23" s="45"/>
      <c r="BB23" s="139"/>
      <c r="BC23" s="45"/>
      <c r="BD23" s="114"/>
      <c r="BE23" s="45"/>
      <c r="BF23" s="64"/>
      <c r="BG23" s="120"/>
      <c r="BH23" s="114"/>
      <c r="BI23" s="45"/>
      <c r="BJ23" s="139"/>
      <c r="BK23" s="45"/>
      <c r="BL23" s="114"/>
      <c r="BM23" s="45"/>
      <c r="BN23" s="64"/>
      <c r="BO23" s="28"/>
      <c r="BP23" s="28"/>
      <c r="BQ23" s="28"/>
      <c r="BR23" s="64"/>
      <c r="BS23" s="28"/>
      <c r="BT23" s="28"/>
      <c r="BU23" s="28"/>
      <c r="BV23" s="28"/>
      <c r="BW23" s="28"/>
      <c r="BX23" s="28"/>
      <c r="BY23" s="64"/>
      <c r="BZ23" s="28"/>
      <c r="CA23" s="28"/>
      <c r="CB23" s="28"/>
      <c r="CC23" s="64"/>
      <c r="CD23" s="28"/>
      <c r="CE23" s="28"/>
      <c r="CF23" s="28"/>
      <c r="CG23" s="64"/>
      <c r="CH23" s="28"/>
      <c r="CI23" s="28"/>
      <c r="CJ23" s="29"/>
    </row>
    <row r="24" spans="1:88" x14ac:dyDescent="0.25">
      <c r="AZ24" s="133"/>
      <c r="BA24" s="45"/>
      <c r="BB24" s="139"/>
      <c r="BC24" s="45"/>
      <c r="BD24" s="114"/>
      <c r="BE24" s="45"/>
      <c r="BF24" s="64"/>
      <c r="BG24" s="120"/>
      <c r="BH24" s="114"/>
      <c r="BI24" s="45"/>
      <c r="BJ24" s="139"/>
      <c r="BK24" s="45"/>
      <c r="BL24" s="114"/>
      <c r="BM24" s="45"/>
      <c r="BN24" s="64"/>
      <c r="BO24" s="28"/>
      <c r="BP24" s="28"/>
      <c r="BQ24" s="28"/>
      <c r="BR24" s="64"/>
      <c r="BS24" s="28"/>
      <c r="BT24" s="28"/>
      <c r="BU24" s="28"/>
      <c r="BV24" s="28"/>
      <c r="BW24" s="28"/>
      <c r="BX24" s="28"/>
      <c r="BY24" s="64"/>
      <c r="BZ24" s="28"/>
      <c r="CA24" s="28"/>
      <c r="CB24" s="28"/>
      <c r="CC24" s="64"/>
      <c r="CD24" s="28"/>
      <c r="CE24" s="28"/>
      <c r="CF24" s="28"/>
      <c r="CG24" s="64"/>
      <c r="CH24" s="28"/>
      <c r="CI24" s="28"/>
      <c r="CJ24" s="29"/>
    </row>
    <row r="25" spans="1:88" x14ac:dyDescent="0.25">
      <c r="AZ25" s="133"/>
      <c r="BA25" s="45"/>
      <c r="BB25" s="139"/>
      <c r="BC25" s="45"/>
      <c r="BD25" s="114"/>
      <c r="BE25" s="45"/>
      <c r="BF25" s="64"/>
      <c r="BG25" s="120"/>
      <c r="BH25" s="114"/>
      <c r="BI25" s="45"/>
      <c r="BJ25" s="139"/>
      <c r="BK25" s="45"/>
      <c r="BL25" s="114"/>
      <c r="BM25" s="45"/>
      <c r="BN25" s="64"/>
      <c r="BO25" s="28"/>
      <c r="BP25" s="28"/>
      <c r="BQ25" s="28"/>
      <c r="BR25" s="64"/>
      <c r="BS25" s="28"/>
      <c r="BT25" s="28"/>
      <c r="BU25" s="28"/>
      <c r="BV25" s="28"/>
      <c r="BW25" s="28"/>
      <c r="BX25" s="28"/>
      <c r="BY25" s="64"/>
      <c r="BZ25" s="28"/>
      <c r="CA25" s="28"/>
      <c r="CB25" s="28"/>
      <c r="CC25" s="64"/>
      <c r="CD25" s="28"/>
      <c r="CE25" s="28"/>
      <c r="CF25" s="28"/>
      <c r="CG25" s="64"/>
      <c r="CH25" s="28"/>
      <c r="CI25" s="28"/>
      <c r="CJ25" s="29"/>
    </row>
    <row r="26" spans="1:88" ht="15.75" thickBot="1" x14ac:dyDescent="0.3">
      <c r="AZ26" s="136"/>
      <c r="BA26" s="52"/>
      <c r="BB26" s="140"/>
      <c r="BC26" s="52"/>
      <c r="BD26" s="137"/>
      <c r="BE26" s="52"/>
      <c r="BF26" s="65"/>
      <c r="BG26" s="129"/>
      <c r="BH26" s="137"/>
      <c r="BI26" s="52"/>
      <c r="BJ26" s="140"/>
      <c r="BK26" s="52"/>
      <c r="BL26" s="137"/>
      <c r="BM26" s="52"/>
      <c r="BN26" s="65"/>
      <c r="BO26" s="33"/>
      <c r="BP26" s="33"/>
      <c r="BQ26" s="33"/>
      <c r="BR26" s="65"/>
      <c r="BS26" s="33"/>
      <c r="BT26" s="33"/>
      <c r="BU26" s="33"/>
      <c r="BV26" s="33"/>
      <c r="BW26" s="33"/>
      <c r="BX26" s="33"/>
      <c r="BY26" s="65"/>
      <c r="BZ26" s="33"/>
      <c r="CA26" s="33"/>
      <c r="CB26" s="33"/>
      <c r="CC26" s="65"/>
      <c r="CD26" s="33"/>
      <c r="CE26" s="33"/>
      <c r="CF26" s="33"/>
      <c r="CG26" s="65"/>
      <c r="CH26" s="33"/>
      <c r="CI26" s="33"/>
      <c r="CJ26" s="34"/>
    </row>
  </sheetData>
  <mergeCells count="21">
    <mergeCell ref="E16:F16"/>
    <mergeCell ref="E9:F9"/>
    <mergeCell ref="BS2:BX2"/>
    <mergeCell ref="AC2:AJ2"/>
    <mergeCell ref="B12:C12"/>
    <mergeCell ref="B13:C13"/>
    <mergeCell ref="Y3:AB3"/>
    <mergeCell ref="R2:AB2"/>
    <mergeCell ref="AE3:AG3"/>
    <mergeCell ref="E12:F12"/>
    <mergeCell ref="AL2:AQ2"/>
    <mergeCell ref="I2:P2"/>
    <mergeCell ref="U3:X3"/>
    <mergeCell ref="AH3:AJ3"/>
    <mergeCell ref="AZ2:BA2"/>
    <mergeCell ref="BD2:BE2"/>
    <mergeCell ref="BL2:BM2"/>
    <mergeCell ref="BP2:BQ2"/>
    <mergeCell ref="CH2:CJ2"/>
    <mergeCell ref="BZ2:CB2"/>
    <mergeCell ref="CD2:CF2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9"/>
  <dimension ref="A1:AV404"/>
  <sheetViews>
    <sheetView view="pageBreakPreview" zoomScale="115" zoomScaleNormal="100" zoomScaleSheetLayoutView="115" workbookViewId="0">
      <selection activeCell="AI14" sqref="A14:XFD21"/>
    </sheetView>
  </sheetViews>
  <sheetFormatPr defaultColWidth="9.140625" defaultRowHeight="15" x14ac:dyDescent="0.25"/>
  <cols>
    <col min="1" max="8" width="2.42578125" style="61" customWidth="1"/>
    <col min="9" max="9" width="2.5703125" style="61" customWidth="1"/>
    <col min="10" max="10" width="4.7109375" style="61" bestFit="1" customWidth="1"/>
    <col min="11" max="11" width="1.7109375" style="61" customWidth="1"/>
    <col min="12" max="12" width="3.140625" style="61" bestFit="1" customWidth="1"/>
    <col min="13" max="13" width="1.7109375" style="61" bestFit="1" customWidth="1"/>
    <col min="14" max="14" width="3.140625" style="61" bestFit="1" customWidth="1"/>
    <col min="15" max="15" width="1.7109375" style="61" bestFit="1" customWidth="1"/>
    <col min="16" max="16" width="3.140625" style="61" bestFit="1" customWidth="1"/>
    <col min="17" max="17" width="1.5703125" style="61" bestFit="1" customWidth="1"/>
    <col min="18" max="18" width="3.140625" style="61" bestFit="1" customWidth="1"/>
    <col min="19" max="19" width="1.7109375" style="61" bestFit="1" customWidth="1"/>
    <col min="20" max="20" width="3.140625" style="61" bestFit="1" customWidth="1"/>
    <col min="21" max="21" width="1.7109375" style="61" bestFit="1" customWidth="1"/>
    <col min="22" max="22" width="3.140625" style="61" bestFit="1" customWidth="1"/>
    <col min="23" max="23" width="1.5703125" style="61" bestFit="1" customWidth="1"/>
    <col min="24" max="24" width="3.140625" style="61" bestFit="1" customWidth="1"/>
    <col min="25" max="45" width="2.5703125" style="61" customWidth="1"/>
    <col min="46" max="16384" width="9.140625" style="61"/>
  </cols>
  <sheetData>
    <row r="1" spans="1:48" ht="4.5" customHeight="1" thickBot="1" x14ac:dyDescent="0.3">
      <c r="A1" s="218"/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236"/>
      <c r="Q1" s="236"/>
      <c r="R1" s="236"/>
      <c r="S1" s="236"/>
      <c r="T1" s="236"/>
      <c r="U1" s="236"/>
      <c r="V1" s="236"/>
      <c r="W1" s="236"/>
      <c r="X1" s="236"/>
      <c r="Y1" s="236"/>
      <c r="Z1" s="236"/>
      <c r="AA1" s="236"/>
      <c r="AB1" s="236"/>
      <c r="AC1" s="236"/>
      <c r="AD1" s="236"/>
      <c r="AE1" s="236"/>
      <c r="AF1" s="236"/>
      <c r="AG1" s="236"/>
      <c r="AH1" s="219"/>
    </row>
    <row r="2" spans="1:48" ht="15" customHeight="1" x14ac:dyDescent="0.25">
      <c r="A2" s="218" t="s">
        <v>152</v>
      </c>
      <c r="B2" s="236"/>
      <c r="C2" s="236"/>
      <c r="D2" s="236"/>
      <c r="E2" s="219"/>
      <c r="F2" s="218"/>
      <c r="G2" s="236"/>
      <c r="H2" s="236"/>
      <c r="I2" s="236"/>
      <c r="J2" s="236"/>
      <c r="K2" s="236"/>
      <c r="L2" s="236"/>
      <c r="M2" s="236"/>
      <c r="N2" s="236"/>
      <c r="O2" s="236"/>
      <c r="P2" s="236"/>
      <c r="Q2" s="236"/>
      <c r="R2" s="236"/>
      <c r="S2" s="236"/>
      <c r="T2" s="219"/>
      <c r="U2" s="218" t="s">
        <v>153</v>
      </c>
      <c r="V2" s="236"/>
      <c r="W2" s="236"/>
      <c r="X2" s="236"/>
      <c r="Y2" s="219"/>
      <c r="Z2" s="218"/>
      <c r="AA2" s="236"/>
      <c r="AB2" s="236"/>
      <c r="AC2" s="236"/>
      <c r="AD2" s="236"/>
      <c r="AE2" s="236"/>
      <c r="AF2" s="236"/>
      <c r="AG2" s="236"/>
      <c r="AH2" s="219"/>
    </row>
    <row r="3" spans="1:48" ht="15" customHeight="1" x14ac:dyDescent="0.25">
      <c r="A3" s="211"/>
      <c r="B3" s="234"/>
      <c r="C3" s="234"/>
      <c r="D3" s="234"/>
      <c r="E3" s="212"/>
      <c r="F3" s="246"/>
      <c r="G3" s="247"/>
      <c r="H3" s="247"/>
      <c r="I3" s="247"/>
      <c r="J3" s="247"/>
      <c r="K3" s="247"/>
      <c r="L3" s="247"/>
      <c r="M3" s="247"/>
      <c r="N3" s="247"/>
      <c r="O3" s="247"/>
      <c r="P3" s="247"/>
      <c r="Q3" s="247"/>
      <c r="R3" s="247"/>
      <c r="S3" s="247"/>
      <c r="T3" s="248"/>
      <c r="U3" s="211"/>
      <c r="V3" s="234"/>
      <c r="W3" s="234"/>
      <c r="X3" s="234"/>
      <c r="Y3" s="212"/>
      <c r="Z3" s="246"/>
      <c r="AA3" s="247"/>
      <c r="AB3" s="247"/>
      <c r="AC3" s="247"/>
      <c r="AD3" s="247"/>
      <c r="AE3" s="247"/>
      <c r="AF3" s="247"/>
      <c r="AG3" s="247"/>
      <c r="AH3" s="248"/>
    </row>
    <row r="4" spans="1:48" ht="15" customHeight="1" x14ac:dyDescent="0.25">
      <c r="A4" s="237" t="s">
        <v>154</v>
      </c>
      <c r="B4" s="238"/>
      <c r="C4" s="238"/>
      <c r="D4" s="238"/>
      <c r="E4" s="239"/>
      <c r="F4" s="243"/>
      <c r="G4" s="244"/>
      <c r="H4" s="244"/>
      <c r="I4" s="244"/>
      <c r="J4" s="244"/>
      <c r="K4" s="244"/>
      <c r="L4" s="244"/>
      <c r="M4" s="244"/>
      <c r="N4" s="244"/>
      <c r="O4" s="244"/>
      <c r="P4" s="244"/>
      <c r="Q4" s="244"/>
      <c r="R4" s="244"/>
      <c r="S4" s="244"/>
      <c r="T4" s="245"/>
      <c r="U4" s="243" t="s">
        <v>155</v>
      </c>
      <c r="V4" s="244"/>
      <c r="W4" s="244"/>
      <c r="X4" s="244"/>
      <c r="Y4" s="245"/>
      <c r="Z4" s="234"/>
      <c r="AA4" s="234"/>
      <c r="AB4" s="234"/>
      <c r="AC4" s="234"/>
      <c r="AD4" s="234"/>
      <c r="AE4" s="234"/>
      <c r="AF4" s="234"/>
      <c r="AG4" s="234"/>
      <c r="AH4" s="212"/>
    </row>
    <row r="5" spans="1:48" ht="15" customHeight="1" x14ac:dyDescent="0.25">
      <c r="A5" s="235"/>
      <c r="B5" s="252"/>
      <c r="C5" s="252"/>
      <c r="D5" s="252"/>
      <c r="E5" s="253"/>
      <c r="F5" s="246"/>
      <c r="G5" s="247"/>
      <c r="H5" s="247"/>
      <c r="I5" s="247"/>
      <c r="J5" s="247"/>
      <c r="K5" s="247"/>
      <c r="L5" s="247"/>
      <c r="M5" s="247"/>
      <c r="N5" s="247"/>
      <c r="O5" s="247"/>
      <c r="P5" s="247"/>
      <c r="Q5" s="247"/>
      <c r="R5" s="247"/>
      <c r="S5" s="247"/>
      <c r="T5" s="248"/>
      <c r="U5" s="246"/>
      <c r="V5" s="247"/>
      <c r="W5" s="247"/>
      <c r="X5" s="247"/>
      <c r="Y5" s="248"/>
      <c r="Z5" s="234"/>
      <c r="AA5" s="234"/>
      <c r="AB5" s="234"/>
      <c r="AC5" s="234"/>
      <c r="AD5" s="234"/>
      <c r="AE5" s="234"/>
      <c r="AF5" s="234"/>
      <c r="AG5" s="234"/>
      <c r="AH5" s="212"/>
    </row>
    <row r="6" spans="1:48" ht="15" customHeight="1" x14ac:dyDescent="0.25">
      <c r="A6" s="237" t="s">
        <v>156</v>
      </c>
      <c r="B6" s="238"/>
      <c r="C6" s="238"/>
      <c r="D6" s="238"/>
      <c r="E6" s="239"/>
      <c r="F6" s="243"/>
      <c r="G6" s="244"/>
      <c r="H6" s="244"/>
      <c r="I6" s="244"/>
      <c r="J6" s="244"/>
      <c r="K6" s="244"/>
      <c r="L6" s="244"/>
      <c r="M6" s="244"/>
      <c r="N6" s="244"/>
      <c r="O6" s="244"/>
      <c r="P6" s="244"/>
      <c r="Q6" s="244"/>
      <c r="R6" s="244"/>
      <c r="S6" s="244"/>
      <c r="T6" s="245"/>
      <c r="U6" s="237" t="s">
        <v>157</v>
      </c>
      <c r="V6" s="238"/>
      <c r="W6" s="238"/>
      <c r="X6" s="238"/>
      <c r="Y6" s="239"/>
      <c r="Z6" s="249"/>
      <c r="AA6" s="250"/>
      <c r="AB6" s="250"/>
      <c r="AC6" s="250"/>
      <c r="AD6" s="250"/>
      <c r="AE6" s="250"/>
      <c r="AF6" s="250"/>
      <c r="AG6" s="250"/>
      <c r="AH6" s="251"/>
    </row>
    <row r="7" spans="1:48" ht="15" customHeight="1" x14ac:dyDescent="0.25">
      <c r="A7" s="240"/>
      <c r="B7" s="241"/>
      <c r="C7" s="241"/>
      <c r="D7" s="241"/>
      <c r="E7" s="242"/>
      <c r="F7" s="246"/>
      <c r="G7" s="247"/>
      <c r="H7" s="247"/>
      <c r="I7" s="247"/>
      <c r="J7" s="247"/>
      <c r="K7" s="247"/>
      <c r="L7" s="247"/>
      <c r="M7" s="247"/>
      <c r="N7" s="247"/>
      <c r="O7" s="247"/>
      <c r="P7" s="247"/>
      <c r="Q7" s="247"/>
      <c r="R7" s="247"/>
      <c r="S7" s="247"/>
      <c r="T7" s="248"/>
      <c r="U7" s="240"/>
      <c r="V7" s="241"/>
      <c r="W7" s="241"/>
      <c r="X7" s="241"/>
      <c r="Y7" s="242"/>
      <c r="Z7" s="249"/>
      <c r="AA7" s="250"/>
      <c r="AB7" s="250"/>
      <c r="AC7" s="250"/>
      <c r="AD7" s="250"/>
      <c r="AE7" s="250"/>
      <c r="AF7" s="250"/>
      <c r="AG7" s="250"/>
      <c r="AH7" s="251"/>
    </row>
    <row r="8" spans="1:48" s="72" customFormat="1" ht="15" customHeight="1" x14ac:dyDescent="0.25">
      <c r="A8" s="243" t="s">
        <v>158</v>
      </c>
      <c r="B8" s="244"/>
      <c r="C8" s="244"/>
      <c r="D8" s="244"/>
      <c r="E8" s="245"/>
      <c r="F8" s="234"/>
      <c r="G8" s="234"/>
      <c r="H8" s="234"/>
      <c r="I8" s="234"/>
      <c r="J8" s="234"/>
      <c r="K8" s="234"/>
      <c r="L8" s="234"/>
      <c r="M8" s="234"/>
      <c r="N8" s="234"/>
      <c r="O8" s="234"/>
      <c r="P8" s="234"/>
      <c r="Q8" s="234"/>
      <c r="R8" s="234"/>
      <c r="S8" s="234"/>
      <c r="T8" s="234"/>
      <c r="U8" s="234"/>
      <c r="V8" s="234"/>
      <c r="W8" s="234"/>
      <c r="X8" s="234"/>
      <c r="Y8" s="234"/>
      <c r="Z8" s="234"/>
      <c r="AA8" s="234"/>
      <c r="AB8" s="234"/>
      <c r="AC8" s="234"/>
      <c r="AD8" s="234"/>
      <c r="AE8" s="234"/>
      <c r="AF8" s="234"/>
      <c r="AG8" s="234"/>
      <c r="AH8" s="212"/>
    </row>
    <row r="9" spans="1:48" s="72" customFormat="1" ht="15" customHeight="1" x14ac:dyDescent="0.25">
      <c r="A9" s="211"/>
      <c r="B9" s="234"/>
      <c r="C9" s="234"/>
      <c r="D9" s="234"/>
      <c r="E9" s="212"/>
      <c r="F9" s="234"/>
      <c r="G9" s="234"/>
      <c r="H9" s="234"/>
      <c r="I9" s="234"/>
      <c r="J9" s="234"/>
      <c r="K9" s="234"/>
      <c r="L9" s="234"/>
      <c r="M9" s="234"/>
      <c r="N9" s="234"/>
      <c r="O9" s="234"/>
      <c r="P9" s="234"/>
      <c r="Q9" s="234"/>
      <c r="R9" s="234"/>
      <c r="S9" s="234"/>
      <c r="T9" s="234"/>
      <c r="U9" s="234"/>
      <c r="V9" s="234"/>
      <c r="W9" s="234"/>
      <c r="X9" s="234"/>
      <c r="Y9" s="234"/>
      <c r="Z9" s="234"/>
      <c r="AA9" s="234"/>
      <c r="AB9" s="234"/>
      <c r="AC9" s="234"/>
      <c r="AD9" s="234"/>
      <c r="AE9" s="234"/>
      <c r="AF9" s="234"/>
      <c r="AG9" s="234"/>
      <c r="AH9" s="212"/>
    </row>
    <row r="10" spans="1:48" s="72" customFormat="1" ht="15" customHeight="1" x14ac:dyDescent="0.25">
      <c r="A10" s="246"/>
      <c r="B10" s="247"/>
      <c r="C10" s="247"/>
      <c r="D10" s="247"/>
      <c r="E10" s="248"/>
      <c r="F10" s="234"/>
      <c r="G10" s="234"/>
      <c r="H10" s="234"/>
      <c r="I10" s="234"/>
      <c r="J10" s="234"/>
      <c r="K10" s="234"/>
      <c r="L10" s="234"/>
      <c r="M10" s="234"/>
      <c r="N10" s="234"/>
      <c r="O10" s="234"/>
      <c r="P10" s="234"/>
      <c r="Q10" s="234"/>
      <c r="R10" s="234"/>
      <c r="S10" s="234"/>
      <c r="T10" s="234"/>
      <c r="U10" s="234"/>
      <c r="V10" s="234"/>
      <c r="W10" s="234"/>
      <c r="X10" s="234"/>
      <c r="Y10" s="234"/>
      <c r="Z10" s="234"/>
      <c r="AA10" s="234"/>
      <c r="AB10" s="234"/>
      <c r="AC10" s="234"/>
      <c r="AD10" s="234"/>
      <c r="AE10" s="234"/>
      <c r="AF10" s="234"/>
      <c r="AG10" s="234"/>
      <c r="AH10" s="212"/>
    </row>
    <row r="11" spans="1:48" ht="14.1" customHeight="1" x14ac:dyDescent="0.25">
      <c r="A11" s="237" t="s">
        <v>176</v>
      </c>
      <c r="B11" s="238"/>
      <c r="C11" s="238"/>
      <c r="D11" s="238"/>
      <c r="E11" s="239"/>
      <c r="F11" s="243" t="s">
        <v>177</v>
      </c>
      <c r="G11" s="244"/>
      <c r="H11" s="244"/>
      <c r="I11" s="257"/>
      <c r="J11" s="260"/>
      <c r="K11" s="244"/>
      <c r="L11" s="257"/>
      <c r="M11" s="260" t="s">
        <v>178</v>
      </c>
      <c r="N11" s="244"/>
      <c r="O11" s="244"/>
      <c r="P11" s="257"/>
      <c r="Q11" s="260"/>
      <c r="R11" s="244"/>
      <c r="S11" s="244"/>
      <c r="T11" s="257"/>
      <c r="U11" s="260" t="s">
        <v>179</v>
      </c>
      <c r="V11" s="244"/>
      <c r="W11" s="244"/>
      <c r="X11" s="257"/>
      <c r="Y11" s="260"/>
      <c r="Z11" s="244"/>
      <c r="AA11" s="244"/>
      <c r="AB11" s="257"/>
      <c r="AC11" s="260"/>
      <c r="AD11" s="244"/>
      <c r="AE11" s="244"/>
      <c r="AF11" s="244"/>
      <c r="AG11" s="244"/>
      <c r="AH11" s="245"/>
    </row>
    <row r="12" spans="1:48" ht="14.1" customHeight="1" thickBot="1" x14ac:dyDescent="0.3">
      <c r="A12" s="254"/>
      <c r="B12" s="255"/>
      <c r="C12" s="255"/>
      <c r="D12" s="255"/>
      <c r="E12" s="256"/>
      <c r="F12" s="213"/>
      <c r="G12" s="258"/>
      <c r="H12" s="258"/>
      <c r="I12" s="259"/>
      <c r="J12" s="261"/>
      <c r="K12" s="258"/>
      <c r="L12" s="259"/>
      <c r="M12" s="261"/>
      <c r="N12" s="258"/>
      <c r="O12" s="258"/>
      <c r="P12" s="259"/>
      <c r="Q12" s="261"/>
      <c r="R12" s="258"/>
      <c r="S12" s="258"/>
      <c r="T12" s="259"/>
      <c r="U12" s="261"/>
      <c r="V12" s="258"/>
      <c r="W12" s="258"/>
      <c r="X12" s="259"/>
      <c r="Y12" s="261"/>
      <c r="Z12" s="258"/>
      <c r="AA12" s="258"/>
      <c r="AB12" s="259"/>
      <c r="AC12" s="261"/>
      <c r="AD12" s="258"/>
      <c r="AE12" s="258"/>
      <c r="AF12" s="258"/>
      <c r="AG12" s="258"/>
      <c r="AH12" s="214"/>
    </row>
    <row r="13" spans="1:48" ht="4.5" customHeight="1" x14ac:dyDescent="0.25">
      <c r="A13" s="211"/>
      <c r="B13" s="234"/>
      <c r="C13" s="234"/>
      <c r="D13" s="234"/>
      <c r="E13" s="234"/>
      <c r="F13" s="234"/>
      <c r="G13" s="234"/>
      <c r="H13" s="234"/>
      <c r="I13" s="234"/>
      <c r="J13" s="234"/>
      <c r="K13" s="234"/>
      <c r="L13" s="234"/>
      <c r="M13" s="234"/>
      <c r="N13" s="234"/>
      <c r="O13" s="234"/>
      <c r="P13" s="234"/>
      <c r="Q13" s="234"/>
      <c r="R13" s="234"/>
      <c r="S13" s="234"/>
      <c r="T13" s="234"/>
      <c r="U13" s="234"/>
      <c r="V13" s="234"/>
      <c r="W13" s="234"/>
      <c r="X13" s="234"/>
      <c r="Y13" s="234"/>
      <c r="Z13" s="234"/>
      <c r="AA13" s="234"/>
      <c r="AB13" s="234"/>
      <c r="AC13" s="234"/>
      <c r="AD13" s="234"/>
      <c r="AE13" s="234"/>
      <c r="AF13" s="234"/>
      <c r="AG13" s="234"/>
      <c r="AH13" s="212"/>
    </row>
    <row r="14" spans="1:48" ht="14.1" customHeight="1" x14ac:dyDescent="0.25">
      <c r="A14" s="235" t="s">
        <v>159</v>
      </c>
      <c r="B14" s="234"/>
      <c r="C14" s="234"/>
      <c r="D14" s="234"/>
      <c r="E14" s="234"/>
      <c r="F14" s="234" t="s">
        <v>162</v>
      </c>
      <c r="G14" s="234"/>
      <c r="H14" s="234"/>
      <c r="I14" s="234"/>
      <c r="J14" s="234"/>
      <c r="K14" s="234" t="s">
        <v>1</v>
      </c>
      <c r="L14" s="234"/>
      <c r="M14" s="234"/>
      <c r="N14" s="234"/>
      <c r="O14" s="234"/>
      <c r="P14" s="234"/>
      <c r="Q14" s="234"/>
      <c r="R14" s="234"/>
      <c r="S14" s="231" t="s">
        <v>168</v>
      </c>
      <c r="T14" s="231"/>
      <c r="U14" s="231"/>
      <c r="V14" s="231"/>
      <c r="W14" s="231"/>
      <c r="X14" s="231"/>
      <c r="Y14" s="231"/>
      <c r="Z14" s="231"/>
      <c r="AA14" s="234" t="s">
        <v>169</v>
      </c>
      <c r="AB14" s="234"/>
      <c r="AC14" s="234"/>
      <c r="AD14" s="234"/>
      <c r="AE14" s="234"/>
      <c r="AF14" s="234"/>
      <c r="AG14" s="234"/>
      <c r="AH14" s="212"/>
      <c r="AT14" s="61" t="s">
        <v>160</v>
      </c>
      <c r="AU14" s="61" t="s">
        <v>163</v>
      </c>
      <c r="AV14" s="61" t="s">
        <v>36</v>
      </c>
    </row>
    <row r="15" spans="1:48" ht="14.1" customHeight="1" x14ac:dyDescent="0.25">
      <c r="A15" s="211"/>
      <c r="B15" s="234"/>
      <c r="C15" s="234"/>
      <c r="D15" s="234"/>
      <c r="E15" s="234"/>
      <c r="F15" s="234"/>
      <c r="G15" s="234"/>
      <c r="H15" s="234"/>
      <c r="I15" s="234"/>
      <c r="J15" s="234"/>
      <c r="K15" s="234" t="s">
        <v>163</v>
      </c>
      <c r="L15" s="234"/>
      <c r="M15" s="234"/>
      <c r="N15" s="234"/>
      <c r="O15" s="234"/>
      <c r="P15" s="234"/>
      <c r="Q15" s="234"/>
      <c r="R15" s="234"/>
      <c r="S15" s="234" t="s">
        <v>170</v>
      </c>
      <c r="T15" s="234"/>
      <c r="U15" s="234"/>
      <c r="V15" s="234"/>
      <c r="W15" s="234" t="s">
        <v>171</v>
      </c>
      <c r="X15" s="234"/>
      <c r="Y15" s="234"/>
      <c r="Z15" s="234"/>
      <c r="AA15" s="234" t="s">
        <v>173</v>
      </c>
      <c r="AB15" s="234"/>
      <c r="AC15" s="234"/>
      <c r="AD15" s="234"/>
      <c r="AE15" s="234" t="s">
        <v>174</v>
      </c>
      <c r="AF15" s="234"/>
      <c r="AG15" s="234"/>
      <c r="AH15" s="212"/>
      <c r="AT15" s="61" t="s">
        <v>161</v>
      </c>
      <c r="AU15" s="61" t="s">
        <v>164</v>
      </c>
      <c r="AV15" s="61" t="s">
        <v>165</v>
      </c>
    </row>
    <row r="16" spans="1:48" ht="14.1" customHeight="1" x14ac:dyDescent="0.25">
      <c r="A16" s="211"/>
      <c r="B16" s="234"/>
      <c r="C16" s="234"/>
      <c r="D16" s="234"/>
      <c r="E16" s="234"/>
      <c r="F16" s="234" t="s">
        <v>161</v>
      </c>
      <c r="G16" s="234"/>
      <c r="H16" s="234"/>
      <c r="I16" s="234"/>
      <c r="J16" s="234"/>
      <c r="K16" s="234" t="s">
        <v>172</v>
      </c>
      <c r="L16" s="234"/>
      <c r="M16" s="234"/>
      <c r="N16" s="234"/>
      <c r="O16" s="234"/>
      <c r="P16" s="234" t="s">
        <v>36</v>
      </c>
      <c r="Q16" s="234"/>
      <c r="R16" s="234"/>
      <c r="S16" s="234">
        <v>150</v>
      </c>
      <c r="T16" s="234"/>
      <c r="U16" s="234"/>
      <c r="V16" s="234"/>
      <c r="W16" s="234">
        <v>70</v>
      </c>
      <c r="X16" s="234"/>
      <c r="Y16" s="234"/>
      <c r="Z16" s="234"/>
      <c r="AA16" s="234">
        <v>0.6</v>
      </c>
      <c r="AB16" s="234"/>
      <c r="AC16" s="234"/>
      <c r="AD16" s="234"/>
      <c r="AE16" s="234">
        <v>0.4</v>
      </c>
      <c r="AF16" s="234"/>
      <c r="AG16" s="234"/>
      <c r="AH16" s="212"/>
      <c r="AV16" s="61" t="s">
        <v>167</v>
      </c>
    </row>
    <row r="17" spans="1:48" ht="3.75" customHeight="1" x14ac:dyDescent="0.25">
      <c r="A17" s="211"/>
      <c r="B17" s="234"/>
      <c r="C17" s="234"/>
      <c r="D17" s="234"/>
      <c r="E17" s="234"/>
      <c r="F17" s="5"/>
      <c r="G17" s="5"/>
      <c r="H17" s="5"/>
      <c r="I17" s="5"/>
      <c r="J17" s="5"/>
      <c r="K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7"/>
      <c r="AV17" s="61" t="s">
        <v>166</v>
      </c>
    </row>
    <row r="18" spans="1:48" ht="14.1" customHeight="1" x14ac:dyDescent="0.25">
      <c r="A18" s="211"/>
      <c r="B18" s="234"/>
      <c r="C18" s="234"/>
      <c r="D18" s="234"/>
      <c r="E18" s="234"/>
      <c r="F18" s="234" t="s">
        <v>91</v>
      </c>
      <c r="G18" s="234"/>
      <c r="H18" s="234"/>
      <c r="I18" s="234"/>
      <c r="J18" s="234"/>
      <c r="K18" s="234" t="s">
        <v>175</v>
      </c>
      <c r="L18" s="234"/>
      <c r="M18" s="234"/>
      <c r="N18" s="234"/>
      <c r="O18" s="234"/>
      <c r="P18" s="234"/>
      <c r="Q18" s="234"/>
      <c r="R18" s="234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7"/>
      <c r="AT18" s="61">
        <v>1</v>
      </c>
      <c r="AU18" s="61">
        <v>56</v>
      </c>
    </row>
    <row r="19" spans="1:48" ht="14.1" customHeight="1" x14ac:dyDescent="0.25">
      <c r="A19" s="211"/>
      <c r="B19" s="234"/>
      <c r="C19" s="234"/>
      <c r="D19" s="234"/>
      <c r="E19" s="234"/>
      <c r="F19" s="234"/>
      <c r="G19" s="234"/>
      <c r="H19" s="234"/>
      <c r="I19" s="234"/>
      <c r="J19" s="234"/>
      <c r="K19" s="234" t="s">
        <v>163</v>
      </c>
      <c r="L19" s="234"/>
      <c r="M19" s="234"/>
      <c r="N19" s="234"/>
      <c r="O19" s="234"/>
      <c r="P19" s="234"/>
      <c r="Q19" s="234"/>
      <c r="R19" s="234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7"/>
      <c r="AT19" s="61">
        <v>1</v>
      </c>
    </row>
    <row r="20" spans="1:48" ht="14.1" customHeight="1" x14ac:dyDescent="0.25">
      <c r="A20" s="211"/>
      <c r="B20" s="234"/>
      <c r="C20" s="234"/>
      <c r="D20" s="234"/>
      <c r="E20" s="234"/>
      <c r="F20" s="234" t="s">
        <v>161</v>
      </c>
      <c r="G20" s="234"/>
      <c r="H20" s="234"/>
      <c r="I20" s="234"/>
      <c r="J20" s="234"/>
      <c r="K20" s="234" t="b">
        <v>1</v>
      </c>
      <c r="L20" s="234"/>
      <c r="M20" s="234"/>
      <c r="N20" s="234"/>
      <c r="O20" s="234"/>
      <c r="P20" s="234"/>
      <c r="Q20" s="234"/>
      <c r="R20" s="234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7"/>
      <c r="AT20" s="61">
        <v>1</v>
      </c>
    </row>
    <row r="21" spans="1:48" ht="14.1" customHeight="1" x14ac:dyDescent="0.25">
      <c r="A21" s="56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7"/>
      <c r="AT21" s="61">
        <v>1</v>
      </c>
      <c r="AV21" s="61">
        <v>3</v>
      </c>
    </row>
    <row r="22" spans="1:48" ht="14.1" customHeight="1" x14ac:dyDescent="0.25">
      <c r="A22" s="56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71"/>
      <c r="AE22" s="5"/>
      <c r="AF22" s="5"/>
      <c r="AG22" s="5"/>
      <c r="AH22" s="57"/>
      <c r="AV22" s="61">
        <v>4</v>
      </c>
    </row>
    <row r="23" spans="1:48" ht="14.1" customHeight="1" x14ac:dyDescent="0.25">
      <c r="A23" s="56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7"/>
    </row>
    <row r="24" spans="1:48" ht="14.1" customHeight="1" x14ac:dyDescent="0.25">
      <c r="A24" s="56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7"/>
    </row>
    <row r="25" spans="1:48" ht="14.1" customHeight="1" x14ac:dyDescent="0.25">
      <c r="A25" s="56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7"/>
    </row>
    <row r="26" spans="1:48" ht="14.1" customHeight="1" x14ac:dyDescent="0.25">
      <c r="A26" s="56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7"/>
    </row>
    <row r="27" spans="1:48" ht="14.1" customHeight="1" x14ac:dyDescent="0.25">
      <c r="A27" s="56"/>
      <c r="B27" s="5"/>
      <c r="C27" s="5"/>
      <c r="D27" s="5"/>
      <c r="E27" s="5"/>
      <c r="F27" s="5"/>
      <c r="G27" s="5"/>
      <c r="H27" s="5"/>
      <c r="I27" s="5"/>
      <c r="J27" s="5" t="s">
        <v>8</v>
      </c>
      <c r="K27" s="5" t="s">
        <v>92</v>
      </c>
      <c r="L27" s="5" t="s">
        <v>93</v>
      </c>
      <c r="M27" s="5" t="s">
        <v>92</v>
      </c>
      <c r="N27" s="5" t="s">
        <v>94</v>
      </c>
      <c r="O27" s="5" t="s">
        <v>92</v>
      </c>
      <c r="P27" s="5" t="s">
        <v>95</v>
      </c>
      <c r="Q27" s="5" t="s">
        <v>96</v>
      </c>
      <c r="R27" s="5" t="s">
        <v>97</v>
      </c>
      <c r="S27" s="5" t="s">
        <v>92</v>
      </c>
      <c r="T27" s="5" t="s">
        <v>98</v>
      </c>
      <c r="U27" s="5" t="s">
        <v>92</v>
      </c>
      <c r="V27" s="5" t="s">
        <v>99</v>
      </c>
      <c r="W27" s="5" t="s">
        <v>96</v>
      </c>
      <c r="X27" s="5" t="s">
        <v>100</v>
      </c>
      <c r="Y27" s="5"/>
      <c r="Z27" s="5"/>
      <c r="AA27" s="5"/>
      <c r="AB27" s="5"/>
      <c r="AC27" s="5"/>
      <c r="AD27" s="5"/>
      <c r="AE27" s="5"/>
      <c r="AF27" s="5"/>
      <c r="AG27" s="5"/>
      <c r="AH27" s="57"/>
    </row>
    <row r="28" spans="1:48" ht="14.1" customHeight="1" x14ac:dyDescent="0.25">
      <c r="A28" s="56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7"/>
    </row>
    <row r="29" spans="1:48" ht="14.1" customHeight="1" x14ac:dyDescent="0.25">
      <c r="A29" s="56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7"/>
    </row>
    <row r="30" spans="1:48" ht="14.1" customHeight="1" x14ac:dyDescent="0.25">
      <c r="A30" s="56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7"/>
    </row>
    <row r="31" spans="1:48" ht="14.1" customHeight="1" x14ac:dyDescent="0.25">
      <c r="A31" s="56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7"/>
    </row>
    <row r="32" spans="1:48" ht="14.1" customHeight="1" x14ac:dyDescent="0.25">
      <c r="A32" s="56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7"/>
    </row>
    <row r="33" spans="1:34" ht="14.1" customHeight="1" x14ac:dyDescent="0.25">
      <c r="A33" s="56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7"/>
    </row>
    <row r="34" spans="1:34" ht="14.1" customHeight="1" x14ac:dyDescent="0.25">
      <c r="A34" s="56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7"/>
    </row>
    <row r="35" spans="1:34" ht="14.1" customHeight="1" x14ac:dyDescent="0.25">
      <c r="A35" s="56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7"/>
    </row>
    <row r="36" spans="1:34" ht="14.1" customHeight="1" x14ac:dyDescent="0.25">
      <c r="A36" s="56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7"/>
    </row>
    <row r="37" spans="1:34" ht="14.1" customHeight="1" x14ac:dyDescent="0.25">
      <c r="A37" s="56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7"/>
    </row>
    <row r="38" spans="1:34" ht="14.1" customHeight="1" x14ac:dyDescent="0.25">
      <c r="A38" s="56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7"/>
    </row>
    <row r="39" spans="1:34" ht="14.1" customHeight="1" x14ac:dyDescent="0.25">
      <c r="A39" s="56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7"/>
    </row>
    <row r="40" spans="1:34" ht="14.1" customHeight="1" x14ac:dyDescent="0.25">
      <c r="A40" s="56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7"/>
    </row>
    <row r="41" spans="1:34" ht="14.1" customHeight="1" x14ac:dyDescent="0.25">
      <c r="A41" s="56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7"/>
    </row>
    <row r="42" spans="1:34" ht="14.1" customHeight="1" x14ac:dyDescent="0.25">
      <c r="A42" s="56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7"/>
    </row>
    <row r="43" spans="1:34" ht="14.1" customHeight="1" x14ac:dyDescent="0.25">
      <c r="A43" s="56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7"/>
    </row>
    <row r="44" spans="1:34" ht="14.1" customHeight="1" x14ac:dyDescent="0.25">
      <c r="A44" s="56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7"/>
    </row>
    <row r="45" spans="1:34" ht="14.1" customHeight="1" x14ac:dyDescent="0.25">
      <c r="A45" s="56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7"/>
    </row>
    <row r="46" spans="1:34" ht="14.1" customHeight="1" x14ac:dyDescent="0.25">
      <c r="A46" s="56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7"/>
    </row>
    <row r="47" spans="1:34" ht="14.1" customHeight="1" x14ac:dyDescent="0.25">
      <c r="A47" s="56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7"/>
    </row>
    <row r="48" spans="1:34" ht="14.1" customHeight="1" x14ac:dyDescent="0.25">
      <c r="A48" s="56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7"/>
    </row>
    <row r="49" spans="1:34" ht="14.1" customHeight="1" x14ac:dyDescent="0.25">
      <c r="A49" s="56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7"/>
    </row>
    <row r="50" spans="1:34" ht="14.1" customHeight="1" x14ac:dyDescent="0.25">
      <c r="A50" s="56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7"/>
    </row>
    <row r="51" spans="1:34" ht="14.1" customHeight="1" x14ac:dyDescent="0.25">
      <c r="A51" s="56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7"/>
    </row>
    <row r="52" spans="1:34" ht="14.1" customHeight="1" x14ac:dyDescent="0.25">
      <c r="A52" s="56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7"/>
    </row>
    <row r="53" spans="1:34" ht="14.1" customHeight="1" x14ac:dyDescent="0.25">
      <c r="A53" s="56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7"/>
    </row>
    <row r="54" spans="1:34" ht="14.1" customHeight="1" x14ac:dyDescent="0.25">
      <c r="A54" s="56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7"/>
    </row>
    <row r="55" spans="1:34" ht="14.1" customHeight="1" x14ac:dyDescent="0.25">
      <c r="A55" s="56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7"/>
    </row>
    <row r="56" spans="1:34" ht="14.1" customHeight="1" x14ac:dyDescent="0.25">
      <c r="A56" s="56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7"/>
    </row>
    <row r="57" spans="1:34" ht="14.1" customHeight="1" x14ac:dyDescent="0.25">
      <c r="A57" s="56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7"/>
    </row>
    <row r="58" spans="1:34" ht="14.1" customHeight="1" x14ac:dyDescent="0.25">
      <c r="A58" s="56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7"/>
    </row>
    <row r="59" spans="1:34" ht="14.1" customHeight="1" x14ac:dyDescent="0.25">
      <c r="A59" s="56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7"/>
    </row>
    <row r="60" spans="1:34" ht="14.1" customHeight="1" x14ac:dyDescent="0.25">
      <c r="A60" s="56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7"/>
    </row>
    <row r="61" spans="1:34" ht="14.1" customHeight="1" x14ac:dyDescent="0.25">
      <c r="A61" s="56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7"/>
    </row>
    <row r="62" spans="1:34" ht="14.1" customHeight="1" x14ac:dyDescent="0.25">
      <c r="A62" s="56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7"/>
    </row>
    <row r="63" spans="1:34" ht="14.1" customHeight="1" x14ac:dyDescent="0.25">
      <c r="A63" s="56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7"/>
    </row>
    <row r="64" spans="1:34" ht="14.1" customHeight="1" x14ac:dyDescent="0.25">
      <c r="A64" s="56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7"/>
    </row>
    <row r="65" spans="1:34" ht="14.1" customHeight="1" x14ac:dyDescent="0.25">
      <c r="A65" s="56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7"/>
    </row>
    <row r="66" spans="1:34" ht="14.1" customHeight="1" x14ac:dyDescent="0.25">
      <c r="A66" s="56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7"/>
    </row>
    <row r="67" spans="1:34" ht="14.1" customHeight="1" x14ac:dyDescent="0.25">
      <c r="A67" s="56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7"/>
    </row>
    <row r="68" spans="1:34" ht="14.1" customHeight="1" x14ac:dyDescent="0.25">
      <c r="A68" s="56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7"/>
    </row>
    <row r="69" spans="1:34" ht="14.1" customHeight="1" x14ac:dyDescent="0.25">
      <c r="A69" s="56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7"/>
    </row>
    <row r="70" spans="1:34" ht="14.1" customHeight="1" x14ac:dyDescent="0.25">
      <c r="A70" s="56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7"/>
    </row>
    <row r="71" spans="1:34" ht="14.1" customHeight="1" x14ac:dyDescent="0.25">
      <c r="A71" s="56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7"/>
    </row>
    <row r="72" spans="1:34" ht="14.1" customHeight="1" x14ac:dyDescent="0.25">
      <c r="A72" s="56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7"/>
    </row>
    <row r="73" spans="1:34" ht="14.1" customHeight="1" x14ac:dyDescent="0.25">
      <c r="A73" s="56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7"/>
    </row>
    <row r="74" spans="1:34" ht="14.1" customHeight="1" x14ac:dyDescent="0.25">
      <c r="A74" s="56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7"/>
    </row>
    <row r="75" spans="1:34" ht="14.1" customHeight="1" x14ac:dyDescent="0.25">
      <c r="A75" s="56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7"/>
    </row>
    <row r="76" spans="1:34" ht="14.1" customHeight="1" x14ac:dyDescent="0.25">
      <c r="A76" s="56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7"/>
    </row>
    <row r="77" spans="1:34" ht="14.1" customHeight="1" x14ac:dyDescent="0.25">
      <c r="A77" s="56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7"/>
    </row>
    <row r="78" spans="1:34" ht="14.1" customHeight="1" x14ac:dyDescent="0.25">
      <c r="A78" s="56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7"/>
    </row>
    <row r="79" spans="1:34" ht="14.1" customHeight="1" x14ac:dyDescent="0.25">
      <c r="A79" s="56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7"/>
    </row>
    <row r="80" spans="1:34" ht="14.1" customHeight="1" x14ac:dyDescent="0.25">
      <c r="A80" s="56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7"/>
    </row>
    <row r="81" spans="1:34" ht="14.1" customHeight="1" x14ac:dyDescent="0.25">
      <c r="A81" s="56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7"/>
    </row>
    <row r="82" spans="1:34" ht="14.1" customHeight="1" x14ac:dyDescent="0.25">
      <c r="A82" s="56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7"/>
    </row>
    <row r="83" spans="1:34" ht="14.1" customHeight="1" x14ac:dyDescent="0.25">
      <c r="A83" s="56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7"/>
    </row>
    <row r="84" spans="1:34" ht="14.1" customHeight="1" x14ac:dyDescent="0.25">
      <c r="A84" s="56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7"/>
    </row>
    <row r="85" spans="1:34" ht="14.1" customHeight="1" x14ac:dyDescent="0.25">
      <c r="A85" s="56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7"/>
    </row>
    <row r="86" spans="1:34" ht="14.1" customHeight="1" x14ac:dyDescent="0.25">
      <c r="A86" s="56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7"/>
    </row>
    <row r="87" spans="1:34" ht="14.1" customHeight="1" x14ac:dyDescent="0.25">
      <c r="A87" s="56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7"/>
    </row>
    <row r="88" spans="1:34" ht="14.1" customHeight="1" x14ac:dyDescent="0.25">
      <c r="A88" s="56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7"/>
    </row>
    <row r="89" spans="1:34" ht="14.1" customHeight="1" x14ac:dyDescent="0.25">
      <c r="A89" s="56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7"/>
    </row>
    <row r="90" spans="1:34" ht="14.1" customHeight="1" x14ac:dyDescent="0.25">
      <c r="A90" s="56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7"/>
    </row>
    <row r="91" spans="1:34" ht="14.1" customHeight="1" x14ac:dyDescent="0.25">
      <c r="A91" s="56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7"/>
    </row>
    <row r="92" spans="1:34" ht="14.1" customHeight="1" x14ac:dyDescent="0.25">
      <c r="A92" s="56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7"/>
    </row>
    <row r="93" spans="1:34" ht="14.1" customHeight="1" x14ac:dyDescent="0.25">
      <c r="A93" s="56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7"/>
    </row>
    <row r="94" spans="1:34" ht="14.1" customHeight="1" x14ac:dyDescent="0.25">
      <c r="A94" s="56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7"/>
    </row>
    <row r="95" spans="1:34" ht="14.1" customHeight="1" x14ac:dyDescent="0.25">
      <c r="A95" s="56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7"/>
    </row>
    <row r="96" spans="1:34" ht="14.1" customHeight="1" x14ac:dyDescent="0.25">
      <c r="A96" s="56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7"/>
    </row>
    <row r="97" spans="1:34" ht="14.1" customHeight="1" x14ac:dyDescent="0.25">
      <c r="A97" s="56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7"/>
    </row>
    <row r="98" spans="1:34" ht="14.1" customHeight="1" x14ac:dyDescent="0.25">
      <c r="A98" s="56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7"/>
    </row>
    <row r="99" spans="1:34" ht="14.1" customHeight="1" x14ac:dyDescent="0.25">
      <c r="A99" s="56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7"/>
    </row>
    <row r="100" spans="1:34" ht="14.1" customHeight="1" x14ac:dyDescent="0.25">
      <c r="A100" s="56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7"/>
    </row>
    <row r="101" spans="1:34" ht="14.1" customHeight="1" x14ac:dyDescent="0.25">
      <c r="A101" s="56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7"/>
    </row>
    <row r="102" spans="1:34" ht="14.1" customHeight="1" x14ac:dyDescent="0.25">
      <c r="A102" s="56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7"/>
    </row>
    <row r="103" spans="1:34" ht="14.1" customHeight="1" x14ac:dyDescent="0.25">
      <c r="A103" s="56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7"/>
    </row>
    <row r="104" spans="1:34" ht="14.1" customHeight="1" x14ac:dyDescent="0.25">
      <c r="A104" s="56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7"/>
    </row>
    <row r="105" spans="1:34" ht="14.1" customHeight="1" x14ac:dyDescent="0.25">
      <c r="A105" s="56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7"/>
    </row>
    <row r="106" spans="1:34" ht="14.1" customHeight="1" x14ac:dyDescent="0.25">
      <c r="A106" s="56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7"/>
    </row>
    <row r="107" spans="1:34" ht="14.1" customHeight="1" x14ac:dyDescent="0.25">
      <c r="A107" s="56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7"/>
    </row>
    <row r="108" spans="1:34" ht="14.1" customHeight="1" x14ac:dyDescent="0.25">
      <c r="A108" s="56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7"/>
    </row>
    <row r="109" spans="1:34" ht="14.1" customHeight="1" x14ac:dyDescent="0.25">
      <c r="A109" s="56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7"/>
    </row>
    <row r="110" spans="1:34" ht="14.1" customHeight="1" x14ac:dyDescent="0.25">
      <c r="A110" s="56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7"/>
    </row>
    <row r="111" spans="1:34" ht="14.1" customHeight="1" x14ac:dyDescent="0.25">
      <c r="A111" s="56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7"/>
    </row>
    <row r="112" spans="1:34" ht="14.1" customHeight="1" x14ac:dyDescent="0.25">
      <c r="A112" s="56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7"/>
    </row>
    <row r="113" spans="1:34" ht="14.1" customHeight="1" x14ac:dyDescent="0.25">
      <c r="A113" s="56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7"/>
    </row>
    <row r="114" spans="1:34" ht="14.1" customHeight="1" x14ac:dyDescent="0.25">
      <c r="A114" s="56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7"/>
    </row>
    <row r="115" spans="1:34" ht="14.1" customHeight="1" x14ac:dyDescent="0.25">
      <c r="A115" s="56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7"/>
    </row>
    <row r="116" spans="1:34" ht="14.1" customHeight="1" x14ac:dyDescent="0.25">
      <c r="A116" s="56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7"/>
    </row>
    <row r="117" spans="1:34" ht="14.1" customHeight="1" x14ac:dyDescent="0.25">
      <c r="A117" s="56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7"/>
    </row>
    <row r="118" spans="1:34" ht="14.1" customHeight="1" x14ac:dyDescent="0.25">
      <c r="A118" s="56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7"/>
    </row>
    <row r="119" spans="1:34" ht="14.1" customHeight="1" x14ac:dyDescent="0.25">
      <c r="A119" s="56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7"/>
    </row>
    <row r="120" spans="1:34" ht="14.1" customHeight="1" x14ac:dyDescent="0.25">
      <c r="A120" s="56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7"/>
    </row>
    <row r="121" spans="1:34" ht="14.1" customHeight="1" x14ac:dyDescent="0.25">
      <c r="A121" s="56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7"/>
    </row>
    <row r="122" spans="1:34" ht="14.1" customHeight="1" x14ac:dyDescent="0.25">
      <c r="A122" s="56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7"/>
    </row>
    <row r="123" spans="1:34" ht="14.1" customHeight="1" x14ac:dyDescent="0.25">
      <c r="A123" s="56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7"/>
    </row>
    <row r="124" spans="1:34" ht="14.1" customHeight="1" x14ac:dyDescent="0.25">
      <c r="A124" s="56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7"/>
    </row>
    <row r="125" spans="1:34" ht="14.1" customHeight="1" x14ac:dyDescent="0.25">
      <c r="A125" s="56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7"/>
    </row>
    <row r="126" spans="1:34" ht="14.1" customHeight="1" x14ac:dyDescent="0.25">
      <c r="A126" s="56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7"/>
    </row>
    <row r="127" spans="1:34" ht="14.1" customHeight="1" x14ac:dyDescent="0.25">
      <c r="A127" s="56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7"/>
    </row>
    <row r="128" spans="1:34" ht="14.1" customHeight="1" x14ac:dyDescent="0.25">
      <c r="A128" s="56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7"/>
    </row>
    <row r="129" spans="1:34" ht="14.1" customHeight="1" x14ac:dyDescent="0.25">
      <c r="A129" s="56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7"/>
    </row>
    <row r="130" spans="1:34" ht="14.1" customHeight="1" x14ac:dyDescent="0.25">
      <c r="A130" s="56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7"/>
    </row>
    <row r="131" spans="1:34" ht="14.1" customHeight="1" x14ac:dyDescent="0.25">
      <c r="A131" s="56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7"/>
    </row>
    <row r="132" spans="1:34" ht="14.1" customHeight="1" x14ac:dyDescent="0.25">
      <c r="A132" s="56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7"/>
    </row>
    <row r="133" spans="1:34" ht="14.1" customHeight="1" x14ac:dyDescent="0.25">
      <c r="A133" s="56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7"/>
    </row>
    <row r="134" spans="1:34" ht="14.1" customHeight="1" x14ac:dyDescent="0.25">
      <c r="A134" s="56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7"/>
    </row>
    <row r="135" spans="1:34" ht="14.1" customHeight="1" x14ac:dyDescent="0.25">
      <c r="A135" s="56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7"/>
    </row>
    <row r="136" spans="1:34" ht="14.1" customHeight="1" x14ac:dyDescent="0.25">
      <c r="A136" s="56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7"/>
    </row>
    <row r="137" spans="1:34" ht="14.1" customHeight="1" x14ac:dyDescent="0.25">
      <c r="A137" s="56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7"/>
    </row>
    <row r="138" spans="1:34" ht="14.1" customHeight="1" x14ac:dyDescent="0.25">
      <c r="A138" s="56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7"/>
    </row>
    <row r="139" spans="1:34" ht="14.1" customHeight="1" x14ac:dyDescent="0.25">
      <c r="A139" s="56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7"/>
    </row>
    <row r="140" spans="1:34" ht="14.1" customHeight="1" x14ac:dyDescent="0.25">
      <c r="A140" s="56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7"/>
    </row>
    <row r="141" spans="1:34" ht="14.1" customHeight="1" x14ac:dyDescent="0.25">
      <c r="A141" s="56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7"/>
    </row>
    <row r="142" spans="1:34" ht="14.1" customHeight="1" x14ac:dyDescent="0.25">
      <c r="A142" s="56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7"/>
    </row>
    <row r="143" spans="1:34" ht="14.1" customHeight="1" x14ac:dyDescent="0.25">
      <c r="A143" s="56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7"/>
    </row>
    <row r="144" spans="1:34" ht="14.1" customHeight="1" x14ac:dyDescent="0.25">
      <c r="A144" s="56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7"/>
    </row>
    <row r="145" spans="1:34" ht="14.1" customHeight="1" x14ac:dyDescent="0.25">
      <c r="A145" s="56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7"/>
    </row>
    <row r="146" spans="1:34" ht="14.1" customHeight="1" x14ac:dyDescent="0.25">
      <c r="A146" s="56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7"/>
    </row>
    <row r="147" spans="1:34" ht="14.1" customHeight="1" x14ac:dyDescent="0.25">
      <c r="A147" s="56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7"/>
    </row>
    <row r="148" spans="1:34" ht="14.1" customHeight="1" x14ac:dyDescent="0.25">
      <c r="A148" s="56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7"/>
    </row>
    <row r="149" spans="1:34" ht="14.1" customHeight="1" x14ac:dyDescent="0.25">
      <c r="A149" s="56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7"/>
    </row>
    <row r="150" spans="1:34" ht="14.1" customHeight="1" x14ac:dyDescent="0.25">
      <c r="A150" s="56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7"/>
    </row>
    <row r="151" spans="1:34" ht="14.1" customHeight="1" x14ac:dyDescent="0.25">
      <c r="A151" s="56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7"/>
    </row>
    <row r="152" spans="1:34" ht="14.1" customHeight="1" x14ac:dyDescent="0.25">
      <c r="A152" s="56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7"/>
    </row>
    <row r="153" spans="1:34" ht="14.1" customHeight="1" x14ac:dyDescent="0.25">
      <c r="A153" s="56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7"/>
    </row>
    <row r="154" spans="1:34" ht="14.1" customHeight="1" x14ac:dyDescent="0.25">
      <c r="A154" s="56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7"/>
    </row>
    <row r="155" spans="1:34" ht="14.1" customHeight="1" x14ac:dyDescent="0.25">
      <c r="A155" s="56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7"/>
    </row>
    <row r="156" spans="1:34" ht="14.1" customHeight="1" x14ac:dyDescent="0.25">
      <c r="A156" s="56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7"/>
    </row>
    <row r="157" spans="1:34" ht="14.1" customHeight="1" x14ac:dyDescent="0.25">
      <c r="A157" s="56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7"/>
    </row>
    <row r="158" spans="1:34" ht="14.1" customHeight="1" x14ac:dyDescent="0.25">
      <c r="A158" s="56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7"/>
    </row>
    <row r="159" spans="1:34" ht="14.1" customHeight="1" x14ac:dyDescent="0.25">
      <c r="A159" s="56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7"/>
    </row>
    <row r="160" spans="1:34" ht="14.1" customHeight="1" x14ac:dyDescent="0.25">
      <c r="A160" s="56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7"/>
    </row>
    <row r="161" spans="1:34" ht="14.1" customHeight="1" x14ac:dyDescent="0.25">
      <c r="A161" s="56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7"/>
    </row>
    <row r="162" spans="1:34" ht="14.1" customHeight="1" x14ac:dyDescent="0.25">
      <c r="A162" s="56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7"/>
    </row>
    <row r="163" spans="1:34" ht="14.1" customHeight="1" x14ac:dyDescent="0.25">
      <c r="A163" s="56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7"/>
    </row>
    <row r="164" spans="1:34" ht="14.1" customHeight="1" thickBot="1" x14ac:dyDescent="0.3">
      <c r="A164" s="58"/>
      <c r="B164" s="70"/>
      <c r="C164" s="70"/>
      <c r="D164" s="70"/>
      <c r="E164" s="70"/>
      <c r="F164" s="70"/>
      <c r="G164" s="70"/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59"/>
    </row>
    <row r="165" spans="1:34" ht="14.1" customHeight="1" x14ac:dyDescent="0.25"/>
    <row r="166" spans="1:34" ht="14.1" customHeight="1" x14ac:dyDescent="0.25"/>
    <row r="167" spans="1:34" ht="14.1" customHeight="1" x14ac:dyDescent="0.25"/>
    <row r="168" spans="1:34" ht="14.1" customHeight="1" x14ac:dyDescent="0.25"/>
    <row r="169" spans="1:34" ht="14.1" customHeight="1" x14ac:dyDescent="0.25"/>
    <row r="170" spans="1:34" ht="14.1" customHeight="1" x14ac:dyDescent="0.25"/>
    <row r="171" spans="1:34" ht="14.1" customHeight="1" x14ac:dyDescent="0.25"/>
    <row r="172" spans="1:34" ht="14.1" customHeight="1" x14ac:dyDescent="0.25"/>
    <row r="173" spans="1:34" ht="14.1" customHeight="1" x14ac:dyDescent="0.25"/>
    <row r="174" spans="1:34" ht="14.1" customHeight="1" x14ac:dyDescent="0.25"/>
    <row r="175" spans="1:34" ht="14.1" customHeight="1" x14ac:dyDescent="0.25"/>
    <row r="176" spans="1:34" ht="14.1" customHeight="1" x14ac:dyDescent="0.25"/>
    <row r="177" ht="14.1" customHeight="1" x14ac:dyDescent="0.25"/>
    <row r="178" ht="14.1" customHeight="1" x14ac:dyDescent="0.25"/>
    <row r="179" ht="14.1" customHeight="1" x14ac:dyDescent="0.25"/>
    <row r="180" ht="14.1" customHeight="1" x14ac:dyDescent="0.25"/>
    <row r="181" ht="14.1" customHeight="1" x14ac:dyDescent="0.25"/>
    <row r="182" ht="14.1" customHeight="1" x14ac:dyDescent="0.25"/>
    <row r="183" ht="14.1" customHeight="1" x14ac:dyDescent="0.25"/>
    <row r="184" ht="14.1" customHeight="1" x14ac:dyDescent="0.25"/>
    <row r="185" ht="14.1" customHeight="1" x14ac:dyDescent="0.25"/>
    <row r="186" ht="14.1" customHeight="1" x14ac:dyDescent="0.25"/>
    <row r="187" ht="14.1" customHeight="1" x14ac:dyDescent="0.25"/>
    <row r="188" ht="14.1" customHeight="1" x14ac:dyDescent="0.25"/>
    <row r="189" ht="14.1" customHeight="1" x14ac:dyDescent="0.25"/>
    <row r="190" ht="14.1" customHeight="1" x14ac:dyDescent="0.25"/>
    <row r="191" ht="14.1" customHeight="1" x14ac:dyDescent="0.25"/>
    <row r="192" ht="14.1" customHeight="1" x14ac:dyDescent="0.25"/>
    <row r="193" ht="14.1" customHeight="1" x14ac:dyDescent="0.25"/>
    <row r="194" ht="14.1" customHeight="1" x14ac:dyDescent="0.25"/>
    <row r="195" ht="14.1" customHeight="1" x14ac:dyDescent="0.25"/>
    <row r="196" ht="14.1" customHeight="1" x14ac:dyDescent="0.25"/>
    <row r="197" ht="14.1" customHeight="1" x14ac:dyDescent="0.25"/>
    <row r="198" ht="14.1" customHeight="1" x14ac:dyDescent="0.25"/>
    <row r="199" ht="14.1" customHeight="1" x14ac:dyDescent="0.25"/>
    <row r="200" ht="14.1" customHeight="1" x14ac:dyDescent="0.25"/>
    <row r="201" ht="14.1" customHeight="1" x14ac:dyDescent="0.25"/>
    <row r="202" ht="14.1" customHeight="1" x14ac:dyDescent="0.25"/>
    <row r="203" ht="14.1" customHeight="1" x14ac:dyDescent="0.25"/>
    <row r="204" ht="14.1" customHeight="1" x14ac:dyDescent="0.25"/>
    <row r="205" ht="14.1" customHeight="1" x14ac:dyDescent="0.25"/>
    <row r="206" ht="14.1" customHeight="1" x14ac:dyDescent="0.25"/>
    <row r="207" ht="14.1" customHeight="1" x14ac:dyDescent="0.25"/>
    <row r="208" ht="14.1" customHeight="1" x14ac:dyDescent="0.25"/>
    <row r="209" ht="14.1" customHeight="1" x14ac:dyDescent="0.25"/>
    <row r="210" ht="14.1" customHeight="1" x14ac:dyDescent="0.25"/>
    <row r="211" ht="14.1" customHeight="1" x14ac:dyDescent="0.25"/>
    <row r="212" ht="14.1" customHeight="1" x14ac:dyDescent="0.25"/>
    <row r="213" ht="14.1" customHeight="1" x14ac:dyDescent="0.25"/>
    <row r="214" ht="14.1" customHeight="1" x14ac:dyDescent="0.25"/>
    <row r="215" ht="14.1" customHeight="1" x14ac:dyDescent="0.25"/>
    <row r="216" ht="14.1" customHeight="1" x14ac:dyDescent="0.25"/>
    <row r="217" ht="14.1" customHeight="1" x14ac:dyDescent="0.25"/>
    <row r="218" ht="14.1" customHeight="1" x14ac:dyDescent="0.25"/>
    <row r="219" ht="14.1" customHeight="1" x14ac:dyDescent="0.25"/>
    <row r="220" ht="14.1" customHeight="1" x14ac:dyDescent="0.25"/>
    <row r="221" ht="14.1" customHeight="1" x14ac:dyDescent="0.25"/>
    <row r="222" ht="14.1" customHeight="1" x14ac:dyDescent="0.25"/>
    <row r="223" ht="14.1" customHeight="1" x14ac:dyDescent="0.25"/>
    <row r="224" ht="14.1" customHeight="1" x14ac:dyDescent="0.25"/>
    <row r="225" ht="14.1" customHeight="1" x14ac:dyDescent="0.25"/>
    <row r="226" ht="14.1" customHeight="1" x14ac:dyDescent="0.25"/>
    <row r="227" ht="14.1" customHeight="1" x14ac:dyDescent="0.25"/>
    <row r="228" ht="14.1" customHeight="1" x14ac:dyDescent="0.25"/>
    <row r="229" ht="14.1" customHeight="1" x14ac:dyDescent="0.25"/>
    <row r="230" ht="14.1" customHeight="1" x14ac:dyDescent="0.25"/>
    <row r="231" ht="14.1" customHeight="1" x14ac:dyDescent="0.25"/>
    <row r="232" ht="14.1" customHeight="1" x14ac:dyDescent="0.25"/>
    <row r="233" ht="14.1" customHeight="1" x14ac:dyDescent="0.25"/>
    <row r="234" ht="14.1" customHeight="1" x14ac:dyDescent="0.25"/>
    <row r="235" ht="14.1" customHeight="1" x14ac:dyDescent="0.25"/>
    <row r="236" ht="14.1" customHeight="1" x14ac:dyDescent="0.25"/>
    <row r="237" ht="14.1" customHeight="1" x14ac:dyDescent="0.25"/>
    <row r="238" ht="14.1" customHeight="1" x14ac:dyDescent="0.25"/>
    <row r="239" ht="14.1" customHeight="1" x14ac:dyDescent="0.25"/>
    <row r="240" ht="14.1" customHeight="1" x14ac:dyDescent="0.25"/>
    <row r="241" ht="14.1" customHeight="1" x14ac:dyDescent="0.25"/>
    <row r="242" ht="14.1" customHeight="1" x14ac:dyDescent="0.25"/>
    <row r="243" ht="14.1" customHeight="1" x14ac:dyDescent="0.25"/>
    <row r="244" ht="14.1" customHeight="1" x14ac:dyDescent="0.25"/>
    <row r="245" ht="14.1" customHeight="1" x14ac:dyDescent="0.25"/>
    <row r="246" ht="14.1" customHeight="1" x14ac:dyDescent="0.25"/>
    <row r="247" ht="14.1" customHeight="1" x14ac:dyDescent="0.25"/>
    <row r="248" ht="14.1" customHeight="1" x14ac:dyDescent="0.25"/>
    <row r="249" ht="14.1" customHeight="1" x14ac:dyDescent="0.25"/>
    <row r="250" ht="14.1" customHeight="1" x14ac:dyDescent="0.25"/>
    <row r="251" ht="14.1" customHeight="1" x14ac:dyDescent="0.25"/>
    <row r="252" ht="14.1" customHeight="1" x14ac:dyDescent="0.25"/>
    <row r="253" ht="14.1" customHeight="1" x14ac:dyDescent="0.25"/>
    <row r="254" ht="14.1" customHeight="1" x14ac:dyDescent="0.25"/>
    <row r="255" ht="14.1" customHeight="1" x14ac:dyDescent="0.25"/>
    <row r="256" ht="14.1" customHeight="1" x14ac:dyDescent="0.25"/>
    <row r="257" ht="14.1" customHeight="1" x14ac:dyDescent="0.25"/>
    <row r="258" ht="14.1" customHeight="1" x14ac:dyDescent="0.25"/>
    <row r="259" ht="14.1" customHeight="1" x14ac:dyDescent="0.25"/>
    <row r="260" ht="14.1" customHeight="1" x14ac:dyDescent="0.25"/>
    <row r="261" ht="14.1" customHeight="1" x14ac:dyDescent="0.25"/>
    <row r="262" ht="14.1" customHeight="1" x14ac:dyDescent="0.25"/>
    <row r="263" ht="14.1" customHeight="1" x14ac:dyDescent="0.25"/>
    <row r="264" ht="14.1" customHeight="1" x14ac:dyDescent="0.25"/>
    <row r="265" ht="14.1" customHeight="1" x14ac:dyDescent="0.25"/>
    <row r="266" ht="14.1" customHeight="1" x14ac:dyDescent="0.25"/>
    <row r="267" ht="14.1" customHeight="1" x14ac:dyDescent="0.25"/>
    <row r="268" ht="14.1" customHeight="1" x14ac:dyDescent="0.25"/>
    <row r="269" ht="14.1" customHeight="1" x14ac:dyDescent="0.25"/>
    <row r="270" ht="14.1" customHeight="1" x14ac:dyDescent="0.25"/>
    <row r="271" ht="14.1" customHeight="1" x14ac:dyDescent="0.25"/>
    <row r="272" ht="14.1" customHeight="1" x14ac:dyDescent="0.25"/>
    <row r="273" ht="14.1" customHeight="1" x14ac:dyDescent="0.25"/>
    <row r="274" ht="14.1" customHeight="1" x14ac:dyDescent="0.25"/>
    <row r="275" ht="14.1" customHeight="1" x14ac:dyDescent="0.25"/>
    <row r="276" ht="14.1" customHeight="1" x14ac:dyDescent="0.25"/>
    <row r="277" ht="14.1" customHeight="1" x14ac:dyDescent="0.25"/>
    <row r="278" ht="14.1" customHeight="1" x14ac:dyDescent="0.25"/>
    <row r="279" ht="14.1" customHeight="1" x14ac:dyDescent="0.25"/>
    <row r="280" ht="14.1" customHeight="1" x14ac:dyDescent="0.25"/>
    <row r="281" ht="14.1" customHeight="1" x14ac:dyDescent="0.25"/>
    <row r="282" ht="14.1" customHeight="1" x14ac:dyDescent="0.25"/>
    <row r="283" ht="14.1" customHeight="1" x14ac:dyDescent="0.25"/>
    <row r="284" ht="14.1" customHeight="1" x14ac:dyDescent="0.25"/>
    <row r="285" ht="14.1" customHeight="1" x14ac:dyDescent="0.25"/>
    <row r="286" ht="14.1" customHeight="1" x14ac:dyDescent="0.25"/>
    <row r="287" ht="14.1" customHeight="1" x14ac:dyDescent="0.25"/>
    <row r="288" ht="14.1" customHeight="1" x14ac:dyDescent="0.25"/>
    <row r="289" ht="14.1" customHeight="1" x14ac:dyDescent="0.25"/>
    <row r="290" ht="14.1" customHeight="1" x14ac:dyDescent="0.25"/>
    <row r="291" ht="14.1" customHeight="1" x14ac:dyDescent="0.25"/>
    <row r="292" ht="14.1" customHeight="1" x14ac:dyDescent="0.25"/>
    <row r="293" ht="14.1" customHeight="1" x14ac:dyDescent="0.25"/>
    <row r="294" ht="14.1" customHeight="1" x14ac:dyDescent="0.25"/>
    <row r="295" ht="14.1" customHeight="1" x14ac:dyDescent="0.25"/>
    <row r="296" ht="14.1" customHeight="1" x14ac:dyDescent="0.25"/>
    <row r="297" ht="14.1" customHeight="1" x14ac:dyDescent="0.25"/>
    <row r="298" ht="14.1" customHeight="1" x14ac:dyDescent="0.25"/>
    <row r="299" ht="14.1" customHeight="1" x14ac:dyDescent="0.25"/>
    <row r="300" ht="14.1" customHeight="1" x14ac:dyDescent="0.25"/>
    <row r="301" ht="14.1" customHeight="1" x14ac:dyDescent="0.25"/>
    <row r="302" ht="14.1" customHeight="1" x14ac:dyDescent="0.25"/>
    <row r="303" ht="14.1" customHeight="1" x14ac:dyDescent="0.25"/>
    <row r="304" ht="14.1" customHeight="1" x14ac:dyDescent="0.25"/>
    <row r="305" ht="14.1" customHeight="1" x14ac:dyDescent="0.25"/>
    <row r="306" ht="14.1" customHeight="1" x14ac:dyDescent="0.25"/>
    <row r="307" ht="14.1" customHeight="1" x14ac:dyDescent="0.25"/>
    <row r="308" ht="14.1" customHeight="1" x14ac:dyDescent="0.25"/>
    <row r="309" ht="14.1" customHeight="1" x14ac:dyDescent="0.25"/>
    <row r="310" ht="14.1" customHeight="1" x14ac:dyDescent="0.25"/>
    <row r="311" ht="14.1" customHeight="1" x14ac:dyDescent="0.25"/>
    <row r="312" ht="14.1" customHeight="1" x14ac:dyDescent="0.25"/>
    <row r="313" ht="14.1" customHeight="1" x14ac:dyDescent="0.25"/>
    <row r="314" ht="14.1" customHeight="1" x14ac:dyDescent="0.25"/>
    <row r="315" ht="14.1" customHeight="1" x14ac:dyDescent="0.25"/>
    <row r="316" ht="14.1" customHeight="1" x14ac:dyDescent="0.25"/>
    <row r="317" ht="14.1" customHeight="1" x14ac:dyDescent="0.25"/>
    <row r="318" ht="14.1" customHeight="1" x14ac:dyDescent="0.25"/>
    <row r="319" ht="14.1" customHeight="1" x14ac:dyDescent="0.25"/>
    <row r="320" ht="14.1" customHeight="1" x14ac:dyDescent="0.25"/>
    <row r="321" ht="14.1" customHeight="1" x14ac:dyDescent="0.25"/>
    <row r="322" ht="14.1" customHeight="1" x14ac:dyDescent="0.25"/>
    <row r="323" ht="14.1" customHeight="1" x14ac:dyDescent="0.25"/>
    <row r="324" ht="14.1" customHeight="1" x14ac:dyDescent="0.25"/>
    <row r="325" ht="14.1" customHeight="1" x14ac:dyDescent="0.25"/>
    <row r="326" ht="14.1" customHeight="1" x14ac:dyDescent="0.25"/>
    <row r="327" ht="14.1" customHeight="1" x14ac:dyDescent="0.25"/>
    <row r="328" ht="14.1" customHeight="1" x14ac:dyDescent="0.25"/>
    <row r="329" ht="14.1" customHeight="1" x14ac:dyDescent="0.25"/>
    <row r="330" ht="14.1" customHeight="1" x14ac:dyDescent="0.25"/>
    <row r="331" ht="14.1" customHeight="1" x14ac:dyDescent="0.25"/>
    <row r="332" ht="14.1" customHeight="1" x14ac:dyDescent="0.25"/>
    <row r="333" ht="14.1" customHeight="1" x14ac:dyDescent="0.25"/>
    <row r="334" ht="14.1" customHeight="1" x14ac:dyDescent="0.25"/>
    <row r="335" ht="14.1" customHeight="1" x14ac:dyDescent="0.25"/>
    <row r="336" ht="14.1" customHeight="1" x14ac:dyDescent="0.25"/>
    <row r="337" ht="14.1" customHeight="1" x14ac:dyDescent="0.25"/>
    <row r="338" ht="14.1" customHeight="1" x14ac:dyDescent="0.25"/>
    <row r="339" ht="14.1" customHeight="1" x14ac:dyDescent="0.25"/>
    <row r="340" ht="14.1" customHeight="1" x14ac:dyDescent="0.25"/>
    <row r="341" ht="14.1" customHeight="1" x14ac:dyDescent="0.25"/>
    <row r="342" ht="14.1" customHeight="1" x14ac:dyDescent="0.25"/>
    <row r="343" ht="14.1" customHeight="1" x14ac:dyDescent="0.25"/>
    <row r="344" ht="14.1" customHeight="1" x14ac:dyDescent="0.25"/>
    <row r="345" ht="14.1" customHeight="1" x14ac:dyDescent="0.25"/>
    <row r="346" ht="14.1" customHeight="1" x14ac:dyDescent="0.25"/>
    <row r="347" ht="14.1" customHeight="1" x14ac:dyDescent="0.25"/>
    <row r="348" ht="14.1" customHeight="1" x14ac:dyDescent="0.25"/>
    <row r="349" ht="14.1" customHeight="1" x14ac:dyDescent="0.25"/>
    <row r="350" ht="14.1" customHeight="1" x14ac:dyDescent="0.25"/>
    <row r="351" ht="14.1" customHeight="1" x14ac:dyDescent="0.25"/>
    <row r="352" ht="14.1" customHeight="1" x14ac:dyDescent="0.25"/>
    <row r="353" ht="14.1" customHeight="1" x14ac:dyDescent="0.25"/>
    <row r="354" ht="14.1" customHeight="1" x14ac:dyDescent="0.25"/>
    <row r="355" ht="14.1" customHeight="1" x14ac:dyDescent="0.25"/>
    <row r="356" ht="14.1" customHeight="1" x14ac:dyDescent="0.25"/>
    <row r="357" ht="14.1" customHeight="1" x14ac:dyDescent="0.25"/>
    <row r="358" ht="14.1" customHeight="1" x14ac:dyDescent="0.25"/>
    <row r="359" ht="14.1" customHeight="1" x14ac:dyDescent="0.25"/>
    <row r="360" ht="14.1" customHeight="1" x14ac:dyDescent="0.25"/>
    <row r="361" ht="14.1" customHeight="1" x14ac:dyDescent="0.25"/>
    <row r="362" ht="14.1" customHeight="1" x14ac:dyDescent="0.25"/>
    <row r="363" ht="14.1" customHeight="1" x14ac:dyDescent="0.25"/>
    <row r="364" ht="14.1" customHeight="1" x14ac:dyDescent="0.25"/>
    <row r="365" ht="14.1" customHeight="1" x14ac:dyDescent="0.25"/>
    <row r="366" ht="14.1" customHeight="1" x14ac:dyDescent="0.25"/>
    <row r="367" ht="14.1" customHeight="1" x14ac:dyDescent="0.25"/>
    <row r="368" ht="14.1" customHeight="1" x14ac:dyDescent="0.25"/>
    <row r="369" ht="14.1" customHeight="1" x14ac:dyDescent="0.25"/>
    <row r="370" ht="14.1" customHeight="1" x14ac:dyDescent="0.25"/>
    <row r="371" ht="14.1" customHeight="1" x14ac:dyDescent="0.25"/>
    <row r="372" ht="14.1" customHeight="1" x14ac:dyDescent="0.25"/>
    <row r="373" ht="14.1" customHeight="1" x14ac:dyDescent="0.25"/>
    <row r="374" ht="14.1" customHeight="1" x14ac:dyDescent="0.25"/>
    <row r="375" ht="14.1" customHeight="1" x14ac:dyDescent="0.25"/>
    <row r="376" ht="14.1" customHeight="1" x14ac:dyDescent="0.25"/>
    <row r="377" ht="14.1" customHeight="1" x14ac:dyDescent="0.25"/>
    <row r="378" ht="14.1" customHeight="1" x14ac:dyDescent="0.25"/>
    <row r="379" ht="14.1" customHeight="1" x14ac:dyDescent="0.25"/>
    <row r="380" ht="14.1" customHeight="1" x14ac:dyDescent="0.25"/>
    <row r="381" ht="14.1" customHeight="1" x14ac:dyDescent="0.25"/>
    <row r="382" ht="14.1" customHeight="1" x14ac:dyDescent="0.25"/>
    <row r="383" ht="14.1" customHeight="1" x14ac:dyDescent="0.25"/>
    <row r="384" ht="14.1" customHeight="1" x14ac:dyDescent="0.25"/>
    <row r="385" ht="14.1" customHeight="1" x14ac:dyDescent="0.25"/>
    <row r="386" ht="14.1" customHeight="1" x14ac:dyDescent="0.25"/>
    <row r="387" ht="14.1" customHeight="1" x14ac:dyDescent="0.25"/>
    <row r="388" ht="14.1" customHeight="1" x14ac:dyDescent="0.25"/>
    <row r="389" ht="14.1" customHeight="1" x14ac:dyDescent="0.25"/>
    <row r="390" ht="14.1" customHeight="1" x14ac:dyDescent="0.25"/>
    <row r="391" ht="14.1" customHeight="1" x14ac:dyDescent="0.25"/>
    <row r="392" ht="14.1" customHeight="1" x14ac:dyDescent="0.25"/>
    <row r="393" ht="14.1" customHeight="1" x14ac:dyDescent="0.25"/>
    <row r="394" ht="14.1" customHeight="1" x14ac:dyDescent="0.25"/>
    <row r="395" ht="14.1" customHeight="1" x14ac:dyDescent="0.25"/>
    <row r="396" ht="14.1" customHeight="1" x14ac:dyDescent="0.25"/>
    <row r="397" ht="14.1" customHeight="1" x14ac:dyDescent="0.25"/>
    <row r="398" ht="14.1" customHeight="1" x14ac:dyDescent="0.25"/>
    <row r="399" ht="14.1" customHeight="1" x14ac:dyDescent="0.25"/>
    <row r="400" ht="14.1" customHeight="1" x14ac:dyDescent="0.25"/>
    <row r="401" ht="14.1" customHeight="1" x14ac:dyDescent="0.25"/>
    <row r="402" ht="14.1" customHeight="1" x14ac:dyDescent="0.25"/>
    <row r="403" ht="14.1" customHeight="1" x14ac:dyDescent="0.25"/>
    <row r="404" ht="14.1" customHeight="1" x14ac:dyDescent="0.25"/>
  </sheetData>
  <mergeCells count="46">
    <mergeCell ref="A8:E10"/>
    <mergeCell ref="F8:AH10"/>
    <mergeCell ref="A11:E12"/>
    <mergeCell ref="F11:I12"/>
    <mergeCell ref="J11:L12"/>
    <mergeCell ref="M11:P12"/>
    <mergeCell ref="Q11:T12"/>
    <mergeCell ref="U11:X12"/>
    <mergeCell ref="Y11:AB12"/>
    <mergeCell ref="AC11:AH12"/>
    <mergeCell ref="F4:T5"/>
    <mergeCell ref="Z4:AH5"/>
    <mergeCell ref="F2:T3"/>
    <mergeCell ref="U2:Y3"/>
    <mergeCell ref="A2:E3"/>
    <mergeCell ref="Z2:AH3"/>
    <mergeCell ref="A4:E5"/>
    <mergeCell ref="A14:E20"/>
    <mergeCell ref="A13:AH13"/>
    <mergeCell ref="A1:AH1"/>
    <mergeCell ref="F16:J16"/>
    <mergeCell ref="F14:J15"/>
    <mergeCell ref="K15:R15"/>
    <mergeCell ref="K14:R14"/>
    <mergeCell ref="K16:O16"/>
    <mergeCell ref="P16:R16"/>
    <mergeCell ref="A6:E7"/>
    <mergeCell ref="F6:T7"/>
    <mergeCell ref="U6:Y7"/>
    <mergeCell ref="Z6:AH7"/>
    <mergeCell ref="U4:Y5"/>
    <mergeCell ref="S14:Z14"/>
    <mergeCell ref="AA14:AH14"/>
    <mergeCell ref="AE15:AH15"/>
    <mergeCell ref="AA16:AD16"/>
    <mergeCell ref="AE16:AH16"/>
    <mergeCell ref="F20:J20"/>
    <mergeCell ref="F18:J19"/>
    <mergeCell ref="K18:R18"/>
    <mergeCell ref="K19:R19"/>
    <mergeCell ref="K20:R20"/>
    <mergeCell ref="S15:V15"/>
    <mergeCell ref="W15:Z15"/>
    <mergeCell ref="S16:V16"/>
    <mergeCell ref="W16:Z16"/>
    <mergeCell ref="AA15:AD15"/>
  </mergeCells>
  <dataValidations count="5">
    <dataValidation type="list" allowBlank="1" showInputMessage="1" showErrorMessage="1" sqref="F16 F20 K20">
      <formula1>$AT$14:$AT$15</formula1>
    </dataValidation>
    <dataValidation type="list" allowBlank="1" showInputMessage="1" showErrorMessage="1" sqref="K15 K19">
      <formula1>$AU$14:$AU$15</formula1>
    </dataValidation>
    <dataValidation type="list" allowBlank="1" showInputMessage="1" showErrorMessage="1" sqref="P16:R16">
      <formula1>$AV$14:$AV$17</formula1>
    </dataValidation>
    <dataValidation type="custom" allowBlank="1" showInputMessage="1" showErrorMessage="1" sqref="AU18">
      <formula1>AT18=1</formula1>
    </dataValidation>
    <dataValidation type="custom" allowBlank="1" showInputMessage="1" showErrorMessage="1" sqref="AT22">
      <formula1>"AT19=1"</formula1>
    </dataValidation>
  </dataValidation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Флажок 2">
              <controlPr defaultSize="0" autoFill="0" autoLine="0" autoPict="0" altText="Наличие колон, выступов">
                <anchor moveWithCells="1">
                  <from>
                    <xdr:col>28</xdr:col>
                    <xdr:colOff>9525</xdr:colOff>
                    <xdr:row>10</xdr:row>
                    <xdr:rowOff>9525</xdr:rowOff>
                  </from>
                  <to>
                    <xdr:col>34</xdr:col>
                    <xdr:colOff>0</xdr:colOff>
                    <xdr:row>11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Перекл. 3">
              <controlPr defaultSize="0" autoFill="0" autoLine="0" autoPict="0">
                <anchor moveWithCells="1">
                  <from>
                    <xdr:col>28</xdr:col>
                    <xdr:colOff>47625</xdr:colOff>
                    <xdr:row>21</xdr:row>
                    <xdr:rowOff>142875</xdr:rowOff>
                  </from>
                  <to>
                    <xdr:col>32</xdr:col>
                    <xdr:colOff>9525</xdr:colOff>
                    <xdr:row>22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Перекл. 4">
              <controlPr defaultSize="0" autoFill="0" autoLine="0" autoPict="0">
                <anchor moveWithCells="1">
                  <from>
                    <xdr:col>28</xdr:col>
                    <xdr:colOff>47625</xdr:colOff>
                    <xdr:row>22</xdr:row>
                    <xdr:rowOff>142875</xdr:rowOff>
                  </from>
                  <to>
                    <xdr:col>32</xdr:col>
                    <xdr:colOff>9525</xdr:colOff>
                    <xdr:row>24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Перекл. 5">
              <controlPr defaultSize="0" autoFill="0" autoLine="0" autoPict="0">
                <anchor moveWithCells="1">
                  <from>
                    <xdr:col>28</xdr:col>
                    <xdr:colOff>66675</xdr:colOff>
                    <xdr:row>25</xdr:row>
                    <xdr:rowOff>133350</xdr:rowOff>
                  </from>
                  <to>
                    <xdr:col>32</xdr:col>
                    <xdr:colOff>28575</xdr:colOff>
                    <xdr:row>26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8" name="Перекл. 6">
              <controlPr defaultSize="0" autoFill="0" autoLine="0" autoPict="0">
                <anchor moveWithCells="1">
                  <from>
                    <xdr:col>28</xdr:col>
                    <xdr:colOff>47625</xdr:colOff>
                    <xdr:row>26</xdr:row>
                    <xdr:rowOff>133350</xdr:rowOff>
                  </from>
                  <to>
                    <xdr:col>32</xdr:col>
                    <xdr:colOff>9525</xdr:colOff>
                    <xdr:row>28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11"/>
  <dimension ref="A1:AV404"/>
  <sheetViews>
    <sheetView view="pageBreakPreview" zoomScale="130" zoomScaleNormal="100" zoomScaleSheetLayoutView="130" workbookViewId="0">
      <selection activeCell="M25" sqref="M25:T26"/>
    </sheetView>
  </sheetViews>
  <sheetFormatPr defaultColWidth="9.140625" defaultRowHeight="12" x14ac:dyDescent="0.25"/>
  <cols>
    <col min="1" max="8" width="2.42578125" style="73" customWidth="1"/>
    <col min="9" max="9" width="2.5703125" style="73" customWidth="1"/>
    <col min="10" max="10" width="4.7109375" style="73" bestFit="1" customWidth="1"/>
    <col min="11" max="11" width="1.7109375" style="73" customWidth="1"/>
    <col min="12" max="12" width="3.140625" style="73" bestFit="1" customWidth="1"/>
    <col min="13" max="13" width="1.7109375" style="73" bestFit="1" customWidth="1"/>
    <col min="14" max="14" width="3.140625" style="73" bestFit="1" customWidth="1"/>
    <col min="15" max="15" width="1.7109375" style="73" bestFit="1" customWidth="1"/>
    <col min="16" max="16" width="3.140625" style="73" bestFit="1" customWidth="1"/>
    <col min="17" max="17" width="1.5703125" style="73" bestFit="1" customWidth="1"/>
    <col min="18" max="18" width="3.140625" style="73" bestFit="1" customWidth="1"/>
    <col min="19" max="19" width="1.7109375" style="73" bestFit="1" customWidth="1"/>
    <col min="20" max="20" width="3.140625" style="73" bestFit="1" customWidth="1"/>
    <col min="21" max="21" width="1.7109375" style="73" bestFit="1" customWidth="1"/>
    <col min="22" max="22" width="3.140625" style="73" bestFit="1" customWidth="1"/>
    <col min="23" max="23" width="1.5703125" style="73" bestFit="1" customWidth="1"/>
    <col min="24" max="24" width="3.140625" style="73" bestFit="1" customWidth="1"/>
    <col min="25" max="45" width="2.5703125" style="73" customWidth="1"/>
    <col min="46" max="16384" width="9.140625" style="73"/>
  </cols>
  <sheetData>
    <row r="1" spans="1:48" ht="4.5" customHeight="1" thickBot="1" x14ac:dyDescent="0.3">
      <c r="A1" s="288"/>
      <c r="B1" s="289"/>
      <c r="C1" s="289"/>
      <c r="D1" s="289"/>
      <c r="E1" s="289"/>
      <c r="F1" s="289"/>
      <c r="G1" s="289"/>
      <c r="H1" s="289"/>
      <c r="I1" s="289"/>
      <c r="J1" s="289"/>
      <c r="K1" s="289"/>
      <c r="L1" s="289"/>
      <c r="M1" s="289"/>
      <c r="N1" s="289"/>
      <c r="O1" s="289"/>
      <c r="P1" s="289"/>
      <c r="Q1" s="289"/>
      <c r="R1" s="289"/>
      <c r="S1" s="289"/>
      <c r="T1" s="289"/>
      <c r="U1" s="289"/>
      <c r="V1" s="289"/>
      <c r="W1" s="289"/>
      <c r="X1" s="289"/>
      <c r="Y1" s="289"/>
      <c r="Z1" s="289"/>
      <c r="AA1" s="289"/>
      <c r="AB1" s="289"/>
      <c r="AC1" s="289"/>
      <c r="AD1" s="289"/>
      <c r="AE1" s="289"/>
      <c r="AF1" s="289"/>
      <c r="AG1" s="289"/>
      <c r="AH1" s="290"/>
    </row>
    <row r="2" spans="1:48" ht="15" customHeight="1" x14ac:dyDescent="0.25">
      <c r="A2" s="288" t="s">
        <v>152</v>
      </c>
      <c r="B2" s="289"/>
      <c r="C2" s="289"/>
      <c r="D2" s="289"/>
      <c r="E2" s="290"/>
      <c r="F2" s="288"/>
      <c r="G2" s="289"/>
      <c r="H2" s="289"/>
      <c r="I2" s="289"/>
      <c r="J2" s="289"/>
      <c r="K2" s="289"/>
      <c r="L2" s="289"/>
      <c r="M2" s="289"/>
      <c r="N2" s="289"/>
      <c r="O2" s="289"/>
      <c r="P2" s="289"/>
      <c r="Q2" s="289"/>
      <c r="R2" s="289"/>
      <c r="S2" s="289"/>
      <c r="T2" s="290"/>
      <c r="U2" s="288" t="s">
        <v>153</v>
      </c>
      <c r="V2" s="289"/>
      <c r="W2" s="289"/>
      <c r="X2" s="289"/>
      <c r="Y2" s="290"/>
      <c r="Z2" s="288"/>
      <c r="AA2" s="289"/>
      <c r="AB2" s="289"/>
      <c r="AC2" s="289"/>
      <c r="AD2" s="289"/>
      <c r="AE2" s="289"/>
      <c r="AF2" s="289"/>
      <c r="AG2" s="289"/>
      <c r="AH2" s="290"/>
    </row>
    <row r="3" spans="1:48" ht="15" customHeight="1" x14ac:dyDescent="0.25">
      <c r="A3" s="291"/>
      <c r="B3" s="292"/>
      <c r="C3" s="292"/>
      <c r="D3" s="292"/>
      <c r="E3" s="293"/>
      <c r="F3" s="294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  <c r="R3" s="295"/>
      <c r="S3" s="295"/>
      <c r="T3" s="296"/>
      <c r="U3" s="291"/>
      <c r="V3" s="292"/>
      <c r="W3" s="292"/>
      <c r="X3" s="292"/>
      <c r="Y3" s="293"/>
      <c r="Z3" s="294"/>
      <c r="AA3" s="295"/>
      <c r="AB3" s="295"/>
      <c r="AC3" s="295"/>
      <c r="AD3" s="295"/>
      <c r="AE3" s="295"/>
      <c r="AF3" s="295"/>
      <c r="AG3" s="295"/>
      <c r="AH3" s="296"/>
    </row>
    <row r="4" spans="1:48" ht="15" customHeight="1" x14ac:dyDescent="0.25">
      <c r="A4" s="297" t="s">
        <v>154</v>
      </c>
      <c r="B4" s="269"/>
      <c r="C4" s="269"/>
      <c r="D4" s="269"/>
      <c r="E4" s="270"/>
      <c r="F4" s="301"/>
      <c r="G4" s="263"/>
      <c r="H4" s="263"/>
      <c r="I4" s="263"/>
      <c r="J4" s="263"/>
      <c r="K4" s="263"/>
      <c r="L4" s="263"/>
      <c r="M4" s="263"/>
      <c r="N4" s="263"/>
      <c r="O4" s="263"/>
      <c r="P4" s="263"/>
      <c r="Q4" s="263"/>
      <c r="R4" s="263"/>
      <c r="S4" s="263"/>
      <c r="T4" s="302"/>
      <c r="U4" s="301" t="s">
        <v>155</v>
      </c>
      <c r="V4" s="263"/>
      <c r="W4" s="263"/>
      <c r="X4" s="263"/>
      <c r="Y4" s="302"/>
      <c r="Z4" s="292"/>
      <c r="AA4" s="292"/>
      <c r="AB4" s="292"/>
      <c r="AC4" s="292"/>
      <c r="AD4" s="292"/>
      <c r="AE4" s="292"/>
      <c r="AF4" s="292"/>
      <c r="AG4" s="292"/>
      <c r="AH4" s="293"/>
    </row>
    <row r="5" spans="1:48" ht="15" customHeight="1" x14ac:dyDescent="0.25">
      <c r="A5" s="298"/>
      <c r="B5" s="299"/>
      <c r="C5" s="299"/>
      <c r="D5" s="299"/>
      <c r="E5" s="300"/>
      <c r="F5" s="294"/>
      <c r="G5" s="295"/>
      <c r="H5" s="295"/>
      <c r="I5" s="295"/>
      <c r="J5" s="295"/>
      <c r="K5" s="295"/>
      <c r="L5" s="295"/>
      <c r="M5" s="295"/>
      <c r="N5" s="295"/>
      <c r="O5" s="295"/>
      <c r="P5" s="295"/>
      <c r="Q5" s="295"/>
      <c r="R5" s="295"/>
      <c r="S5" s="295"/>
      <c r="T5" s="296"/>
      <c r="U5" s="294"/>
      <c r="V5" s="295"/>
      <c r="W5" s="295"/>
      <c r="X5" s="295"/>
      <c r="Y5" s="296"/>
      <c r="Z5" s="292"/>
      <c r="AA5" s="292"/>
      <c r="AB5" s="292"/>
      <c r="AC5" s="292"/>
      <c r="AD5" s="292"/>
      <c r="AE5" s="292"/>
      <c r="AF5" s="292"/>
      <c r="AG5" s="292"/>
      <c r="AH5" s="293"/>
    </row>
    <row r="6" spans="1:48" ht="15" customHeight="1" x14ac:dyDescent="0.25">
      <c r="A6" s="297" t="s">
        <v>156</v>
      </c>
      <c r="B6" s="269"/>
      <c r="C6" s="269"/>
      <c r="D6" s="269"/>
      <c r="E6" s="270"/>
      <c r="F6" s="301"/>
      <c r="G6" s="263"/>
      <c r="H6" s="263"/>
      <c r="I6" s="263"/>
      <c r="J6" s="263"/>
      <c r="K6" s="263"/>
      <c r="L6" s="263"/>
      <c r="M6" s="263"/>
      <c r="N6" s="263"/>
      <c r="O6" s="263"/>
      <c r="P6" s="263"/>
      <c r="Q6" s="263"/>
      <c r="R6" s="263"/>
      <c r="S6" s="263"/>
      <c r="T6" s="302"/>
      <c r="U6" s="297" t="s">
        <v>157</v>
      </c>
      <c r="V6" s="269"/>
      <c r="W6" s="269"/>
      <c r="X6" s="269"/>
      <c r="Y6" s="270"/>
      <c r="Z6" s="274"/>
      <c r="AA6" s="275"/>
      <c r="AB6" s="275"/>
      <c r="AC6" s="275"/>
      <c r="AD6" s="275"/>
      <c r="AE6" s="275"/>
      <c r="AF6" s="275"/>
      <c r="AG6" s="275"/>
      <c r="AH6" s="281"/>
    </row>
    <row r="7" spans="1:48" ht="15" customHeight="1" x14ac:dyDescent="0.25">
      <c r="A7" s="303"/>
      <c r="B7" s="304"/>
      <c r="C7" s="304"/>
      <c r="D7" s="304"/>
      <c r="E7" s="305"/>
      <c r="F7" s="294"/>
      <c r="G7" s="295"/>
      <c r="H7" s="295"/>
      <c r="I7" s="295"/>
      <c r="J7" s="295"/>
      <c r="K7" s="295"/>
      <c r="L7" s="295"/>
      <c r="M7" s="295"/>
      <c r="N7" s="295"/>
      <c r="O7" s="295"/>
      <c r="P7" s="295"/>
      <c r="Q7" s="295"/>
      <c r="R7" s="295"/>
      <c r="S7" s="295"/>
      <c r="T7" s="296"/>
      <c r="U7" s="303"/>
      <c r="V7" s="304"/>
      <c r="W7" s="304"/>
      <c r="X7" s="304"/>
      <c r="Y7" s="305"/>
      <c r="Z7" s="274"/>
      <c r="AA7" s="275"/>
      <c r="AB7" s="275"/>
      <c r="AC7" s="275"/>
      <c r="AD7" s="275"/>
      <c r="AE7" s="275"/>
      <c r="AF7" s="275"/>
      <c r="AG7" s="275"/>
      <c r="AH7" s="281"/>
    </row>
    <row r="8" spans="1:48" ht="15" customHeight="1" x14ac:dyDescent="0.25">
      <c r="A8" s="301" t="s">
        <v>158</v>
      </c>
      <c r="B8" s="263"/>
      <c r="C8" s="263"/>
      <c r="D8" s="263"/>
      <c r="E8" s="302"/>
      <c r="F8" s="292"/>
      <c r="G8" s="292"/>
      <c r="H8" s="292"/>
      <c r="I8" s="292"/>
      <c r="J8" s="292"/>
      <c r="K8" s="292"/>
      <c r="L8" s="292"/>
      <c r="M8" s="292"/>
      <c r="N8" s="292"/>
      <c r="O8" s="292"/>
      <c r="P8" s="292"/>
      <c r="Q8" s="292"/>
      <c r="R8" s="292"/>
      <c r="S8" s="292"/>
      <c r="T8" s="292"/>
      <c r="U8" s="292"/>
      <c r="V8" s="292"/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1:48" ht="15" customHeight="1" x14ac:dyDescent="0.25">
      <c r="A9" s="291"/>
      <c r="B9" s="292"/>
      <c r="C9" s="292"/>
      <c r="D9" s="292"/>
      <c r="E9" s="293"/>
      <c r="F9" s="292"/>
      <c r="G9" s="292"/>
      <c r="H9" s="292"/>
      <c r="I9" s="292"/>
      <c r="J9" s="292"/>
      <c r="K9" s="292"/>
      <c r="L9" s="292"/>
      <c r="M9" s="292"/>
      <c r="N9" s="292"/>
      <c r="O9" s="292"/>
      <c r="P9" s="292"/>
      <c r="Q9" s="292"/>
      <c r="R9" s="292"/>
      <c r="S9" s="292"/>
      <c r="T9" s="292"/>
      <c r="U9" s="29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1:48" ht="15" customHeight="1" x14ac:dyDescent="0.25">
      <c r="A10" s="294"/>
      <c r="B10" s="295"/>
      <c r="C10" s="295"/>
      <c r="D10" s="295"/>
      <c r="E10" s="296"/>
      <c r="F10" s="292"/>
      <c r="G10" s="292"/>
      <c r="H10" s="292"/>
      <c r="I10" s="292"/>
      <c r="J10" s="292"/>
      <c r="K10" s="292"/>
      <c r="L10" s="292"/>
      <c r="M10" s="292"/>
      <c r="N10" s="292"/>
      <c r="O10" s="292"/>
      <c r="P10" s="292"/>
      <c r="Q10" s="292"/>
      <c r="R10" s="292"/>
      <c r="S10" s="292"/>
      <c r="T10" s="292"/>
      <c r="U10" s="292"/>
      <c r="V10" s="292"/>
      <c r="W10" s="292"/>
      <c r="X10" s="292"/>
      <c r="Y10" s="292"/>
      <c r="Z10" s="292"/>
      <c r="AA10" s="292"/>
      <c r="AB10" s="292"/>
      <c r="AC10" s="292"/>
      <c r="AD10" s="292"/>
      <c r="AE10" s="292"/>
      <c r="AF10" s="292"/>
      <c r="AG10" s="292"/>
      <c r="AH10" s="293"/>
    </row>
    <row r="11" spans="1:48" ht="14.1" customHeight="1" x14ac:dyDescent="0.25">
      <c r="A11" s="297" t="s">
        <v>176</v>
      </c>
      <c r="B11" s="269"/>
      <c r="C11" s="269"/>
      <c r="D11" s="269"/>
      <c r="E11" s="270"/>
      <c r="F11" s="301" t="s">
        <v>177</v>
      </c>
      <c r="G11" s="263"/>
      <c r="H11" s="263"/>
      <c r="I11" s="264"/>
      <c r="J11" s="262"/>
      <c r="K11" s="263"/>
      <c r="L11" s="264"/>
      <c r="M11" s="262" t="s">
        <v>178</v>
      </c>
      <c r="N11" s="263"/>
      <c r="O11" s="263"/>
      <c r="P11" s="264"/>
      <c r="Q11" s="262"/>
      <c r="R11" s="263"/>
      <c r="S11" s="263"/>
      <c r="T11" s="264"/>
      <c r="U11" s="262" t="s">
        <v>179</v>
      </c>
      <c r="V11" s="263"/>
      <c r="W11" s="263"/>
      <c r="X11" s="264"/>
      <c r="Y11" s="262"/>
      <c r="Z11" s="263"/>
      <c r="AA11" s="263"/>
      <c r="AB11" s="264"/>
      <c r="AC11" s="268" t="s">
        <v>192</v>
      </c>
      <c r="AD11" s="269"/>
      <c r="AE11" s="269"/>
      <c r="AF11" s="269"/>
      <c r="AG11" s="269"/>
      <c r="AH11" s="270"/>
    </row>
    <row r="12" spans="1:48" ht="14.1" customHeight="1" thickBot="1" x14ac:dyDescent="0.3">
      <c r="A12" s="306"/>
      <c r="B12" s="272"/>
      <c r="C12" s="272"/>
      <c r="D12" s="272"/>
      <c r="E12" s="273"/>
      <c r="F12" s="307"/>
      <c r="G12" s="266"/>
      <c r="H12" s="266"/>
      <c r="I12" s="267"/>
      <c r="J12" s="265"/>
      <c r="K12" s="266"/>
      <c r="L12" s="267"/>
      <c r="M12" s="265"/>
      <c r="N12" s="266"/>
      <c r="O12" s="266"/>
      <c r="P12" s="267"/>
      <c r="Q12" s="265"/>
      <c r="R12" s="266"/>
      <c r="S12" s="266"/>
      <c r="T12" s="267"/>
      <c r="U12" s="265"/>
      <c r="V12" s="266"/>
      <c r="W12" s="266"/>
      <c r="X12" s="267"/>
      <c r="Y12" s="265"/>
      <c r="Z12" s="266"/>
      <c r="AA12" s="266"/>
      <c r="AB12" s="267"/>
      <c r="AC12" s="271"/>
      <c r="AD12" s="272"/>
      <c r="AE12" s="272"/>
      <c r="AF12" s="272"/>
      <c r="AG12" s="272"/>
      <c r="AH12" s="273"/>
    </row>
    <row r="13" spans="1:48" ht="4.5" customHeight="1" thickBot="1" x14ac:dyDescent="0.3">
      <c r="A13" s="309"/>
      <c r="B13" s="310"/>
      <c r="C13" s="310"/>
      <c r="D13" s="310"/>
      <c r="E13" s="310"/>
      <c r="F13" s="289"/>
      <c r="G13" s="289"/>
      <c r="H13" s="289"/>
      <c r="I13" s="289"/>
      <c r="J13" s="289"/>
      <c r="K13" s="289"/>
      <c r="L13" s="289"/>
      <c r="M13" s="289"/>
      <c r="N13" s="289"/>
      <c r="O13" s="289"/>
      <c r="P13" s="289"/>
      <c r="Q13" s="289"/>
      <c r="R13" s="289"/>
      <c r="S13" s="289"/>
      <c r="T13" s="289"/>
      <c r="U13" s="310"/>
      <c r="V13" s="310"/>
      <c r="W13" s="310"/>
      <c r="X13" s="310"/>
      <c r="Y13" s="310"/>
      <c r="Z13" s="310"/>
      <c r="AA13" s="289"/>
      <c r="AB13" s="289"/>
      <c r="AC13" s="289"/>
      <c r="AD13" s="289"/>
      <c r="AE13" s="289"/>
      <c r="AF13" s="289"/>
      <c r="AG13" s="289"/>
      <c r="AH13" s="290"/>
    </row>
    <row r="14" spans="1:48" ht="14.1" customHeight="1" x14ac:dyDescent="0.25">
      <c r="A14" s="312" t="s">
        <v>159</v>
      </c>
      <c r="B14" s="313"/>
      <c r="C14" s="313"/>
      <c r="D14" s="313"/>
      <c r="E14" s="321"/>
      <c r="F14" s="311" t="s">
        <v>1</v>
      </c>
      <c r="G14" s="284"/>
      <c r="H14" s="284"/>
      <c r="I14" s="284"/>
      <c r="J14" s="284"/>
      <c r="K14" s="284"/>
      <c r="L14" s="285"/>
      <c r="M14" s="283" t="s">
        <v>168</v>
      </c>
      <c r="N14" s="284"/>
      <c r="O14" s="284"/>
      <c r="P14" s="284"/>
      <c r="Q14" s="284"/>
      <c r="R14" s="284"/>
      <c r="S14" s="284"/>
      <c r="T14" s="308"/>
      <c r="U14" s="312" t="s">
        <v>189</v>
      </c>
      <c r="V14" s="313"/>
      <c r="W14" s="313"/>
      <c r="X14" s="313"/>
      <c r="Y14" s="313"/>
      <c r="Z14" s="313"/>
      <c r="AA14" s="283" t="s">
        <v>191</v>
      </c>
      <c r="AB14" s="284"/>
      <c r="AC14" s="284"/>
      <c r="AD14" s="284"/>
      <c r="AE14" s="284"/>
      <c r="AF14" s="284"/>
      <c r="AG14" s="284"/>
      <c r="AH14" s="308"/>
      <c r="AT14" s="73" t="s">
        <v>160</v>
      </c>
      <c r="AU14" s="73" t="s">
        <v>186</v>
      </c>
      <c r="AV14" s="73" t="s">
        <v>36</v>
      </c>
    </row>
    <row r="15" spans="1:48" ht="14.1" customHeight="1" x14ac:dyDescent="0.25">
      <c r="A15" s="298"/>
      <c r="B15" s="299"/>
      <c r="C15" s="299"/>
      <c r="D15" s="299"/>
      <c r="E15" s="300"/>
      <c r="F15" s="314" t="s">
        <v>163</v>
      </c>
      <c r="G15" s="315"/>
      <c r="H15" s="315"/>
      <c r="I15" s="315"/>
      <c r="J15" s="315"/>
      <c r="K15" s="315"/>
      <c r="L15" s="316"/>
      <c r="M15" s="274" t="s">
        <v>182</v>
      </c>
      <c r="N15" s="275"/>
      <c r="O15" s="275"/>
      <c r="P15" s="275"/>
      <c r="Q15" s="275" t="s">
        <v>183</v>
      </c>
      <c r="R15" s="275"/>
      <c r="S15" s="275"/>
      <c r="T15" s="281"/>
      <c r="U15" s="298"/>
      <c r="V15" s="299"/>
      <c r="W15" s="299"/>
      <c r="X15" s="299"/>
      <c r="Y15" s="299"/>
      <c r="Z15" s="299"/>
      <c r="AA15" s="274" t="s">
        <v>175</v>
      </c>
      <c r="AB15" s="275"/>
      <c r="AC15" s="275"/>
      <c r="AD15" s="275"/>
      <c r="AE15" s="275"/>
      <c r="AF15" s="275"/>
      <c r="AG15" s="275"/>
      <c r="AH15" s="281"/>
      <c r="AT15" s="73" t="s">
        <v>161</v>
      </c>
      <c r="AU15" s="73" t="s">
        <v>187</v>
      </c>
      <c r="AV15" s="73" t="s">
        <v>165</v>
      </c>
    </row>
    <row r="16" spans="1:48" ht="14.1" customHeight="1" thickBot="1" x14ac:dyDescent="0.3">
      <c r="A16" s="298"/>
      <c r="B16" s="299"/>
      <c r="C16" s="299"/>
      <c r="D16" s="299"/>
      <c r="E16" s="300"/>
      <c r="F16" s="317" t="s">
        <v>180</v>
      </c>
      <c r="G16" s="275"/>
      <c r="H16" s="275"/>
      <c r="I16" s="275"/>
      <c r="J16" s="275"/>
      <c r="K16" s="275"/>
      <c r="L16" s="276"/>
      <c r="M16" s="319"/>
      <c r="N16" s="320"/>
      <c r="O16" s="287" t="s">
        <v>181</v>
      </c>
      <c r="P16" s="287"/>
      <c r="Q16" s="320"/>
      <c r="R16" s="320"/>
      <c r="S16" s="287" t="s">
        <v>181</v>
      </c>
      <c r="T16" s="318"/>
      <c r="U16" s="298"/>
      <c r="V16" s="299"/>
      <c r="W16" s="299"/>
      <c r="X16" s="299"/>
      <c r="Y16" s="299"/>
      <c r="Z16" s="299"/>
      <c r="AA16" s="274" t="s">
        <v>163</v>
      </c>
      <c r="AB16" s="275"/>
      <c r="AC16" s="275"/>
      <c r="AD16" s="275"/>
      <c r="AE16" s="275"/>
      <c r="AF16" s="275"/>
      <c r="AG16" s="275"/>
      <c r="AH16" s="281"/>
      <c r="AU16" s="73" t="s">
        <v>188</v>
      </c>
      <c r="AV16" s="73" t="s">
        <v>167</v>
      </c>
    </row>
    <row r="17" spans="1:48" ht="14.1" customHeight="1" x14ac:dyDescent="0.25">
      <c r="A17" s="298"/>
      <c r="B17" s="299"/>
      <c r="C17" s="299"/>
      <c r="D17" s="299"/>
      <c r="E17" s="300"/>
      <c r="F17" s="317"/>
      <c r="G17" s="275"/>
      <c r="H17" s="275"/>
      <c r="I17" s="275"/>
      <c r="J17" s="275" t="str">
        <f>J18</f>
        <v>Гкал/ч</v>
      </c>
      <c r="K17" s="275"/>
      <c r="L17" s="276"/>
      <c r="M17" s="283" t="s">
        <v>169</v>
      </c>
      <c r="N17" s="284"/>
      <c r="O17" s="284"/>
      <c r="P17" s="284"/>
      <c r="Q17" s="284"/>
      <c r="R17" s="284"/>
      <c r="S17" s="284"/>
      <c r="T17" s="285"/>
      <c r="U17" s="283" t="s">
        <v>190</v>
      </c>
      <c r="V17" s="284"/>
      <c r="W17" s="284"/>
      <c r="X17" s="284"/>
      <c r="Y17" s="284"/>
      <c r="Z17" s="285"/>
      <c r="AA17" s="274" t="s">
        <v>180</v>
      </c>
      <c r="AB17" s="275"/>
      <c r="AC17" s="275"/>
      <c r="AD17" s="275"/>
      <c r="AE17" s="275"/>
      <c r="AF17" s="275"/>
      <c r="AG17" s="275"/>
      <c r="AH17" s="281"/>
      <c r="AV17" s="73" t="s">
        <v>166</v>
      </c>
    </row>
    <row r="18" spans="1:48" ht="14.1" customHeight="1" x14ac:dyDescent="0.25">
      <c r="A18" s="298"/>
      <c r="B18" s="299"/>
      <c r="C18" s="299"/>
      <c r="D18" s="299"/>
      <c r="E18" s="300"/>
      <c r="F18" s="317"/>
      <c r="G18" s="275"/>
      <c r="H18" s="275"/>
      <c r="I18" s="275"/>
      <c r="J18" s="275" t="s">
        <v>36</v>
      </c>
      <c r="K18" s="275"/>
      <c r="L18" s="276"/>
      <c r="M18" s="274" t="s">
        <v>184</v>
      </c>
      <c r="N18" s="275"/>
      <c r="O18" s="275"/>
      <c r="P18" s="275"/>
      <c r="Q18" s="275" t="s">
        <v>185</v>
      </c>
      <c r="R18" s="275"/>
      <c r="S18" s="275"/>
      <c r="T18" s="276"/>
      <c r="U18" s="274"/>
      <c r="V18" s="275"/>
      <c r="W18" s="275"/>
      <c r="X18" s="275"/>
      <c r="Y18" s="275"/>
      <c r="Z18" s="276"/>
      <c r="AA18" s="274" t="s">
        <v>161</v>
      </c>
      <c r="AB18" s="275"/>
      <c r="AC18" s="275"/>
      <c r="AD18" s="275"/>
      <c r="AE18" s="275"/>
      <c r="AF18" s="275"/>
      <c r="AG18" s="275"/>
      <c r="AH18" s="281"/>
    </row>
    <row r="19" spans="1:48" ht="14.1" customHeight="1" thickBot="1" x14ac:dyDescent="0.3">
      <c r="A19" s="298"/>
      <c r="B19" s="299"/>
      <c r="C19" s="299"/>
      <c r="D19" s="299"/>
      <c r="E19" s="300"/>
      <c r="F19" s="324"/>
      <c r="G19" s="280"/>
      <c r="H19" s="280"/>
      <c r="I19" s="280"/>
      <c r="J19" s="280"/>
      <c r="K19" s="280"/>
      <c r="L19" s="286"/>
      <c r="M19" s="279"/>
      <c r="N19" s="280"/>
      <c r="O19" s="277" t="s">
        <v>186</v>
      </c>
      <c r="P19" s="277"/>
      <c r="Q19" s="280"/>
      <c r="R19" s="280"/>
      <c r="S19" s="277" t="s">
        <v>186</v>
      </c>
      <c r="T19" s="278"/>
      <c r="U19" s="279"/>
      <c r="V19" s="280"/>
      <c r="W19" s="280"/>
      <c r="X19" s="280"/>
      <c r="Y19" s="280" t="s">
        <v>188</v>
      </c>
      <c r="Z19" s="286"/>
      <c r="AA19" s="279"/>
      <c r="AB19" s="280"/>
      <c r="AC19" s="280"/>
      <c r="AD19" s="280"/>
      <c r="AE19" s="280"/>
      <c r="AF19" s="280"/>
      <c r="AG19" s="280"/>
      <c r="AH19" s="282"/>
    </row>
    <row r="20" spans="1:48" ht="14.1" customHeight="1" thickBot="1" x14ac:dyDescent="0.3">
      <c r="A20" s="306"/>
      <c r="B20" s="272"/>
      <c r="C20" s="272"/>
      <c r="D20" s="272"/>
      <c r="E20" s="273"/>
      <c r="F20" s="89"/>
      <c r="G20" s="90"/>
      <c r="H20" s="90"/>
      <c r="I20" s="90"/>
      <c r="J20" s="80" t="s">
        <v>2</v>
      </c>
      <c r="K20" s="80" t="s">
        <v>92</v>
      </c>
      <c r="L20" s="80" t="s">
        <v>93</v>
      </c>
      <c r="M20" s="80" t="s">
        <v>92</v>
      </c>
      <c r="N20" s="80" t="s">
        <v>94</v>
      </c>
      <c r="O20" s="80" t="s">
        <v>92</v>
      </c>
      <c r="P20" s="80" t="s">
        <v>95</v>
      </c>
      <c r="Q20" s="80" t="s">
        <v>96</v>
      </c>
      <c r="R20" s="80" t="s">
        <v>97</v>
      </c>
      <c r="S20" s="80" t="s">
        <v>92</v>
      </c>
      <c r="T20" s="80" t="s">
        <v>98</v>
      </c>
      <c r="U20" s="80" t="s">
        <v>92</v>
      </c>
      <c r="V20" s="80" t="s">
        <v>99</v>
      </c>
      <c r="W20" s="80" t="s">
        <v>96</v>
      </c>
      <c r="X20" s="80" t="s">
        <v>100</v>
      </c>
      <c r="Y20" s="90"/>
      <c r="Z20" s="90"/>
      <c r="AA20" s="90"/>
      <c r="AB20" s="90"/>
      <c r="AC20" s="90"/>
      <c r="AD20" s="90"/>
      <c r="AE20" s="90"/>
      <c r="AF20" s="90"/>
      <c r="AG20" s="90"/>
      <c r="AH20" s="91"/>
    </row>
    <row r="21" spans="1:48" ht="4.5" customHeight="1" thickBot="1" x14ac:dyDescent="0.3">
      <c r="A21" s="309"/>
      <c r="B21" s="310"/>
      <c r="C21" s="310"/>
      <c r="D21" s="310"/>
      <c r="E21" s="310"/>
      <c r="F21" s="310"/>
      <c r="G21" s="310"/>
      <c r="H21" s="310"/>
      <c r="I21" s="310"/>
      <c r="J21" s="310"/>
      <c r="K21" s="310"/>
      <c r="L21" s="310"/>
      <c r="M21" s="310"/>
      <c r="N21" s="310"/>
      <c r="O21" s="310"/>
      <c r="P21" s="310"/>
      <c r="Q21" s="310"/>
      <c r="R21" s="310"/>
      <c r="S21" s="310"/>
      <c r="T21" s="310"/>
      <c r="U21" s="310"/>
      <c r="V21" s="310"/>
      <c r="W21" s="310"/>
      <c r="X21" s="310"/>
      <c r="Y21" s="310"/>
      <c r="Z21" s="310"/>
      <c r="AA21" s="310"/>
      <c r="AB21" s="310"/>
      <c r="AC21" s="310"/>
      <c r="AD21" s="310"/>
      <c r="AE21" s="310"/>
      <c r="AF21" s="310"/>
      <c r="AG21" s="310"/>
      <c r="AH21" s="325"/>
    </row>
    <row r="22" spans="1:48" ht="14.1" customHeight="1" thickBot="1" x14ac:dyDescent="0.3">
      <c r="A22" s="312" t="s">
        <v>193</v>
      </c>
      <c r="B22" s="313"/>
      <c r="C22" s="313"/>
      <c r="D22" s="313"/>
      <c r="E22" s="321"/>
      <c r="F22" s="288" t="s">
        <v>196</v>
      </c>
      <c r="G22" s="289"/>
      <c r="H22" s="289"/>
      <c r="I22" s="289"/>
      <c r="J22" s="289"/>
      <c r="K22" s="289"/>
      <c r="L22" s="290"/>
      <c r="M22" s="311" t="s">
        <v>168</v>
      </c>
      <c r="N22" s="284"/>
      <c r="O22" s="284"/>
      <c r="P22" s="284"/>
      <c r="Q22" s="284"/>
      <c r="R22" s="284"/>
      <c r="S22" s="284"/>
      <c r="T22" s="308"/>
      <c r="U22" s="288"/>
      <c r="V22" s="289"/>
      <c r="W22" s="289"/>
      <c r="X22" s="289"/>
      <c r="Y22" s="289"/>
      <c r="Z22" s="289"/>
      <c r="AA22" s="289"/>
      <c r="AB22" s="289"/>
      <c r="AC22" s="289"/>
      <c r="AD22" s="289"/>
      <c r="AE22" s="289"/>
      <c r="AF22" s="289"/>
      <c r="AG22" s="289"/>
      <c r="AH22" s="290"/>
      <c r="AU22" s="73" t="s">
        <v>196</v>
      </c>
      <c r="AV22" s="73" t="s">
        <v>199</v>
      </c>
    </row>
    <row r="23" spans="1:48" ht="14.1" customHeight="1" thickBot="1" x14ac:dyDescent="0.3">
      <c r="A23" s="298"/>
      <c r="B23" s="299"/>
      <c r="C23" s="299"/>
      <c r="D23" s="299"/>
      <c r="E23" s="300"/>
      <c r="F23" s="288" t="s">
        <v>199</v>
      </c>
      <c r="G23" s="289"/>
      <c r="H23" s="289"/>
      <c r="I23" s="289"/>
      <c r="J23" s="289"/>
      <c r="K23" s="289"/>
      <c r="L23" s="290"/>
      <c r="M23" s="317" t="s">
        <v>194</v>
      </c>
      <c r="N23" s="275"/>
      <c r="O23" s="275"/>
      <c r="P23" s="275"/>
      <c r="Q23" s="275" t="s">
        <v>195</v>
      </c>
      <c r="R23" s="275"/>
      <c r="S23" s="275"/>
      <c r="T23" s="281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6"/>
      <c r="AU23" s="73" t="s">
        <v>197</v>
      </c>
      <c r="AV23" s="73" t="s">
        <v>200</v>
      </c>
    </row>
    <row r="24" spans="1:48" ht="14.1" customHeight="1" thickBot="1" x14ac:dyDescent="0.3">
      <c r="A24" s="298"/>
      <c r="B24" s="299"/>
      <c r="C24" s="299"/>
      <c r="D24" s="299"/>
      <c r="E24" s="300"/>
      <c r="F24" s="326" t="s">
        <v>1</v>
      </c>
      <c r="G24" s="327"/>
      <c r="H24" s="327"/>
      <c r="I24" s="327"/>
      <c r="J24" s="327"/>
      <c r="K24" s="327"/>
      <c r="L24" s="328"/>
      <c r="M24" s="264"/>
      <c r="N24" s="320"/>
      <c r="O24" s="287" t="s">
        <v>181</v>
      </c>
      <c r="P24" s="287"/>
      <c r="Q24" s="320"/>
      <c r="R24" s="320"/>
      <c r="S24" s="287" t="s">
        <v>181</v>
      </c>
      <c r="T24" s="318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6"/>
    </row>
    <row r="25" spans="1:48" ht="14.1" customHeight="1" x14ac:dyDescent="0.25">
      <c r="A25" s="298"/>
      <c r="B25" s="299"/>
      <c r="C25" s="299"/>
      <c r="D25" s="299"/>
      <c r="E25" s="300"/>
      <c r="F25" s="291"/>
      <c r="G25" s="292"/>
      <c r="H25" s="292"/>
      <c r="I25" s="322"/>
      <c r="J25" s="323" t="s">
        <v>36</v>
      </c>
      <c r="K25" s="292"/>
      <c r="L25" s="292"/>
      <c r="M25" s="283" t="s">
        <v>198</v>
      </c>
      <c r="N25" s="284"/>
      <c r="O25" s="284"/>
      <c r="P25" s="284"/>
      <c r="Q25" s="284"/>
      <c r="R25" s="284"/>
      <c r="S25" s="284"/>
      <c r="T25" s="308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6"/>
    </row>
    <row r="26" spans="1:48" ht="14.1" customHeight="1" thickBot="1" x14ac:dyDescent="0.3">
      <c r="A26" s="306"/>
      <c r="B26" s="272"/>
      <c r="C26" s="272"/>
      <c r="D26" s="272"/>
      <c r="E26" s="273"/>
      <c r="F26" s="307"/>
      <c r="G26" s="266"/>
      <c r="H26" s="266"/>
      <c r="I26" s="267"/>
      <c r="J26" s="265"/>
      <c r="K26" s="266"/>
      <c r="L26" s="266"/>
      <c r="M26" s="279"/>
      <c r="N26" s="280"/>
      <c r="O26" s="280"/>
      <c r="P26" s="280"/>
      <c r="Q26" s="280" t="s">
        <v>188</v>
      </c>
      <c r="R26" s="280"/>
      <c r="S26" s="280"/>
      <c r="T26" s="282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6"/>
    </row>
    <row r="27" spans="1:48" ht="14.1" customHeight="1" x14ac:dyDescent="0.25">
      <c r="A27" s="92"/>
      <c r="B27" s="93"/>
      <c r="C27" s="93"/>
      <c r="D27" s="93"/>
      <c r="E27" s="93"/>
      <c r="Y27" s="75"/>
      <c r="Z27" s="75"/>
      <c r="AA27" s="75"/>
      <c r="AB27" s="75"/>
      <c r="AC27" s="75"/>
      <c r="AD27" s="75"/>
      <c r="AE27" s="75"/>
      <c r="AF27" s="75"/>
      <c r="AG27" s="75"/>
      <c r="AH27" s="76"/>
    </row>
    <row r="28" spans="1:48" ht="14.1" customHeight="1" thickBot="1" x14ac:dyDescent="0.3">
      <c r="A28" s="94"/>
      <c r="B28" s="95"/>
      <c r="C28" s="95"/>
      <c r="D28" s="95"/>
      <c r="E28" s="9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6"/>
    </row>
    <row r="29" spans="1:48" ht="14.1" customHeight="1" x14ac:dyDescent="0.25">
      <c r="A29" s="74"/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6"/>
    </row>
    <row r="30" spans="1:48" ht="14.1" customHeight="1" x14ac:dyDescent="0.25">
      <c r="A30" s="74"/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6"/>
    </row>
    <row r="31" spans="1:48" ht="14.1" customHeight="1" x14ac:dyDescent="0.25">
      <c r="A31" s="74"/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6"/>
    </row>
    <row r="32" spans="1:48" ht="14.1" customHeight="1" x14ac:dyDescent="0.25">
      <c r="A32" s="74"/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6"/>
    </row>
    <row r="33" spans="1:34" ht="14.1" customHeight="1" x14ac:dyDescent="0.25">
      <c r="A33" s="74"/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6"/>
    </row>
    <row r="34" spans="1:34" ht="14.1" customHeight="1" x14ac:dyDescent="0.25">
      <c r="A34" s="74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6"/>
    </row>
    <row r="35" spans="1:34" ht="14.1" customHeight="1" x14ac:dyDescent="0.25">
      <c r="A35" s="74"/>
      <c r="B35" s="75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6"/>
    </row>
    <row r="36" spans="1:34" ht="14.1" customHeight="1" x14ac:dyDescent="0.25">
      <c r="A36" s="74"/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5"/>
      <c r="AC36" s="75"/>
      <c r="AD36" s="75"/>
      <c r="AE36" s="75"/>
      <c r="AF36" s="75"/>
      <c r="AG36" s="75"/>
      <c r="AH36" s="76"/>
    </row>
    <row r="37" spans="1:34" ht="14.1" customHeight="1" x14ac:dyDescent="0.25">
      <c r="A37" s="74"/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5"/>
      <c r="AD37" s="75"/>
      <c r="AE37" s="75"/>
      <c r="AF37" s="75"/>
      <c r="AG37" s="75"/>
      <c r="AH37" s="76"/>
    </row>
    <row r="38" spans="1:34" ht="14.1" customHeight="1" x14ac:dyDescent="0.25">
      <c r="A38" s="74"/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5"/>
      <c r="AC38" s="75"/>
      <c r="AD38" s="75"/>
      <c r="AE38" s="75"/>
      <c r="AF38" s="75"/>
      <c r="AG38" s="75"/>
      <c r="AH38" s="76"/>
    </row>
    <row r="39" spans="1:34" ht="14.1" customHeight="1" x14ac:dyDescent="0.25">
      <c r="A39" s="74"/>
      <c r="B39" s="75"/>
      <c r="C39" s="75"/>
      <c r="D39" s="75"/>
      <c r="E39" s="75"/>
      <c r="F39" s="75"/>
      <c r="G39" s="75"/>
      <c r="H39" s="75"/>
      <c r="I39" s="75"/>
      <c r="J39" s="75" t="s">
        <v>8</v>
      </c>
      <c r="K39" s="75" t="s">
        <v>92</v>
      </c>
      <c r="L39" s="75" t="s">
        <v>93</v>
      </c>
      <c r="M39" s="75" t="s">
        <v>92</v>
      </c>
      <c r="N39" s="75" t="s">
        <v>94</v>
      </c>
      <c r="O39" s="75" t="s">
        <v>92</v>
      </c>
      <c r="P39" s="75" t="s">
        <v>95</v>
      </c>
      <c r="Q39" s="75" t="s">
        <v>96</v>
      </c>
      <c r="R39" s="75" t="s">
        <v>97</v>
      </c>
      <c r="S39" s="75" t="s">
        <v>92</v>
      </c>
      <c r="T39" s="75" t="s">
        <v>98</v>
      </c>
      <c r="U39" s="75" t="s">
        <v>92</v>
      </c>
      <c r="V39" s="75" t="s">
        <v>99</v>
      </c>
      <c r="W39" s="75" t="s">
        <v>96</v>
      </c>
      <c r="X39" s="75" t="s">
        <v>100</v>
      </c>
      <c r="Y39" s="75"/>
      <c r="Z39" s="75"/>
      <c r="AA39" s="75"/>
      <c r="AB39" s="75"/>
      <c r="AC39" s="75"/>
      <c r="AD39" s="75"/>
      <c r="AE39" s="75"/>
      <c r="AF39" s="75"/>
      <c r="AG39" s="75"/>
      <c r="AH39" s="76"/>
    </row>
    <row r="40" spans="1:34" ht="14.1" customHeight="1" x14ac:dyDescent="0.25">
      <c r="A40" s="74"/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5"/>
      <c r="AF40" s="75"/>
      <c r="AG40" s="75"/>
      <c r="AH40" s="76"/>
    </row>
    <row r="41" spans="1:34" ht="14.1" customHeight="1" x14ac:dyDescent="0.25">
      <c r="A41" s="74"/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6"/>
    </row>
    <row r="42" spans="1:34" ht="14.1" customHeight="1" x14ac:dyDescent="0.25">
      <c r="A42" s="74"/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5"/>
      <c r="AB42" s="75"/>
      <c r="AC42" s="75"/>
      <c r="AD42" s="75"/>
      <c r="AE42" s="75"/>
      <c r="AF42" s="75"/>
      <c r="AG42" s="75"/>
      <c r="AH42" s="76"/>
    </row>
    <row r="43" spans="1:34" ht="14.1" customHeight="1" x14ac:dyDescent="0.25">
      <c r="A43" s="74"/>
      <c r="B43" s="75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5"/>
      <c r="AC43" s="75"/>
      <c r="AD43" s="75"/>
      <c r="AE43" s="75"/>
      <c r="AF43" s="75"/>
      <c r="AG43" s="75"/>
      <c r="AH43" s="76"/>
    </row>
    <row r="44" spans="1:34" ht="14.1" customHeight="1" x14ac:dyDescent="0.25">
      <c r="A44" s="74"/>
      <c r="B44" s="75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  <c r="AA44" s="75"/>
      <c r="AB44" s="75"/>
      <c r="AC44" s="75"/>
      <c r="AD44" s="75"/>
      <c r="AE44" s="75"/>
      <c r="AF44" s="75"/>
      <c r="AG44" s="75"/>
      <c r="AH44" s="76"/>
    </row>
    <row r="45" spans="1:34" ht="14.1" customHeight="1" x14ac:dyDescent="0.25">
      <c r="A45" s="74"/>
      <c r="B45" s="75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  <c r="AA45" s="75"/>
      <c r="AB45" s="75"/>
      <c r="AC45" s="75"/>
      <c r="AD45" s="75"/>
      <c r="AE45" s="75"/>
      <c r="AF45" s="75"/>
      <c r="AG45" s="75"/>
      <c r="AH45" s="76"/>
    </row>
    <row r="46" spans="1:34" ht="14.1" customHeight="1" x14ac:dyDescent="0.25">
      <c r="A46" s="74"/>
      <c r="B46" s="75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  <c r="AA46" s="75"/>
      <c r="AB46" s="75"/>
      <c r="AC46" s="75"/>
      <c r="AD46" s="75"/>
      <c r="AE46" s="75"/>
      <c r="AF46" s="75"/>
      <c r="AG46" s="75"/>
      <c r="AH46" s="76"/>
    </row>
    <row r="47" spans="1:34" ht="14.1" customHeight="1" x14ac:dyDescent="0.25">
      <c r="A47" s="74"/>
      <c r="B47" s="75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75"/>
      <c r="AF47" s="75"/>
      <c r="AG47" s="75"/>
      <c r="AH47" s="76"/>
    </row>
    <row r="48" spans="1:34" ht="14.1" customHeight="1" x14ac:dyDescent="0.25">
      <c r="A48" s="74"/>
      <c r="B48" s="75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5"/>
      <c r="AB48" s="75"/>
      <c r="AC48" s="75"/>
      <c r="AD48" s="75"/>
      <c r="AE48" s="75"/>
      <c r="AF48" s="75"/>
      <c r="AG48" s="75"/>
      <c r="AH48" s="76"/>
    </row>
    <row r="49" spans="1:34" ht="14.1" customHeight="1" x14ac:dyDescent="0.25">
      <c r="A49" s="74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6"/>
    </row>
    <row r="50" spans="1:34" ht="14.1" customHeight="1" x14ac:dyDescent="0.25">
      <c r="A50" s="74"/>
      <c r="B50" s="75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  <c r="AA50" s="75"/>
      <c r="AB50" s="75"/>
      <c r="AC50" s="75"/>
      <c r="AD50" s="75"/>
      <c r="AE50" s="75"/>
      <c r="AF50" s="75"/>
      <c r="AG50" s="75"/>
      <c r="AH50" s="76"/>
    </row>
    <row r="51" spans="1:34" ht="14.1" customHeight="1" x14ac:dyDescent="0.25">
      <c r="A51" s="74"/>
      <c r="B51" s="75"/>
      <c r="C51" s="75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  <c r="AA51" s="75"/>
      <c r="AB51" s="75"/>
      <c r="AC51" s="75"/>
      <c r="AD51" s="75"/>
      <c r="AE51" s="75"/>
      <c r="AF51" s="75"/>
      <c r="AG51" s="75"/>
      <c r="AH51" s="76"/>
    </row>
    <row r="52" spans="1:34" ht="14.1" customHeight="1" x14ac:dyDescent="0.25">
      <c r="A52" s="74"/>
      <c r="B52" s="75"/>
      <c r="C52" s="75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  <c r="AA52" s="75"/>
      <c r="AB52" s="75"/>
      <c r="AC52" s="75"/>
      <c r="AD52" s="75"/>
      <c r="AE52" s="75"/>
      <c r="AF52" s="75"/>
      <c r="AG52" s="75"/>
      <c r="AH52" s="76"/>
    </row>
    <row r="53" spans="1:34" ht="14.1" customHeight="1" x14ac:dyDescent="0.25">
      <c r="A53" s="74"/>
      <c r="B53" s="75"/>
      <c r="C53" s="75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  <c r="AA53" s="75"/>
      <c r="AB53" s="75"/>
      <c r="AC53" s="75"/>
      <c r="AD53" s="75"/>
      <c r="AE53" s="75"/>
      <c r="AF53" s="75"/>
      <c r="AG53" s="75"/>
      <c r="AH53" s="76"/>
    </row>
    <row r="54" spans="1:34" ht="14.1" customHeight="1" x14ac:dyDescent="0.25">
      <c r="A54" s="74"/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  <c r="AA54" s="75"/>
      <c r="AB54" s="75"/>
      <c r="AC54" s="75"/>
      <c r="AD54" s="75"/>
      <c r="AE54" s="75"/>
      <c r="AF54" s="75"/>
      <c r="AG54" s="75"/>
      <c r="AH54" s="76"/>
    </row>
    <row r="55" spans="1:34" ht="14.1" customHeight="1" x14ac:dyDescent="0.25">
      <c r="A55" s="74"/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5"/>
      <c r="AD55" s="75"/>
      <c r="AE55" s="75"/>
      <c r="AF55" s="75"/>
      <c r="AG55" s="75"/>
      <c r="AH55" s="76"/>
    </row>
    <row r="56" spans="1:34" ht="14.1" customHeight="1" x14ac:dyDescent="0.25">
      <c r="A56" s="74"/>
      <c r="B56" s="75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  <c r="AA56" s="75"/>
      <c r="AB56" s="75"/>
      <c r="AC56" s="75"/>
      <c r="AD56" s="75"/>
      <c r="AE56" s="75"/>
      <c r="AF56" s="75"/>
      <c r="AG56" s="75"/>
      <c r="AH56" s="76"/>
    </row>
    <row r="57" spans="1:34" ht="14.1" customHeight="1" x14ac:dyDescent="0.25">
      <c r="A57" s="74"/>
      <c r="B57" s="75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6"/>
    </row>
    <row r="58" spans="1:34" ht="14.1" customHeight="1" x14ac:dyDescent="0.25">
      <c r="A58" s="74"/>
      <c r="B58" s="75"/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  <c r="AA58" s="75"/>
      <c r="AB58" s="75"/>
      <c r="AC58" s="75"/>
      <c r="AD58" s="75"/>
      <c r="AE58" s="75"/>
      <c r="AF58" s="75"/>
      <c r="AG58" s="75"/>
      <c r="AH58" s="76"/>
    </row>
    <row r="59" spans="1:34" ht="14.1" customHeight="1" x14ac:dyDescent="0.25">
      <c r="A59" s="74"/>
      <c r="B59" s="75"/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  <c r="AA59" s="75"/>
      <c r="AB59" s="75"/>
      <c r="AC59" s="75"/>
      <c r="AD59" s="75"/>
      <c r="AE59" s="75"/>
      <c r="AF59" s="75"/>
      <c r="AG59" s="75"/>
      <c r="AH59" s="76"/>
    </row>
    <row r="60" spans="1:34" ht="14.1" customHeight="1" x14ac:dyDescent="0.25">
      <c r="A60" s="74"/>
      <c r="B60" s="75"/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  <c r="AA60" s="75"/>
      <c r="AB60" s="75"/>
      <c r="AC60" s="75"/>
      <c r="AD60" s="75"/>
      <c r="AE60" s="75"/>
      <c r="AF60" s="75"/>
      <c r="AG60" s="75"/>
      <c r="AH60" s="76"/>
    </row>
    <row r="61" spans="1:34" ht="14.1" customHeight="1" x14ac:dyDescent="0.25">
      <c r="A61" s="74"/>
      <c r="B61" s="75"/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  <c r="AA61" s="75"/>
      <c r="AB61" s="75"/>
      <c r="AC61" s="75"/>
      <c r="AD61" s="75"/>
      <c r="AE61" s="75"/>
      <c r="AF61" s="75"/>
      <c r="AG61" s="75"/>
      <c r="AH61" s="76"/>
    </row>
    <row r="62" spans="1:34" ht="14.1" customHeight="1" x14ac:dyDescent="0.25">
      <c r="A62" s="74"/>
      <c r="B62" s="75"/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  <c r="AA62" s="75"/>
      <c r="AB62" s="75"/>
      <c r="AC62" s="75"/>
      <c r="AD62" s="75"/>
      <c r="AE62" s="75"/>
      <c r="AF62" s="75"/>
      <c r="AG62" s="75"/>
      <c r="AH62" s="76"/>
    </row>
    <row r="63" spans="1:34" ht="14.1" customHeight="1" x14ac:dyDescent="0.25">
      <c r="A63" s="74"/>
      <c r="B63" s="75"/>
      <c r="C63" s="75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  <c r="AA63" s="75"/>
      <c r="AB63" s="75"/>
      <c r="AC63" s="75"/>
      <c r="AD63" s="75"/>
      <c r="AE63" s="75"/>
      <c r="AF63" s="75"/>
      <c r="AG63" s="75"/>
      <c r="AH63" s="76"/>
    </row>
    <row r="64" spans="1:34" ht="14.1" customHeight="1" x14ac:dyDescent="0.25">
      <c r="A64" s="74"/>
      <c r="B64" s="75"/>
      <c r="C64" s="75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  <c r="AA64" s="75"/>
      <c r="AB64" s="75"/>
      <c r="AC64" s="75"/>
      <c r="AD64" s="75"/>
      <c r="AE64" s="75"/>
      <c r="AF64" s="75"/>
      <c r="AG64" s="75"/>
      <c r="AH64" s="76"/>
    </row>
    <row r="65" spans="1:34" ht="14.1" customHeight="1" x14ac:dyDescent="0.25">
      <c r="A65" s="74"/>
      <c r="B65" s="75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5"/>
      <c r="AB65" s="75"/>
      <c r="AC65" s="75"/>
      <c r="AD65" s="75"/>
      <c r="AE65" s="75"/>
      <c r="AF65" s="75"/>
      <c r="AG65" s="75"/>
      <c r="AH65" s="76"/>
    </row>
    <row r="66" spans="1:34" ht="14.1" customHeight="1" x14ac:dyDescent="0.25">
      <c r="A66" s="74"/>
      <c r="B66" s="75"/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  <c r="AA66" s="75"/>
      <c r="AB66" s="75"/>
      <c r="AC66" s="75"/>
      <c r="AD66" s="75"/>
      <c r="AE66" s="75"/>
      <c r="AF66" s="75"/>
      <c r="AG66" s="75"/>
      <c r="AH66" s="76"/>
    </row>
    <row r="67" spans="1:34" ht="14.1" customHeight="1" x14ac:dyDescent="0.25">
      <c r="A67" s="74"/>
      <c r="B67" s="75"/>
      <c r="C67" s="75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  <c r="AA67" s="75"/>
      <c r="AB67" s="75"/>
      <c r="AC67" s="75"/>
      <c r="AD67" s="75"/>
      <c r="AE67" s="75"/>
      <c r="AF67" s="75"/>
      <c r="AG67" s="75"/>
      <c r="AH67" s="76"/>
    </row>
    <row r="68" spans="1:34" ht="14.1" customHeight="1" x14ac:dyDescent="0.25">
      <c r="A68" s="74"/>
      <c r="B68" s="75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  <c r="AA68" s="75"/>
      <c r="AB68" s="75"/>
      <c r="AC68" s="75"/>
      <c r="AD68" s="75"/>
      <c r="AE68" s="75"/>
      <c r="AF68" s="75"/>
      <c r="AG68" s="75"/>
      <c r="AH68" s="76"/>
    </row>
    <row r="69" spans="1:34" ht="14.1" customHeight="1" x14ac:dyDescent="0.25">
      <c r="A69" s="74"/>
      <c r="B69" s="75"/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  <c r="AA69" s="75"/>
      <c r="AB69" s="75"/>
      <c r="AC69" s="75"/>
      <c r="AD69" s="75"/>
      <c r="AE69" s="75"/>
      <c r="AF69" s="75"/>
      <c r="AG69" s="75"/>
      <c r="AH69" s="76"/>
    </row>
    <row r="70" spans="1:34" ht="14.1" customHeight="1" x14ac:dyDescent="0.25">
      <c r="A70" s="74"/>
      <c r="B70" s="75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  <c r="AA70" s="75"/>
      <c r="AB70" s="75"/>
      <c r="AC70" s="75"/>
      <c r="AD70" s="75"/>
      <c r="AE70" s="75"/>
      <c r="AF70" s="75"/>
      <c r="AG70" s="75"/>
      <c r="AH70" s="76"/>
    </row>
    <row r="71" spans="1:34" ht="14.1" customHeight="1" x14ac:dyDescent="0.25">
      <c r="A71" s="74"/>
      <c r="B71" s="75"/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  <c r="AA71" s="75"/>
      <c r="AB71" s="75"/>
      <c r="AC71" s="75"/>
      <c r="AD71" s="75"/>
      <c r="AE71" s="75"/>
      <c r="AF71" s="75"/>
      <c r="AG71" s="75"/>
      <c r="AH71" s="76"/>
    </row>
    <row r="72" spans="1:34" ht="14.1" customHeight="1" x14ac:dyDescent="0.25">
      <c r="A72" s="74"/>
      <c r="B72" s="75"/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  <c r="AA72" s="75"/>
      <c r="AB72" s="75"/>
      <c r="AC72" s="75"/>
      <c r="AD72" s="75"/>
      <c r="AE72" s="75"/>
      <c r="AF72" s="75"/>
      <c r="AG72" s="75"/>
      <c r="AH72" s="76"/>
    </row>
    <row r="73" spans="1:34" ht="14.1" customHeight="1" x14ac:dyDescent="0.25">
      <c r="A73" s="74"/>
      <c r="B73" s="75"/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  <c r="AA73" s="75"/>
      <c r="AB73" s="75"/>
      <c r="AC73" s="75"/>
      <c r="AD73" s="75"/>
      <c r="AE73" s="75"/>
      <c r="AF73" s="75"/>
      <c r="AG73" s="75"/>
      <c r="AH73" s="76"/>
    </row>
    <row r="74" spans="1:34" ht="14.1" customHeight="1" x14ac:dyDescent="0.25">
      <c r="A74" s="74"/>
      <c r="B74" s="75"/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  <c r="AA74" s="75"/>
      <c r="AB74" s="75"/>
      <c r="AC74" s="75"/>
      <c r="AD74" s="75"/>
      <c r="AE74" s="75"/>
      <c r="AF74" s="75"/>
      <c r="AG74" s="75"/>
      <c r="AH74" s="76"/>
    </row>
    <row r="75" spans="1:34" ht="14.1" customHeight="1" x14ac:dyDescent="0.25">
      <c r="A75" s="74"/>
      <c r="B75" s="75"/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  <c r="AA75" s="75"/>
      <c r="AB75" s="75"/>
      <c r="AC75" s="75"/>
      <c r="AD75" s="75"/>
      <c r="AE75" s="75"/>
      <c r="AF75" s="75"/>
      <c r="AG75" s="75"/>
      <c r="AH75" s="76"/>
    </row>
    <row r="76" spans="1:34" ht="14.1" customHeight="1" x14ac:dyDescent="0.25">
      <c r="A76" s="74"/>
      <c r="B76" s="75"/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  <c r="AA76" s="75"/>
      <c r="AB76" s="75"/>
      <c r="AC76" s="75"/>
      <c r="AD76" s="75"/>
      <c r="AE76" s="75"/>
      <c r="AF76" s="75"/>
      <c r="AG76" s="75"/>
      <c r="AH76" s="76"/>
    </row>
    <row r="77" spans="1:34" ht="14.1" customHeight="1" x14ac:dyDescent="0.25">
      <c r="A77" s="74"/>
      <c r="B77" s="75"/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  <c r="AA77" s="75"/>
      <c r="AB77" s="75"/>
      <c r="AC77" s="75"/>
      <c r="AD77" s="75"/>
      <c r="AE77" s="75"/>
      <c r="AF77" s="75"/>
      <c r="AG77" s="75"/>
      <c r="AH77" s="76"/>
    </row>
    <row r="78" spans="1:34" ht="14.1" customHeight="1" x14ac:dyDescent="0.25">
      <c r="A78" s="74"/>
      <c r="B78" s="75"/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  <c r="AA78" s="75"/>
      <c r="AB78" s="75"/>
      <c r="AC78" s="75"/>
      <c r="AD78" s="75"/>
      <c r="AE78" s="75"/>
      <c r="AF78" s="75"/>
      <c r="AG78" s="75"/>
      <c r="AH78" s="76"/>
    </row>
    <row r="79" spans="1:34" ht="14.1" customHeight="1" x14ac:dyDescent="0.25">
      <c r="A79" s="74"/>
      <c r="B79" s="75"/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  <c r="AA79" s="75"/>
      <c r="AB79" s="75"/>
      <c r="AC79" s="75"/>
      <c r="AD79" s="75"/>
      <c r="AE79" s="75"/>
      <c r="AF79" s="75"/>
      <c r="AG79" s="75"/>
      <c r="AH79" s="76"/>
    </row>
    <row r="80" spans="1:34" ht="14.1" customHeight="1" x14ac:dyDescent="0.25">
      <c r="A80" s="74"/>
      <c r="B80" s="75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  <c r="AA80" s="75"/>
      <c r="AB80" s="75"/>
      <c r="AC80" s="75"/>
      <c r="AD80" s="75"/>
      <c r="AE80" s="75"/>
      <c r="AF80" s="75"/>
      <c r="AG80" s="75"/>
      <c r="AH80" s="76"/>
    </row>
    <row r="81" spans="1:34" ht="14.1" customHeight="1" x14ac:dyDescent="0.25">
      <c r="A81" s="74"/>
      <c r="B81" s="75"/>
      <c r="C81" s="75"/>
      <c r="D81" s="75"/>
      <c r="E81" s="75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  <c r="AA81" s="75"/>
      <c r="AB81" s="75"/>
      <c r="AC81" s="75"/>
      <c r="AD81" s="75"/>
      <c r="AE81" s="75"/>
      <c r="AF81" s="75"/>
      <c r="AG81" s="75"/>
      <c r="AH81" s="76"/>
    </row>
    <row r="82" spans="1:34" ht="14.1" customHeight="1" x14ac:dyDescent="0.25">
      <c r="A82" s="74"/>
      <c r="B82" s="75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  <c r="AA82" s="75"/>
      <c r="AB82" s="75"/>
      <c r="AC82" s="75"/>
      <c r="AD82" s="75"/>
      <c r="AE82" s="75"/>
      <c r="AF82" s="75"/>
      <c r="AG82" s="75"/>
      <c r="AH82" s="76"/>
    </row>
    <row r="83" spans="1:34" ht="14.1" customHeight="1" x14ac:dyDescent="0.25">
      <c r="A83" s="74"/>
      <c r="B83" s="75"/>
      <c r="C83" s="75"/>
      <c r="D83" s="75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  <c r="AA83" s="75"/>
      <c r="AB83" s="75"/>
      <c r="AC83" s="75"/>
      <c r="AD83" s="75"/>
      <c r="AE83" s="75"/>
      <c r="AF83" s="75"/>
      <c r="AG83" s="75"/>
      <c r="AH83" s="76"/>
    </row>
    <row r="84" spans="1:34" ht="14.1" customHeight="1" x14ac:dyDescent="0.25">
      <c r="A84" s="74"/>
      <c r="B84" s="75"/>
      <c r="C84" s="75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  <c r="AA84" s="75"/>
      <c r="AB84" s="75"/>
      <c r="AC84" s="75"/>
      <c r="AD84" s="75"/>
      <c r="AE84" s="75"/>
      <c r="AF84" s="75"/>
      <c r="AG84" s="75"/>
      <c r="AH84" s="76"/>
    </row>
    <row r="85" spans="1:34" ht="14.1" customHeight="1" x14ac:dyDescent="0.25">
      <c r="A85" s="74"/>
      <c r="B85" s="75"/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  <c r="AA85" s="75"/>
      <c r="AB85" s="75"/>
      <c r="AC85" s="75"/>
      <c r="AD85" s="75"/>
      <c r="AE85" s="75"/>
      <c r="AF85" s="75"/>
      <c r="AG85" s="75"/>
      <c r="AH85" s="76"/>
    </row>
    <row r="86" spans="1:34" ht="14.1" customHeight="1" x14ac:dyDescent="0.25">
      <c r="A86" s="74"/>
      <c r="B86" s="75"/>
      <c r="C86" s="75"/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  <c r="AA86" s="75"/>
      <c r="AB86" s="75"/>
      <c r="AC86" s="75"/>
      <c r="AD86" s="75"/>
      <c r="AE86" s="75"/>
      <c r="AF86" s="75"/>
      <c r="AG86" s="75"/>
      <c r="AH86" s="76"/>
    </row>
    <row r="87" spans="1:34" ht="14.1" customHeight="1" x14ac:dyDescent="0.25">
      <c r="A87" s="74"/>
      <c r="B87" s="75"/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  <c r="AA87" s="75"/>
      <c r="AB87" s="75"/>
      <c r="AC87" s="75"/>
      <c r="AD87" s="75"/>
      <c r="AE87" s="75"/>
      <c r="AF87" s="75"/>
      <c r="AG87" s="75"/>
      <c r="AH87" s="76"/>
    </row>
    <row r="88" spans="1:34" ht="14.1" customHeight="1" x14ac:dyDescent="0.25">
      <c r="A88" s="74"/>
      <c r="B88" s="75"/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  <c r="AA88" s="75"/>
      <c r="AB88" s="75"/>
      <c r="AC88" s="75"/>
      <c r="AD88" s="75"/>
      <c r="AE88" s="75"/>
      <c r="AF88" s="75"/>
      <c r="AG88" s="75"/>
      <c r="AH88" s="76"/>
    </row>
    <row r="89" spans="1:34" ht="14.1" customHeight="1" x14ac:dyDescent="0.25">
      <c r="A89" s="74"/>
      <c r="B89" s="75"/>
      <c r="C89" s="75"/>
      <c r="D89" s="75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  <c r="AA89" s="75"/>
      <c r="AB89" s="75"/>
      <c r="AC89" s="75"/>
      <c r="AD89" s="75"/>
      <c r="AE89" s="75"/>
      <c r="AF89" s="75"/>
      <c r="AG89" s="75"/>
      <c r="AH89" s="76"/>
    </row>
    <row r="90" spans="1:34" ht="14.1" customHeight="1" x14ac:dyDescent="0.25">
      <c r="A90" s="74"/>
      <c r="B90" s="75"/>
      <c r="C90" s="75"/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  <c r="AA90" s="75"/>
      <c r="AB90" s="75"/>
      <c r="AC90" s="75"/>
      <c r="AD90" s="75"/>
      <c r="AE90" s="75"/>
      <c r="AF90" s="75"/>
      <c r="AG90" s="75"/>
      <c r="AH90" s="76"/>
    </row>
    <row r="91" spans="1:34" ht="14.1" customHeight="1" x14ac:dyDescent="0.25">
      <c r="A91" s="74"/>
      <c r="B91" s="75"/>
      <c r="C91" s="75"/>
      <c r="D91" s="75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  <c r="AA91" s="75"/>
      <c r="AB91" s="75"/>
      <c r="AC91" s="75"/>
      <c r="AD91" s="75"/>
      <c r="AE91" s="75"/>
      <c r="AF91" s="75"/>
      <c r="AG91" s="75"/>
      <c r="AH91" s="76"/>
    </row>
    <row r="92" spans="1:34" ht="14.1" customHeight="1" x14ac:dyDescent="0.25">
      <c r="A92" s="74"/>
      <c r="B92" s="75"/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  <c r="AA92" s="75"/>
      <c r="AB92" s="75"/>
      <c r="AC92" s="75"/>
      <c r="AD92" s="75"/>
      <c r="AE92" s="75"/>
      <c r="AF92" s="75"/>
      <c r="AG92" s="75"/>
      <c r="AH92" s="76"/>
    </row>
    <row r="93" spans="1:34" ht="14.1" customHeight="1" x14ac:dyDescent="0.25">
      <c r="A93" s="74"/>
      <c r="B93" s="75"/>
      <c r="C93" s="75"/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  <c r="AA93" s="75"/>
      <c r="AB93" s="75"/>
      <c r="AC93" s="75"/>
      <c r="AD93" s="75"/>
      <c r="AE93" s="75"/>
      <c r="AF93" s="75"/>
      <c r="AG93" s="75"/>
      <c r="AH93" s="76"/>
    </row>
    <row r="94" spans="1:34" ht="14.1" customHeight="1" x14ac:dyDescent="0.25">
      <c r="A94" s="74"/>
      <c r="B94" s="75"/>
      <c r="C94" s="75"/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  <c r="AA94" s="75"/>
      <c r="AB94" s="75"/>
      <c r="AC94" s="75"/>
      <c r="AD94" s="75"/>
      <c r="AE94" s="75"/>
      <c r="AF94" s="75"/>
      <c r="AG94" s="75"/>
      <c r="AH94" s="76"/>
    </row>
    <row r="95" spans="1:34" ht="14.1" customHeight="1" x14ac:dyDescent="0.25">
      <c r="A95" s="74"/>
      <c r="B95" s="75"/>
      <c r="C95" s="75"/>
      <c r="D95" s="75"/>
      <c r="E95" s="75"/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  <c r="AA95" s="75"/>
      <c r="AB95" s="75"/>
      <c r="AC95" s="75"/>
      <c r="AD95" s="75"/>
      <c r="AE95" s="75"/>
      <c r="AF95" s="75"/>
      <c r="AG95" s="75"/>
      <c r="AH95" s="76"/>
    </row>
    <row r="96" spans="1:34" ht="14.1" customHeight="1" x14ac:dyDescent="0.25">
      <c r="A96" s="74"/>
      <c r="B96" s="75"/>
      <c r="C96" s="75"/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  <c r="AA96" s="75"/>
      <c r="AB96" s="75"/>
      <c r="AC96" s="75"/>
      <c r="AD96" s="75"/>
      <c r="AE96" s="75"/>
      <c r="AF96" s="75"/>
      <c r="AG96" s="75"/>
      <c r="AH96" s="76"/>
    </row>
    <row r="97" spans="1:34" ht="14.1" customHeight="1" x14ac:dyDescent="0.25">
      <c r="A97" s="74"/>
      <c r="B97" s="75"/>
      <c r="C97" s="75"/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  <c r="AA97" s="75"/>
      <c r="AB97" s="75"/>
      <c r="AC97" s="75"/>
      <c r="AD97" s="75"/>
      <c r="AE97" s="75"/>
      <c r="AF97" s="75"/>
      <c r="AG97" s="75"/>
      <c r="AH97" s="76"/>
    </row>
    <row r="98" spans="1:34" ht="14.1" customHeight="1" x14ac:dyDescent="0.25">
      <c r="A98" s="74"/>
      <c r="B98" s="75"/>
      <c r="C98" s="75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  <c r="AA98" s="75"/>
      <c r="AB98" s="75"/>
      <c r="AC98" s="75"/>
      <c r="AD98" s="75"/>
      <c r="AE98" s="75"/>
      <c r="AF98" s="75"/>
      <c r="AG98" s="75"/>
      <c r="AH98" s="76"/>
    </row>
    <row r="99" spans="1:34" ht="14.1" customHeight="1" x14ac:dyDescent="0.25">
      <c r="A99" s="74"/>
      <c r="B99" s="75"/>
      <c r="C99" s="75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  <c r="AA99" s="75"/>
      <c r="AB99" s="75"/>
      <c r="AC99" s="75"/>
      <c r="AD99" s="75"/>
      <c r="AE99" s="75"/>
      <c r="AF99" s="75"/>
      <c r="AG99" s="75"/>
      <c r="AH99" s="76"/>
    </row>
    <row r="100" spans="1:34" ht="14.1" customHeight="1" x14ac:dyDescent="0.25">
      <c r="A100" s="74"/>
      <c r="B100" s="75"/>
      <c r="C100" s="75"/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  <c r="AA100" s="75"/>
      <c r="AB100" s="75"/>
      <c r="AC100" s="75"/>
      <c r="AD100" s="75"/>
      <c r="AE100" s="75"/>
      <c r="AF100" s="75"/>
      <c r="AG100" s="75"/>
      <c r="AH100" s="76"/>
    </row>
    <row r="101" spans="1:34" ht="14.1" customHeight="1" x14ac:dyDescent="0.25">
      <c r="A101" s="74"/>
      <c r="B101" s="75"/>
      <c r="C101" s="75"/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  <c r="AA101" s="75"/>
      <c r="AB101" s="75"/>
      <c r="AC101" s="75"/>
      <c r="AD101" s="75"/>
      <c r="AE101" s="75"/>
      <c r="AF101" s="75"/>
      <c r="AG101" s="75"/>
      <c r="AH101" s="76"/>
    </row>
    <row r="102" spans="1:34" ht="14.1" customHeight="1" x14ac:dyDescent="0.25">
      <c r="A102" s="74"/>
      <c r="B102" s="75"/>
      <c r="C102" s="75"/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  <c r="AA102" s="75"/>
      <c r="AB102" s="75"/>
      <c r="AC102" s="75"/>
      <c r="AD102" s="75"/>
      <c r="AE102" s="75"/>
      <c r="AF102" s="75"/>
      <c r="AG102" s="75"/>
      <c r="AH102" s="76"/>
    </row>
    <row r="103" spans="1:34" ht="14.1" customHeight="1" x14ac:dyDescent="0.25">
      <c r="A103" s="74"/>
      <c r="B103" s="75"/>
      <c r="C103" s="75"/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  <c r="AA103" s="75"/>
      <c r="AB103" s="75"/>
      <c r="AC103" s="75"/>
      <c r="AD103" s="75"/>
      <c r="AE103" s="75"/>
      <c r="AF103" s="75"/>
      <c r="AG103" s="75"/>
      <c r="AH103" s="76"/>
    </row>
    <row r="104" spans="1:34" ht="14.1" customHeight="1" x14ac:dyDescent="0.25">
      <c r="A104" s="74"/>
      <c r="B104" s="75"/>
      <c r="C104" s="75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  <c r="AA104" s="75"/>
      <c r="AB104" s="75"/>
      <c r="AC104" s="75"/>
      <c r="AD104" s="75"/>
      <c r="AE104" s="75"/>
      <c r="AF104" s="75"/>
      <c r="AG104" s="75"/>
      <c r="AH104" s="76"/>
    </row>
    <row r="105" spans="1:34" ht="14.1" customHeight="1" x14ac:dyDescent="0.25">
      <c r="A105" s="74"/>
      <c r="B105" s="75"/>
      <c r="C105" s="75"/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  <c r="AA105" s="75"/>
      <c r="AB105" s="75"/>
      <c r="AC105" s="75"/>
      <c r="AD105" s="75"/>
      <c r="AE105" s="75"/>
      <c r="AF105" s="75"/>
      <c r="AG105" s="75"/>
      <c r="AH105" s="76"/>
    </row>
    <row r="106" spans="1:34" ht="14.1" customHeight="1" x14ac:dyDescent="0.25">
      <c r="A106" s="74"/>
      <c r="B106" s="75"/>
      <c r="C106" s="75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  <c r="AA106" s="75"/>
      <c r="AB106" s="75"/>
      <c r="AC106" s="75"/>
      <c r="AD106" s="75"/>
      <c r="AE106" s="75"/>
      <c r="AF106" s="75"/>
      <c r="AG106" s="75"/>
      <c r="AH106" s="76"/>
    </row>
    <row r="107" spans="1:34" ht="14.1" customHeight="1" x14ac:dyDescent="0.25">
      <c r="A107" s="74"/>
      <c r="B107" s="75"/>
      <c r="C107" s="75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  <c r="AA107" s="75"/>
      <c r="AB107" s="75"/>
      <c r="AC107" s="75"/>
      <c r="AD107" s="75"/>
      <c r="AE107" s="75"/>
      <c r="AF107" s="75"/>
      <c r="AG107" s="75"/>
      <c r="AH107" s="76"/>
    </row>
    <row r="108" spans="1:34" ht="14.1" customHeight="1" x14ac:dyDescent="0.25">
      <c r="A108" s="74"/>
      <c r="B108" s="75"/>
      <c r="C108" s="75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  <c r="AA108" s="75"/>
      <c r="AB108" s="75"/>
      <c r="AC108" s="75"/>
      <c r="AD108" s="75"/>
      <c r="AE108" s="75"/>
      <c r="AF108" s="75"/>
      <c r="AG108" s="75"/>
      <c r="AH108" s="76"/>
    </row>
    <row r="109" spans="1:34" ht="14.1" customHeight="1" x14ac:dyDescent="0.25">
      <c r="A109" s="74"/>
      <c r="B109" s="75"/>
      <c r="C109" s="75"/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  <c r="AA109" s="75"/>
      <c r="AB109" s="75"/>
      <c r="AC109" s="75"/>
      <c r="AD109" s="75"/>
      <c r="AE109" s="75"/>
      <c r="AF109" s="75"/>
      <c r="AG109" s="75"/>
      <c r="AH109" s="76"/>
    </row>
    <row r="110" spans="1:34" ht="14.1" customHeight="1" x14ac:dyDescent="0.25">
      <c r="A110" s="74"/>
      <c r="B110" s="75"/>
      <c r="C110" s="75"/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75"/>
      <c r="AA110" s="75"/>
      <c r="AB110" s="75"/>
      <c r="AC110" s="75"/>
      <c r="AD110" s="75"/>
      <c r="AE110" s="75"/>
      <c r="AF110" s="75"/>
      <c r="AG110" s="75"/>
      <c r="AH110" s="76"/>
    </row>
    <row r="111" spans="1:34" ht="14.1" customHeight="1" x14ac:dyDescent="0.25">
      <c r="A111" s="74"/>
      <c r="B111" s="75"/>
      <c r="C111" s="75"/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  <c r="AA111" s="75"/>
      <c r="AB111" s="75"/>
      <c r="AC111" s="75"/>
      <c r="AD111" s="75"/>
      <c r="AE111" s="75"/>
      <c r="AF111" s="75"/>
      <c r="AG111" s="75"/>
      <c r="AH111" s="76"/>
    </row>
    <row r="112" spans="1:34" ht="14.1" customHeight="1" x14ac:dyDescent="0.25">
      <c r="A112" s="74"/>
      <c r="B112" s="75"/>
      <c r="C112" s="75"/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75"/>
      <c r="AA112" s="75"/>
      <c r="AB112" s="75"/>
      <c r="AC112" s="75"/>
      <c r="AD112" s="75"/>
      <c r="AE112" s="75"/>
      <c r="AF112" s="75"/>
      <c r="AG112" s="75"/>
      <c r="AH112" s="76"/>
    </row>
    <row r="113" spans="1:34" ht="14.1" customHeight="1" x14ac:dyDescent="0.25">
      <c r="A113" s="74"/>
      <c r="B113" s="75"/>
      <c r="C113" s="75"/>
      <c r="D113" s="75"/>
      <c r="E113" s="75"/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  <c r="Z113" s="75"/>
      <c r="AA113" s="75"/>
      <c r="AB113" s="75"/>
      <c r="AC113" s="75"/>
      <c r="AD113" s="75"/>
      <c r="AE113" s="75"/>
      <c r="AF113" s="75"/>
      <c r="AG113" s="75"/>
      <c r="AH113" s="76"/>
    </row>
    <row r="114" spans="1:34" ht="14.1" customHeight="1" x14ac:dyDescent="0.25">
      <c r="A114" s="74"/>
      <c r="B114" s="75"/>
      <c r="C114" s="75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  <c r="AA114" s="75"/>
      <c r="AB114" s="75"/>
      <c r="AC114" s="75"/>
      <c r="AD114" s="75"/>
      <c r="AE114" s="75"/>
      <c r="AF114" s="75"/>
      <c r="AG114" s="75"/>
      <c r="AH114" s="76"/>
    </row>
    <row r="115" spans="1:34" ht="14.1" customHeight="1" x14ac:dyDescent="0.25">
      <c r="A115" s="74"/>
      <c r="B115" s="75"/>
      <c r="C115" s="75"/>
      <c r="D115" s="75"/>
      <c r="E115" s="75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  <c r="Z115" s="75"/>
      <c r="AA115" s="75"/>
      <c r="AB115" s="75"/>
      <c r="AC115" s="75"/>
      <c r="AD115" s="75"/>
      <c r="AE115" s="75"/>
      <c r="AF115" s="75"/>
      <c r="AG115" s="75"/>
      <c r="AH115" s="76"/>
    </row>
    <row r="116" spans="1:34" ht="14.1" customHeight="1" x14ac:dyDescent="0.25">
      <c r="A116" s="74"/>
      <c r="B116" s="75"/>
      <c r="C116" s="75"/>
      <c r="D116" s="75"/>
      <c r="E116" s="75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  <c r="AA116" s="75"/>
      <c r="AB116" s="75"/>
      <c r="AC116" s="75"/>
      <c r="AD116" s="75"/>
      <c r="AE116" s="75"/>
      <c r="AF116" s="75"/>
      <c r="AG116" s="75"/>
      <c r="AH116" s="76"/>
    </row>
    <row r="117" spans="1:34" ht="14.1" customHeight="1" x14ac:dyDescent="0.25">
      <c r="A117" s="74"/>
      <c r="B117" s="75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  <c r="AA117" s="75"/>
      <c r="AB117" s="75"/>
      <c r="AC117" s="75"/>
      <c r="AD117" s="75"/>
      <c r="AE117" s="75"/>
      <c r="AF117" s="75"/>
      <c r="AG117" s="75"/>
      <c r="AH117" s="76"/>
    </row>
    <row r="118" spans="1:34" ht="14.1" customHeight="1" x14ac:dyDescent="0.25">
      <c r="A118" s="74"/>
      <c r="B118" s="75"/>
      <c r="C118" s="75"/>
      <c r="D118" s="75"/>
      <c r="E118" s="75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  <c r="Z118" s="75"/>
      <c r="AA118" s="75"/>
      <c r="AB118" s="75"/>
      <c r="AC118" s="75"/>
      <c r="AD118" s="75"/>
      <c r="AE118" s="75"/>
      <c r="AF118" s="75"/>
      <c r="AG118" s="75"/>
      <c r="AH118" s="76"/>
    </row>
    <row r="119" spans="1:34" ht="14.1" customHeight="1" x14ac:dyDescent="0.25">
      <c r="A119" s="74"/>
      <c r="B119" s="75"/>
      <c r="C119" s="75"/>
      <c r="D119" s="75"/>
      <c r="E119" s="75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75"/>
      <c r="AA119" s="75"/>
      <c r="AB119" s="75"/>
      <c r="AC119" s="75"/>
      <c r="AD119" s="75"/>
      <c r="AE119" s="75"/>
      <c r="AF119" s="75"/>
      <c r="AG119" s="75"/>
      <c r="AH119" s="76"/>
    </row>
    <row r="120" spans="1:34" ht="14.1" customHeight="1" x14ac:dyDescent="0.25">
      <c r="A120" s="74"/>
      <c r="B120" s="75"/>
      <c r="C120" s="75"/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75"/>
      <c r="AA120" s="75"/>
      <c r="AB120" s="75"/>
      <c r="AC120" s="75"/>
      <c r="AD120" s="75"/>
      <c r="AE120" s="75"/>
      <c r="AF120" s="75"/>
      <c r="AG120" s="75"/>
      <c r="AH120" s="76"/>
    </row>
    <row r="121" spans="1:34" ht="14.1" customHeight="1" x14ac:dyDescent="0.25">
      <c r="A121" s="74"/>
      <c r="B121" s="75"/>
      <c r="C121" s="75"/>
      <c r="D121" s="75"/>
      <c r="E121" s="75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75"/>
      <c r="AA121" s="75"/>
      <c r="AB121" s="75"/>
      <c r="AC121" s="75"/>
      <c r="AD121" s="75"/>
      <c r="AE121" s="75"/>
      <c r="AF121" s="75"/>
      <c r="AG121" s="75"/>
      <c r="AH121" s="76"/>
    </row>
    <row r="122" spans="1:34" ht="14.1" customHeight="1" x14ac:dyDescent="0.25">
      <c r="A122" s="74"/>
      <c r="B122" s="75"/>
      <c r="C122" s="75"/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  <c r="AA122" s="75"/>
      <c r="AB122" s="75"/>
      <c r="AC122" s="75"/>
      <c r="AD122" s="75"/>
      <c r="AE122" s="75"/>
      <c r="AF122" s="75"/>
      <c r="AG122" s="75"/>
      <c r="AH122" s="76"/>
    </row>
    <row r="123" spans="1:34" ht="14.1" customHeight="1" x14ac:dyDescent="0.25">
      <c r="A123" s="74"/>
      <c r="B123" s="75"/>
      <c r="C123" s="75"/>
      <c r="D123" s="75"/>
      <c r="E123" s="75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  <c r="Z123" s="75"/>
      <c r="AA123" s="75"/>
      <c r="AB123" s="75"/>
      <c r="AC123" s="75"/>
      <c r="AD123" s="75"/>
      <c r="AE123" s="75"/>
      <c r="AF123" s="75"/>
      <c r="AG123" s="75"/>
      <c r="AH123" s="76"/>
    </row>
    <row r="124" spans="1:34" ht="14.1" customHeight="1" x14ac:dyDescent="0.25">
      <c r="A124" s="74"/>
      <c r="B124" s="75"/>
      <c r="C124" s="75"/>
      <c r="D124" s="75"/>
      <c r="E124" s="75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  <c r="Z124" s="75"/>
      <c r="AA124" s="75"/>
      <c r="AB124" s="75"/>
      <c r="AC124" s="75"/>
      <c r="AD124" s="75"/>
      <c r="AE124" s="75"/>
      <c r="AF124" s="75"/>
      <c r="AG124" s="75"/>
      <c r="AH124" s="76"/>
    </row>
    <row r="125" spans="1:34" ht="14.1" customHeight="1" x14ac:dyDescent="0.25">
      <c r="A125" s="74"/>
      <c r="B125" s="75"/>
      <c r="C125" s="75"/>
      <c r="D125" s="75"/>
      <c r="E125" s="75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  <c r="Z125" s="75"/>
      <c r="AA125" s="75"/>
      <c r="AB125" s="75"/>
      <c r="AC125" s="75"/>
      <c r="AD125" s="75"/>
      <c r="AE125" s="75"/>
      <c r="AF125" s="75"/>
      <c r="AG125" s="75"/>
      <c r="AH125" s="76"/>
    </row>
    <row r="126" spans="1:34" ht="14.1" customHeight="1" x14ac:dyDescent="0.25">
      <c r="A126" s="74"/>
      <c r="B126" s="75"/>
      <c r="C126" s="75"/>
      <c r="D126" s="75"/>
      <c r="E126" s="75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  <c r="AA126" s="75"/>
      <c r="AB126" s="75"/>
      <c r="AC126" s="75"/>
      <c r="AD126" s="75"/>
      <c r="AE126" s="75"/>
      <c r="AF126" s="75"/>
      <c r="AG126" s="75"/>
      <c r="AH126" s="76"/>
    </row>
    <row r="127" spans="1:34" ht="14.1" customHeight="1" x14ac:dyDescent="0.25">
      <c r="A127" s="74"/>
      <c r="B127" s="75"/>
      <c r="C127" s="75"/>
      <c r="D127" s="75"/>
      <c r="E127" s="75"/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5"/>
      <c r="Z127" s="75"/>
      <c r="AA127" s="75"/>
      <c r="AB127" s="75"/>
      <c r="AC127" s="75"/>
      <c r="AD127" s="75"/>
      <c r="AE127" s="75"/>
      <c r="AF127" s="75"/>
      <c r="AG127" s="75"/>
      <c r="AH127" s="76"/>
    </row>
    <row r="128" spans="1:34" ht="14.1" customHeight="1" x14ac:dyDescent="0.25">
      <c r="A128" s="74"/>
      <c r="B128" s="75"/>
      <c r="C128" s="75"/>
      <c r="D128" s="75"/>
      <c r="E128" s="75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  <c r="AA128" s="75"/>
      <c r="AB128" s="75"/>
      <c r="AC128" s="75"/>
      <c r="AD128" s="75"/>
      <c r="AE128" s="75"/>
      <c r="AF128" s="75"/>
      <c r="AG128" s="75"/>
      <c r="AH128" s="76"/>
    </row>
    <row r="129" spans="1:34" ht="14.1" customHeight="1" x14ac:dyDescent="0.25">
      <c r="A129" s="74"/>
      <c r="B129" s="75"/>
      <c r="C129" s="75"/>
      <c r="D129" s="75"/>
      <c r="E129" s="75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5"/>
      <c r="Z129" s="75"/>
      <c r="AA129" s="75"/>
      <c r="AB129" s="75"/>
      <c r="AC129" s="75"/>
      <c r="AD129" s="75"/>
      <c r="AE129" s="75"/>
      <c r="AF129" s="75"/>
      <c r="AG129" s="75"/>
      <c r="AH129" s="76"/>
    </row>
    <row r="130" spans="1:34" ht="14.1" customHeight="1" x14ac:dyDescent="0.25">
      <c r="A130" s="74"/>
      <c r="B130" s="75"/>
      <c r="C130" s="75"/>
      <c r="D130" s="75"/>
      <c r="E130" s="75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  <c r="Z130" s="75"/>
      <c r="AA130" s="75"/>
      <c r="AB130" s="75"/>
      <c r="AC130" s="75"/>
      <c r="AD130" s="75"/>
      <c r="AE130" s="75"/>
      <c r="AF130" s="75"/>
      <c r="AG130" s="75"/>
      <c r="AH130" s="76"/>
    </row>
    <row r="131" spans="1:34" ht="14.1" customHeight="1" x14ac:dyDescent="0.25">
      <c r="A131" s="74"/>
      <c r="B131" s="75"/>
      <c r="C131" s="75"/>
      <c r="D131" s="75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  <c r="Z131" s="75"/>
      <c r="AA131" s="75"/>
      <c r="AB131" s="75"/>
      <c r="AC131" s="75"/>
      <c r="AD131" s="75"/>
      <c r="AE131" s="75"/>
      <c r="AF131" s="75"/>
      <c r="AG131" s="75"/>
      <c r="AH131" s="76"/>
    </row>
    <row r="132" spans="1:34" ht="14.1" customHeight="1" x14ac:dyDescent="0.25">
      <c r="A132" s="74"/>
      <c r="B132" s="75"/>
      <c r="C132" s="75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Y132" s="75"/>
      <c r="Z132" s="75"/>
      <c r="AA132" s="75"/>
      <c r="AB132" s="75"/>
      <c r="AC132" s="75"/>
      <c r="AD132" s="75"/>
      <c r="AE132" s="75"/>
      <c r="AF132" s="75"/>
      <c r="AG132" s="75"/>
      <c r="AH132" s="76"/>
    </row>
    <row r="133" spans="1:34" ht="14.1" customHeight="1" x14ac:dyDescent="0.25">
      <c r="A133" s="74"/>
      <c r="B133" s="75"/>
      <c r="C133" s="75"/>
      <c r="D133" s="75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Y133" s="75"/>
      <c r="Z133" s="75"/>
      <c r="AA133" s="75"/>
      <c r="AB133" s="75"/>
      <c r="AC133" s="75"/>
      <c r="AD133" s="75"/>
      <c r="AE133" s="75"/>
      <c r="AF133" s="75"/>
      <c r="AG133" s="75"/>
      <c r="AH133" s="76"/>
    </row>
    <row r="134" spans="1:34" ht="14.1" customHeight="1" x14ac:dyDescent="0.25">
      <c r="A134" s="74"/>
      <c r="B134" s="75"/>
      <c r="C134" s="75"/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  <c r="Z134" s="75"/>
      <c r="AA134" s="75"/>
      <c r="AB134" s="75"/>
      <c r="AC134" s="75"/>
      <c r="AD134" s="75"/>
      <c r="AE134" s="75"/>
      <c r="AF134" s="75"/>
      <c r="AG134" s="75"/>
      <c r="AH134" s="76"/>
    </row>
    <row r="135" spans="1:34" ht="14.1" customHeight="1" x14ac:dyDescent="0.25">
      <c r="A135" s="74"/>
      <c r="B135" s="75"/>
      <c r="C135" s="75"/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  <c r="Z135" s="75"/>
      <c r="AA135" s="75"/>
      <c r="AB135" s="75"/>
      <c r="AC135" s="75"/>
      <c r="AD135" s="75"/>
      <c r="AE135" s="75"/>
      <c r="AF135" s="75"/>
      <c r="AG135" s="75"/>
      <c r="AH135" s="76"/>
    </row>
    <row r="136" spans="1:34" ht="14.1" customHeight="1" x14ac:dyDescent="0.25">
      <c r="A136" s="74"/>
      <c r="B136" s="75"/>
      <c r="C136" s="75"/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  <c r="AA136" s="75"/>
      <c r="AB136" s="75"/>
      <c r="AC136" s="75"/>
      <c r="AD136" s="75"/>
      <c r="AE136" s="75"/>
      <c r="AF136" s="75"/>
      <c r="AG136" s="75"/>
      <c r="AH136" s="76"/>
    </row>
    <row r="137" spans="1:34" ht="14.1" customHeight="1" x14ac:dyDescent="0.25">
      <c r="A137" s="74"/>
      <c r="B137" s="75"/>
      <c r="C137" s="75"/>
      <c r="D137" s="75"/>
      <c r="E137" s="75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5"/>
      <c r="Y137" s="75"/>
      <c r="Z137" s="75"/>
      <c r="AA137" s="75"/>
      <c r="AB137" s="75"/>
      <c r="AC137" s="75"/>
      <c r="AD137" s="75"/>
      <c r="AE137" s="75"/>
      <c r="AF137" s="75"/>
      <c r="AG137" s="75"/>
      <c r="AH137" s="76"/>
    </row>
    <row r="138" spans="1:34" ht="14.1" customHeight="1" x14ac:dyDescent="0.25">
      <c r="A138" s="74"/>
      <c r="B138" s="75"/>
      <c r="C138" s="75"/>
      <c r="D138" s="75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  <c r="Z138" s="75"/>
      <c r="AA138" s="75"/>
      <c r="AB138" s="75"/>
      <c r="AC138" s="75"/>
      <c r="AD138" s="75"/>
      <c r="AE138" s="75"/>
      <c r="AF138" s="75"/>
      <c r="AG138" s="75"/>
      <c r="AH138" s="76"/>
    </row>
    <row r="139" spans="1:34" ht="14.1" customHeight="1" x14ac:dyDescent="0.25">
      <c r="A139" s="74"/>
      <c r="B139" s="75"/>
      <c r="C139" s="75"/>
      <c r="D139" s="75"/>
      <c r="E139" s="75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5"/>
      <c r="Y139" s="75"/>
      <c r="Z139" s="75"/>
      <c r="AA139" s="75"/>
      <c r="AB139" s="75"/>
      <c r="AC139" s="75"/>
      <c r="AD139" s="75"/>
      <c r="AE139" s="75"/>
      <c r="AF139" s="75"/>
      <c r="AG139" s="75"/>
      <c r="AH139" s="76"/>
    </row>
    <row r="140" spans="1:34" ht="14.1" customHeight="1" x14ac:dyDescent="0.25">
      <c r="A140" s="74"/>
      <c r="B140" s="75"/>
      <c r="C140" s="75"/>
      <c r="D140" s="75"/>
      <c r="E140" s="75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  <c r="AA140" s="75"/>
      <c r="AB140" s="75"/>
      <c r="AC140" s="75"/>
      <c r="AD140" s="75"/>
      <c r="AE140" s="75"/>
      <c r="AF140" s="75"/>
      <c r="AG140" s="75"/>
      <c r="AH140" s="76"/>
    </row>
    <row r="141" spans="1:34" ht="14.1" customHeight="1" x14ac:dyDescent="0.25">
      <c r="A141" s="74"/>
      <c r="B141" s="75"/>
      <c r="C141" s="75"/>
      <c r="D141" s="75"/>
      <c r="E141" s="75"/>
      <c r="F141" s="75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Y141" s="75"/>
      <c r="Z141" s="75"/>
      <c r="AA141" s="75"/>
      <c r="AB141" s="75"/>
      <c r="AC141" s="75"/>
      <c r="AD141" s="75"/>
      <c r="AE141" s="75"/>
      <c r="AF141" s="75"/>
      <c r="AG141" s="75"/>
      <c r="AH141" s="76"/>
    </row>
    <row r="142" spans="1:34" ht="14.1" customHeight="1" x14ac:dyDescent="0.25">
      <c r="A142" s="74"/>
      <c r="B142" s="75"/>
      <c r="C142" s="75"/>
      <c r="D142" s="75"/>
      <c r="E142" s="75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  <c r="Z142" s="75"/>
      <c r="AA142" s="75"/>
      <c r="AB142" s="75"/>
      <c r="AC142" s="75"/>
      <c r="AD142" s="75"/>
      <c r="AE142" s="75"/>
      <c r="AF142" s="75"/>
      <c r="AG142" s="75"/>
      <c r="AH142" s="76"/>
    </row>
    <row r="143" spans="1:34" ht="14.1" customHeight="1" x14ac:dyDescent="0.25">
      <c r="A143" s="74"/>
      <c r="B143" s="75"/>
      <c r="C143" s="75"/>
      <c r="D143" s="75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  <c r="Z143" s="75"/>
      <c r="AA143" s="75"/>
      <c r="AB143" s="75"/>
      <c r="AC143" s="75"/>
      <c r="AD143" s="75"/>
      <c r="AE143" s="75"/>
      <c r="AF143" s="75"/>
      <c r="AG143" s="75"/>
      <c r="AH143" s="76"/>
    </row>
    <row r="144" spans="1:34" ht="14.1" customHeight="1" x14ac:dyDescent="0.25">
      <c r="A144" s="74"/>
      <c r="B144" s="75"/>
      <c r="C144" s="75"/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  <c r="Z144" s="75"/>
      <c r="AA144" s="75"/>
      <c r="AB144" s="75"/>
      <c r="AC144" s="75"/>
      <c r="AD144" s="75"/>
      <c r="AE144" s="75"/>
      <c r="AF144" s="75"/>
      <c r="AG144" s="75"/>
      <c r="AH144" s="76"/>
    </row>
    <row r="145" spans="1:34" ht="14.1" customHeight="1" x14ac:dyDescent="0.25">
      <c r="A145" s="74"/>
      <c r="B145" s="75"/>
      <c r="C145" s="75"/>
      <c r="D145" s="75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  <c r="Z145" s="75"/>
      <c r="AA145" s="75"/>
      <c r="AB145" s="75"/>
      <c r="AC145" s="75"/>
      <c r="AD145" s="75"/>
      <c r="AE145" s="75"/>
      <c r="AF145" s="75"/>
      <c r="AG145" s="75"/>
      <c r="AH145" s="76"/>
    </row>
    <row r="146" spans="1:34" ht="14.1" customHeight="1" x14ac:dyDescent="0.25">
      <c r="A146" s="74"/>
      <c r="B146" s="75"/>
      <c r="C146" s="75"/>
      <c r="D146" s="75"/>
      <c r="E146" s="75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  <c r="Z146" s="75"/>
      <c r="AA146" s="75"/>
      <c r="AB146" s="75"/>
      <c r="AC146" s="75"/>
      <c r="AD146" s="75"/>
      <c r="AE146" s="75"/>
      <c r="AF146" s="75"/>
      <c r="AG146" s="75"/>
      <c r="AH146" s="76"/>
    </row>
    <row r="147" spans="1:34" ht="14.1" customHeight="1" x14ac:dyDescent="0.25">
      <c r="A147" s="74"/>
      <c r="B147" s="75"/>
      <c r="C147" s="75"/>
      <c r="D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  <c r="Z147" s="75"/>
      <c r="AA147" s="75"/>
      <c r="AB147" s="75"/>
      <c r="AC147" s="75"/>
      <c r="AD147" s="75"/>
      <c r="AE147" s="75"/>
      <c r="AF147" s="75"/>
      <c r="AG147" s="75"/>
      <c r="AH147" s="76"/>
    </row>
    <row r="148" spans="1:34" ht="14.1" customHeight="1" x14ac:dyDescent="0.25">
      <c r="A148" s="74"/>
      <c r="B148" s="75"/>
      <c r="C148" s="75"/>
      <c r="D148" s="75"/>
      <c r="E148" s="75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  <c r="Z148" s="75"/>
      <c r="AA148" s="75"/>
      <c r="AB148" s="75"/>
      <c r="AC148" s="75"/>
      <c r="AD148" s="75"/>
      <c r="AE148" s="75"/>
      <c r="AF148" s="75"/>
      <c r="AG148" s="75"/>
      <c r="AH148" s="76"/>
    </row>
    <row r="149" spans="1:34" ht="14.1" customHeight="1" x14ac:dyDescent="0.25">
      <c r="A149" s="74"/>
      <c r="B149" s="75"/>
      <c r="C149" s="75"/>
      <c r="D149" s="75"/>
      <c r="E149" s="75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5"/>
      <c r="Y149" s="75"/>
      <c r="Z149" s="75"/>
      <c r="AA149" s="75"/>
      <c r="AB149" s="75"/>
      <c r="AC149" s="75"/>
      <c r="AD149" s="75"/>
      <c r="AE149" s="75"/>
      <c r="AF149" s="75"/>
      <c r="AG149" s="75"/>
      <c r="AH149" s="76"/>
    </row>
    <row r="150" spans="1:34" ht="14.1" customHeight="1" x14ac:dyDescent="0.25">
      <c r="A150" s="74"/>
      <c r="B150" s="75"/>
      <c r="C150" s="75"/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  <c r="Z150" s="75"/>
      <c r="AA150" s="75"/>
      <c r="AB150" s="75"/>
      <c r="AC150" s="75"/>
      <c r="AD150" s="75"/>
      <c r="AE150" s="75"/>
      <c r="AF150" s="75"/>
      <c r="AG150" s="75"/>
      <c r="AH150" s="76"/>
    </row>
    <row r="151" spans="1:34" ht="14.1" customHeight="1" x14ac:dyDescent="0.25">
      <c r="A151" s="74"/>
      <c r="B151" s="75"/>
      <c r="C151" s="75"/>
      <c r="D151" s="75"/>
      <c r="E151" s="75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75"/>
      <c r="Y151" s="75"/>
      <c r="Z151" s="75"/>
      <c r="AA151" s="75"/>
      <c r="AB151" s="75"/>
      <c r="AC151" s="75"/>
      <c r="AD151" s="75"/>
      <c r="AE151" s="75"/>
      <c r="AF151" s="75"/>
      <c r="AG151" s="75"/>
      <c r="AH151" s="76"/>
    </row>
    <row r="152" spans="1:34" ht="14.1" customHeight="1" x14ac:dyDescent="0.25">
      <c r="A152" s="74"/>
      <c r="B152" s="75"/>
      <c r="C152" s="75"/>
      <c r="D152" s="75"/>
      <c r="E152" s="75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  <c r="AA152" s="75"/>
      <c r="AB152" s="75"/>
      <c r="AC152" s="75"/>
      <c r="AD152" s="75"/>
      <c r="AE152" s="75"/>
      <c r="AF152" s="75"/>
      <c r="AG152" s="75"/>
      <c r="AH152" s="76"/>
    </row>
    <row r="153" spans="1:34" ht="14.1" customHeight="1" x14ac:dyDescent="0.25">
      <c r="A153" s="74"/>
      <c r="B153" s="75"/>
      <c r="C153" s="75"/>
      <c r="D153" s="75"/>
      <c r="E153" s="75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75"/>
      <c r="Y153" s="75"/>
      <c r="Z153" s="75"/>
      <c r="AA153" s="75"/>
      <c r="AB153" s="75"/>
      <c r="AC153" s="75"/>
      <c r="AD153" s="75"/>
      <c r="AE153" s="75"/>
      <c r="AF153" s="75"/>
      <c r="AG153" s="75"/>
      <c r="AH153" s="76"/>
    </row>
    <row r="154" spans="1:34" ht="14.1" customHeight="1" x14ac:dyDescent="0.25">
      <c r="A154" s="74"/>
      <c r="B154" s="75"/>
      <c r="C154" s="75"/>
      <c r="D154" s="75"/>
      <c r="E154" s="75"/>
      <c r="F154" s="75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5"/>
      <c r="X154" s="75"/>
      <c r="Y154" s="75"/>
      <c r="Z154" s="75"/>
      <c r="AA154" s="75"/>
      <c r="AB154" s="75"/>
      <c r="AC154" s="75"/>
      <c r="AD154" s="75"/>
      <c r="AE154" s="75"/>
      <c r="AF154" s="75"/>
      <c r="AG154" s="75"/>
      <c r="AH154" s="76"/>
    </row>
    <row r="155" spans="1:34" ht="14.1" customHeight="1" x14ac:dyDescent="0.25">
      <c r="A155" s="74"/>
      <c r="B155" s="75"/>
      <c r="C155" s="75"/>
      <c r="D155" s="75"/>
      <c r="E155" s="75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75"/>
      <c r="Y155" s="75"/>
      <c r="Z155" s="75"/>
      <c r="AA155" s="75"/>
      <c r="AB155" s="75"/>
      <c r="AC155" s="75"/>
      <c r="AD155" s="75"/>
      <c r="AE155" s="75"/>
      <c r="AF155" s="75"/>
      <c r="AG155" s="75"/>
      <c r="AH155" s="76"/>
    </row>
    <row r="156" spans="1:34" ht="14.1" customHeight="1" x14ac:dyDescent="0.25">
      <c r="A156" s="74"/>
      <c r="B156" s="75"/>
      <c r="C156" s="75"/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  <c r="Z156" s="75"/>
      <c r="AA156" s="75"/>
      <c r="AB156" s="75"/>
      <c r="AC156" s="75"/>
      <c r="AD156" s="75"/>
      <c r="AE156" s="75"/>
      <c r="AF156" s="75"/>
      <c r="AG156" s="75"/>
      <c r="AH156" s="76"/>
    </row>
    <row r="157" spans="1:34" ht="14.1" customHeight="1" x14ac:dyDescent="0.25">
      <c r="A157" s="74"/>
      <c r="B157" s="75"/>
      <c r="C157" s="75"/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  <c r="Z157" s="75"/>
      <c r="AA157" s="75"/>
      <c r="AB157" s="75"/>
      <c r="AC157" s="75"/>
      <c r="AD157" s="75"/>
      <c r="AE157" s="75"/>
      <c r="AF157" s="75"/>
      <c r="AG157" s="75"/>
      <c r="AH157" s="76"/>
    </row>
    <row r="158" spans="1:34" ht="14.1" customHeight="1" x14ac:dyDescent="0.25">
      <c r="A158" s="74"/>
      <c r="B158" s="75"/>
      <c r="C158" s="75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  <c r="Z158" s="75"/>
      <c r="AA158" s="75"/>
      <c r="AB158" s="75"/>
      <c r="AC158" s="75"/>
      <c r="AD158" s="75"/>
      <c r="AE158" s="75"/>
      <c r="AF158" s="75"/>
      <c r="AG158" s="75"/>
      <c r="AH158" s="76"/>
    </row>
    <row r="159" spans="1:34" ht="14.1" customHeight="1" x14ac:dyDescent="0.25">
      <c r="A159" s="74"/>
      <c r="B159" s="75"/>
      <c r="C159" s="75"/>
      <c r="D159" s="75"/>
      <c r="E159" s="75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5"/>
      <c r="Z159" s="75"/>
      <c r="AA159" s="75"/>
      <c r="AB159" s="75"/>
      <c r="AC159" s="75"/>
      <c r="AD159" s="75"/>
      <c r="AE159" s="75"/>
      <c r="AF159" s="75"/>
      <c r="AG159" s="75"/>
      <c r="AH159" s="76"/>
    </row>
    <row r="160" spans="1:34" ht="14.1" customHeight="1" x14ac:dyDescent="0.25">
      <c r="A160" s="74"/>
      <c r="B160" s="75"/>
      <c r="C160" s="75"/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Y160" s="75"/>
      <c r="Z160" s="75"/>
      <c r="AA160" s="75"/>
      <c r="AB160" s="75"/>
      <c r="AC160" s="75"/>
      <c r="AD160" s="75"/>
      <c r="AE160" s="75"/>
      <c r="AF160" s="75"/>
      <c r="AG160" s="75"/>
      <c r="AH160" s="76"/>
    </row>
    <row r="161" spans="1:34" ht="14.1" customHeight="1" x14ac:dyDescent="0.25">
      <c r="A161" s="74"/>
      <c r="B161" s="75"/>
      <c r="C161" s="75"/>
      <c r="D161" s="75"/>
      <c r="E161" s="75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5"/>
      <c r="Y161" s="75"/>
      <c r="Z161" s="75"/>
      <c r="AA161" s="75"/>
      <c r="AB161" s="75"/>
      <c r="AC161" s="75"/>
      <c r="AD161" s="75"/>
      <c r="AE161" s="75"/>
      <c r="AF161" s="75"/>
      <c r="AG161" s="75"/>
      <c r="AH161" s="76"/>
    </row>
    <row r="162" spans="1:34" ht="14.1" customHeight="1" x14ac:dyDescent="0.25">
      <c r="A162" s="74"/>
      <c r="B162" s="75"/>
      <c r="C162" s="75"/>
      <c r="D162" s="75"/>
      <c r="E162" s="75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5"/>
      <c r="W162" s="75"/>
      <c r="X162" s="75"/>
      <c r="Y162" s="75"/>
      <c r="Z162" s="75"/>
      <c r="AA162" s="75"/>
      <c r="AB162" s="75"/>
      <c r="AC162" s="75"/>
      <c r="AD162" s="75"/>
      <c r="AE162" s="75"/>
      <c r="AF162" s="75"/>
      <c r="AG162" s="75"/>
      <c r="AH162" s="76"/>
    </row>
    <row r="163" spans="1:34" ht="14.1" customHeight="1" x14ac:dyDescent="0.25">
      <c r="A163" s="74"/>
      <c r="B163" s="75"/>
      <c r="C163" s="75"/>
      <c r="D163" s="75"/>
      <c r="E163" s="75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X163" s="75"/>
      <c r="Y163" s="75"/>
      <c r="Z163" s="75"/>
      <c r="AA163" s="75"/>
      <c r="AB163" s="75"/>
      <c r="AC163" s="75"/>
      <c r="AD163" s="75"/>
      <c r="AE163" s="75"/>
      <c r="AF163" s="75"/>
      <c r="AG163" s="75"/>
      <c r="AH163" s="76"/>
    </row>
    <row r="164" spans="1:34" ht="14.1" customHeight="1" thickBot="1" x14ac:dyDescent="0.3">
      <c r="A164" s="77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  <c r="AA164" s="78"/>
      <c r="AB164" s="78"/>
      <c r="AC164" s="78"/>
      <c r="AD164" s="78"/>
      <c r="AE164" s="78"/>
      <c r="AF164" s="78"/>
      <c r="AG164" s="78"/>
      <c r="AH164" s="79"/>
    </row>
    <row r="165" spans="1:34" ht="14.1" customHeight="1" x14ac:dyDescent="0.25"/>
    <row r="166" spans="1:34" ht="14.1" customHeight="1" x14ac:dyDescent="0.25"/>
    <row r="167" spans="1:34" ht="14.1" customHeight="1" x14ac:dyDescent="0.25"/>
    <row r="168" spans="1:34" ht="14.1" customHeight="1" x14ac:dyDescent="0.25"/>
    <row r="169" spans="1:34" ht="14.1" customHeight="1" x14ac:dyDescent="0.25"/>
    <row r="170" spans="1:34" ht="14.1" customHeight="1" x14ac:dyDescent="0.25"/>
    <row r="171" spans="1:34" ht="14.1" customHeight="1" x14ac:dyDescent="0.25"/>
    <row r="172" spans="1:34" ht="14.1" customHeight="1" x14ac:dyDescent="0.25"/>
    <row r="173" spans="1:34" ht="14.1" customHeight="1" x14ac:dyDescent="0.25"/>
    <row r="174" spans="1:34" ht="14.1" customHeight="1" x14ac:dyDescent="0.25"/>
    <row r="175" spans="1:34" ht="14.1" customHeight="1" x14ac:dyDescent="0.25"/>
    <row r="176" spans="1:34" ht="14.1" customHeight="1" x14ac:dyDescent="0.25"/>
    <row r="177" ht="14.1" customHeight="1" x14ac:dyDescent="0.25"/>
    <row r="178" ht="14.1" customHeight="1" x14ac:dyDescent="0.25"/>
    <row r="179" ht="14.1" customHeight="1" x14ac:dyDescent="0.25"/>
    <row r="180" ht="14.1" customHeight="1" x14ac:dyDescent="0.25"/>
    <row r="181" ht="14.1" customHeight="1" x14ac:dyDescent="0.25"/>
    <row r="182" ht="14.1" customHeight="1" x14ac:dyDescent="0.25"/>
    <row r="183" ht="14.1" customHeight="1" x14ac:dyDescent="0.25"/>
    <row r="184" ht="14.1" customHeight="1" x14ac:dyDescent="0.25"/>
    <row r="185" ht="14.1" customHeight="1" x14ac:dyDescent="0.25"/>
    <row r="186" ht="14.1" customHeight="1" x14ac:dyDescent="0.25"/>
    <row r="187" ht="14.1" customHeight="1" x14ac:dyDescent="0.25"/>
    <row r="188" ht="14.1" customHeight="1" x14ac:dyDescent="0.25"/>
    <row r="189" ht="14.1" customHeight="1" x14ac:dyDescent="0.25"/>
    <row r="190" ht="14.1" customHeight="1" x14ac:dyDescent="0.25"/>
    <row r="191" ht="14.1" customHeight="1" x14ac:dyDescent="0.25"/>
    <row r="192" ht="14.1" customHeight="1" x14ac:dyDescent="0.25"/>
    <row r="193" ht="14.1" customHeight="1" x14ac:dyDescent="0.25"/>
    <row r="194" ht="14.1" customHeight="1" x14ac:dyDescent="0.25"/>
    <row r="195" ht="14.1" customHeight="1" x14ac:dyDescent="0.25"/>
    <row r="196" ht="14.1" customHeight="1" x14ac:dyDescent="0.25"/>
    <row r="197" ht="14.1" customHeight="1" x14ac:dyDescent="0.25"/>
    <row r="198" ht="14.1" customHeight="1" x14ac:dyDescent="0.25"/>
    <row r="199" ht="14.1" customHeight="1" x14ac:dyDescent="0.25"/>
    <row r="200" ht="14.1" customHeight="1" x14ac:dyDescent="0.25"/>
    <row r="201" ht="14.1" customHeight="1" x14ac:dyDescent="0.25"/>
    <row r="202" ht="14.1" customHeight="1" x14ac:dyDescent="0.25"/>
    <row r="203" ht="14.1" customHeight="1" x14ac:dyDescent="0.25"/>
    <row r="204" ht="14.1" customHeight="1" x14ac:dyDescent="0.25"/>
    <row r="205" ht="14.1" customHeight="1" x14ac:dyDescent="0.25"/>
    <row r="206" ht="14.1" customHeight="1" x14ac:dyDescent="0.25"/>
    <row r="207" ht="14.1" customHeight="1" x14ac:dyDescent="0.25"/>
    <row r="208" ht="14.1" customHeight="1" x14ac:dyDescent="0.25"/>
    <row r="209" ht="14.1" customHeight="1" x14ac:dyDescent="0.25"/>
    <row r="210" ht="14.1" customHeight="1" x14ac:dyDescent="0.25"/>
    <row r="211" ht="14.1" customHeight="1" x14ac:dyDescent="0.25"/>
    <row r="212" ht="14.1" customHeight="1" x14ac:dyDescent="0.25"/>
    <row r="213" ht="14.1" customHeight="1" x14ac:dyDescent="0.25"/>
    <row r="214" ht="14.1" customHeight="1" x14ac:dyDescent="0.25"/>
    <row r="215" ht="14.1" customHeight="1" x14ac:dyDescent="0.25"/>
    <row r="216" ht="14.1" customHeight="1" x14ac:dyDescent="0.25"/>
    <row r="217" ht="14.1" customHeight="1" x14ac:dyDescent="0.25"/>
    <row r="218" ht="14.1" customHeight="1" x14ac:dyDescent="0.25"/>
    <row r="219" ht="14.1" customHeight="1" x14ac:dyDescent="0.25"/>
    <row r="220" ht="14.1" customHeight="1" x14ac:dyDescent="0.25"/>
    <row r="221" ht="14.1" customHeight="1" x14ac:dyDescent="0.25"/>
    <row r="222" ht="14.1" customHeight="1" x14ac:dyDescent="0.25"/>
    <row r="223" ht="14.1" customHeight="1" x14ac:dyDescent="0.25"/>
    <row r="224" ht="14.1" customHeight="1" x14ac:dyDescent="0.25"/>
    <row r="225" ht="14.1" customHeight="1" x14ac:dyDescent="0.25"/>
    <row r="226" ht="14.1" customHeight="1" x14ac:dyDescent="0.25"/>
    <row r="227" ht="14.1" customHeight="1" x14ac:dyDescent="0.25"/>
    <row r="228" ht="14.1" customHeight="1" x14ac:dyDescent="0.25"/>
    <row r="229" ht="14.1" customHeight="1" x14ac:dyDescent="0.25"/>
    <row r="230" ht="14.1" customHeight="1" x14ac:dyDescent="0.25"/>
    <row r="231" ht="14.1" customHeight="1" x14ac:dyDescent="0.25"/>
    <row r="232" ht="14.1" customHeight="1" x14ac:dyDescent="0.25"/>
    <row r="233" ht="14.1" customHeight="1" x14ac:dyDescent="0.25"/>
    <row r="234" ht="14.1" customHeight="1" x14ac:dyDescent="0.25"/>
    <row r="235" ht="14.1" customHeight="1" x14ac:dyDescent="0.25"/>
    <row r="236" ht="14.1" customHeight="1" x14ac:dyDescent="0.25"/>
    <row r="237" ht="14.1" customHeight="1" x14ac:dyDescent="0.25"/>
    <row r="238" ht="14.1" customHeight="1" x14ac:dyDescent="0.25"/>
    <row r="239" ht="14.1" customHeight="1" x14ac:dyDescent="0.25"/>
    <row r="240" ht="14.1" customHeight="1" x14ac:dyDescent="0.25"/>
    <row r="241" ht="14.1" customHeight="1" x14ac:dyDescent="0.25"/>
    <row r="242" ht="14.1" customHeight="1" x14ac:dyDescent="0.25"/>
    <row r="243" ht="14.1" customHeight="1" x14ac:dyDescent="0.25"/>
    <row r="244" ht="14.1" customHeight="1" x14ac:dyDescent="0.25"/>
    <row r="245" ht="14.1" customHeight="1" x14ac:dyDescent="0.25"/>
    <row r="246" ht="14.1" customHeight="1" x14ac:dyDescent="0.25"/>
    <row r="247" ht="14.1" customHeight="1" x14ac:dyDescent="0.25"/>
    <row r="248" ht="14.1" customHeight="1" x14ac:dyDescent="0.25"/>
    <row r="249" ht="14.1" customHeight="1" x14ac:dyDescent="0.25"/>
    <row r="250" ht="14.1" customHeight="1" x14ac:dyDescent="0.25"/>
    <row r="251" ht="14.1" customHeight="1" x14ac:dyDescent="0.25"/>
    <row r="252" ht="14.1" customHeight="1" x14ac:dyDescent="0.25"/>
    <row r="253" ht="14.1" customHeight="1" x14ac:dyDescent="0.25"/>
    <row r="254" ht="14.1" customHeight="1" x14ac:dyDescent="0.25"/>
    <row r="255" ht="14.1" customHeight="1" x14ac:dyDescent="0.25"/>
    <row r="256" ht="14.1" customHeight="1" x14ac:dyDescent="0.25"/>
    <row r="257" ht="14.1" customHeight="1" x14ac:dyDescent="0.25"/>
    <row r="258" ht="14.1" customHeight="1" x14ac:dyDescent="0.25"/>
    <row r="259" ht="14.1" customHeight="1" x14ac:dyDescent="0.25"/>
    <row r="260" ht="14.1" customHeight="1" x14ac:dyDescent="0.25"/>
    <row r="261" ht="14.1" customHeight="1" x14ac:dyDescent="0.25"/>
    <row r="262" ht="14.1" customHeight="1" x14ac:dyDescent="0.25"/>
    <row r="263" ht="14.1" customHeight="1" x14ac:dyDescent="0.25"/>
    <row r="264" ht="14.1" customHeight="1" x14ac:dyDescent="0.25"/>
    <row r="265" ht="14.1" customHeight="1" x14ac:dyDescent="0.25"/>
    <row r="266" ht="14.1" customHeight="1" x14ac:dyDescent="0.25"/>
    <row r="267" ht="14.1" customHeight="1" x14ac:dyDescent="0.25"/>
    <row r="268" ht="14.1" customHeight="1" x14ac:dyDescent="0.25"/>
    <row r="269" ht="14.1" customHeight="1" x14ac:dyDescent="0.25"/>
    <row r="270" ht="14.1" customHeight="1" x14ac:dyDescent="0.25"/>
    <row r="271" ht="14.1" customHeight="1" x14ac:dyDescent="0.25"/>
    <row r="272" ht="14.1" customHeight="1" x14ac:dyDescent="0.25"/>
    <row r="273" ht="14.1" customHeight="1" x14ac:dyDescent="0.25"/>
    <row r="274" ht="14.1" customHeight="1" x14ac:dyDescent="0.25"/>
    <row r="275" ht="14.1" customHeight="1" x14ac:dyDescent="0.25"/>
    <row r="276" ht="14.1" customHeight="1" x14ac:dyDescent="0.25"/>
    <row r="277" ht="14.1" customHeight="1" x14ac:dyDescent="0.25"/>
    <row r="278" ht="14.1" customHeight="1" x14ac:dyDescent="0.25"/>
    <row r="279" ht="14.1" customHeight="1" x14ac:dyDescent="0.25"/>
    <row r="280" ht="14.1" customHeight="1" x14ac:dyDescent="0.25"/>
    <row r="281" ht="14.1" customHeight="1" x14ac:dyDescent="0.25"/>
    <row r="282" ht="14.1" customHeight="1" x14ac:dyDescent="0.25"/>
    <row r="283" ht="14.1" customHeight="1" x14ac:dyDescent="0.25"/>
    <row r="284" ht="14.1" customHeight="1" x14ac:dyDescent="0.25"/>
    <row r="285" ht="14.1" customHeight="1" x14ac:dyDescent="0.25"/>
    <row r="286" ht="14.1" customHeight="1" x14ac:dyDescent="0.25"/>
    <row r="287" ht="14.1" customHeight="1" x14ac:dyDescent="0.25"/>
    <row r="288" ht="14.1" customHeight="1" x14ac:dyDescent="0.25"/>
    <row r="289" ht="14.1" customHeight="1" x14ac:dyDescent="0.25"/>
    <row r="290" ht="14.1" customHeight="1" x14ac:dyDescent="0.25"/>
    <row r="291" ht="14.1" customHeight="1" x14ac:dyDescent="0.25"/>
    <row r="292" ht="14.1" customHeight="1" x14ac:dyDescent="0.25"/>
    <row r="293" ht="14.1" customHeight="1" x14ac:dyDescent="0.25"/>
    <row r="294" ht="14.1" customHeight="1" x14ac:dyDescent="0.25"/>
    <row r="295" ht="14.1" customHeight="1" x14ac:dyDescent="0.25"/>
    <row r="296" ht="14.1" customHeight="1" x14ac:dyDescent="0.25"/>
    <row r="297" ht="14.1" customHeight="1" x14ac:dyDescent="0.25"/>
    <row r="298" ht="14.1" customHeight="1" x14ac:dyDescent="0.25"/>
    <row r="299" ht="14.1" customHeight="1" x14ac:dyDescent="0.25"/>
    <row r="300" ht="14.1" customHeight="1" x14ac:dyDescent="0.25"/>
    <row r="301" ht="14.1" customHeight="1" x14ac:dyDescent="0.25"/>
    <row r="302" ht="14.1" customHeight="1" x14ac:dyDescent="0.25"/>
    <row r="303" ht="14.1" customHeight="1" x14ac:dyDescent="0.25"/>
    <row r="304" ht="14.1" customHeight="1" x14ac:dyDescent="0.25"/>
    <row r="305" ht="14.1" customHeight="1" x14ac:dyDescent="0.25"/>
    <row r="306" ht="14.1" customHeight="1" x14ac:dyDescent="0.25"/>
    <row r="307" ht="14.1" customHeight="1" x14ac:dyDescent="0.25"/>
    <row r="308" ht="14.1" customHeight="1" x14ac:dyDescent="0.25"/>
    <row r="309" ht="14.1" customHeight="1" x14ac:dyDescent="0.25"/>
    <row r="310" ht="14.1" customHeight="1" x14ac:dyDescent="0.25"/>
    <row r="311" ht="14.1" customHeight="1" x14ac:dyDescent="0.25"/>
    <row r="312" ht="14.1" customHeight="1" x14ac:dyDescent="0.25"/>
    <row r="313" ht="14.1" customHeight="1" x14ac:dyDescent="0.25"/>
    <row r="314" ht="14.1" customHeight="1" x14ac:dyDescent="0.25"/>
    <row r="315" ht="14.1" customHeight="1" x14ac:dyDescent="0.25"/>
    <row r="316" ht="14.1" customHeight="1" x14ac:dyDescent="0.25"/>
    <row r="317" ht="14.1" customHeight="1" x14ac:dyDescent="0.25"/>
    <row r="318" ht="14.1" customHeight="1" x14ac:dyDescent="0.25"/>
    <row r="319" ht="14.1" customHeight="1" x14ac:dyDescent="0.25"/>
    <row r="320" ht="14.1" customHeight="1" x14ac:dyDescent="0.25"/>
    <row r="321" ht="14.1" customHeight="1" x14ac:dyDescent="0.25"/>
    <row r="322" ht="14.1" customHeight="1" x14ac:dyDescent="0.25"/>
    <row r="323" ht="14.1" customHeight="1" x14ac:dyDescent="0.25"/>
    <row r="324" ht="14.1" customHeight="1" x14ac:dyDescent="0.25"/>
    <row r="325" ht="14.1" customHeight="1" x14ac:dyDescent="0.25"/>
    <row r="326" ht="14.1" customHeight="1" x14ac:dyDescent="0.25"/>
    <row r="327" ht="14.1" customHeight="1" x14ac:dyDescent="0.25"/>
    <row r="328" ht="14.1" customHeight="1" x14ac:dyDescent="0.25"/>
    <row r="329" ht="14.1" customHeight="1" x14ac:dyDescent="0.25"/>
    <row r="330" ht="14.1" customHeight="1" x14ac:dyDescent="0.25"/>
    <row r="331" ht="14.1" customHeight="1" x14ac:dyDescent="0.25"/>
    <row r="332" ht="14.1" customHeight="1" x14ac:dyDescent="0.25"/>
    <row r="333" ht="14.1" customHeight="1" x14ac:dyDescent="0.25"/>
    <row r="334" ht="14.1" customHeight="1" x14ac:dyDescent="0.25"/>
    <row r="335" ht="14.1" customHeight="1" x14ac:dyDescent="0.25"/>
    <row r="336" ht="14.1" customHeight="1" x14ac:dyDescent="0.25"/>
    <row r="337" ht="14.1" customHeight="1" x14ac:dyDescent="0.25"/>
    <row r="338" ht="14.1" customHeight="1" x14ac:dyDescent="0.25"/>
    <row r="339" ht="14.1" customHeight="1" x14ac:dyDescent="0.25"/>
    <row r="340" ht="14.1" customHeight="1" x14ac:dyDescent="0.25"/>
    <row r="341" ht="14.1" customHeight="1" x14ac:dyDescent="0.25"/>
    <row r="342" ht="14.1" customHeight="1" x14ac:dyDescent="0.25"/>
    <row r="343" ht="14.1" customHeight="1" x14ac:dyDescent="0.25"/>
    <row r="344" ht="14.1" customHeight="1" x14ac:dyDescent="0.25"/>
    <row r="345" ht="14.1" customHeight="1" x14ac:dyDescent="0.25"/>
    <row r="346" ht="14.1" customHeight="1" x14ac:dyDescent="0.25"/>
    <row r="347" ht="14.1" customHeight="1" x14ac:dyDescent="0.25"/>
    <row r="348" ht="14.1" customHeight="1" x14ac:dyDescent="0.25"/>
    <row r="349" ht="14.1" customHeight="1" x14ac:dyDescent="0.25"/>
    <row r="350" ht="14.1" customHeight="1" x14ac:dyDescent="0.25"/>
    <row r="351" ht="14.1" customHeight="1" x14ac:dyDescent="0.25"/>
    <row r="352" ht="14.1" customHeight="1" x14ac:dyDescent="0.25"/>
    <row r="353" ht="14.1" customHeight="1" x14ac:dyDescent="0.25"/>
    <row r="354" ht="14.1" customHeight="1" x14ac:dyDescent="0.25"/>
    <row r="355" ht="14.1" customHeight="1" x14ac:dyDescent="0.25"/>
    <row r="356" ht="14.1" customHeight="1" x14ac:dyDescent="0.25"/>
    <row r="357" ht="14.1" customHeight="1" x14ac:dyDescent="0.25"/>
    <row r="358" ht="14.1" customHeight="1" x14ac:dyDescent="0.25"/>
    <row r="359" ht="14.1" customHeight="1" x14ac:dyDescent="0.25"/>
    <row r="360" ht="14.1" customHeight="1" x14ac:dyDescent="0.25"/>
    <row r="361" ht="14.1" customHeight="1" x14ac:dyDescent="0.25"/>
    <row r="362" ht="14.1" customHeight="1" x14ac:dyDescent="0.25"/>
    <row r="363" ht="14.1" customHeight="1" x14ac:dyDescent="0.25"/>
    <row r="364" ht="14.1" customHeight="1" x14ac:dyDescent="0.25"/>
    <row r="365" ht="14.1" customHeight="1" x14ac:dyDescent="0.25"/>
    <row r="366" ht="14.1" customHeight="1" x14ac:dyDescent="0.25"/>
    <row r="367" ht="14.1" customHeight="1" x14ac:dyDescent="0.25"/>
    <row r="368" ht="14.1" customHeight="1" x14ac:dyDescent="0.25"/>
    <row r="369" ht="14.1" customHeight="1" x14ac:dyDescent="0.25"/>
    <row r="370" ht="14.1" customHeight="1" x14ac:dyDescent="0.25"/>
    <row r="371" ht="14.1" customHeight="1" x14ac:dyDescent="0.25"/>
    <row r="372" ht="14.1" customHeight="1" x14ac:dyDescent="0.25"/>
    <row r="373" ht="14.1" customHeight="1" x14ac:dyDescent="0.25"/>
    <row r="374" ht="14.1" customHeight="1" x14ac:dyDescent="0.25"/>
    <row r="375" ht="14.1" customHeight="1" x14ac:dyDescent="0.25"/>
    <row r="376" ht="14.1" customHeight="1" x14ac:dyDescent="0.25"/>
    <row r="377" ht="14.1" customHeight="1" x14ac:dyDescent="0.25"/>
    <row r="378" ht="14.1" customHeight="1" x14ac:dyDescent="0.25"/>
    <row r="379" ht="14.1" customHeight="1" x14ac:dyDescent="0.25"/>
    <row r="380" ht="14.1" customHeight="1" x14ac:dyDescent="0.25"/>
    <row r="381" ht="14.1" customHeight="1" x14ac:dyDescent="0.25"/>
    <row r="382" ht="14.1" customHeight="1" x14ac:dyDescent="0.25"/>
    <row r="383" ht="14.1" customHeight="1" x14ac:dyDescent="0.25"/>
    <row r="384" ht="14.1" customHeight="1" x14ac:dyDescent="0.25"/>
    <row r="385" ht="14.1" customHeight="1" x14ac:dyDescent="0.25"/>
    <row r="386" ht="14.1" customHeight="1" x14ac:dyDescent="0.25"/>
    <row r="387" ht="14.1" customHeight="1" x14ac:dyDescent="0.25"/>
    <row r="388" ht="14.1" customHeight="1" x14ac:dyDescent="0.25"/>
    <row r="389" ht="14.1" customHeight="1" x14ac:dyDescent="0.25"/>
    <row r="390" ht="14.1" customHeight="1" x14ac:dyDescent="0.25"/>
    <row r="391" ht="14.1" customHeight="1" x14ac:dyDescent="0.25"/>
    <row r="392" ht="14.1" customHeight="1" x14ac:dyDescent="0.25"/>
    <row r="393" ht="14.1" customHeight="1" x14ac:dyDescent="0.25"/>
    <row r="394" ht="14.1" customHeight="1" x14ac:dyDescent="0.25"/>
    <row r="395" ht="14.1" customHeight="1" x14ac:dyDescent="0.25"/>
    <row r="396" ht="14.1" customHeight="1" x14ac:dyDescent="0.25"/>
    <row r="397" ht="14.1" customHeight="1" x14ac:dyDescent="0.25"/>
    <row r="398" ht="14.1" customHeight="1" x14ac:dyDescent="0.25"/>
    <row r="399" ht="14.1" customHeight="1" x14ac:dyDescent="0.25"/>
    <row r="400" ht="14.1" customHeight="1" x14ac:dyDescent="0.25"/>
    <row r="401" ht="14.1" customHeight="1" x14ac:dyDescent="0.25"/>
    <row r="402" ht="14.1" customHeight="1" x14ac:dyDescent="0.25"/>
    <row r="403" ht="14.1" customHeight="1" x14ac:dyDescent="0.25"/>
    <row r="404" ht="14.1" customHeight="1" x14ac:dyDescent="0.25"/>
  </sheetData>
  <mergeCells count="75">
    <mergeCell ref="F18:I19"/>
    <mergeCell ref="J17:L17"/>
    <mergeCell ref="J18:L19"/>
    <mergeCell ref="A21:AH21"/>
    <mergeCell ref="F24:L24"/>
    <mergeCell ref="M22:T22"/>
    <mergeCell ref="M23:P23"/>
    <mergeCell ref="Q23:T23"/>
    <mergeCell ref="M24:N24"/>
    <mergeCell ref="O24:P24"/>
    <mergeCell ref="Q24:R24"/>
    <mergeCell ref="S24:T24"/>
    <mergeCell ref="F22:L22"/>
    <mergeCell ref="A22:E26"/>
    <mergeCell ref="U22:AA22"/>
    <mergeCell ref="AB22:AH22"/>
    <mergeCell ref="F25:I26"/>
    <mergeCell ref="J25:L26"/>
    <mergeCell ref="F23:L23"/>
    <mergeCell ref="M26:P26"/>
    <mergeCell ref="M25:T25"/>
    <mergeCell ref="Q26:T26"/>
    <mergeCell ref="M14:T14"/>
    <mergeCell ref="M15:P15"/>
    <mergeCell ref="Q15:T15"/>
    <mergeCell ref="M17:T17"/>
    <mergeCell ref="A13:AH13"/>
    <mergeCell ref="F14:L14"/>
    <mergeCell ref="U14:Z16"/>
    <mergeCell ref="AA14:AH14"/>
    <mergeCell ref="AA15:AH15"/>
    <mergeCell ref="F15:L15"/>
    <mergeCell ref="F16:L16"/>
    <mergeCell ref="S16:T16"/>
    <mergeCell ref="M16:N16"/>
    <mergeCell ref="Q16:R16"/>
    <mergeCell ref="A14:E20"/>
    <mergeCell ref="F17:I17"/>
    <mergeCell ref="A11:E12"/>
    <mergeCell ref="F11:I12"/>
    <mergeCell ref="J11:L12"/>
    <mergeCell ref="M11:P12"/>
    <mergeCell ref="Q11:T12"/>
    <mergeCell ref="U11:X12"/>
    <mergeCell ref="A1:AH1"/>
    <mergeCell ref="A2:E3"/>
    <mergeCell ref="F2:T3"/>
    <mergeCell ref="U2:Y3"/>
    <mergeCell ref="Z2:AH3"/>
    <mergeCell ref="A4:E5"/>
    <mergeCell ref="F4:T5"/>
    <mergeCell ref="U4:Y5"/>
    <mergeCell ref="Z4:AH5"/>
    <mergeCell ref="A6:E7"/>
    <mergeCell ref="F6:T7"/>
    <mergeCell ref="U6:Y7"/>
    <mergeCell ref="Z6:AH7"/>
    <mergeCell ref="A8:E10"/>
    <mergeCell ref="F8:AH10"/>
    <mergeCell ref="Y11:AB12"/>
    <mergeCell ref="AC11:AH12"/>
    <mergeCell ref="M18:P18"/>
    <mergeCell ref="Q18:T18"/>
    <mergeCell ref="O19:P19"/>
    <mergeCell ref="S19:T19"/>
    <mergeCell ref="AA18:AD19"/>
    <mergeCell ref="AE18:AH19"/>
    <mergeCell ref="AA16:AH16"/>
    <mergeCell ref="AA17:AH17"/>
    <mergeCell ref="U17:Z18"/>
    <mergeCell ref="U19:X19"/>
    <mergeCell ref="Y19:Z19"/>
    <mergeCell ref="M19:N19"/>
    <mergeCell ref="Q19:R19"/>
    <mergeCell ref="O16:P16"/>
  </mergeCells>
  <dataValidations count="7">
    <dataValidation type="custom" allowBlank="1" showInputMessage="1" showErrorMessage="1" sqref="AT22">
      <formula1>"AT19=1"</formula1>
    </dataValidation>
    <dataValidation type="custom" allowBlank="1" showInputMessage="1" showErrorMessage="1" sqref="AU17">
      <formula1>AT17=1</formula1>
    </dataValidation>
    <dataValidation type="list" allowBlank="1" showInputMessage="1" showErrorMessage="1" sqref="J18:L19 J25">
      <formula1>$AV$14:$AV$17</formula1>
    </dataValidation>
    <dataValidation type="list" allowBlank="1" showInputMessage="1" showErrorMessage="1" sqref="S19:T19 O19:P19 Q26">
      <formula1>$AU$14:$AU$16</formula1>
    </dataValidation>
    <dataValidation type="list" allowBlank="1" showInputMessage="1" showErrorMessage="1" sqref="AA18:AD19">
      <formula1>$AT$14:$AT$15</formula1>
    </dataValidation>
    <dataValidation type="list" allowBlank="1" showInputMessage="1" showErrorMessage="1" sqref="F22:L22">
      <formula1>$AU$22:$AU$23</formula1>
    </dataValidation>
    <dataValidation type="list" allowBlank="1" showInputMessage="1" showErrorMessage="1" sqref="F23:L23">
      <formula1>$AV$22:$AV$23</formula1>
    </dataValidation>
  </dataValidation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81" r:id="rId4" name="Group Box 33">
              <controlPr defaultSize="0" autoFill="0" autoPict="0">
                <anchor moveWithCells="1">
                  <from>
                    <xdr:col>5</xdr:col>
                    <xdr:colOff>0</xdr:colOff>
                    <xdr:row>13</xdr:row>
                    <xdr:rowOff>0</xdr:rowOff>
                  </from>
                  <to>
                    <xdr:col>12</xdr:col>
                    <xdr:colOff>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" r:id="rId5" name="Флажок 2">
              <controlPr defaultSize="0" autoFill="0" autoLine="0" autoPict="0" altText="Наличие колон, выступов">
                <anchor moveWithCells="1">
                  <from>
                    <xdr:col>28</xdr:col>
                    <xdr:colOff>66675</xdr:colOff>
                    <xdr:row>10</xdr:row>
                    <xdr:rowOff>142875</xdr:rowOff>
                  </from>
                  <to>
                    <xdr:col>29</xdr:col>
                    <xdr:colOff>114300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6" name="Check Box 7">
              <controlPr defaultSize="0" autoFill="0" autoLine="0" autoPict="0">
                <anchor moveWithCells="1">
                  <from>
                    <xdr:col>3</xdr:col>
                    <xdr:colOff>123825</xdr:colOff>
                    <xdr:row>12</xdr:row>
                    <xdr:rowOff>38100</xdr:rowOff>
                  </from>
                  <to>
                    <xdr:col>5</xdr:col>
                    <xdr:colOff>47625</xdr:colOff>
                    <xdr:row>14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7" name="Check Box 7">
              <controlPr defaultSize="0" autoFill="0" autoLine="0" autoPict="0">
                <anchor moveWithCells="1">
                  <from>
                    <xdr:col>24</xdr:col>
                    <xdr:colOff>142875</xdr:colOff>
                    <xdr:row>12</xdr:row>
                    <xdr:rowOff>0</xdr:rowOff>
                  </from>
                  <to>
                    <xdr:col>26</xdr:col>
                    <xdr:colOff>47625</xdr:colOff>
                    <xdr:row>14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8" name="Check Box 7">
              <controlPr defaultSize="0" autoFill="0" autoLine="0" autoPict="0">
                <anchor moveWithCells="1">
                  <from>
                    <xdr:col>32</xdr:col>
                    <xdr:colOff>47625</xdr:colOff>
                    <xdr:row>12</xdr:row>
                    <xdr:rowOff>9525</xdr:rowOff>
                  </from>
                  <to>
                    <xdr:col>33</xdr:col>
                    <xdr:colOff>123825</xdr:colOff>
                    <xdr:row>14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9" name="Group Box 34">
              <controlPr defaultSize="0" autoFill="0" autoPict="0">
                <anchor moveWithCells="1">
                  <from>
                    <xdr:col>26</xdr:col>
                    <xdr:colOff>0</xdr:colOff>
                    <xdr:row>12</xdr:row>
                    <xdr:rowOff>57150</xdr:rowOff>
                  </from>
                  <to>
                    <xdr:col>34</xdr:col>
                    <xdr:colOff>0</xdr:colOff>
                    <xdr:row>18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10" name="Option Button 37">
              <controlPr defaultSize="0" autoFill="0" autoLine="0" autoPict="0">
                <anchor moveWithCells="1">
                  <from>
                    <xdr:col>5</xdr:col>
                    <xdr:colOff>28575</xdr:colOff>
                    <xdr:row>13</xdr:row>
                    <xdr:rowOff>142875</xdr:rowOff>
                  </from>
                  <to>
                    <xdr:col>6</xdr:col>
                    <xdr:colOff>66675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11" name="Option Button 38">
              <controlPr defaultSize="0" autoFill="0" autoLine="0" autoPict="0">
                <anchor moveWithCells="1">
                  <from>
                    <xdr:col>5</xdr:col>
                    <xdr:colOff>28575</xdr:colOff>
                    <xdr:row>14</xdr:row>
                    <xdr:rowOff>142875</xdr:rowOff>
                  </from>
                  <to>
                    <xdr:col>6</xdr:col>
                    <xdr:colOff>66675</xdr:colOff>
                    <xdr:row>16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12" name="Option Button 39">
              <controlPr defaultSize="0" autoFill="0" autoLine="0" autoPict="0">
                <anchor moveWithCells="1">
                  <from>
                    <xdr:col>26</xdr:col>
                    <xdr:colOff>38100</xdr:colOff>
                    <xdr:row>14</xdr:row>
                    <xdr:rowOff>152400</xdr:rowOff>
                  </from>
                  <to>
                    <xdr:col>27</xdr:col>
                    <xdr:colOff>85725</xdr:colOff>
                    <xdr:row>16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13" name="Option Button 40">
              <controlPr defaultSize="0" autoFill="0" autoLine="0" autoPict="0">
                <anchor moveWithCells="1">
                  <from>
                    <xdr:col>26</xdr:col>
                    <xdr:colOff>38100</xdr:colOff>
                    <xdr:row>15</xdr:row>
                    <xdr:rowOff>142875</xdr:rowOff>
                  </from>
                  <to>
                    <xdr:col>27</xdr:col>
                    <xdr:colOff>85725</xdr:colOff>
                    <xdr:row>17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14" name="Check Box 41">
              <controlPr defaultSize="0" autoFill="0" autoLine="0" autoPict="0">
                <anchor moveWithCells="1">
                  <from>
                    <xdr:col>3</xdr:col>
                    <xdr:colOff>95250</xdr:colOff>
                    <xdr:row>21</xdr:row>
                    <xdr:rowOff>28575</xdr:rowOff>
                  </from>
                  <to>
                    <xdr:col>4</xdr:col>
                    <xdr:colOff>133350</xdr:colOff>
                    <xdr:row>22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W406"/>
  <sheetViews>
    <sheetView view="pageBreakPreview" zoomScale="85" zoomScaleNormal="100" zoomScaleSheetLayoutView="85" workbookViewId="0">
      <selection activeCell="AK29" sqref="AK29"/>
    </sheetView>
  </sheetViews>
  <sheetFormatPr defaultColWidth="9.140625" defaultRowHeight="12" x14ac:dyDescent="0.25"/>
  <cols>
    <col min="1" max="8" width="2.42578125" style="73" customWidth="1"/>
    <col min="9" max="9" width="2.5703125" style="73" customWidth="1"/>
    <col min="10" max="10" width="4.7109375" style="73" bestFit="1" customWidth="1"/>
    <col min="11" max="11" width="1.7109375" style="73" customWidth="1"/>
    <col min="12" max="12" width="3.140625" style="73" bestFit="1" customWidth="1"/>
    <col min="13" max="13" width="1.7109375" style="73" bestFit="1" customWidth="1"/>
    <col min="14" max="14" width="3.140625" style="73" bestFit="1" customWidth="1"/>
    <col min="15" max="15" width="1.7109375" style="73" bestFit="1" customWidth="1"/>
    <col min="16" max="16" width="3.140625" style="73" bestFit="1" customWidth="1"/>
    <col min="17" max="17" width="1.5703125" style="73" bestFit="1" customWidth="1"/>
    <col min="18" max="18" width="3.140625" style="73" bestFit="1" customWidth="1"/>
    <col min="19" max="19" width="1.7109375" style="73" bestFit="1" customWidth="1"/>
    <col min="20" max="20" width="3.140625" style="73" bestFit="1" customWidth="1"/>
    <col min="21" max="21" width="1.7109375" style="73" bestFit="1" customWidth="1"/>
    <col min="22" max="22" width="3.140625" style="73" bestFit="1" customWidth="1"/>
    <col min="23" max="23" width="1.5703125" style="73" bestFit="1" customWidth="1"/>
    <col min="24" max="24" width="3.140625" style="73" bestFit="1" customWidth="1"/>
    <col min="25" max="45" width="2.5703125" style="73" customWidth="1"/>
    <col min="46" max="16384" width="9.140625" style="73"/>
  </cols>
  <sheetData>
    <row r="1" spans="1:49" ht="4.5" customHeight="1" thickBot="1" x14ac:dyDescent="0.3">
      <c r="A1" s="288"/>
      <c r="B1" s="289"/>
      <c r="C1" s="289"/>
      <c r="D1" s="289"/>
      <c r="E1" s="289"/>
      <c r="F1" s="289"/>
      <c r="G1" s="289"/>
      <c r="H1" s="289"/>
      <c r="I1" s="289"/>
      <c r="J1" s="289"/>
      <c r="K1" s="289"/>
      <c r="L1" s="289"/>
      <c r="M1" s="289"/>
      <c r="N1" s="289"/>
      <c r="O1" s="289"/>
      <c r="P1" s="289"/>
      <c r="Q1" s="289"/>
      <c r="R1" s="289"/>
      <c r="S1" s="289"/>
      <c r="T1" s="289"/>
      <c r="U1" s="289"/>
      <c r="V1" s="289"/>
      <c r="W1" s="289"/>
      <c r="X1" s="289"/>
      <c r="Y1" s="289"/>
      <c r="Z1" s="289"/>
      <c r="AA1" s="289"/>
      <c r="AB1" s="289"/>
      <c r="AC1" s="289"/>
      <c r="AD1" s="289"/>
      <c r="AE1" s="289"/>
      <c r="AF1" s="289"/>
      <c r="AG1" s="289"/>
      <c r="AH1" s="290"/>
    </row>
    <row r="2" spans="1:49" ht="15" customHeight="1" x14ac:dyDescent="0.25">
      <c r="A2" s="288" t="s">
        <v>152</v>
      </c>
      <c r="B2" s="289"/>
      <c r="C2" s="289"/>
      <c r="D2" s="289"/>
      <c r="E2" s="290"/>
      <c r="F2" s="288"/>
      <c r="G2" s="289"/>
      <c r="H2" s="289"/>
      <c r="I2" s="289"/>
      <c r="J2" s="289"/>
      <c r="K2" s="289"/>
      <c r="L2" s="289"/>
      <c r="M2" s="289"/>
      <c r="N2" s="289"/>
      <c r="O2" s="289"/>
      <c r="P2" s="289"/>
      <c r="Q2" s="289"/>
      <c r="R2" s="289"/>
      <c r="S2" s="289"/>
      <c r="T2" s="290"/>
      <c r="U2" s="288" t="s">
        <v>153</v>
      </c>
      <c r="V2" s="289"/>
      <c r="W2" s="289"/>
      <c r="X2" s="289"/>
      <c r="Y2" s="290"/>
      <c r="Z2" s="288"/>
      <c r="AA2" s="289"/>
      <c r="AB2" s="289"/>
      <c r="AC2" s="289"/>
      <c r="AD2" s="289"/>
      <c r="AE2" s="289"/>
      <c r="AF2" s="289"/>
      <c r="AG2" s="289"/>
      <c r="AH2" s="290"/>
      <c r="AT2" s="73" t="s">
        <v>160</v>
      </c>
      <c r="AU2" s="73" t="s">
        <v>186</v>
      </c>
      <c r="AV2" s="73" t="s">
        <v>36</v>
      </c>
      <c r="AW2" s="73" t="s">
        <v>205</v>
      </c>
    </row>
    <row r="3" spans="1:49" ht="15" customHeight="1" x14ac:dyDescent="0.25">
      <c r="A3" s="291"/>
      <c r="B3" s="292"/>
      <c r="C3" s="292"/>
      <c r="D3" s="292"/>
      <c r="E3" s="293"/>
      <c r="F3" s="294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  <c r="R3" s="295"/>
      <c r="S3" s="295"/>
      <c r="T3" s="296"/>
      <c r="U3" s="291"/>
      <c r="V3" s="292"/>
      <c r="W3" s="292"/>
      <c r="X3" s="292"/>
      <c r="Y3" s="293"/>
      <c r="Z3" s="294"/>
      <c r="AA3" s="295"/>
      <c r="AB3" s="295"/>
      <c r="AC3" s="295"/>
      <c r="AD3" s="295"/>
      <c r="AE3" s="295"/>
      <c r="AF3" s="295"/>
      <c r="AG3" s="295"/>
      <c r="AH3" s="296"/>
      <c r="AT3" s="73" t="s">
        <v>161</v>
      </c>
      <c r="AU3" s="73" t="s">
        <v>187</v>
      </c>
      <c r="AV3" s="73" t="s">
        <v>165</v>
      </c>
      <c r="AW3" s="73" t="s">
        <v>206</v>
      </c>
    </row>
    <row r="4" spans="1:49" ht="15" customHeight="1" x14ac:dyDescent="0.25">
      <c r="A4" s="297" t="s">
        <v>154</v>
      </c>
      <c r="B4" s="269"/>
      <c r="C4" s="269"/>
      <c r="D4" s="269"/>
      <c r="E4" s="270"/>
      <c r="F4" s="301"/>
      <c r="G4" s="263"/>
      <c r="H4" s="263"/>
      <c r="I4" s="263"/>
      <c r="J4" s="263"/>
      <c r="K4" s="263"/>
      <c r="L4" s="263"/>
      <c r="M4" s="263"/>
      <c r="N4" s="263"/>
      <c r="O4" s="263"/>
      <c r="P4" s="263"/>
      <c r="Q4" s="263"/>
      <c r="R4" s="263"/>
      <c r="S4" s="263"/>
      <c r="T4" s="302"/>
      <c r="U4" s="301" t="s">
        <v>155</v>
      </c>
      <c r="V4" s="263"/>
      <c r="W4" s="263"/>
      <c r="X4" s="263"/>
      <c r="Y4" s="302"/>
      <c r="Z4" s="292"/>
      <c r="AA4" s="292"/>
      <c r="AB4" s="292"/>
      <c r="AC4" s="292"/>
      <c r="AD4" s="292"/>
      <c r="AE4" s="292"/>
      <c r="AF4" s="292"/>
      <c r="AG4" s="292"/>
      <c r="AH4" s="293"/>
      <c r="AU4" s="73" t="s">
        <v>188</v>
      </c>
      <c r="AV4" s="73" t="s">
        <v>167</v>
      </c>
      <c r="AW4" s="73" t="s">
        <v>207</v>
      </c>
    </row>
    <row r="5" spans="1:49" ht="15" customHeight="1" x14ac:dyDescent="0.25">
      <c r="A5" s="298"/>
      <c r="B5" s="299"/>
      <c r="C5" s="299"/>
      <c r="D5" s="299"/>
      <c r="E5" s="300"/>
      <c r="F5" s="294"/>
      <c r="G5" s="295"/>
      <c r="H5" s="295"/>
      <c r="I5" s="295"/>
      <c r="J5" s="295"/>
      <c r="K5" s="295"/>
      <c r="L5" s="295"/>
      <c r="M5" s="295"/>
      <c r="N5" s="295"/>
      <c r="O5" s="295"/>
      <c r="P5" s="295"/>
      <c r="Q5" s="295"/>
      <c r="R5" s="295"/>
      <c r="S5" s="295"/>
      <c r="T5" s="296"/>
      <c r="U5" s="294"/>
      <c r="V5" s="295"/>
      <c r="W5" s="295"/>
      <c r="X5" s="295"/>
      <c r="Y5" s="296"/>
      <c r="Z5" s="292"/>
      <c r="AA5" s="292"/>
      <c r="AB5" s="292"/>
      <c r="AC5" s="292"/>
      <c r="AD5" s="292"/>
      <c r="AE5" s="292"/>
      <c r="AF5" s="292"/>
      <c r="AG5" s="292"/>
      <c r="AH5" s="293"/>
      <c r="AV5" s="73" t="s">
        <v>166</v>
      </c>
      <c r="AW5" s="73" t="s">
        <v>208</v>
      </c>
    </row>
    <row r="6" spans="1:49" ht="15" customHeight="1" x14ac:dyDescent="0.25">
      <c r="A6" s="297" t="s">
        <v>156</v>
      </c>
      <c r="B6" s="269"/>
      <c r="C6" s="269"/>
      <c r="D6" s="269"/>
      <c r="E6" s="270"/>
      <c r="F6" s="301"/>
      <c r="G6" s="263"/>
      <c r="H6" s="263"/>
      <c r="I6" s="263"/>
      <c r="J6" s="263"/>
      <c r="K6" s="263"/>
      <c r="L6" s="263"/>
      <c r="M6" s="263"/>
      <c r="N6" s="263"/>
      <c r="O6" s="263"/>
      <c r="P6" s="263"/>
      <c r="Q6" s="263"/>
      <c r="R6" s="263"/>
      <c r="S6" s="263"/>
      <c r="T6" s="302"/>
      <c r="U6" s="297" t="s">
        <v>157</v>
      </c>
      <c r="V6" s="269"/>
      <c r="W6" s="269"/>
      <c r="X6" s="269"/>
      <c r="Y6" s="270"/>
      <c r="Z6" s="274"/>
      <c r="AA6" s="275"/>
      <c r="AB6" s="275"/>
      <c r="AC6" s="275"/>
      <c r="AD6" s="275"/>
      <c r="AE6" s="275"/>
      <c r="AF6" s="275"/>
      <c r="AG6" s="275"/>
      <c r="AH6" s="281"/>
    </row>
    <row r="7" spans="1:49" ht="15" customHeight="1" x14ac:dyDescent="0.25">
      <c r="A7" s="303"/>
      <c r="B7" s="304"/>
      <c r="C7" s="304"/>
      <c r="D7" s="304"/>
      <c r="E7" s="305"/>
      <c r="F7" s="294"/>
      <c r="G7" s="295"/>
      <c r="H7" s="295"/>
      <c r="I7" s="295"/>
      <c r="J7" s="295"/>
      <c r="K7" s="295"/>
      <c r="L7" s="295"/>
      <c r="M7" s="295"/>
      <c r="N7" s="295"/>
      <c r="O7" s="295"/>
      <c r="P7" s="295"/>
      <c r="Q7" s="295"/>
      <c r="R7" s="295"/>
      <c r="S7" s="295"/>
      <c r="T7" s="296"/>
      <c r="U7" s="303"/>
      <c r="V7" s="304"/>
      <c r="W7" s="304"/>
      <c r="X7" s="304"/>
      <c r="Y7" s="305"/>
      <c r="Z7" s="274"/>
      <c r="AA7" s="275"/>
      <c r="AB7" s="275"/>
      <c r="AC7" s="275"/>
      <c r="AD7" s="275"/>
      <c r="AE7" s="275"/>
      <c r="AF7" s="275"/>
      <c r="AG7" s="275"/>
      <c r="AH7" s="281"/>
    </row>
    <row r="8" spans="1:49" ht="15" customHeight="1" x14ac:dyDescent="0.25">
      <c r="A8" s="301" t="s">
        <v>158</v>
      </c>
      <c r="B8" s="263"/>
      <c r="C8" s="263"/>
      <c r="D8" s="263"/>
      <c r="E8" s="302"/>
      <c r="F8" s="292"/>
      <c r="G8" s="292"/>
      <c r="H8" s="292"/>
      <c r="I8" s="292"/>
      <c r="J8" s="292"/>
      <c r="K8" s="292"/>
      <c r="L8" s="292"/>
      <c r="M8" s="292"/>
      <c r="N8" s="292"/>
      <c r="O8" s="292"/>
      <c r="P8" s="292"/>
      <c r="Q8" s="292"/>
      <c r="R8" s="292"/>
      <c r="S8" s="292"/>
      <c r="T8" s="292"/>
      <c r="U8" s="292"/>
      <c r="V8" s="292"/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1:49" ht="15" customHeight="1" x14ac:dyDescent="0.25">
      <c r="A9" s="291"/>
      <c r="B9" s="292"/>
      <c r="C9" s="292"/>
      <c r="D9" s="292"/>
      <c r="E9" s="293"/>
      <c r="F9" s="292"/>
      <c r="G9" s="292"/>
      <c r="H9" s="292"/>
      <c r="I9" s="292"/>
      <c r="J9" s="292"/>
      <c r="K9" s="292"/>
      <c r="L9" s="292"/>
      <c r="M9" s="292"/>
      <c r="N9" s="292"/>
      <c r="O9" s="292"/>
      <c r="P9" s="292"/>
      <c r="Q9" s="292"/>
      <c r="R9" s="292"/>
      <c r="S9" s="292"/>
      <c r="T9" s="292"/>
      <c r="U9" s="29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1:49" ht="15" customHeight="1" x14ac:dyDescent="0.25">
      <c r="A10" s="294"/>
      <c r="B10" s="295"/>
      <c r="C10" s="295"/>
      <c r="D10" s="295"/>
      <c r="E10" s="296"/>
      <c r="F10" s="292"/>
      <c r="G10" s="292"/>
      <c r="H10" s="292"/>
      <c r="I10" s="292"/>
      <c r="J10" s="292"/>
      <c r="K10" s="292"/>
      <c r="L10" s="292"/>
      <c r="M10" s="292"/>
      <c r="N10" s="292"/>
      <c r="O10" s="292"/>
      <c r="P10" s="292"/>
      <c r="Q10" s="292"/>
      <c r="R10" s="292"/>
      <c r="S10" s="292"/>
      <c r="T10" s="292"/>
      <c r="U10" s="292"/>
      <c r="V10" s="292"/>
      <c r="W10" s="292"/>
      <c r="X10" s="292"/>
      <c r="Y10" s="292"/>
      <c r="Z10" s="292"/>
      <c r="AA10" s="292"/>
      <c r="AB10" s="292"/>
      <c r="AC10" s="292"/>
      <c r="AD10" s="292"/>
      <c r="AE10" s="292"/>
      <c r="AF10" s="292"/>
      <c r="AG10" s="292"/>
      <c r="AH10" s="293"/>
    </row>
    <row r="11" spans="1:49" ht="14.1" customHeight="1" x14ac:dyDescent="0.25">
      <c r="A11" s="297" t="s">
        <v>176</v>
      </c>
      <c r="B11" s="269"/>
      <c r="C11" s="269"/>
      <c r="D11" s="269"/>
      <c r="E11" s="270"/>
      <c r="F11" s="301" t="s">
        <v>177</v>
      </c>
      <c r="G11" s="263"/>
      <c r="H11" s="263"/>
      <c r="I11" s="264"/>
      <c r="J11" s="262"/>
      <c r="K11" s="263"/>
      <c r="L11" s="264"/>
      <c r="M11" s="262" t="s">
        <v>178</v>
      </c>
      <c r="N11" s="263"/>
      <c r="O11" s="263"/>
      <c r="P11" s="264"/>
      <c r="Q11" s="262"/>
      <c r="R11" s="263"/>
      <c r="S11" s="263"/>
      <c r="T11" s="264"/>
      <c r="U11" s="262" t="s">
        <v>179</v>
      </c>
      <c r="V11" s="263"/>
      <c r="W11" s="263"/>
      <c r="X11" s="264"/>
      <c r="Y11" s="262"/>
      <c r="Z11" s="263"/>
      <c r="AA11" s="263"/>
      <c r="AB11" s="264"/>
      <c r="AC11" s="268" t="s">
        <v>192</v>
      </c>
      <c r="AD11" s="269"/>
      <c r="AE11" s="269"/>
      <c r="AF11" s="269"/>
      <c r="AG11" s="269"/>
      <c r="AH11" s="270"/>
    </row>
    <row r="12" spans="1:49" ht="14.1" customHeight="1" thickBot="1" x14ac:dyDescent="0.3">
      <c r="A12" s="306"/>
      <c r="B12" s="272"/>
      <c r="C12" s="272"/>
      <c r="D12" s="272"/>
      <c r="E12" s="273"/>
      <c r="F12" s="307"/>
      <c r="G12" s="266"/>
      <c r="H12" s="266"/>
      <c r="I12" s="267"/>
      <c r="J12" s="265"/>
      <c r="K12" s="266"/>
      <c r="L12" s="267"/>
      <c r="M12" s="265"/>
      <c r="N12" s="266"/>
      <c r="O12" s="266"/>
      <c r="P12" s="267"/>
      <c r="Q12" s="265"/>
      <c r="R12" s="266"/>
      <c r="S12" s="266"/>
      <c r="T12" s="267"/>
      <c r="U12" s="265"/>
      <c r="V12" s="266"/>
      <c r="W12" s="266"/>
      <c r="X12" s="267"/>
      <c r="Y12" s="265"/>
      <c r="Z12" s="266"/>
      <c r="AA12" s="266"/>
      <c r="AB12" s="267"/>
      <c r="AC12" s="271"/>
      <c r="AD12" s="272"/>
      <c r="AE12" s="272"/>
      <c r="AF12" s="272"/>
      <c r="AG12" s="272"/>
      <c r="AH12" s="273"/>
    </row>
    <row r="13" spans="1:49" ht="4.5" customHeight="1" thickBot="1" x14ac:dyDescent="0.3">
      <c r="A13" s="309"/>
      <c r="B13" s="310"/>
      <c r="C13" s="310"/>
      <c r="D13" s="310"/>
      <c r="E13" s="310"/>
      <c r="F13" s="289"/>
      <c r="G13" s="289"/>
      <c r="H13" s="289"/>
      <c r="I13" s="289"/>
      <c r="J13" s="289"/>
      <c r="K13" s="289"/>
      <c r="L13" s="289"/>
      <c r="M13" s="289"/>
      <c r="N13" s="289"/>
      <c r="O13" s="289"/>
      <c r="P13" s="289"/>
      <c r="Q13" s="289"/>
      <c r="R13" s="289"/>
      <c r="S13" s="289"/>
      <c r="T13" s="289"/>
      <c r="U13" s="310"/>
      <c r="V13" s="310"/>
      <c r="W13" s="310"/>
      <c r="X13" s="310"/>
      <c r="Y13" s="310"/>
      <c r="Z13" s="310"/>
      <c r="AA13" s="289"/>
      <c r="AB13" s="289"/>
      <c r="AC13" s="289"/>
      <c r="AD13" s="289"/>
      <c r="AE13" s="289"/>
      <c r="AF13" s="289"/>
      <c r="AG13" s="289"/>
      <c r="AH13" s="290"/>
    </row>
    <row r="14" spans="1:49" ht="14.1" customHeight="1" x14ac:dyDescent="0.25">
      <c r="A14" s="312" t="s">
        <v>159</v>
      </c>
      <c r="B14" s="313"/>
      <c r="C14" s="313"/>
      <c r="D14" s="313"/>
      <c r="E14" s="321"/>
      <c r="F14" s="311" t="s">
        <v>1</v>
      </c>
      <c r="G14" s="284"/>
      <c r="H14" s="284"/>
      <c r="I14" s="284"/>
      <c r="J14" s="284"/>
      <c r="K14" s="284"/>
      <c r="L14" s="285"/>
      <c r="M14" s="283" t="s">
        <v>168</v>
      </c>
      <c r="N14" s="284"/>
      <c r="O14" s="284"/>
      <c r="P14" s="284"/>
      <c r="Q14" s="284"/>
      <c r="R14" s="284"/>
      <c r="S14" s="284"/>
      <c r="T14" s="308"/>
      <c r="U14" s="312" t="s">
        <v>189</v>
      </c>
      <c r="V14" s="313"/>
      <c r="W14" s="313"/>
      <c r="X14" s="313"/>
      <c r="Y14" s="313"/>
      <c r="Z14" s="313"/>
      <c r="AA14" s="283" t="s">
        <v>191</v>
      </c>
      <c r="AB14" s="284"/>
      <c r="AC14" s="284"/>
      <c r="AD14" s="284"/>
      <c r="AE14" s="284"/>
      <c r="AF14" s="284"/>
      <c r="AG14" s="284"/>
      <c r="AH14" s="308"/>
    </row>
    <row r="15" spans="1:49" ht="14.1" customHeight="1" x14ac:dyDescent="0.25">
      <c r="A15" s="298"/>
      <c r="B15" s="299"/>
      <c r="C15" s="299"/>
      <c r="D15" s="299"/>
      <c r="E15" s="300"/>
      <c r="F15" s="314" t="s">
        <v>163</v>
      </c>
      <c r="G15" s="315"/>
      <c r="H15" s="315"/>
      <c r="I15" s="315"/>
      <c r="J15" s="315"/>
      <c r="K15" s="315"/>
      <c r="L15" s="316"/>
      <c r="M15" s="274" t="s">
        <v>182</v>
      </c>
      <c r="N15" s="275"/>
      <c r="O15" s="275"/>
      <c r="P15" s="275"/>
      <c r="Q15" s="275" t="s">
        <v>183</v>
      </c>
      <c r="R15" s="275"/>
      <c r="S15" s="275"/>
      <c r="T15" s="281"/>
      <c r="U15" s="298"/>
      <c r="V15" s="299"/>
      <c r="W15" s="299"/>
      <c r="X15" s="299"/>
      <c r="Y15" s="299"/>
      <c r="Z15" s="299"/>
      <c r="AA15" s="274" t="s">
        <v>175</v>
      </c>
      <c r="AB15" s="275"/>
      <c r="AC15" s="275"/>
      <c r="AD15" s="275"/>
      <c r="AE15" s="275"/>
      <c r="AF15" s="275"/>
      <c r="AG15" s="275"/>
      <c r="AH15" s="281"/>
    </row>
    <row r="16" spans="1:49" ht="14.1" customHeight="1" thickBot="1" x14ac:dyDescent="0.3">
      <c r="A16" s="298"/>
      <c r="B16" s="299"/>
      <c r="C16" s="299"/>
      <c r="D16" s="299"/>
      <c r="E16" s="300"/>
      <c r="F16" s="317" t="s">
        <v>180</v>
      </c>
      <c r="G16" s="275"/>
      <c r="H16" s="275"/>
      <c r="I16" s="275"/>
      <c r="J16" s="275"/>
      <c r="K16" s="275"/>
      <c r="L16" s="276"/>
      <c r="M16" s="319"/>
      <c r="N16" s="320"/>
      <c r="O16" s="287" t="s">
        <v>181</v>
      </c>
      <c r="P16" s="287"/>
      <c r="Q16" s="320"/>
      <c r="R16" s="320"/>
      <c r="S16" s="287" t="s">
        <v>181</v>
      </c>
      <c r="T16" s="318"/>
      <c r="U16" s="298"/>
      <c r="V16" s="299"/>
      <c r="W16" s="299"/>
      <c r="X16" s="299"/>
      <c r="Y16" s="299"/>
      <c r="Z16" s="299"/>
      <c r="AA16" s="274" t="s">
        <v>163</v>
      </c>
      <c r="AB16" s="275"/>
      <c r="AC16" s="275"/>
      <c r="AD16" s="275"/>
      <c r="AE16" s="275"/>
      <c r="AF16" s="275"/>
      <c r="AG16" s="275"/>
      <c r="AH16" s="281"/>
    </row>
    <row r="17" spans="1:34" ht="14.1" customHeight="1" x14ac:dyDescent="0.25">
      <c r="A17" s="298"/>
      <c r="B17" s="299"/>
      <c r="C17" s="299"/>
      <c r="D17" s="299"/>
      <c r="E17" s="300"/>
      <c r="F17" s="317"/>
      <c r="G17" s="275"/>
      <c r="H17" s="275"/>
      <c r="I17" s="275"/>
      <c r="J17" s="275" t="str">
        <f>J18</f>
        <v>Гкал/ч</v>
      </c>
      <c r="K17" s="275"/>
      <c r="L17" s="276"/>
      <c r="M17" s="283" t="s">
        <v>169</v>
      </c>
      <c r="N17" s="284"/>
      <c r="O17" s="284"/>
      <c r="P17" s="284"/>
      <c r="Q17" s="284"/>
      <c r="R17" s="284"/>
      <c r="S17" s="284"/>
      <c r="T17" s="285"/>
      <c r="U17" s="283" t="s">
        <v>190</v>
      </c>
      <c r="V17" s="284"/>
      <c r="W17" s="284"/>
      <c r="X17" s="284"/>
      <c r="Y17" s="284"/>
      <c r="Z17" s="285"/>
      <c r="AA17" s="274" t="s">
        <v>180</v>
      </c>
      <c r="AB17" s="275"/>
      <c r="AC17" s="275"/>
      <c r="AD17" s="275"/>
      <c r="AE17" s="275"/>
      <c r="AF17" s="275"/>
      <c r="AG17" s="275"/>
      <c r="AH17" s="281"/>
    </row>
    <row r="18" spans="1:34" ht="14.1" customHeight="1" x14ac:dyDescent="0.25">
      <c r="A18" s="298"/>
      <c r="B18" s="299"/>
      <c r="C18" s="299"/>
      <c r="D18" s="299"/>
      <c r="E18" s="300"/>
      <c r="F18" s="317"/>
      <c r="G18" s="275"/>
      <c r="H18" s="275"/>
      <c r="I18" s="275"/>
      <c r="J18" s="275" t="s">
        <v>36</v>
      </c>
      <c r="K18" s="275"/>
      <c r="L18" s="276"/>
      <c r="M18" s="274" t="s">
        <v>184</v>
      </c>
      <c r="N18" s="275"/>
      <c r="O18" s="275"/>
      <c r="P18" s="275"/>
      <c r="Q18" s="275" t="s">
        <v>185</v>
      </c>
      <c r="R18" s="275"/>
      <c r="S18" s="275"/>
      <c r="T18" s="276"/>
      <c r="U18" s="274"/>
      <c r="V18" s="275"/>
      <c r="W18" s="275"/>
      <c r="X18" s="275"/>
      <c r="Y18" s="275"/>
      <c r="Z18" s="276"/>
      <c r="AA18" s="274" t="s">
        <v>161</v>
      </c>
      <c r="AB18" s="275"/>
      <c r="AC18" s="275"/>
      <c r="AD18" s="275"/>
      <c r="AE18" s="275"/>
      <c r="AF18" s="275"/>
      <c r="AG18" s="275"/>
      <c r="AH18" s="281"/>
    </row>
    <row r="19" spans="1:34" ht="14.1" customHeight="1" thickBot="1" x14ac:dyDescent="0.3">
      <c r="A19" s="298"/>
      <c r="B19" s="299"/>
      <c r="C19" s="299"/>
      <c r="D19" s="299"/>
      <c r="E19" s="300"/>
      <c r="F19" s="324"/>
      <c r="G19" s="280"/>
      <c r="H19" s="280"/>
      <c r="I19" s="280"/>
      <c r="J19" s="280"/>
      <c r="K19" s="280"/>
      <c r="L19" s="286"/>
      <c r="M19" s="279"/>
      <c r="N19" s="280"/>
      <c r="O19" s="277" t="s">
        <v>186</v>
      </c>
      <c r="P19" s="277"/>
      <c r="Q19" s="280"/>
      <c r="R19" s="280"/>
      <c r="S19" s="277" t="s">
        <v>186</v>
      </c>
      <c r="T19" s="278"/>
      <c r="U19" s="279"/>
      <c r="V19" s="280"/>
      <c r="W19" s="280"/>
      <c r="X19" s="280"/>
      <c r="Y19" s="280" t="s">
        <v>188</v>
      </c>
      <c r="Z19" s="286"/>
      <c r="AA19" s="279"/>
      <c r="AB19" s="280"/>
      <c r="AC19" s="280"/>
      <c r="AD19" s="280"/>
      <c r="AE19" s="280"/>
      <c r="AF19" s="280"/>
      <c r="AG19" s="280"/>
      <c r="AH19" s="282"/>
    </row>
    <row r="20" spans="1:34" ht="14.1" customHeight="1" thickBot="1" x14ac:dyDescent="0.3">
      <c r="A20" s="306"/>
      <c r="B20" s="272"/>
      <c r="C20" s="272"/>
      <c r="D20" s="272"/>
      <c r="E20" s="273"/>
      <c r="F20" s="89"/>
      <c r="G20" s="90"/>
      <c r="H20" s="90"/>
      <c r="I20" s="90"/>
      <c r="J20" s="84" t="s">
        <v>2</v>
      </c>
      <c r="K20" s="84" t="s">
        <v>92</v>
      </c>
      <c r="L20" s="84" t="s">
        <v>93</v>
      </c>
      <c r="M20" s="84" t="s">
        <v>92</v>
      </c>
      <c r="N20" s="84" t="s">
        <v>94</v>
      </c>
      <c r="O20" s="84" t="s">
        <v>92</v>
      </c>
      <c r="P20" s="84" t="s">
        <v>95</v>
      </c>
      <c r="Q20" s="84" t="s">
        <v>96</v>
      </c>
      <c r="R20" s="84" t="s">
        <v>97</v>
      </c>
      <c r="S20" s="84" t="s">
        <v>92</v>
      </c>
      <c r="T20" s="84" t="s">
        <v>98</v>
      </c>
      <c r="U20" s="84" t="s">
        <v>92</v>
      </c>
      <c r="V20" s="84" t="s">
        <v>99</v>
      </c>
      <c r="W20" s="84" t="s">
        <v>96</v>
      </c>
      <c r="X20" s="84" t="s">
        <v>100</v>
      </c>
      <c r="Y20" s="90"/>
      <c r="Z20" s="90"/>
      <c r="AA20" s="90"/>
      <c r="AB20" s="90"/>
      <c r="AC20" s="90"/>
      <c r="AD20" s="90"/>
      <c r="AE20" s="90"/>
      <c r="AF20" s="90"/>
      <c r="AG20" s="90"/>
      <c r="AH20" s="91"/>
    </row>
    <row r="21" spans="1:34" ht="4.5" customHeight="1" thickBot="1" x14ac:dyDescent="0.3">
      <c r="A21" s="309"/>
      <c r="B21" s="310"/>
      <c r="C21" s="310"/>
      <c r="D21" s="310"/>
      <c r="E21" s="310"/>
      <c r="F21" s="289"/>
      <c r="G21" s="289"/>
      <c r="H21" s="289"/>
      <c r="I21" s="289"/>
      <c r="J21" s="289"/>
      <c r="K21" s="289"/>
      <c r="L21" s="289"/>
      <c r="M21" s="310"/>
      <c r="N21" s="310"/>
      <c r="O21" s="310"/>
      <c r="P21" s="310"/>
      <c r="Q21" s="310"/>
      <c r="R21" s="310"/>
      <c r="S21" s="310"/>
      <c r="T21" s="310"/>
      <c r="U21" s="289"/>
      <c r="V21" s="289"/>
      <c r="W21" s="289"/>
      <c r="X21" s="289"/>
      <c r="Y21" s="289"/>
      <c r="Z21" s="289"/>
      <c r="AA21" s="289"/>
      <c r="AB21" s="289"/>
      <c r="AC21" s="289"/>
      <c r="AD21" s="289"/>
      <c r="AE21" s="289"/>
      <c r="AF21" s="289"/>
      <c r="AG21" s="289"/>
      <c r="AH21" s="290"/>
    </row>
    <row r="22" spans="1:34" ht="14.1" customHeight="1" x14ac:dyDescent="0.25">
      <c r="A22" s="312" t="s">
        <v>193</v>
      </c>
      <c r="B22" s="313"/>
      <c r="C22" s="313"/>
      <c r="D22" s="313"/>
      <c r="E22" s="321"/>
      <c r="F22" s="311" t="s">
        <v>201</v>
      </c>
      <c r="G22" s="284"/>
      <c r="H22" s="284"/>
      <c r="I22" s="284"/>
      <c r="J22" s="284"/>
      <c r="K22" s="284"/>
      <c r="L22" s="308"/>
      <c r="M22" s="283" t="s">
        <v>1</v>
      </c>
      <c r="N22" s="284"/>
      <c r="O22" s="284"/>
      <c r="P22" s="284"/>
      <c r="Q22" s="284"/>
      <c r="R22" s="284"/>
      <c r="S22" s="284"/>
      <c r="T22" s="285"/>
      <c r="U22" s="283" t="s">
        <v>59</v>
      </c>
      <c r="V22" s="284"/>
      <c r="W22" s="284"/>
      <c r="X22" s="284"/>
      <c r="Y22" s="284"/>
      <c r="Z22" s="284"/>
      <c r="AA22" s="308"/>
      <c r="AB22" s="283" t="s">
        <v>209</v>
      </c>
      <c r="AC22" s="284"/>
      <c r="AD22" s="284"/>
      <c r="AE22" s="284"/>
      <c r="AF22" s="284"/>
      <c r="AG22" s="284"/>
      <c r="AH22" s="308"/>
    </row>
    <row r="23" spans="1:34" ht="14.1" customHeight="1" thickBot="1" x14ac:dyDescent="0.3">
      <c r="A23" s="298"/>
      <c r="B23" s="299"/>
      <c r="C23" s="299"/>
      <c r="D23" s="299"/>
      <c r="E23" s="300"/>
      <c r="F23" s="264" t="s">
        <v>197</v>
      </c>
      <c r="G23" s="320"/>
      <c r="H23" s="320"/>
      <c r="I23" s="320"/>
      <c r="J23" s="320"/>
      <c r="K23" s="320"/>
      <c r="L23" s="329"/>
      <c r="M23" s="279">
        <v>0.1</v>
      </c>
      <c r="N23" s="280"/>
      <c r="O23" s="280"/>
      <c r="P23" s="280"/>
      <c r="Q23" s="280" t="s">
        <v>36</v>
      </c>
      <c r="R23" s="280"/>
      <c r="S23" s="280"/>
      <c r="T23" s="286"/>
      <c r="U23" s="274" t="s">
        <v>212</v>
      </c>
      <c r="V23" s="275"/>
      <c r="W23" s="275"/>
      <c r="X23" s="275"/>
      <c r="Y23" s="275"/>
      <c r="Z23" s="275"/>
      <c r="AA23" s="281"/>
      <c r="AB23" s="274" t="s">
        <v>214</v>
      </c>
      <c r="AC23" s="275"/>
      <c r="AD23" s="275"/>
      <c r="AE23" s="275"/>
      <c r="AF23" s="275"/>
      <c r="AG23" s="275"/>
      <c r="AH23" s="281"/>
    </row>
    <row r="24" spans="1:34" ht="14.1" customHeight="1" x14ac:dyDescent="0.25">
      <c r="A24" s="298"/>
      <c r="B24" s="299"/>
      <c r="C24" s="299"/>
      <c r="D24" s="299"/>
      <c r="E24" s="300"/>
      <c r="F24" s="311" t="s">
        <v>203</v>
      </c>
      <c r="G24" s="284"/>
      <c r="H24" s="284"/>
      <c r="I24" s="284"/>
      <c r="J24" s="284"/>
      <c r="K24" s="284"/>
      <c r="L24" s="308"/>
      <c r="M24" s="283" t="s">
        <v>168</v>
      </c>
      <c r="N24" s="284"/>
      <c r="O24" s="284"/>
      <c r="P24" s="284"/>
      <c r="Q24" s="284"/>
      <c r="R24" s="284"/>
      <c r="S24" s="284"/>
      <c r="T24" s="285"/>
      <c r="U24" s="274" t="s">
        <v>211</v>
      </c>
      <c r="V24" s="275"/>
      <c r="W24" s="275"/>
      <c r="X24" s="275"/>
      <c r="Y24" s="275"/>
      <c r="Z24" s="275"/>
      <c r="AA24" s="281"/>
      <c r="AB24" s="274" t="s">
        <v>56</v>
      </c>
      <c r="AC24" s="275"/>
      <c r="AD24" s="275"/>
      <c r="AE24" s="275"/>
      <c r="AF24" s="275"/>
      <c r="AG24" s="275"/>
      <c r="AH24" s="281"/>
    </row>
    <row r="25" spans="1:34" ht="14.1" customHeight="1" thickBot="1" x14ac:dyDescent="0.3">
      <c r="A25" s="298"/>
      <c r="B25" s="299"/>
      <c r="C25" s="299"/>
      <c r="D25" s="299"/>
      <c r="E25" s="300"/>
      <c r="F25" s="317" t="s">
        <v>202</v>
      </c>
      <c r="G25" s="275"/>
      <c r="H25" s="275"/>
      <c r="I25" s="275"/>
      <c r="J25" s="275"/>
      <c r="K25" s="275"/>
      <c r="L25" s="281"/>
      <c r="M25" s="274" t="s">
        <v>194</v>
      </c>
      <c r="N25" s="275"/>
      <c r="O25" s="275"/>
      <c r="P25" s="275"/>
      <c r="Q25" s="275" t="s">
        <v>195</v>
      </c>
      <c r="R25" s="275"/>
      <c r="S25" s="275"/>
      <c r="T25" s="276"/>
      <c r="U25" s="279" t="s">
        <v>213</v>
      </c>
      <c r="V25" s="280"/>
      <c r="W25" s="280"/>
      <c r="X25" s="280"/>
      <c r="Y25" s="280"/>
      <c r="Z25" s="280"/>
      <c r="AA25" s="282"/>
      <c r="AB25" s="279" t="s">
        <v>57</v>
      </c>
      <c r="AC25" s="280"/>
      <c r="AD25" s="280"/>
      <c r="AE25" s="280"/>
      <c r="AF25" s="280"/>
      <c r="AG25" s="280"/>
      <c r="AH25" s="282"/>
    </row>
    <row r="26" spans="1:34" ht="14.1" customHeight="1" thickBot="1" x14ac:dyDescent="0.3">
      <c r="A26" s="298"/>
      <c r="B26" s="299"/>
      <c r="C26" s="299"/>
      <c r="D26" s="299"/>
      <c r="E26" s="300"/>
      <c r="F26" s="324" t="s">
        <v>126</v>
      </c>
      <c r="G26" s="280"/>
      <c r="H26" s="280"/>
      <c r="I26" s="280"/>
      <c r="J26" s="280"/>
      <c r="K26" s="280"/>
      <c r="L26" s="282"/>
      <c r="M26" s="279">
        <v>95</v>
      </c>
      <c r="N26" s="280"/>
      <c r="O26" s="277" t="s">
        <v>181</v>
      </c>
      <c r="P26" s="277"/>
      <c r="Q26" s="280">
        <v>70</v>
      </c>
      <c r="R26" s="280"/>
      <c r="S26" s="277" t="s">
        <v>181</v>
      </c>
      <c r="T26" s="278"/>
      <c r="U26" s="283" t="s">
        <v>52</v>
      </c>
      <c r="V26" s="284"/>
      <c r="W26" s="284"/>
      <c r="X26" s="284"/>
      <c r="Y26" s="284"/>
      <c r="Z26" s="284"/>
      <c r="AA26" s="308"/>
      <c r="AB26" s="283" t="s">
        <v>210</v>
      </c>
      <c r="AC26" s="284"/>
      <c r="AD26" s="284"/>
      <c r="AE26" s="284"/>
      <c r="AF26" s="284"/>
      <c r="AG26" s="284"/>
      <c r="AH26" s="308"/>
    </row>
    <row r="27" spans="1:34" ht="14.1" customHeight="1" x14ac:dyDescent="0.25">
      <c r="A27" s="298"/>
      <c r="B27" s="299"/>
      <c r="C27" s="299"/>
      <c r="D27" s="299"/>
      <c r="E27" s="300"/>
      <c r="F27" s="327" t="s">
        <v>204</v>
      </c>
      <c r="G27" s="327"/>
      <c r="H27" s="327"/>
      <c r="I27" s="327"/>
      <c r="J27" s="327"/>
      <c r="K27" s="327"/>
      <c r="L27" s="328"/>
      <c r="M27" s="283" t="s">
        <v>198</v>
      </c>
      <c r="N27" s="284"/>
      <c r="O27" s="284"/>
      <c r="P27" s="284"/>
      <c r="Q27" s="284"/>
      <c r="R27" s="284"/>
      <c r="S27" s="284"/>
      <c r="T27" s="285"/>
      <c r="U27" s="274" t="s">
        <v>55</v>
      </c>
      <c r="V27" s="275"/>
      <c r="W27" s="275"/>
      <c r="X27" s="275"/>
      <c r="Y27" s="275"/>
      <c r="Z27" s="275"/>
      <c r="AA27" s="281"/>
      <c r="AB27" s="274" t="s">
        <v>215</v>
      </c>
      <c r="AC27" s="275"/>
      <c r="AD27" s="275"/>
      <c r="AE27" s="275"/>
      <c r="AF27" s="275"/>
      <c r="AG27" s="275"/>
      <c r="AH27" s="281"/>
    </row>
    <row r="28" spans="1:34" ht="14.1" customHeight="1" thickBot="1" x14ac:dyDescent="0.3">
      <c r="A28" s="298"/>
      <c r="B28" s="299"/>
      <c r="C28" s="299"/>
      <c r="D28" s="299"/>
      <c r="E28" s="300"/>
      <c r="F28" s="266" t="s">
        <v>205</v>
      </c>
      <c r="G28" s="266"/>
      <c r="H28" s="266"/>
      <c r="I28" s="266"/>
      <c r="J28" s="266"/>
      <c r="K28" s="266"/>
      <c r="L28" s="330"/>
      <c r="M28" s="279">
        <v>3</v>
      </c>
      <c r="N28" s="280"/>
      <c r="O28" s="280"/>
      <c r="P28" s="280"/>
      <c r="Q28" s="280" t="s">
        <v>188</v>
      </c>
      <c r="R28" s="280"/>
      <c r="S28" s="280"/>
      <c r="T28" s="286"/>
      <c r="U28" s="279" t="s">
        <v>57</v>
      </c>
      <c r="V28" s="280"/>
      <c r="W28" s="280"/>
      <c r="X28" s="280"/>
      <c r="Y28" s="280"/>
      <c r="Z28" s="280"/>
      <c r="AA28" s="282"/>
      <c r="AB28" s="279" t="s">
        <v>216</v>
      </c>
      <c r="AC28" s="280"/>
      <c r="AD28" s="280"/>
      <c r="AE28" s="280"/>
      <c r="AF28" s="280"/>
      <c r="AG28" s="280"/>
      <c r="AH28" s="282"/>
    </row>
    <row r="29" spans="1:34" ht="14.1" customHeight="1" thickBot="1" x14ac:dyDescent="0.3">
      <c r="A29" s="306"/>
      <c r="B29" s="272"/>
      <c r="C29" s="272"/>
      <c r="D29" s="272"/>
      <c r="E29" s="273"/>
      <c r="F29" s="81"/>
      <c r="G29" s="82"/>
      <c r="H29" s="82"/>
      <c r="I29" s="82"/>
      <c r="J29" s="82" t="s">
        <v>8</v>
      </c>
      <c r="K29" s="82" t="s">
        <v>92</v>
      </c>
      <c r="L29" s="82" t="s">
        <v>93</v>
      </c>
      <c r="M29" s="82" t="s">
        <v>92</v>
      </c>
      <c r="N29" s="82" t="s">
        <v>94</v>
      </c>
      <c r="O29" s="82" t="s">
        <v>92</v>
      </c>
      <c r="P29" s="82" t="s">
        <v>95</v>
      </c>
      <c r="Q29" s="82" t="s">
        <v>96</v>
      </c>
      <c r="R29" s="82" t="s">
        <v>97</v>
      </c>
      <c r="S29" s="82" t="s">
        <v>92</v>
      </c>
      <c r="T29" s="82" t="s">
        <v>98</v>
      </c>
      <c r="U29" s="82" t="s">
        <v>92</v>
      </c>
      <c r="V29" s="82" t="s">
        <v>99</v>
      </c>
      <c r="W29" s="82" t="s">
        <v>96</v>
      </c>
      <c r="X29" s="82" t="s">
        <v>100</v>
      </c>
      <c r="Y29" s="82"/>
      <c r="Z29" s="82"/>
      <c r="AA29" s="82"/>
      <c r="AB29" s="82"/>
      <c r="AC29" s="82"/>
      <c r="AD29" s="82"/>
      <c r="AE29" s="82"/>
      <c r="AF29" s="82"/>
      <c r="AG29" s="82"/>
      <c r="AH29" s="88"/>
    </row>
    <row r="30" spans="1:34" ht="4.5" customHeight="1" thickBot="1" x14ac:dyDescent="0.3">
      <c r="A30" s="309"/>
      <c r="B30" s="310"/>
      <c r="C30" s="310"/>
      <c r="D30" s="310"/>
      <c r="E30" s="310"/>
      <c r="F30" s="289"/>
      <c r="G30" s="289"/>
      <c r="H30" s="289"/>
      <c r="I30" s="289"/>
      <c r="J30" s="289"/>
      <c r="K30" s="289"/>
      <c r="L30" s="289"/>
      <c r="M30" s="310"/>
      <c r="N30" s="310"/>
      <c r="O30" s="310"/>
      <c r="P30" s="310"/>
      <c r="Q30" s="310"/>
      <c r="R30" s="310"/>
      <c r="S30" s="310"/>
      <c r="T30" s="310"/>
      <c r="U30" s="289"/>
      <c r="V30" s="289"/>
      <c r="W30" s="289"/>
      <c r="X30" s="289"/>
      <c r="Y30" s="289"/>
      <c r="Z30" s="289"/>
      <c r="AA30" s="289"/>
      <c r="AB30" s="289"/>
      <c r="AC30" s="289"/>
      <c r="AD30" s="289"/>
      <c r="AE30" s="289"/>
      <c r="AF30" s="289"/>
      <c r="AG30" s="289"/>
      <c r="AH30" s="290"/>
    </row>
    <row r="31" spans="1:34" ht="14.1" customHeight="1" x14ac:dyDescent="0.25">
      <c r="A31" s="312" t="s">
        <v>217</v>
      </c>
      <c r="B31" s="313"/>
      <c r="C31" s="313"/>
      <c r="D31" s="313"/>
      <c r="E31" s="321"/>
      <c r="F31" s="311" t="s">
        <v>201</v>
      </c>
      <c r="G31" s="284"/>
      <c r="H31" s="284"/>
      <c r="I31" s="284"/>
      <c r="J31" s="284"/>
      <c r="K31" s="284"/>
      <c r="L31" s="308"/>
      <c r="M31" s="283" t="s">
        <v>1</v>
      </c>
      <c r="N31" s="284"/>
      <c r="O31" s="284"/>
      <c r="P31" s="284"/>
      <c r="Q31" s="284"/>
      <c r="R31" s="284"/>
      <c r="S31" s="284"/>
      <c r="T31" s="285"/>
      <c r="U31" s="283" t="s">
        <v>59</v>
      </c>
      <c r="V31" s="284"/>
      <c r="W31" s="284"/>
      <c r="X31" s="284"/>
      <c r="Y31" s="284"/>
      <c r="Z31" s="284"/>
      <c r="AA31" s="308"/>
      <c r="AB31" s="283" t="s">
        <v>209</v>
      </c>
      <c r="AC31" s="284"/>
      <c r="AD31" s="284"/>
      <c r="AE31" s="284"/>
      <c r="AF31" s="284"/>
      <c r="AG31" s="284"/>
      <c r="AH31" s="308"/>
    </row>
    <row r="32" spans="1:34" ht="14.1" customHeight="1" thickBot="1" x14ac:dyDescent="0.3">
      <c r="A32" s="298"/>
      <c r="B32" s="299"/>
      <c r="C32" s="299"/>
      <c r="D32" s="299"/>
      <c r="E32" s="300"/>
      <c r="F32" s="264" t="s">
        <v>197</v>
      </c>
      <c r="G32" s="320"/>
      <c r="H32" s="320"/>
      <c r="I32" s="320"/>
      <c r="J32" s="320"/>
      <c r="K32" s="320"/>
      <c r="L32" s="329"/>
      <c r="M32" s="279"/>
      <c r="N32" s="280"/>
      <c r="O32" s="280"/>
      <c r="P32" s="280"/>
      <c r="Q32" s="280" t="s">
        <v>36</v>
      </c>
      <c r="R32" s="280"/>
      <c r="S32" s="280"/>
      <c r="T32" s="286"/>
      <c r="U32" s="274" t="s">
        <v>212</v>
      </c>
      <c r="V32" s="275"/>
      <c r="W32" s="275"/>
      <c r="X32" s="275"/>
      <c r="Y32" s="275"/>
      <c r="Z32" s="275"/>
      <c r="AA32" s="281"/>
      <c r="AB32" s="274" t="s">
        <v>214</v>
      </c>
      <c r="AC32" s="275"/>
      <c r="AD32" s="275"/>
      <c r="AE32" s="275"/>
      <c r="AF32" s="275"/>
      <c r="AG32" s="275"/>
      <c r="AH32" s="281"/>
    </row>
    <row r="33" spans="1:34" ht="14.1" customHeight="1" x14ac:dyDescent="0.25">
      <c r="A33" s="298"/>
      <c r="B33" s="299"/>
      <c r="C33" s="299"/>
      <c r="D33" s="299"/>
      <c r="E33" s="300"/>
      <c r="F33" s="311" t="s">
        <v>203</v>
      </c>
      <c r="G33" s="284"/>
      <c r="H33" s="284"/>
      <c r="I33" s="284"/>
      <c r="J33" s="284"/>
      <c r="K33" s="284"/>
      <c r="L33" s="308"/>
      <c r="M33" s="283" t="s">
        <v>168</v>
      </c>
      <c r="N33" s="284"/>
      <c r="O33" s="284"/>
      <c r="P33" s="284"/>
      <c r="Q33" s="284"/>
      <c r="R33" s="284"/>
      <c r="S33" s="284"/>
      <c r="T33" s="285"/>
      <c r="U33" s="274" t="s">
        <v>211</v>
      </c>
      <c r="V33" s="275"/>
      <c r="W33" s="275"/>
      <c r="X33" s="275"/>
      <c r="Y33" s="275"/>
      <c r="Z33" s="275"/>
      <c r="AA33" s="281"/>
      <c r="AB33" s="274" t="s">
        <v>56</v>
      </c>
      <c r="AC33" s="275"/>
      <c r="AD33" s="275"/>
      <c r="AE33" s="275"/>
      <c r="AF33" s="275"/>
      <c r="AG33" s="275"/>
      <c r="AH33" s="281"/>
    </row>
    <row r="34" spans="1:34" ht="14.1" customHeight="1" thickBot="1" x14ac:dyDescent="0.3">
      <c r="A34" s="298"/>
      <c r="B34" s="299"/>
      <c r="C34" s="299"/>
      <c r="D34" s="299"/>
      <c r="E34" s="300"/>
      <c r="F34" s="317" t="s">
        <v>202</v>
      </c>
      <c r="G34" s="275"/>
      <c r="H34" s="275"/>
      <c r="I34" s="275"/>
      <c r="J34" s="275"/>
      <c r="K34" s="275"/>
      <c r="L34" s="281"/>
      <c r="M34" s="274" t="s">
        <v>194</v>
      </c>
      <c r="N34" s="275"/>
      <c r="O34" s="275"/>
      <c r="P34" s="275"/>
      <c r="Q34" s="275" t="s">
        <v>195</v>
      </c>
      <c r="R34" s="275"/>
      <c r="S34" s="275"/>
      <c r="T34" s="276"/>
      <c r="U34" s="279" t="s">
        <v>213</v>
      </c>
      <c r="V34" s="280"/>
      <c r="W34" s="280"/>
      <c r="X34" s="280"/>
      <c r="Y34" s="280"/>
      <c r="Z34" s="280"/>
      <c r="AA34" s="282"/>
      <c r="AB34" s="279" t="s">
        <v>57</v>
      </c>
      <c r="AC34" s="280"/>
      <c r="AD34" s="280"/>
      <c r="AE34" s="280"/>
      <c r="AF34" s="280"/>
      <c r="AG34" s="280"/>
      <c r="AH34" s="282"/>
    </row>
    <row r="35" spans="1:34" ht="14.1" customHeight="1" thickBot="1" x14ac:dyDescent="0.3">
      <c r="A35" s="298"/>
      <c r="B35" s="299"/>
      <c r="C35" s="299"/>
      <c r="D35" s="299"/>
      <c r="E35" s="300"/>
      <c r="F35" s="324" t="s">
        <v>126</v>
      </c>
      <c r="G35" s="280"/>
      <c r="H35" s="280"/>
      <c r="I35" s="280"/>
      <c r="J35" s="280"/>
      <c r="K35" s="280"/>
      <c r="L35" s="282"/>
      <c r="M35" s="279"/>
      <c r="N35" s="280"/>
      <c r="O35" s="277" t="s">
        <v>181</v>
      </c>
      <c r="P35" s="277"/>
      <c r="Q35" s="280"/>
      <c r="R35" s="280"/>
      <c r="S35" s="277" t="s">
        <v>181</v>
      </c>
      <c r="T35" s="278"/>
      <c r="U35" s="283" t="s">
        <v>52</v>
      </c>
      <c r="V35" s="284"/>
      <c r="W35" s="284"/>
      <c r="X35" s="284"/>
      <c r="Y35" s="284"/>
      <c r="Z35" s="284"/>
      <c r="AA35" s="308"/>
      <c r="AB35" s="283" t="s">
        <v>210</v>
      </c>
      <c r="AC35" s="284"/>
      <c r="AD35" s="284"/>
      <c r="AE35" s="284"/>
      <c r="AF35" s="284"/>
      <c r="AG35" s="284"/>
      <c r="AH35" s="308"/>
    </row>
    <row r="36" spans="1:34" ht="14.1" customHeight="1" x14ac:dyDescent="0.25">
      <c r="A36" s="298"/>
      <c r="B36" s="299"/>
      <c r="C36" s="299"/>
      <c r="D36" s="299"/>
      <c r="E36" s="300"/>
      <c r="F36" s="327" t="s">
        <v>204</v>
      </c>
      <c r="G36" s="327"/>
      <c r="H36" s="327"/>
      <c r="I36" s="327"/>
      <c r="J36" s="327"/>
      <c r="K36" s="327"/>
      <c r="L36" s="328"/>
      <c r="M36" s="283" t="s">
        <v>198</v>
      </c>
      <c r="N36" s="284"/>
      <c r="O36" s="284"/>
      <c r="P36" s="284"/>
      <c r="Q36" s="284"/>
      <c r="R36" s="284"/>
      <c r="S36" s="284"/>
      <c r="T36" s="285"/>
      <c r="U36" s="274" t="s">
        <v>55</v>
      </c>
      <c r="V36" s="275"/>
      <c r="W36" s="275"/>
      <c r="X36" s="275"/>
      <c r="Y36" s="275"/>
      <c r="Z36" s="275"/>
      <c r="AA36" s="281"/>
      <c r="AB36" s="274" t="s">
        <v>215</v>
      </c>
      <c r="AC36" s="275"/>
      <c r="AD36" s="275"/>
      <c r="AE36" s="275"/>
      <c r="AF36" s="275"/>
      <c r="AG36" s="275"/>
      <c r="AH36" s="281"/>
    </row>
    <row r="37" spans="1:34" ht="14.1" customHeight="1" thickBot="1" x14ac:dyDescent="0.3">
      <c r="A37" s="298"/>
      <c r="B37" s="299"/>
      <c r="C37" s="299"/>
      <c r="D37" s="299"/>
      <c r="E37" s="300"/>
      <c r="F37" s="266" t="s">
        <v>205</v>
      </c>
      <c r="G37" s="266"/>
      <c r="H37" s="266"/>
      <c r="I37" s="266"/>
      <c r="J37" s="266"/>
      <c r="K37" s="266"/>
      <c r="L37" s="330"/>
      <c r="M37" s="279"/>
      <c r="N37" s="280"/>
      <c r="O37" s="280"/>
      <c r="P37" s="280"/>
      <c r="Q37" s="280" t="s">
        <v>188</v>
      </c>
      <c r="R37" s="280"/>
      <c r="S37" s="280"/>
      <c r="T37" s="286"/>
      <c r="U37" s="279" t="s">
        <v>57</v>
      </c>
      <c r="V37" s="280"/>
      <c r="W37" s="280"/>
      <c r="X37" s="280"/>
      <c r="Y37" s="280"/>
      <c r="Z37" s="280"/>
      <c r="AA37" s="282"/>
      <c r="AB37" s="279" t="s">
        <v>216</v>
      </c>
      <c r="AC37" s="280"/>
      <c r="AD37" s="280"/>
      <c r="AE37" s="280"/>
      <c r="AF37" s="280"/>
      <c r="AG37" s="280"/>
      <c r="AH37" s="282"/>
    </row>
    <row r="38" spans="1:34" ht="14.1" customHeight="1" thickBot="1" x14ac:dyDescent="0.3">
      <c r="A38" s="306"/>
      <c r="B38" s="272"/>
      <c r="C38" s="272"/>
      <c r="D38" s="272"/>
      <c r="E38" s="273"/>
      <c r="F38" s="81"/>
      <c r="G38" s="82"/>
      <c r="H38" s="82"/>
      <c r="I38" s="82"/>
      <c r="J38" s="82" t="s">
        <v>8</v>
      </c>
      <c r="K38" s="82" t="s">
        <v>92</v>
      </c>
      <c r="L38" s="82" t="s">
        <v>93</v>
      </c>
      <c r="M38" s="82" t="s">
        <v>92</v>
      </c>
      <c r="N38" s="82" t="s">
        <v>94</v>
      </c>
      <c r="O38" s="82" t="s">
        <v>92</v>
      </c>
      <c r="P38" s="82" t="s">
        <v>95</v>
      </c>
      <c r="Q38" s="82" t="s">
        <v>96</v>
      </c>
      <c r="R38" s="82" t="s">
        <v>97</v>
      </c>
      <c r="S38" s="82" t="s">
        <v>92</v>
      </c>
      <c r="T38" s="82" t="s">
        <v>98</v>
      </c>
      <c r="U38" s="82" t="s">
        <v>92</v>
      </c>
      <c r="V38" s="82" t="s">
        <v>99</v>
      </c>
      <c r="W38" s="82" t="s">
        <v>96</v>
      </c>
      <c r="X38" s="82" t="s">
        <v>100</v>
      </c>
      <c r="Y38" s="82"/>
      <c r="Z38" s="82"/>
      <c r="AA38" s="82"/>
      <c r="AB38" s="82"/>
      <c r="AC38" s="82"/>
      <c r="AD38" s="82"/>
      <c r="AE38" s="82"/>
      <c r="AF38" s="82"/>
      <c r="AG38" s="82"/>
      <c r="AH38" s="88"/>
    </row>
    <row r="39" spans="1:34" ht="4.5" customHeight="1" thickBot="1" x14ac:dyDescent="0.3">
      <c r="A39" s="309"/>
      <c r="B39" s="310"/>
      <c r="C39" s="310"/>
      <c r="D39" s="310"/>
      <c r="E39" s="310"/>
      <c r="F39" s="289"/>
      <c r="G39" s="289"/>
      <c r="H39" s="289"/>
      <c r="I39" s="289"/>
      <c r="J39" s="289"/>
      <c r="K39" s="289"/>
      <c r="L39" s="289"/>
      <c r="M39" s="310"/>
      <c r="N39" s="310"/>
      <c r="O39" s="310"/>
      <c r="P39" s="310"/>
      <c r="Q39" s="310"/>
      <c r="R39" s="310"/>
      <c r="S39" s="310"/>
      <c r="T39" s="310"/>
      <c r="U39" s="289"/>
      <c r="V39" s="289"/>
      <c r="W39" s="289"/>
      <c r="X39" s="289"/>
      <c r="Y39" s="289"/>
      <c r="Z39" s="289"/>
      <c r="AA39" s="289"/>
      <c r="AB39" s="289"/>
      <c r="AC39" s="289"/>
      <c r="AD39" s="289"/>
      <c r="AE39" s="289"/>
      <c r="AF39" s="289"/>
      <c r="AG39" s="289"/>
      <c r="AH39" s="290"/>
    </row>
    <row r="40" spans="1:34" ht="14.1" customHeight="1" x14ac:dyDescent="0.25">
      <c r="A40" s="312" t="s">
        <v>218</v>
      </c>
      <c r="B40" s="313"/>
      <c r="C40" s="313"/>
      <c r="D40" s="313"/>
      <c r="E40" s="321"/>
      <c r="F40" s="311" t="s">
        <v>201</v>
      </c>
      <c r="G40" s="284"/>
      <c r="H40" s="284"/>
      <c r="I40" s="284"/>
      <c r="J40" s="284"/>
      <c r="K40" s="284"/>
      <c r="L40" s="308"/>
      <c r="M40" s="283" t="s">
        <v>1</v>
      </c>
      <c r="N40" s="284"/>
      <c r="O40" s="284"/>
      <c r="P40" s="284"/>
      <c r="Q40" s="284"/>
      <c r="R40" s="284"/>
      <c r="S40" s="284"/>
      <c r="T40" s="285"/>
      <c r="U40" s="283" t="s">
        <v>59</v>
      </c>
      <c r="V40" s="284"/>
      <c r="W40" s="284"/>
      <c r="X40" s="284"/>
      <c r="Y40" s="284"/>
      <c r="Z40" s="284"/>
      <c r="AA40" s="308"/>
      <c r="AB40" s="283" t="s">
        <v>209</v>
      </c>
      <c r="AC40" s="284"/>
      <c r="AD40" s="284"/>
      <c r="AE40" s="284"/>
      <c r="AF40" s="284"/>
      <c r="AG40" s="284"/>
      <c r="AH40" s="308"/>
    </row>
    <row r="41" spans="1:34" ht="14.1" customHeight="1" thickBot="1" x14ac:dyDescent="0.3">
      <c r="A41" s="298"/>
      <c r="B41" s="299"/>
      <c r="C41" s="299"/>
      <c r="D41" s="299"/>
      <c r="E41" s="300"/>
      <c r="F41" s="264" t="s">
        <v>197</v>
      </c>
      <c r="G41" s="320"/>
      <c r="H41" s="320"/>
      <c r="I41" s="320"/>
      <c r="J41" s="320"/>
      <c r="K41" s="320"/>
      <c r="L41" s="329"/>
      <c r="M41" s="279"/>
      <c r="N41" s="280"/>
      <c r="O41" s="280"/>
      <c r="P41" s="280"/>
      <c r="Q41" s="280" t="s">
        <v>36</v>
      </c>
      <c r="R41" s="280"/>
      <c r="S41" s="280"/>
      <c r="T41" s="286"/>
      <c r="U41" s="274" t="s">
        <v>212</v>
      </c>
      <c r="V41" s="275"/>
      <c r="W41" s="275"/>
      <c r="X41" s="275"/>
      <c r="Y41" s="275"/>
      <c r="Z41" s="275"/>
      <c r="AA41" s="281"/>
      <c r="AB41" s="274" t="s">
        <v>214</v>
      </c>
      <c r="AC41" s="275"/>
      <c r="AD41" s="275"/>
      <c r="AE41" s="275"/>
      <c r="AF41" s="275"/>
      <c r="AG41" s="275"/>
      <c r="AH41" s="281"/>
    </row>
    <row r="42" spans="1:34" ht="14.1" customHeight="1" x14ac:dyDescent="0.25">
      <c r="A42" s="298"/>
      <c r="B42" s="299"/>
      <c r="C42" s="299"/>
      <c r="D42" s="299"/>
      <c r="E42" s="300"/>
      <c r="F42" s="311" t="s">
        <v>203</v>
      </c>
      <c r="G42" s="284"/>
      <c r="H42" s="284"/>
      <c r="I42" s="284"/>
      <c r="J42" s="284"/>
      <c r="K42" s="284"/>
      <c r="L42" s="308"/>
      <c r="M42" s="283" t="s">
        <v>168</v>
      </c>
      <c r="N42" s="284"/>
      <c r="O42" s="284"/>
      <c r="P42" s="284"/>
      <c r="Q42" s="284"/>
      <c r="R42" s="284"/>
      <c r="S42" s="284"/>
      <c r="T42" s="285"/>
      <c r="U42" s="274" t="s">
        <v>211</v>
      </c>
      <c r="V42" s="275"/>
      <c r="W42" s="275"/>
      <c r="X42" s="275"/>
      <c r="Y42" s="275"/>
      <c r="Z42" s="275"/>
      <c r="AA42" s="281"/>
      <c r="AB42" s="274" t="s">
        <v>56</v>
      </c>
      <c r="AC42" s="275"/>
      <c r="AD42" s="275"/>
      <c r="AE42" s="275"/>
      <c r="AF42" s="275"/>
      <c r="AG42" s="275"/>
      <c r="AH42" s="281"/>
    </row>
    <row r="43" spans="1:34" ht="14.1" customHeight="1" thickBot="1" x14ac:dyDescent="0.3">
      <c r="A43" s="298"/>
      <c r="B43" s="299"/>
      <c r="C43" s="299"/>
      <c r="D43" s="299"/>
      <c r="E43" s="300"/>
      <c r="F43" s="317" t="s">
        <v>202</v>
      </c>
      <c r="G43" s="275"/>
      <c r="H43" s="275"/>
      <c r="I43" s="275"/>
      <c r="J43" s="275"/>
      <c r="K43" s="275"/>
      <c r="L43" s="281"/>
      <c r="M43" s="274" t="s">
        <v>194</v>
      </c>
      <c r="N43" s="275"/>
      <c r="O43" s="275"/>
      <c r="P43" s="275"/>
      <c r="Q43" s="275" t="s">
        <v>195</v>
      </c>
      <c r="R43" s="275"/>
      <c r="S43" s="275"/>
      <c r="T43" s="276"/>
      <c r="U43" s="279" t="s">
        <v>213</v>
      </c>
      <c r="V43" s="280"/>
      <c r="W43" s="280"/>
      <c r="X43" s="280"/>
      <c r="Y43" s="280"/>
      <c r="Z43" s="280"/>
      <c r="AA43" s="282"/>
      <c r="AB43" s="279" t="s">
        <v>57</v>
      </c>
      <c r="AC43" s="280"/>
      <c r="AD43" s="280"/>
      <c r="AE43" s="280"/>
      <c r="AF43" s="280"/>
      <c r="AG43" s="280"/>
      <c r="AH43" s="282"/>
    </row>
    <row r="44" spans="1:34" ht="14.1" customHeight="1" thickBot="1" x14ac:dyDescent="0.3">
      <c r="A44" s="298"/>
      <c r="B44" s="299"/>
      <c r="C44" s="299"/>
      <c r="D44" s="299"/>
      <c r="E44" s="300"/>
      <c r="F44" s="324" t="s">
        <v>126</v>
      </c>
      <c r="G44" s="280"/>
      <c r="H44" s="280"/>
      <c r="I44" s="280"/>
      <c r="J44" s="280"/>
      <c r="K44" s="280"/>
      <c r="L44" s="282"/>
      <c r="M44" s="279"/>
      <c r="N44" s="280"/>
      <c r="O44" s="277" t="s">
        <v>181</v>
      </c>
      <c r="P44" s="277"/>
      <c r="Q44" s="280"/>
      <c r="R44" s="280"/>
      <c r="S44" s="277" t="s">
        <v>181</v>
      </c>
      <c r="T44" s="278"/>
      <c r="U44" s="283" t="s">
        <v>52</v>
      </c>
      <c r="V44" s="284"/>
      <c r="W44" s="284"/>
      <c r="X44" s="284"/>
      <c r="Y44" s="284"/>
      <c r="Z44" s="284"/>
      <c r="AA44" s="308"/>
      <c r="AB44" s="283" t="s">
        <v>210</v>
      </c>
      <c r="AC44" s="284"/>
      <c r="AD44" s="284"/>
      <c r="AE44" s="284"/>
      <c r="AF44" s="284"/>
      <c r="AG44" s="284"/>
      <c r="AH44" s="308"/>
    </row>
    <row r="45" spans="1:34" ht="14.1" customHeight="1" x14ac:dyDescent="0.25">
      <c r="A45" s="298"/>
      <c r="B45" s="299"/>
      <c r="C45" s="299"/>
      <c r="D45" s="299"/>
      <c r="E45" s="300"/>
      <c r="F45" s="327" t="s">
        <v>204</v>
      </c>
      <c r="G45" s="327"/>
      <c r="H45" s="327"/>
      <c r="I45" s="327"/>
      <c r="J45" s="327"/>
      <c r="K45" s="327"/>
      <c r="L45" s="328"/>
      <c r="M45" s="283" t="s">
        <v>198</v>
      </c>
      <c r="N45" s="284"/>
      <c r="O45" s="284"/>
      <c r="P45" s="284"/>
      <c r="Q45" s="284"/>
      <c r="R45" s="284"/>
      <c r="S45" s="284"/>
      <c r="T45" s="285"/>
      <c r="U45" s="274" t="s">
        <v>55</v>
      </c>
      <c r="V45" s="275"/>
      <c r="W45" s="275"/>
      <c r="X45" s="275"/>
      <c r="Y45" s="275"/>
      <c r="Z45" s="275"/>
      <c r="AA45" s="281"/>
      <c r="AB45" s="274" t="s">
        <v>215</v>
      </c>
      <c r="AC45" s="275"/>
      <c r="AD45" s="275"/>
      <c r="AE45" s="275"/>
      <c r="AF45" s="275"/>
      <c r="AG45" s="275"/>
      <c r="AH45" s="281"/>
    </row>
    <row r="46" spans="1:34" ht="14.1" customHeight="1" thickBot="1" x14ac:dyDescent="0.3">
      <c r="A46" s="298"/>
      <c r="B46" s="299"/>
      <c r="C46" s="299"/>
      <c r="D46" s="299"/>
      <c r="E46" s="300"/>
      <c r="F46" s="266" t="s">
        <v>205</v>
      </c>
      <c r="G46" s="266"/>
      <c r="H46" s="266"/>
      <c r="I46" s="266"/>
      <c r="J46" s="266"/>
      <c r="K46" s="266"/>
      <c r="L46" s="330"/>
      <c r="M46" s="279"/>
      <c r="N46" s="280"/>
      <c r="O46" s="280"/>
      <c r="P46" s="280"/>
      <c r="Q46" s="280" t="s">
        <v>188</v>
      </c>
      <c r="R46" s="280"/>
      <c r="S46" s="280"/>
      <c r="T46" s="286"/>
      <c r="U46" s="279" t="s">
        <v>57</v>
      </c>
      <c r="V46" s="280"/>
      <c r="W46" s="280"/>
      <c r="X46" s="280"/>
      <c r="Y46" s="280"/>
      <c r="Z46" s="280"/>
      <c r="AA46" s="282"/>
      <c r="AB46" s="279" t="s">
        <v>216</v>
      </c>
      <c r="AC46" s="280"/>
      <c r="AD46" s="280"/>
      <c r="AE46" s="280"/>
      <c r="AF46" s="280"/>
      <c r="AG46" s="280"/>
      <c r="AH46" s="282"/>
    </row>
    <row r="47" spans="1:34" ht="14.1" customHeight="1" thickBot="1" x14ac:dyDescent="0.3">
      <c r="A47" s="306"/>
      <c r="B47" s="272"/>
      <c r="C47" s="272"/>
      <c r="D47" s="272"/>
      <c r="E47" s="273"/>
      <c r="F47" s="81"/>
      <c r="G47" s="82"/>
      <c r="H47" s="82"/>
      <c r="I47" s="82"/>
      <c r="J47" s="82" t="s">
        <v>8</v>
      </c>
      <c r="K47" s="82" t="s">
        <v>92</v>
      </c>
      <c r="L47" s="82" t="s">
        <v>93</v>
      </c>
      <c r="M47" s="82" t="s">
        <v>92</v>
      </c>
      <c r="N47" s="82" t="s">
        <v>94</v>
      </c>
      <c r="O47" s="82" t="s">
        <v>92</v>
      </c>
      <c r="P47" s="82" t="s">
        <v>95</v>
      </c>
      <c r="Q47" s="82" t="s">
        <v>96</v>
      </c>
      <c r="R47" s="82" t="s">
        <v>97</v>
      </c>
      <c r="S47" s="82" t="s">
        <v>92</v>
      </c>
      <c r="T47" s="82" t="s">
        <v>98</v>
      </c>
      <c r="U47" s="82" t="s">
        <v>92</v>
      </c>
      <c r="V47" s="82" t="s">
        <v>99</v>
      </c>
      <c r="W47" s="82" t="s">
        <v>96</v>
      </c>
      <c r="X47" s="82" t="s">
        <v>100</v>
      </c>
      <c r="Y47" s="82"/>
      <c r="Z47" s="82"/>
      <c r="AA47" s="82"/>
      <c r="AB47" s="82"/>
      <c r="AC47" s="82"/>
      <c r="AD47" s="82"/>
      <c r="AE47" s="82"/>
      <c r="AF47" s="82"/>
      <c r="AG47" s="82"/>
      <c r="AH47" s="88"/>
    </row>
    <row r="48" spans="1:34" ht="4.5" customHeight="1" thickBot="1" x14ac:dyDescent="0.3">
      <c r="A48" s="309"/>
      <c r="B48" s="310"/>
      <c r="C48" s="310"/>
      <c r="D48" s="310"/>
      <c r="E48" s="310"/>
      <c r="F48" s="310"/>
      <c r="G48" s="310"/>
      <c r="H48" s="310"/>
      <c r="I48" s="310"/>
      <c r="J48" s="310"/>
      <c r="K48" s="310"/>
      <c r="L48" s="310"/>
      <c r="M48" s="310"/>
      <c r="N48" s="310"/>
      <c r="O48" s="310"/>
      <c r="P48" s="310"/>
      <c r="Q48" s="310"/>
      <c r="R48" s="310"/>
      <c r="S48" s="310"/>
      <c r="T48" s="310"/>
      <c r="U48" s="310"/>
      <c r="V48" s="310"/>
      <c r="W48" s="310"/>
      <c r="X48" s="310"/>
      <c r="Y48" s="310"/>
      <c r="Z48" s="310"/>
      <c r="AA48" s="310"/>
      <c r="AB48" s="310"/>
      <c r="AC48" s="310"/>
      <c r="AD48" s="310"/>
      <c r="AE48" s="310"/>
      <c r="AF48" s="310"/>
      <c r="AG48" s="310"/>
      <c r="AH48" s="325"/>
    </row>
    <row r="49" spans="1:34" ht="14.1" customHeight="1" x14ac:dyDescent="0.25">
      <c r="A49" s="83"/>
      <c r="B49" s="84"/>
      <c r="C49" s="84"/>
      <c r="D49" s="84"/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7"/>
    </row>
    <row r="50" spans="1:34" ht="14.1" customHeight="1" x14ac:dyDescent="0.25">
      <c r="A50" s="83"/>
      <c r="B50" s="84"/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7"/>
    </row>
    <row r="51" spans="1:34" ht="14.1" customHeight="1" x14ac:dyDescent="0.25">
      <c r="A51" s="83"/>
      <c r="B51" s="84"/>
      <c r="C51" s="84"/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7"/>
    </row>
    <row r="52" spans="1:34" ht="14.1" customHeight="1" x14ac:dyDescent="0.25">
      <c r="A52" s="83"/>
      <c r="B52" s="84"/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7"/>
    </row>
    <row r="53" spans="1:34" ht="14.1" customHeight="1" x14ac:dyDescent="0.25">
      <c r="A53" s="83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7"/>
    </row>
    <row r="54" spans="1:34" ht="14.1" customHeight="1" x14ac:dyDescent="0.25">
      <c r="A54" s="83"/>
      <c r="B54" s="84"/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7"/>
    </row>
    <row r="55" spans="1:34" ht="14.1" customHeight="1" x14ac:dyDescent="0.25">
      <c r="A55" s="83"/>
      <c r="B55" s="84"/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7"/>
    </row>
    <row r="56" spans="1:34" ht="14.1" customHeight="1" x14ac:dyDescent="0.25">
      <c r="A56" s="83"/>
      <c r="B56" s="84"/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7"/>
    </row>
    <row r="57" spans="1:34" ht="14.1" customHeight="1" x14ac:dyDescent="0.25">
      <c r="A57" s="83"/>
      <c r="B57" s="84"/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7"/>
    </row>
    <row r="58" spans="1:34" ht="14.1" customHeight="1" x14ac:dyDescent="0.25">
      <c r="A58" s="83"/>
      <c r="B58" s="84"/>
      <c r="C58" s="84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7"/>
    </row>
    <row r="59" spans="1:34" ht="14.1" customHeight="1" x14ac:dyDescent="0.25">
      <c r="A59" s="83"/>
      <c r="B59" s="84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7"/>
    </row>
    <row r="60" spans="1:34" ht="14.1" customHeight="1" x14ac:dyDescent="0.25">
      <c r="A60" s="83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7"/>
    </row>
    <row r="61" spans="1:34" ht="14.1" customHeight="1" x14ac:dyDescent="0.25">
      <c r="A61" s="83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7"/>
    </row>
    <row r="62" spans="1:34" ht="14.1" customHeight="1" x14ac:dyDescent="0.25">
      <c r="A62" s="83"/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7"/>
    </row>
    <row r="63" spans="1:34" ht="14.1" customHeight="1" x14ac:dyDescent="0.25">
      <c r="A63" s="83"/>
      <c r="B63" s="84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7"/>
    </row>
    <row r="64" spans="1:34" ht="14.1" customHeight="1" x14ac:dyDescent="0.25">
      <c r="A64" s="83"/>
      <c r="B64" s="84"/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7"/>
    </row>
    <row r="65" spans="1:34" ht="14.1" customHeight="1" x14ac:dyDescent="0.25">
      <c r="A65" s="83"/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7"/>
    </row>
    <row r="66" spans="1:34" ht="14.1" customHeight="1" x14ac:dyDescent="0.25">
      <c r="A66" s="83"/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7"/>
    </row>
    <row r="67" spans="1:34" ht="14.1" customHeight="1" x14ac:dyDescent="0.25">
      <c r="A67" s="83"/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7"/>
    </row>
    <row r="68" spans="1:34" ht="14.1" customHeight="1" x14ac:dyDescent="0.25">
      <c r="A68" s="83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7"/>
    </row>
    <row r="69" spans="1:34" ht="14.1" customHeight="1" x14ac:dyDescent="0.25">
      <c r="A69" s="83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7"/>
    </row>
    <row r="70" spans="1:34" ht="14.1" customHeight="1" x14ac:dyDescent="0.25">
      <c r="A70" s="83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7"/>
    </row>
    <row r="71" spans="1:34" ht="14.1" customHeight="1" x14ac:dyDescent="0.25">
      <c r="A71" s="83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7"/>
    </row>
    <row r="72" spans="1:34" ht="14.1" customHeight="1" x14ac:dyDescent="0.25">
      <c r="A72" s="83"/>
      <c r="B72" s="84"/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7"/>
    </row>
    <row r="73" spans="1:34" ht="14.1" customHeight="1" x14ac:dyDescent="0.25">
      <c r="A73" s="83"/>
      <c r="B73" s="84"/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7"/>
    </row>
    <row r="74" spans="1:34" ht="14.1" customHeight="1" x14ac:dyDescent="0.25">
      <c r="A74" s="83"/>
      <c r="B74" s="84"/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84"/>
      <c r="AH74" s="87"/>
    </row>
    <row r="75" spans="1:34" ht="14.1" customHeight="1" x14ac:dyDescent="0.25">
      <c r="A75" s="83"/>
      <c r="B75" s="84"/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7"/>
    </row>
    <row r="76" spans="1:34" ht="14.1" customHeight="1" x14ac:dyDescent="0.25">
      <c r="A76" s="83"/>
      <c r="B76" s="84"/>
      <c r="C76" s="84"/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7"/>
    </row>
    <row r="77" spans="1:34" ht="14.1" customHeight="1" x14ac:dyDescent="0.25">
      <c r="A77" s="83"/>
      <c r="B77" s="84"/>
      <c r="C77" s="84"/>
      <c r="D77" s="84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7"/>
    </row>
    <row r="78" spans="1:34" ht="14.1" customHeight="1" x14ac:dyDescent="0.25">
      <c r="A78" s="83"/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7"/>
    </row>
    <row r="79" spans="1:34" ht="14.1" customHeight="1" x14ac:dyDescent="0.25">
      <c r="A79" s="83"/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7"/>
    </row>
    <row r="80" spans="1:34" ht="14.1" customHeight="1" x14ac:dyDescent="0.25">
      <c r="A80" s="83"/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7"/>
    </row>
    <row r="81" spans="1:34" ht="14.1" customHeight="1" x14ac:dyDescent="0.25">
      <c r="A81" s="83"/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7"/>
    </row>
    <row r="82" spans="1:34" ht="14.1" customHeight="1" x14ac:dyDescent="0.25">
      <c r="A82" s="83"/>
      <c r="B82" s="84"/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7"/>
    </row>
    <row r="83" spans="1:34" ht="14.1" customHeight="1" x14ac:dyDescent="0.25">
      <c r="A83" s="83"/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7"/>
    </row>
    <row r="84" spans="1:34" ht="14.1" customHeight="1" x14ac:dyDescent="0.25">
      <c r="A84" s="83"/>
      <c r="B84" s="84"/>
      <c r="C84" s="84"/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7"/>
    </row>
    <row r="85" spans="1:34" ht="14.1" customHeight="1" x14ac:dyDescent="0.25">
      <c r="A85" s="83"/>
      <c r="B85" s="84"/>
      <c r="C85" s="84"/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84"/>
      <c r="AD85" s="84"/>
      <c r="AE85" s="84"/>
      <c r="AF85" s="84"/>
      <c r="AG85" s="84"/>
      <c r="AH85" s="87"/>
    </row>
    <row r="86" spans="1:34" ht="14.1" customHeight="1" x14ac:dyDescent="0.25">
      <c r="A86" s="83"/>
      <c r="B86" s="84"/>
      <c r="C86" s="84"/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7"/>
    </row>
    <row r="87" spans="1:34" ht="14.1" customHeight="1" x14ac:dyDescent="0.25">
      <c r="A87" s="83"/>
      <c r="B87" s="84"/>
      <c r="C87" s="84"/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  <c r="AA87" s="84"/>
      <c r="AB87" s="84"/>
      <c r="AC87" s="84"/>
      <c r="AD87" s="84"/>
      <c r="AE87" s="84"/>
      <c r="AF87" s="84"/>
      <c r="AG87" s="84"/>
      <c r="AH87" s="87"/>
    </row>
    <row r="88" spans="1:34" ht="14.1" customHeight="1" x14ac:dyDescent="0.25">
      <c r="A88" s="83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7"/>
    </row>
    <row r="89" spans="1:34" ht="14.1" customHeight="1" x14ac:dyDescent="0.25">
      <c r="A89" s="83"/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7"/>
    </row>
    <row r="90" spans="1:34" ht="14.1" customHeight="1" x14ac:dyDescent="0.25">
      <c r="A90" s="83"/>
      <c r="B90" s="84"/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7"/>
    </row>
    <row r="91" spans="1:34" ht="14.1" customHeight="1" x14ac:dyDescent="0.25">
      <c r="A91" s="83"/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7"/>
    </row>
    <row r="92" spans="1:34" ht="14.1" customHeight="1" x14ac:dyDescent="0.25">
      <c r="A92" s="83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7"/>
    </row>
    <row r="93" spans="1:34" ht="14.1" customHeight="1" x14ac:dyDescent="0.25">
      <c r="A93" s="83"/>
      <c r="B93" s="84"/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7"/>
    </row>
    <row r="94" spans="1:34" ht="14.1" customHeight="1" x14ac:dyDescent="0.25">
      <c r="A94" s="83"/>
      <c r="B94" s="84"/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7"/>
    </row>
    <row r="95" spans="1:34" ht="14.1" customHeight="1" x14ac:dyDescent="0.25">
      <c r="A95" s="83"/>
      <c r="B95" s="84"/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7"/>
    </row>
    <row r="96" spans="1:34" ht="14.1" customHeight="1" x14ac:dyDescent="0.25">
      <c r="A96" s="83"/>
      <c r="B96" s="84"/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7"/>
    </row>
    <row r="97" spans="1:34" ht="14.1" customHeight="1" x14ac:dyDescent="0.25">
      <c r="A97" s="83"/>
      <c r="B97" s="84"/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7"/>
    </row>
    <row r="98" spans="1:34" ht="14.1" customHeight="1" x14ac:dyDescent="0.25">
      <c r="A98" s="83"/>
      <c r="B98" s="84"/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7"/>
    </row>
    <row r="99" spans="1:34" ht="14.1" customHeight="1" x14ac:dyDescent="0.25">
      <c r="A99" s="83"/>
      <c r="B99" s="84"/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7"/>
    </row>
    <row r="100" spans="1:34" ht="14.1" customHeight="1" x14ac:dyDescent="0.25">
      <c r="A100" s="83"/>
      <c r="B100" s="84"/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7"/>
    </row>
    <row r="101" spans="1:34" ht="14.1" customHeight="1" x14ac:dyDescent="0.25">
      <c r="A101" s="83"/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  <c r="AH101" s="87"/>
    </row>
    <row r="102" spans="1:34" ht="14.1" customHeight="1" x14ac:dyDescent="0.25">
      <c r="A102" s="83"/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7"/>
    </row>
    <row r="103" spans="1:34" ht="14.1" customHeight="1" x14ac:dyDescent="0.25">
      <c r="A103" s="83"/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7"/>
    </row>
    <row r="104" spans="1:34" ht="14.1" customHeight="1" x14ac:dyDescent="0.25">
      <c r="A104" s="83"/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7"/>
    </row>
    <row r="105" spans="1:34" ht="14.1" customHeight="1" x14ac:dyDescent="0.25">
      <c r="A105" s="83"/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7"/>
    </row>
    <row r="106" spans="1:34" ht="14.1" customHeight="1" x14ac:dyDescent="0.25">
      <c r="A106" s="83"/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7"/>
    </row>
    <row r="107" spans="1:34" ht="14.1" customHeight="1" x14ac:dyDescent="0.25">
      <c r="A107" s="83"/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7"/>
    </row>
    <row r="108" spans="1:34" ht="14.1" customHeight="1" x14ac:dyDescent="0.25">
      <c r="A108" s="83"/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7"/>
    </row>
    <row r="109" spans="1:34" ht="14.1" customHeight="1" x14ac:dyDescent="0.25">
      <c r="A109" s="83"/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  <c r="AH109" s="87"/>
    </row>
    <row r="110" spans="1:34" ht="14.1" customHeight="1" x14ac:dyDescent="0.25">
      <c r="A110" s="83"/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7"/>
    </row>
    <row r="111" spans="1:34" ht="14.1" customHeight="1" x14ac:dyDescent="0.25">
      <c r="A111" s="83"/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  <c r="AH111" s="87"/>
    </row>
    <row r="112" spans="1:34" ht="14.1" customHeight="1" x14ac:dyDescent="0.25">
      <c r="A112" s="83"/>
      <c r="B112" s="84"/>
      <c r="C112" s="84"/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7"/>
    </row>
    <row r="113" spans="1:34" ht="14.1" customHeight="1" x14ac:dyDescent="0.25">
      <c r="A113" s="83"/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7"/>
    </row>
    <row r="114" spans="1:34" ht="14.1" customHeight="1" x14ac:dyDescent="0.25">
      <c r="A114" s="83"/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  <c r="AH114" s="87"/>
    </row>
    <row r="115" spans="1:34" ht="14.1" customHeight="1" x14ac:dyDescent="0.25">
      <c r="A115" s="83"/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7"/>
    </row>
    <row r="116" spans="1:34" ht="14.1" customHeight="1" x14ac:dyDescent="0.25">
      <c r="A116" s="83"/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  <c r="AH116" s="87"/>
    </row>
    <row r="117" spans="1:34" ht="14.1" customHeight="1" x14ac:dyDescent="0.25">
      <c r="A117" s="83"/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  <c r="AH117" s="87"/>
    </row>
    <row r="118" spans="1:34" ht="14.1" customHeight="1" x14ac:dyDescent="0.25">
      <c r="A118" s="83"/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87"/>
    </row>
    <row r="119" spans="1:34" ht="14.1" customHeight="1" x14ac:dyDescent="0.25">
      <c r="A119" s="83"/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7"/>
    </row>
    <row r="120" spans="1:34" ht="14.1" customHeight="1" x14ac:dyDescent="0.25">
      <c r="A120" s="83"/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  <c r="AH120" s="87"/>
    </row>
    <row r="121" spans="1:34" ht="14.1" customHeight="1" x14ac:dyDescent="0.25">
      <c r="A121" s="83"/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  <c r="AH121" s="87"/>
    </row>
    <row r="122" spans="1:34" ht="14.1" customHeight="1" x14ac:dyDescent="0.25">
      <c r="A122" s="83"/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  <c r="AH122" s="87"/>
    </row>
    <row r="123" spans="1:34" ht="14.1" customHeight="1" x14ac:dyDescent="0.25">
      <c r="A123" s="83"/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  <c r="AH123" s="87"/>
    </row>
    <row r="124" spans="1:34" ht="14.1" customHeight="1" x14ac:dyDescent="0.25">
      <c r="A124" s="83"/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  <c r="AH124" s="87"/>
    </row>
    <row r="125" spans="1:34" ht="14.1" customHeight="1" x14ac:dyDescent="0.25">
      <c r="A125" s="83"/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  <c r="AH125" s="87"/>
    </row>
    <row r="126" spans="1:34" ht="14.1" customHeight="1" x14ac:dyDescent="0.25">
      <c r="A126" s="83"/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  <c r="AH126" s="87"/>
    </row>
    <row r="127" spans="1:34" ht="14.1" customHeight="1" x14ac:dyDescent="0.25">
      <c r="A127" s="83"/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  <c r="AH127" s="87"/>
    </row>
    <row r="128" spans="1:34" ht="14.1" customHeight="1" x14ac:dyDescent="0.25">
      <c r="A128" s="83"/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7"/>
    </row>
    <row r="129" spans="1:34" ht="14.1" customHeight="1" x14ac:dyDescent="0.25">
      <c r="A129" s="83"/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  <c r="AH129" s="87"/>
    </row>
    <row r="130" spans="1:34" ht="14.1" customHeight="1" x14ac:dyDescent="0.25">
      <c r="A130" s="83"/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  <c r="AH130" s="87"/>
    </row>
    <row r="131" spans="1:34" ht="14.1" customHeight="1" x14ac:dyDescent="0.25">
      <c r="A131" s="83"/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  <c r="AH131" s="87"/>
    </row>
    <row r="132" spans="1:34" ht="14.1" customHeight="1" x14ac:dyDescent="0.25">
      <c r="A132" s="83"/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7"/>
    </row>
    <row r="133" spans="1:34" ht="14.1" customHeight="1" x14ac:dyDescent="0.25">
      <c r="A133" s="83"/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  <c r="AH133" s="87"/>
    </row>
    <row r="134" spans="1:34" ht="14.1" customHeight="1" x14ac:dyDescent="0.25">
      <c r="A134" s="83"/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  <c r="AH134" s="87"/>
    </row>
    <row r="135" spans="1:34" ht="14.1" customHeight="1" x14ac:dyDescent="0.25">
      <c r="A135" s="83"/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  <c r="AH135" s="87"/>
    </row>
    <row r="136" spans="1:34" ht="14.1" customHeight="1" x14ac:dyDescent="0.25">
      <c r="A136" s="83"/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  <c r="AH136" s="87"/>
    </row>
    <row r="137" spans="1:34" ht="14.1" customHeight="1" x14ac:dyDescent="0.25">
      <c r="A137" s="83"/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7"/>
    </row>
    <row r="138" spans="1:34" ht="14.1" customHeight="1" x14ac:dyDescent="0.25">
      <c r="A138" s="83"/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  <c r="AH138" s="87"/>
    </row>
    <row r="139" spans="1:34" ht="14.1" customHeight="1" x14ac:dyDescent="0.25">
      <c r="A139" s="83"/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7"/>
    </row>
    <row r="140" spans="1:34" ht="14.1" customHeight="1" x14ac:dyDescent="0.25">
      <c r="A140" s="83"/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7"/>
    </row>
    <row r="141" spans="1:34" ht="14.1" customHeight="1" x14ac:dyDescent="0.25">
      <c r="A141" s="83"/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7"/>
    </row>
    <row r="142" spans="1:34" ht="14.1" customHeight="1" x14ac:dyDescent="0.25">
      <c r="A142" s="83"/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87"/>
    </row>
    <row r="143" spans="1:34" ht="14.1" customHeight="1" x14ac:dyDescent="0.25">
      <c r="A143" s="83"/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7"/>
    </row>
    <row r="144" spans="1:34" ht="14.1" customHeight="1" x14ac:dyDescent="0.25">
      <c r="A144" s="83"/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  <c r="AH144" s="87"/>
    </row>
    <row r="145" spans="1:34" ht="14.1" customHeight="1" x14ac:dyDescent="0.25">
      <c r="A145" s="83"/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  <c r="AH145" s="87"/>
    </row>
    <row r="146" spans="1:34" ht="14.1" customHeight="1" x14ac:dyDescent="0.25">
      <c r="A146" s="83"/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  <c r="AH146" s="87"/>
    </row>
    <row r="147" spans="1:34" ht="14.1" customHeight="1" x14ac:dyDescent="0.25">
      <c r="A147" s="83"/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  <c r="AH147" s="87"/>
    </row>
    <row r="148" spans="1:34" ht="14.1" customHeight="1" x14ac:dyDescent="0.25">
      <c r="A148" s="83"/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  <c r="AH148" s="87"/>
    </row>
    <row r="149" spans="1:34" ht="14.1" customHeight="1" x14ac:dyDescent="0.25">
      <c r="A149" s="83"/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  <c r="AH149" s="87"/>
    </row>
    <row r="150" spans="1:34" ht="14.1" customHeight="1" x14ac:dyDescent="0.25">
      <c r="A150" s="83"/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  <c r="AH150" s="87"/>
    </row>
    <row r="151" spans="1:34" ht="14.1" customHeight="1" x14ac:dyDescent="0.25">
      <c r="A151" s="83"/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  <c r="AH151" s="87"/>
    </row>
    <row r="152" spans="1:34" ht="14.1" customHeight="1" x14ac:dyDescent="0.25">
      <c r="A152" s="83"/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  <c r="AH152" s="87"/>
    </row>
    <row r="153" spans="1:34" ht="14.1" customHeight="1" x14ac:dyDescent="0.25">
      <c r="A153" s="83"/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  <c r="AH153" s="87"/>
    </row>
    <row r="154" spans="1:34" ht="14.1" customHeight="1" x14ac:dyDescent="0.25">
      <c r="A154" s="83"/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  <c r="AH154" s="87"/>
    </row>
    <row r="155" spans="1:34" ht="14.1" customHeight="1" x14ac:dyDescent="0.25">
      <c r="A155" s="83"/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  <c r="AH155" s="87"/>
    </row>
    <row r="156" spans="1:34" ht="14.1" customHeight="1" x14ac:dyDescent="0.25">
      <c r="A156" s="83"/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7"/>
    </row>
    <row r="157" spans="1:34" ht="14.1" customHeight="1" x14ac:dyDescent="0.25">
      <c r="A157" s="83"/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7"/>
    </row>
    <row r="158" spans="1:34" ht="14.1" customHeight="1" x14ac:dyDescent="0.25">
      <c r="A158" s="83"/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  <c r="AH158" s="87"/>
    </row>
    <row r="159" spans="1:34" ht="14.1" customHeight="1" x14ac:dyDescent="0.25">
      <c r="A159" s="83"/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  <c r="AH159" s="87"/>
    </row>
    <row r="160" spans="1:34" ht="14.1" customHeight="1" x14ac:dyDescent="0.25">
      <c r="A160" s="83"/>
      <c r="B160" s="84"/>
      <c r="C160" s="84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  <c r="AH160" s="87"/>
    </row>
    <row r="161" spans="1:34" ht="14.1" customHeight="1" x14ac:dyDescent="0.25">
      <c r="A161" s="83"/>
      <c r="B161" s="84"/>
      <c r="C161" s="84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7"/>
    </row>
    <row r="162" spans="1:34" ht="14.1" customHeight="1" x14ac:dyDescent="0.25">
      <c r="A162" s="83"/>
      <c r="B162" s="84"/>
      <c r="C162" s="84"/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  <c r="AH162" s="87"/>
    </row>
    <row r="163" spans="1:34" ht="14.1" customHeight="1" x14ac:dyDescent="0.25">
      <c r="A163" s="83"/>
      <c r="B163" s="84"/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7"/>
    </row>
    <row r="164" spans="1:34" ht="14.1" customHeight="1" x14ac:dyDescent="0.25">
      <c r="A164" s="83"/>
      <c r="B164" s="84"/>
      <c r="C164" s="84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84"/>
      <c r="AF164" s="84"/>
      <c r="AG164" s="84"/>
      <c r="AH164" s="87"/>
    </row>
    <row r="165" spans="1:34" ht="14.1" customHeight="1" x14ac:dyDescent="0.25">
      <c r="A165" s="83"/>
      <c r="B165" s="84"/>
      <c r="C165" s="84"/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7"/>
    </row>
    <row r="166" spans="1:34" ht="14.1" customHeight="1" thickBot="1" x14ac:dyDescent="0.3">
      <c r="A166" s="85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79"/>
    </row>
    <row r="167" spans="1:34" ht="14.1" customHeight="1" x14ac:dyDescent="0.25"/>
    <row r="168" spans="1:34" ht="14.1" customHeight="1" x14ac:dyDescent="0.25"/>
    <row r="169" spans="1:34" ht="14.1" customHeight="1" x14ac:dyDescent="0.25"/>
    <row r="170" spans="1:34" ht="14.1" customHeight="1" x14ac:dyDescent="0.25"/>
    <row r="171" spans="1:34" ht="14.1" customHeight="1" x14ac:dyDescent="0.25"/>
    <row r="172" spans="1:34" ht="14.1" customHeight="1" x14ac:dyDescent="0.25"/>
    <row r="173" spans="1:34" ht="14.1" customHeight="1" x14ac:dyDescent="0.25"/>
    <row r="174" spans="1:34" ht="14.1" customHeight="1" x14ac:dyDescent="0.25"/>
    <row r="175" spans="1:34" ht="14.1" customHeight="1" x14ac:dyDescent="0.25"/>
    <row r="176" spans="1:34" ht="14.1" customHeight="1" x14ac:dyDescent="0.25"/>
    <row r="177" ht="14.1" customHeight="1" x14ac:dyDescent="0.25"/>
    <row r="178" ht="14.1" customHeight="1" x14ac:dyDescent="0.25"/>
    <row r="179" ht="14.1" customHeight="1" x14ac:dyDescent="0.25"/>
    <row r="180" ht="14.1" customHeight="1" x14ac:dyDescent="0.25"/>
    <row r="181" ht="14.1" customHeight="1" x14ac:dyDescent="0.25"/>
    <row r="182" ht="14.1" customHeight="1" x14ac:dyDescent="0.25"/>
    <row r="183" ht="14.1" customHeight="1" x14ac:dyDescent="0.25"/>
    <row r="184" ht="14.1" customHeight="1" x14ac:dyDescent="0.25"/>
    <row r="185" ht="14.1" customHeight="1" x14ac:dyDescent="0.25"/>
    <row r="186" ht="14.1" customHeight="1" x14ac:dyDescent="0.25"/>
    <row r="187" ht="14.1" customHeight="1" x14ac:dyDescent="0.25"/>
    <row r="188" ht="14.1" customHeight="1" x14ac:dyDescent="0.25"/>
    <row r="189" ht="14.1" customHeight="1" x14ac:dyDescent="0.25"/>
    <row r="190" ht="14.1" customHeight="1" x14ac:dyDescent="0.25"/>
    <row r="191" ht="14.1" customHeight="1" x14ac:dyDescent="0.25"/>
    <row r="192" ht="14.1" customHeight="1" x14ac:dyDescent="0.25"/>
    <row r="193" ht="14.1" customHeight="1" x14ac:dyDescent="0.25"/>
    <row r="194" ht="14.1" customHeight="1" x14ac:dyDescent="0.25"/>
    <row r="195" ht="14.1" customHeight="1" x14ac:dyDescent="0.25"/>
    <row r="196" ht="14.1" customHeight="1" x14ac:dyDescent="0.25"/>
    <row r="197" ht="14.1" customHeight="1" x14ac:dyDescent="0.25"/>
    <row r="198" ht="14.1" customHeight="1" x14ac:dyDescent="0.25"/>
    <row r="199" ht="14.1" customHeight="1" x14ac:dyDescent="0.25"/>
    <row r="200" ht="14.1" customHeight="1" x14ac:dyDescent="0.25"/>
    <row r="201" ht="14.1" customHeight="1" x14ac:dyDescent="0.25"/>
    <row r="202" ht="14.1" customHeight="1" x14ac:dyDescent="0.25"/>
    <row r="203" ht="14.1" customHeight="1" x14ac:dyDescent="0.25"/>
    <row r="204" ht="14.1" customHeight="1" x14ac:dyDescent="0.25"/>
    <row r="205" ht="14.1" customHeight="1" x14ac:dyDescent="0.25"/>
    <row r="206" ht="14.1" customHeight="1" x14ac:dyDescent="0.25"/>
    <row r="207" ht="14.1" customHeight="1" x14ac:dyDescent="0.25"/>
    <row r="208" ht="14.1" customHeight="1" x14ac:dyDescent="0.25"/>
    <row r="209" ht="14.1" customHeight="1" x14ac:dyDescent="0.25"/>
    <row r="210" ht="14.1" customHeight="1" x14ac:dyDescent="0.25"/>
    <row r="211" ht="14.1" customHeight="1" x14ac:dyDescent="0.25"/>
    <row r="212" ht="14.1" customHeight="1" x14ac:dyDescent="0.25"/>
    <row r="213" ht="14.1" customHeight="1" x14ac:dyDescent="0.25"/>
    <row r="214" ht="14.1" customHeight="1" x14ac:dyDescent="0.25"/>
    <row r="215" ht="14.1" customHeight="1" x14ac:dyDescent="0.25"/>
    <row r="216" ht="14.1" customHeight="1" x14ac:dyDescent="0.25"/>
    <row r="217" ht="14.1" customHeight="1" x14ac:dyDescent="0.25"/>
    <row r="218" ht="14.1" customHeight="1" x14ac:dyDescent="0.25"/>
    <row r="219" ht="14.1" customHeight="1" x14ac:dyDescent="0.25"/>
    <row r="220" ht="14.1" customHeight="1" x14ac:dyDescent="0.25"/>
    <row r="221" ht="14.1" customHeight="1" x14ac:dyDescent="0.25"/>
    <row r="222" ht="14.1" customHeight="1" x14ac:dyDescent="0.25"/>
    <row r="223" ht="14.1" customHeight="1" x14ac:dyDescent="0.25"/>
    <row r="224" ht="14.1" customHeight="1" x14ac:dyDescent="0.25"/>
    <row r="225" ht="14.1" customHeight="1" x14ac:dyDescent="0.25"/>
    <row r="226" ht="14.1" customHeight="1" x14ac:dyDescent="0.25"/>
    <row r="227" ht="14.1" customHeight="1" x14ac:dyDescent="0.25"/>
    <row r="228" ht="14.1" customHeight="1" x14ac:dyDescent="0.25"/>
    <row r="229" ht="14.1" customHeight="1" x14ac:dyDescent="0.25"/>
    <row r="230" ht="14.1" customHeight="1" x14ac:dyDescent="0.25"/>
    <row r="231" ht="14.1" customHeight="1" x14ac:dyDescent="0.25"/>
    <row r="232" ht="14.1" customHeight="1" x14ac:dyDescent="0.25"/>
    <row r="233" ht="14.1" customHeight="1" x14ac:dyDescent="0.25"/>
    <row r="234" ht="14.1" customHeight="1" x14ac:dyDescent="0.25"/>
    <row r="235" ht="14.1" customHeight="1" x14ac:dyDescent="0.25"/>
    <row r="236" ht="14.1" customHeight="1" x14ac:dyDescent="0.25"/>
    <row r="237" ht="14.1" customHeight="1" x14ac:dyDescent="0.25"/>
    <row r="238" ht="14.1" customHeight="1" x14ac:dyDescent="0.25"/>
    <row r="239" ht="14.1" customHeight="1" x14ac:dyDescent="0.25"/>
    <row r="240" ht="14.1" customHeight="1" x14ac:dyDescent="0.25"/>
    <row r="241" ht="14.1" customHeight="1" x14ac:dyDescent="0.25"/>
    <row r="242" ht="14.1" customHeight="1" x14ac:dyDescent="0.25"/>
    <row r="243" ht="14.1" customHeight="1" x14ac:dyDescent="0.25"/>
    <row r="244" ht="14.1" customHeight="1" x14ac:dyDescent="0.25"/>
    <row r="245" ht="14.1" customHeight="1" x14ac:dyDescent="0.25"/>
    <row r="246" ht="14.1" customHeight="1" x14ac:dyDescent="0.25"/>
    <row r="247" ht="14.1" customHeight="1" x14ac:dyDescent="0.25"/>
    <row r="248" ht="14.1" customHeight="1" x14ac:dyDescent="0.25"/>
    <row r="249" ht="14.1" customHeight="1" x14ac:dyDescent="0.25"/>
    <row r="250" ht="14.1" customHeight="1" x14ac:dyDescent="0.25"/>
    <row r="251" ht="14.1" customHeight="1" x14ac:dyDescent="0.25"/>
    <row r="252" ht="14.1" customHeight="1" x14ac:dyDescent="0.25"/>
    <row r="253" ht="14.1" customHeight="1" x14ac:dyDescent="0.25"/>
    <row r="254" ht="14.1" customHeight="1" x14ac:dyDescent="0.25"/>
    <row r="255" ht="14.1" customHeight="1" x14ac:dyDescent="0.25"/>
    <row r="256" ht="14.1" customHeight="1" x14ac:dyDescent="0.25"/>
    <row r="257" ht="14.1" customHeight="1" x14ac:dyDescent="0.25"/>
    <row r="258" ht="14.1" customHeight="1" x14ac:dyDescent="0.25"/>
    <row r="259" ht="14.1" customHeight="1" x14ac:dyDescent="0.25"/>
    <row r="260" ht="14.1" customHeight="1" x14ac:dyDescent="0.25"/>
    <row r="261" ht="14.1" customHeight="1" x14ac:dyDescent="0.25"/>
    <row r="262" ht="14.1" customHeight="1" x14ac:dyDescent="0.25"/>
    <row r="263" ht="14.1" customHeight="1" x14ac:dyDescent="0.25"/>
    <row r="264" ht="14.1" customHeight="1" x14ac:dyDescent="0.25"/>
    <row r="265" ht="14.1" customHeight="1" x14ac:dyDescent="0.25"/>
    <row r="266" ht="14.1" customHeight="1" x14ac:dyDescent="0.25"/>
    <row r="267" ht="14.1" customHeight="1" x14ac:dyDescent="0.25"/>
    <row r="268" ht="14.1" customHeight="1" x14ac:dyDescent="0.25"/>
    <row r="269" ht="14.1" customHeight="1" x14ac:dyDescent="0.25"/>
    <row r="270" ht="14.1" customHeight="1" x14ac:dyDescent="0.25"/>
    <row r="271" ht="14.1" customHeight="1" x14ac:dyDescent="0.25"/>
    <row r="272" ht="14.1" customHeight="1" x14ac:dyDescent="0.25"/>
    <row r="273" ht="14.1" customHeight="1" x14ac:dyDescent="0.25"/>
    <row r="274" ht="14.1" customHeight="1" x14ac:dyDescent="0.25"/>
    <row r="275" ht="14.1" customHeight="1" x14ac:dyDescent="0.25"/>
    <row r="276" ht="14.1" customHeight="1" x14ac:dyDescent="0.25"/>
    <row r="277" ht="14.1" customHeight="1" x14ac:dyDescent="0.25"/>
    <row r="278" ht="14.1" customHeight="1" x14ac:dyDescent="0.25"/>
    <row r="279" ht="14.1" customHeight="1" x14ac:dyDescent="0.25"/>
    <row r="280" ht="14.1" customHeight="1" x14ac:dyDescent="0.25"/>
    <row r="281" ht="14.1" customHeight="1" x14ac:dyDescent="0.25"/>
    <row r="282" ht="14.1" customHeight="1" x14ac:dyDescent="0.25"/>
    <row r="283" ht="14.1" customHeight="1" x14ac:dyDescent="0.25"/>
    <row r="284" ht="14.1" customHeight="1" x14ac:dyDescent="0.25"/>
    <row r="285" ht="14.1" customHeight="1" x14ac:dyDescent="0.25"/>
    <row r="286" ht="14.1" customHeight="1" x14ac:dyDescent="0.25"/>
    <row r="287" ht="14.1" customHeight="1" x14ac:dyDescent="0.25"/>
    <row r="288" ht="14.1" customHeight="1" x14ac:dyDescent="0.25"/>
    <row r="289" ht="14.1" customHeight="1" x14ac:dyDescent="0.25"/>
    <row r="290" ht="14.1" customHeight="1" x14ac:dyDescent="0.25"/>
    <row r="291" ht="14.1" customHeight="1" x14ac:dyDescent="0.25"/>
    <row r="292" ht="14.1" customHeight="1" x14ac:dyDescent="0.25"/>
    <row r="293" ht="14.1" customHeight="1" x14ac:dyDescent="0.25"/>
    <row r="294" ht="14.1" customHeight="1" x14ac:dyDescent="0.25"/>
    <row r="295" ht="14.1" customHeight="1" x14ac:dyDescent="0.25"/>
    <row r="296" ht="14.1" customHeight="1" x14ac:dyDescent="0.25"/>
    <row r="297" ht="14.1" customHeight="1" x14ac:dyDescent="0.25"/>
    <row r="298" ht="14.1" customHeight="1" x14ac:dyDescent="0.25"/>
    <row r="299" ht="14.1" customHeight="1" x14ac:dyDescent="0.25"/>
    <row r="300" ht="14.1" customHeight="1" x14ac:dyDescent="0.25"/>
    <row r="301" ht="14.1" customHeight="1" x14ac:dyDescent="0.25"/>
    <row r="302" ht="14.1" customHeight="1" x14ac:dyDescent="0.25"/>
    <row r="303" ht="14.1" customHeight="1" x14ac:dyDescent="0.25"/>
    <row r="304" ht="14.1" customHeight="1" x14ac:dyDescent="0.25"/>
    <row r="305" ht="14.1" customHeight="1" x14ac:dyDescent="0.25"/>
    <row r="306" ht="14.1" customHeight="1" x14ac:dyDescent="0.25"/>
    <row r="307" ht="14.1" customHeight="1" x14ac:dyDescent="0.25"/>
    <row r="308" ht="14.1" customHeight="1" x14ac:dyDescent="0.25"/>
    <row r="309" ht="14.1" customHeight="1" x14ac:dyDescent="0.25"/>
    <row r="310" ht="14.1" customHeight="1" x14ac:dyDescent="0.25"/>
    <row r="311" ht="14.1" customHeight="1" x14ac:dyDescent="0.25"/>
    <row r="312" ht="14.1" customHeight="1" x14ac:dyDescent="0.25"/>
    <row r="313" ht="14.1" customHeight="1" x14ac:dyDescent="0.25"/>
    <row r="314" ht="14.1" customHeight="1" x14ac:dyDescent="0.25"/>
    <row r="315" ht="14.1" customHeight="1" x14ac:dyDescent="0.25"/>
    <row r="316" ht="14.1" customHeight="1" x14ac:dyDescent="0.25"/>
    <row r="317" ht="14.1" customHeight="1" x14ac:dyDescent="0.25"/>
    <row r="318" ht="14.1" customHeight="1" x14ac:dyDescent="0.25"/>
    <row r="319" ht="14.1" customHeight="1" x14ac:dyDescent="0.25"/>
    <row r="320" ht="14.1" customHeight="1" x14ac:dyDescent="0.25"/>
    <row r="321" ht="14.1" customHeight="1" x14ac:dyDescent="0.25"/>
    <row r="322" ht="14.1" customHeight="1" x14ac:dyDescent="0.25"/>
    <row r="323" ht="14.1" customHeight="1" x14ac:dyDescent="0.25"/>
    <row r="324" ht="14.1" customHeight="1" x14ac:dyDescent="0.25"/>
    <row r="325" ht="14.1" customHeight="1" x14ac:dyDescent="0.25"/>
    <row r="326" ht="14.1" customHeight="1" x14ac:dyDescent="0.25"/>
    <row r="327" ht="14.1" customHeight="1" x14ac:dyDescent="0.25"/>
    <row r="328" ht="14.1" customHeight="1" x14ac:dyDescent="0.25"/>
    <row r="329" ht="14.1" customHeight="1" x14ac:dyDescent="0.25"/>
    <row r="330" ht="14.1" customHeight="1" x14ac:dyDescent="0.25"/>
    <row r="331" ht="14.1" customHeight="1" x14ac:dyDescent="0.25"/>
    <row r="332" ht="14.1" customHeight="1" x14ac:dyDescent="0.25"/>
    <row r="333" ht="14.1" customHeight="1" x14ac:dyDescent="0.25"/>
    <row r="334" ht="14.1" customHeight="1" x14ac:dyDescent="0.25"/>
    <row r="335" ht="14.1" customHeight="1" x14ac:dyDescent="0.25"/>
    <row r="336" ht="14.1" customHeight="1" x14ac:dyDescent="0.25"/>
    <row r="337" ht="14.1" customHeight="1" x14ac:dyDescent="0.25"/>
    <row r="338" ht="14.1" customHeight="1" x14ac:dyDescent="0.25"/>
    <row r="339" ht="14.1" customHeight="1" x14ac:dyDescent="0.25"/>
    <row r="340" ht="14.1" customHeight="1" x14ac:dyDescent="0.25"/>
    <row r="341" ht="14.1" customHeight="1" x14ac:dyDescent="0.25"/>
    <row r="342" ht="14.1" customHeight="1" x14ac:dyDescent="0.25"/>
    <row r="343" ht="14.1" customHeight="1" x14ac:dyDescent="0.25"/>
    <row r="344" ht="14.1" customHeight="1" x14ac:dyDescent="0.25"/>
    <row r="345" ht="14.1" customHeight="1" x14ac:dyDescent="0.25"/>
    <row r="346" ht="14.1" customHeight="1" x14ac:dyDescent="0.25"/>
    <row r="347" ht="14.1" customHeight="1" x14ac:dyDescent="0.25"/>
    <row r="348" ht="14.1" customHeight="1" x14ac:dyDescent="0.25"/>
    <row r="349" ht="14.1" customHeight="1" x14ac:dyDescent="0.25"/>
    <row r="350" ht="14.1" customHeight="1" x14ac:dyDescent="0.25"/>
    <row r="351" ht="14.1" customHeight="1" x14ac:dyDescent="0.25"/>
    <row r="352" ht="14.1" customHeight="1" x14ac:dyDescent="0.25"/>
    <row r="353" ht="14.1" customHeight="1" x14ac:dyDescent="0.25"/>
    <row r="354" ht="14.1" customHeight="1" x14ac:dyDescent="0.25"/>
    <row r="355" ht="14.1" customHeight="1" x14ac:dyDescent="0.25"/>
    <row r="356" ht="14.1" customHeight="1" x14ac:dyDescent="0.25"/>
    <row r="357" ht="14.1" customHeight="1" x14ac:dyDescent="0.25"/>
    <row r="358" ht="14.1" customHeight="1" x14ac:dyDescent="0.25"/>
    <row r="359" ht="14.1" customHeight="1" x14ac:dyDescent="0.25"/>
    <row r="360" ht="14.1" customHeight="1" x14ac:dyDescent="0.25"/>
    <row r="361" ht="14.1" customHeight="1" x14ac:dyDescent="0.25"/>
    <row r="362" ht="14.1" customHeight="1" x14ac:dyDescent="0.25"/>
    <row r="363" ht="14.1" customHeight="1" x14ac:dyDescent="0.25"/>
    <row r="364" ht="14.1" customHeight="1" x14ac:dyDescent="0.25"/>
    <row r="365" ht="14.1" customHeight="1" x14ac:dyDescent="0.25"/>
    <row r="366" ht="14.1" customHeight="1" x14ac:dyDescent="0.25"/>
    <row r="367" ht="14.1" customHeight="1" x14ac:dyDescent="0.25"/>
    <row r="368" ht="14.1" customHeight="1" x14ac:dyDescent="0.25"/>
    <row r="369" ht="14.1" customHeight="1" x14ac:dyDescent="0.25"/>
    <row r="370" ht="14.1" customHeight="1" x14ac:dyDescent="0.25"/>
    <row r="371" ht="14.1" customHeight="1" x14ac:dyDescent="0.25"/>
    <row r="372" ht="14.1" customHeight="1" x14ac:dyDescent="0.25"/>
    <row r="373" ht="14.1" customHeight="1" x14ac:dyDescent="0.25"/>
    <row r="374" ht="14.1" customHeight="1" x14ac:dyDescent="0.25"/>
    <row r="375" ht="14.1" customHeight="1" x14ac:dyDescent="0.25"/>
    <row r="376" ht="14.1" customHeight="1" x14ac:dyDescent="0.25"/>
    <row r="377" ht="14.1" customHeight="1" x14ac:dyDescent="0.25"/>
    <row r="378" ht="14.1" customHeight="1" x14ac:dyDescent="0.25"/>
    <row r="379" ht="14.1" customHeight="1" x14ac:dyDescent="0.25"/>
    <row r="380" ht="14.1" customHeight="1" x14ac:dyDescent="0.25"/>
    <row r="381" ht="14.1" customHeight="1" x14ac:dyDescent="0.25"/>
    <row r="382" ht="14.1" customHeight="1" x14ac:dyDescent="0.25"/>
    <row r="383" ht="14.1" customHeight="1" x14ac:dyDescent="0.25"/>
    <row r="384" ht="14.1" customHeight="1" x14ac:dyDescent="0.25"/>
    <row r="385" ht="14.1" customHeight="1" x14ac:dyDescent="0.25"/>
    <row r="386" ht="14.1" customHeight="1" x14ac:dyDescent="0.25"/>
    <row r="387" ht="14.1" customHeight="1" x14ac:dyDescent="0.25"/>
    <row r="388" ht="14.1" customHeight="1" x14ac:dyDescent="0.25"/>
    <row r="389" ht="14.1" customHeight="1" x14ac:dyDescent="0.25"/>
    <row r="390" ht="14.1" customHeight="1" x14ac:dyDescent="0.25"/>
    <row r="391" ht="14.1" customHeight="1" x14ac:dyDescent="0.25"/>
    <row r="392" ht="14.1" customHeight="1" x14ac:dyDescent="0.25"/>
    <row r="393" ht="14.1" customHeight="1" x14ac:dyDescent="0.25"/>
    <row r="394" ht="14.1" customHeight="1" x14ac:dyDescent="0.25"/>
    <row r="395" ht="14.1" customHeight="1" x14ac:dyDescent="0.25"/>
    <row r="396" ht="14.1" customHeight="1" x14ac:dyDescent="0.25"/>
    <row r="397" ht="14.1" customHeight="1" x14ac:dyDescent="0.25"/>
    <row r="398" ht="14.1" customHeight="1" x14ac:dyDescent="0.25"/>
    <row r="399" ht="14.1" customHeight="1" x14ac:dyDescent="0.25"/>
    <row r="400" ht="14.1" customHeight="1" x14ac:dyDescent="0.25"/>
    <row r="401" ht="14.1" customHeight="1" x14ac:dyDescent="0.25"/>
    <row r="402" ht="14.1" customHeight="1" x14ac:dyDescent="0.25"/>
    <row r="403" ht="14.1" customHeight="1" x14ac:dyDescent="0.25"/>
    <row r="404" ht="14.1" customHeight="1" x14ac:dyDescent="0.25"/>
    <row r="405" ht="14.1" customHeight="1" x14ac:dyDescent="0.25"/>
    <row r="406" ht="14.1" customHeight="1" x14ac:dyDescent="0.25"/>
  </sheetData>
  <mergeCells count="165">
    <mergeCell ref="A30:AH30"/>
    <mergeCell ref="A39:AH39"/>
    <mergeCell ref="A48:AH48"/>
    <mergeCell ref="AB44:AH44"/>
    <mergeCell ref="F45:L45"/>
    <mergeCell ref="M45:T45"/>
    <mergeCell ref="U45:AA45"/>
    <mergeCell ref="AB45:AH45"/>
    <mergeCell ref="F46:L46"/>
    <mergeCell ref="M46:P46"/>
    <mergeCell ref="Q46:T46"/>
    <mergeCell ref="U46:AA46"/>
    <mergeCell ref="AB46:AH46"/>
    <mergeCell ref="F44:L44"/>
    <mergeCell ref="M44:N44"/>
    <mergeCell ref="O44:P44"/>
    <mergeCell ref="Q44:R44"/>
    <mergeCell ref="S44:T44"/>
    <mergeCell ref="U44:AA44"/>
    <mergeCell ref="F42:L42"/>
    <mergeCell ref="M42:T42"/>
    <mergeCell ref="U42:AA42"/>
    <mergeCell ref="AB42:AH42"/>
    <mergeCell ref="F43:L43"/>
    <mergeCell ref="M43:P43"/>
    <mergeCell ref="Q43:T43"/>
    <mergeCell ref="U43:AA43"/>
    <mergeCell ref="AB43:AH43"/>
    <mergeCell ref="A40:E47"/>
    <mergeCell ref="F40:L40"/>
    <mergeCell ref="M40:T40"/>
    <mergeCell ref="U40:AA40"/>
    <mergeCell ref="AB40:AH40"/>
    <mergeCell ref="F41:L41"/>
    <mergeCell ref="M41:P41"/>
    <mergeCell ref="Q41:T41"/>
    <mergeCell ref="U41:AA41"/>
    <mergeCell ref="AB41:AH41"/>
    <mergeCell ref="F37:L37"/>
    <mergeCell ref="M37:P37"/>
    <mergeCell ref="Q37:T37"/>
    <mergeCell ref="U37:AA37"/>
    <mergeCell ref="AB37:AH37"/>
    <mergeCell ref="F35:L35"/>
    <mergeCell ref="M35:N35"/>
    <mergeCell ref="O35:P35"/>
    <mergeCell ref="Q35:R35"/>
    <mergeCell ref="S35:T35"/>
    <mergeCell ref="U35:AA35"/>
    <mergeCell ref="A31:E38"/>
    <mergeCell ref="F31:L31"/>
    <mergeCell ref="M31:T31"/>
    <mergeCell ref="U31:AA31"/>
    <mergeCell ref="AB31:AH31"/>
    <mergeCell ref="F32:L32"/>
    <mergeCell ref="M32:P32"/>
    <mergeCell ref="Q32:T32"/>
    <mergeCell ref="U32:AA32"/>
    <mergeCell ref="AB32:AH32"/>
    <mergeCell ref="F33:L33"/>
    <mergeCell ref="M33:T33"/>
    <mergeCell ref="U33:AA33"/>
    <mergeCell ref="AB33:AH33"/>
    <mergeCell ref="F34:L34"/>
    <mergeCell ref="M34:P34"/>
    <mergeCell ref="Q34:T34"/>
    <mergeCell ref="U34:AA34"/>
    <mergeCell ref="AB34:AH34"/>
    <mergeCell ref="AB35:AH35"/>
    <mergeCell ref="F36:L36"/>
    <mergeCell ref="M36:T36"/>
    <mergeCell ref="U36:AA36"/>
    <mergeCell ref="AB36:AH36"/>
    <mergeCell ref="AB26:AH26"/>
    <mergeCell ref="AB27:AH27"/>
    <mergeCell ref="AB28:AH28"/>
    <mergeCell ref="U23:AA23"/>
    <mergeCell ref="U24:AA24"/>
    <mergeCell ref="U25:AA25"/>
    <mergeCell ref="U26:AA26"/>
    <mergeCell ref="U27:AA27"/>
    <mergeCell ref="U28:AA28"/>
    <mergeCell ref="M27:T27"/>
    <mergeCell ref="M28:P28"/>
    <mergeCell ref="Q28:T28"/>
    <mergeCell ref="F27:L27"/>
    <mergeCell ref="F28:L28"/>
    <mergeCell ref="A22:E29"/>
    <mergeCell ref="F26:L26"/>
    <mergeCell ref="F24:L24"/>
    <mergeCell ref="M24:T24"/>
    <mergeCell ref="M25:P25"/>
    <mergeCell ref="Q25:T25"/>
    <mergeCell ref="M26:N26"/>
    <mergeCell ref="O26:P26"/>
    <mergeCell ref="Q26:R26"/>
    <mergeCell ref="S26:T26"/>
    <mergeCell ref="A21:AH21"/>
    <mergeCell ref="F22:L22"/>
    <mergeCell ref="M22:T22"/>
    <mergeCell ref="U22:AA22"/>
    <mergeCell ref="AB22:AH22"/>
    <mergeCell ref="F23:L23"/>
    <mergeCell ref="M23:P23"/>
    <mergeCell ref="Q23:T23"/>
    <mergeCell ref="F25:L25"/>
    <mergeCell ref="AB23:AH23"/>
    <mergeCell ref="AB24:AH24"/>
    <mergeCell ref="AB25:AH25"/>
    <mergeCell ref="AE18:AH19"/>
    <mergeCell ref="M19:N19"/>
    <mergeCell ref="O19:P19"/>
    <mergeCell ref="Q19:R19"/>
    <mergeCell ref="S19:T19"/>
    <mergeCell ref="U19:X19"/>
    <mergeCell ref="Y19:Z19"/>
    <mergeCell ref="F17:I17"/>
    <mergeCell ref="J17:L17"/>
    <mergeCell ref="M17:T17"/>
    <mergeCell ref="U17:Z18"/>
    <mergeCell ref="AA17:AH17"/>
    <mergeCell ref="F18:I19"/>
    <mergeCell ref="J18:L19"/>
    <mergeCell ref="M18:P18"/>
    <mergeCell ref="Q18:T18"/>
    <mergeCell ref="AA18:AD19"/>
    <mergeCell ref="Q15:T15"/>
    <mergeCell ref="AA15:AH15"/>
    <mergeCell ref="F16:L16"/>
    <mergeCell ref="M16:N16"/>
    <mergeCell ref="O16:P16"/>
    <mergeCell ref="Q16:R16"/>
    <mergeCell ref="S16:T16"/>
    <mergeCell ref="AA16:AH16"/>
    <mergeCell ref="Y11:AB12"/>
    <mergeCell ref="AC11:AH12"/>
    <mergeCell ref="A13:AH13"/>
    <mergeCell ref="A14:E20"/>
    <mergeCell ref="F14:L14"/>
    <mergeCell ref="M14:T14"/>
    <mergeCell ref="U14:Z16"/>
    <mergeCell ref="AA14:AH14"/>
    <mergeCell ref="F15:L15"/>
    <mergeCell ref="M15:P15"/>
    <mergeCell ref="A11:E12"/>
    <mergeCell ref="F11:I12"/>
    <mergeCell ref="J11:L12"/>
    <mergeCell ref="M11:P12"/>
    <mergeCell ref="Q11:T12"/>
    <mergeCell ref="U11:X12"/>
    <mergeCell ref="A6:E7"/>
    <mergeCell ref="F6:T7"/>
    <mergeCell ref="U6:Y7"/>
    <mergeCell ref="Z6:AH7"/>
    <mergeCell ref="A8:E10"/>
    <mergeCell ref="F8:AH10"/>
    <mergeCell ref="A1:AH1"/>
    <mergeCell ref="A2:E3"/>
    <mergeCell ref="F2:T3"/>
    <mergeCell ref="U2:Y3"/>
    <mergeCell ref="Z2:AH3"/>
    <mergeCell ref="A4:E5"/>
    <mergeCell ref="F4:T5"/>
    <mergeCell ref="U4:Y5"/>
    <mergeCell ref="Z4:AH5"/>
  </mergeCells>
  <dataValidations count="6">
    <dataValidation type="custom" allowBlank="1" showInputMessage="1" showErrorMessage="1" sqref="AU5">
      <formula1>AT5=1</formula1>
    </dataValidation>
    <dataValidation type="custom" allowBlank="1" showInputMessage="1" showErrorMessage="1" sqref="AT22">
      <formula1>"AT19=1"</formula1>
    </dataValidation>
    <dataValidation type="list" allowBlank="1" showInputMessage="1" showErrorMessage="1" sqref="AA18:AD19">
      <formula1>$AT$2:$AT$3</formula1>
    </dataValidation>
    <dataValidation type="list" allowBlank="1" showInputMessage="1" showErrorMessage="1" sqref="S19:T19 Q28 O19:P19 Q37 Q46">
      <formula1>$AU$2:$AU$4</formula1>
    </dataValidation>
    <dataValidation type="list" allowBlank="1" showInputMessage="1" showErrorMessage="1" sqref="J18:L19 Q23:T23 Q32:T32 Q41:T41">
      <formula1>$AV$2:$AV$5</formula1>
    </dataValidation>
    <dataValidation type="list" allowBlank="1" showInputMessage="1" showErrorMessage="1" sqref="F28:L28 F37:L37 F46:L46">
      <formula1>$AW$2:$AW$5</formula1>
    </dataValidation>
  </dataValidations>
  <pageMargins left="0.7" right="0.7" top="0.75" bottom="0.75" header="0.3" footer="0.3"/>
  <pageSetup paperSize="9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89" r:id="rId4" name="Group Box 1">
              <controlPr defaultSize="0" autoFill="0" autoPict="0">
                <anchor moveWithCells="1">
                  <from>
                    <xdr:col>5</xdr:col>
                    <xdr:colOff>0</xdr:colOff>
                    <xdr:row>13</xdr:row>
                    <xdr:rowOff>0</xdr:rowOff>
                  </from>
                  <to>
                    <xdr:col>12</xdr:col>
                    <xdr:colOff>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0" r:id="rId5" name="Флажок 2">
              <controlPr defaultSize="0" autoFill="0" autoLine="0" autoPict="0" altText="Наличие колон, выступов">
                <anchor moveWithCells="1">
                  <from>
                    <xdr:col>28</xdr:col>
                    <xdr:colOff>66675</xdr:colOff>
                    <xdr:row>10</xdr:row>
                    <xdr:rowOff>142875</xdr:rowOff>
                  </from>
                  <to>
                    <xdr:col>29</xdr:col>
                    <xdr:colOff>114300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1" r:id="rId6" name="Check Box 7">
              <controlPr defaultSize="0" autoFill="0" autoLine="0" autoPict="0">
                <anchor moveWithCells="1">
                  <from>
                    <xdr:col>3</xdr:col>
                    <xdr:colOff>123825</xdr:colOff>
                    <xdr:row>12</xdr:row>
                    <xdr:rowOff>38100</xdr:rowOff>
                  </from>
                  <to>
                    <xdr:col>5</xdr:col>
                    <xdr:colOff>47625</xdr:colOff>
                    <xdr:row>14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2" r:id="rId7" name="Check Box 4">
              <controlPr defaultSize="0" autoFill="0" autoLine="0" autoPict="0">
                <anchor moveWithCells="1">
                  <from>
                    <xdr:col>24</xdr:col>
                    <xdr:colOff>142875</xdr:colOff>
                    <xdr:row>12</xdr:row>
                    <xdr:rowOff>0</xdr:rowOff>
                  </from>
                  <to>
                    <xdr:col>26</xdr:col>
                    <xdr:colOff>47625</xdr:colOff>
                    <xdr:row>14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3" r:id="rId8" name="Check Box 5">
              <controlPr defaultSize="0" autoFill="0" autoLine="0" autoPict="0">
                <anchor moveWithCells="1">
                  <from>
                    <xdr:col>32</xdr:col>
                    <xdr:colOff>47625</xdr:colOff>
                    <xdr:row>12</xdr:row>
                    <xdr:rowOff>9525</xdr:rowOff>
                  </from>
                  <to>
                    <xdr:col>33</xdr:col>
                    <xdr:colOff>123825</xdr:colOff>
                    <xdr:row>14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4" r:id="rId9" name="Group Box 6">
              <controlPr defaultSize="0" autoFill="0" autoPict="0">
                <anchor moveWithCells="1">
                  <from>
                    <xdr:col>25</xdr:col>
                    <xdr:colOff>171450</xdr:colOff>
                    <xdr:row>12</xdr:row>
                    <xdr:rowOff>57150</xdr:rowOff>
                  </from>
                  <to>
                    <xdr:col>33</xdr:col>
                    <xdr:colOff>171450</xdr:colOff>
                    <xdr:row>18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5" r:id="rId10" name="Option Button 7">
              <controlPr defaultSize="0" autoFill="0" autoLine="0" autoPict="0">
                <anchor moveWithCells="1">
                  <from>
                    <xdr:col>5</xdr:col>
                    <xdr:colOff>28575</xdr:colOff>
                    <xdr:row>13</xdr:row>
                    <xdr:rowOff>142875</xdr:rowOff>
                  </from>
                  <to>
                    <xdr:col>6</xdr:col>
                    <xdr:colOff>66675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6" r:id="rId11" name="Option Button 8">
              <controlPr defaultSize="0" autoFill="0" autoLine="0" autoPict="0">
                <anchor moveWithCells="1">
                  <from>
                    <xdr:col>5</xdr:col>
                    <xdr:colOff>28575</xdr:colOff>
                    <xdr:row>14</xdr:row>
                    <xdr:rowOff>142875</xdr:rowOff>
                  </from>
                  <to>
                    <xdr:col>6</xdr:col>
                    <xdr:colOff>66675</xdr:colOff>
                    <xdr:row>16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7" r:id="rId12" name="Option Button 9">
              <controlPr defaultSize="0" autoFill="0" autoLine="0" autoPict="0">
                <anchor moveWithCells="1">
                  <from>
                    <xdr:col>26</xdr:col>
                    <xdr:colOff>38100</xdr:colOff>
                    <xdr:row>14</xdr:row>
                    <xdr:rowOff>152400</xdr:rowOff>
                  </from>
                  <to>
                    <xdr:col>27</xdr:col>
                    <xdr:colOff>85725</xdr:colOff>
                    <xdr:row>16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8" r:id="rId13" name="Option Button 10">
              <controlPr defaultSize="0" autoFill="0" autoLine="0" autoPict="0">
                <anchor moveWithCells="1">
                  <from>
                    <xdr:col>26</xdr:col>
                    <xdr:colOff>38100</xdr:colOff>
                    <xdr:row>15</xdr:row>
                    <xdr:rowOff>142875</xdr:rowOff>
                  </from>
                  <to>
                    <xdr:col>27</xdr:col>
                    <xdr:colOff>85725</xdr:colOff>
                    <xdr:row>17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9" r:id="rId14" name="Check Box 11">
              <controlPr defaultSize="0" autoFill="0" autoLine="0" autoPict="0">
                <anchor moveWithCells="1">
                  <from>
                    <xdr:col>3</xdr:col>
                    <xdr:colOff>95250</xdr:colOff>
                    <xdr:row>21</xdr:row>
                    <xdr:rowOff>28575</xdr:rowOff>
                  </from>
                  <to>
                    <xdr:col>4</xdr:col>
                    <xdr:colOff>133350</xdr:colOff>
                    <xdr:row>22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1" r:id="rId15" name="Group Box 13">
              <controlPr defaultSize="0" autoFill="0" autoPict="0">
                <anchor moveWithCells="1">
                  <from>
                    <xdr:col>4</xdr:col>
                    <xdr:colOff>161925</xdr:colOff>
                    <xdr:row>21</xdr:row>
                    <xdr:rowOff>0</xdr:rowOff>
                  </from>
                  <to>
                    <xdr:col>12</xdr:col>
                    <xdr:colOff>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2" r:id="rId16" name="Option Button 14">
              <controlPr defaultSize="0" autoFill="0" autoLine="0" autoPict="0">
                <anchor moveWithCells="1">
                  <from>
                    <xdr:col>5</xdr:col>
                    <xdr:colOff>9525</xdr:colOff>
                    <xdr:row>20</xdr:row>
                    <xdr:rowOff>38100</xdr:rowOff>
                  </from>
                  <to>
                    <xdr:col>6</xdr:col>
                    <xdr:colOff>57150</xdr:colOff>
                    <xdr:row>22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5" r:id="rId17" name="Option Button 17">
              <controlPr defaultSize="0" autoFill="0" autoLine="0" autoPict="0">
                <anchor moveWithCells="1">
                  <from>
                    <xdr:col>5</xdr:col>
                    <xdr:colOff>9525</xdr:colOff>
                    <xdr:row>21</xdr:row>
                    <xdr:rowOff>152400</xdr:rowOff>
                  </from>
                  <to>
                    <xdr:col>6</xdr:col>
                    <xdr:colOff>47625</xdr:colOff>
                    <xdr:row>23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4" r:id="rId18" name="Group Box 26">
              <controlPr defaultSize="0" autoFill="0" autoPict="0">
                <anchor moveWithCells="1">
                  <from>
                    <xdr:col>4</xdr:col>
                    <xdr:colOff>161925</xdr:colOff>
                    <xdr:row>23</xdr:row>
                    <xdr:rowOff>171450</xdr:rowOff>
                  </from>
                  <to>
                    <xdr:col>11</xdr:col>
                    <xdr:colOff>209550</xdr:colOff>
                    <xdr:row>25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5" r:id="rId19" name="Option Button 27">
              <controlPr defaultSize="0" autoFill="0" autoLine="0" autoPict="0">
                <anchor moveWithCells="1">
                  <from>
                    <xdr:col>5</xdr:col>
                    <xdr:colOff>9525</xdr:colOff>
                    <xdr:row>24</xdr:row>
                    <xdr:rowOff>19050</xdr:rowOff>
                  </from>
                  <to>
                    <xdr:col>6</xdr:col>
                    <xdr:colOff>47625</xdr:colOff>
                    <xdr:row>24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6" r:id="rId20" name="Option Button 28">
              <controlPr defaultSize="0" autoFill="0" autoLine="0" autoPict="0">
                <anchor moveWithCells="1">
                  <from>
                    <xdr:col>5</xdr:col>
                    <xdr:colOff>9525</xdr:colOff>
                    <xdr:row>25</xdr:row>
                    <xdr:rowOff>19050</xdr:rowOff>
                  </from>
                  <to>
                    <xdr:col>6</xdr:col>
                    <xdr:colOff>38100</xdr:colOff>
                    <xdr:row>25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9" r:id="rId21" name="Group Box 31">
              <controlPr defaultSize="0" autoFill="0" autoPict="0">
                <anchor moveWithCells="1">
                  <from>
                    <xdr:col>20</xdr:col>
                    <xdr:colOff>0</xdr:colOff>
                    <xdr:row>21</xdr:row>
                    <xdr:rowOff>0</xdr:rowOff>
                  </from>
                  <to>
                    <xdr:col>26</xdr:col>
                    <xdr:colOff>171450</xdr:colOff>
                    <xdr:row>24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0" r:id="rId22" name="Group Box 32">
              <controlPr defaultSize="0" autoFill="0" autoPict="0">
                <anchor moveWithCells="1">
                  <from>
                    <xdr:col>20</xdr:col>
                    <xdr:colOff>0</xdr:colOff>
                    <xdr:row>25</xdr:row>
                    <xdr:rowOff>0</xdr:rowOff>
                  </from>
                  <to>
                    <xdr:col>26</xdr:col>
                    <xdr:colOff>171450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1" r:id="rId23" name="Option Button 33">
              <controlPr defaultSize="0" autoFill="0" autoLine="0" autoPict="0">
                <anchor moveWithCells="1">
                  <from>
                    <xdr:col>20</xdr:col>
                    <xdr:colOff>9525</xdr:colOff>
                    <xdr:row>22</xdr:row>
                    <xdr:rowOff>19050</xdr:rowOff>
                  </from>
                  <to>
                    <xdr:col>21</xdr:col>
                    <xdr:colOff>85725</xdr:colOff>
                    <xdr:row>22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2" r:id="rId24" name="Option Button 34">
              <controlPr defaultSize="0" autoFill="0" autoLine="0" autoPict="0">
                <anchor moveWithCells="1">
                  <from>
                    <xdr:col>20</xdr:col>
                    <xdr:colOff>9525</xdr:colOff>
                    <xdr:row>23</xdr:row>
                    <xdr:rowOff>0</xdr:rowOff>
                  </from>
                  <to>
                    <xdr:col>21</xdr:col>
                    <xdr:colOff>85725</xdr:colOff>
                    <xdr:row>24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3" r:id="rId25" name="Option Button 35">
              <controlPr defaultSize="0" autoFill="0" autoLine="0" autoPict="0">
                <anchor moveWithCells="1">
                  <from>
                    <xdr:col>20</xdr:col>
                    <xdr:colOff>9525</xdr:colOff>
                    <xdr:row>24</xdr:row>
                    <xdr:rowOff>9525</xdr:rowOff>
                  </from>
                  <to>
                    <xdr:col>21</xdr:col>
                    <xdr:colOff>85725</xdr:colOff>
                    <xdr:row>24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6" r:id="rId26" name="Option Button 38">
              <controlPr defaultSize="0" autoFill="0" autoLine="0" autoPict="0">
                <anchor moveWithCells="1">
                  <from>
                    <xdr:col>20</xdr:col>
                    <xdr:colOff>0</xdr:colOff>
                    <xdr:row>26</xdr:row>
                    <xdr:rowOff>0</xdr:rowOff>
                  </from>
                  <to>
                    <xdr:col>21</xdr:col>
                    <xdr:colOff>66675</xdr:colOff>
                    <xdr:row>26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7" r:id="rId27" name="Option Button 39">
              <controlPr defaultSize="0" autoFill="0" autoLine="0" autoPict="0">
                <anchor moveWithCells="1">
                  <from>
                    <xdr:col>20</xdr:col>
                    <xdr:colOff>0</xdr:colOff>
                    <xdr:row>26</xdr:row>
                    <xdr:rowOff>171450</xdr:rowOff>
                  </from>
                  <to>
                    <xdr:col>21</xdr:col>
                    <xdr:colOff>76200</xdr:colOff>
                    <xdr:row>27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8" r:id="rId28" name="Group Box 40">
              <controlPr defaultSize="0" autoFill="0" autoPict="0">
                <anchor moveWithCells="1">
                  <from>
                    <xdr:col>27</xdr:col>
                    <xdr:colOff>0</xdr:colOff>
                    <xdr:row>21</xdr:row>
                    <xdr:rowOff>0</xdr:rowOff>
                  </from>
                  <to>
                    <xdr:col>34</xdr:col>
                    <xdr:colOff>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9" r:id="rId29" name="Option Button 41">
              <controlPr defaultSize="0" autoFill="0" autoLine="0" autoPict="0">
                <anchor moveWithCells="1">
                  <from>
                    <xdr:col>27</xdr:col>
                    <xdr:colOff>19050</xdr:colOff>
                    <xdr:row>22</xdr:row>
                    <xdr:rowOff>0</xdr:rowOff>
                  </from>
                  <to>
                    <xdr:col>28</xdr:col>
                    <xdr:colOff>28575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0" r:id="rId30" name="Option Button 42">
              <controlPr defaultSize="0" autoFill="0" autoLine="0" autoPict="0">
                <anchor moveWithCells="1">
                  <from>
                    <xdr:col>27</xdr:col>
                    <xdr:colOff>19050</xdr:colOff>
                    <xdr:row>23</xdr:row>
                    <xdr:rowOff>0</xdr:rowOff>
                  </from>
                  <to>
                    <xdr:col>28</xdr:col>
                    <xdr:colOff>28575</xdr:colOff>
                    <xdr:row>23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1" r:id="rId31" name="Option Button 43">
              <controlPr defaultSize="0" autoFill="0" autoLine="0" autoPict="0">
                <anchor moveWithCells="1">
                  <from>
                    <xdr:col>27</xdr:col>
                    <xdr:colOff>19050</xdr:colOff>
                    <xdr:row>24</xdr:row>
                    <xdr:rowOff>0</xdr:rowOff>
                  </from>
                  <to>
                    <xdr:col>28</xdr:col>
                    <xdr:colOff>28575</xdr:colOff>
                    <xdr:row>24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2" r:id="rId32" name="Group Box 44">
              <controlPr defaultSize="0" autoFill="0" autoPict="0">
                <anchor moveWithCells="1">
                  <from>
                    <xdr:col>27</xdr:col>
                    <xdr:colOff>0</xdr:colOff>
                    <xdr:row>25</xdr:row>
                    <xdr:rowOff>0</xdr:rowOff>
                  </from>
                  <to>
                    <xdr:col>34</xdr:col>
                    <xdr:colOff>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3" r:id="rId33" name="Option Button 45">
              <controlPr defaultSize="0" autoFill="0" autoLine="0" autoPict="0">
                <anchor moveWithCells="1">
                  <from>
                    <xdr:col>27</xdr:col>
                    <xdr:colOff>9525</xdr:colOff>
                    <xdr:row>26</xdr:row>
                    <xdr:rowOff>0</xdr:rowOff>
                  </from>
                  <to>
                    <xdr:col>28</xdr:col>
                    <xdr:colOff>19050</xdr:colOff>
                    <xdr:row>26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4" r:id="rId34" name="Option Button 46">
              <controlPr defaultSize="0" autoFill="0" autoLine="0" autoPict="0">
                <anchor moveWithCells="1">
                  <from>
                    <xdr:col>27</xdr:col>
                    <xdr:colOff>9525</xdr:colOff>
                    <xdr:row>27</xdr:row>
                    <xdr:rowOff>19050</xdr:rowOff>
                  </from>
                  <to>
                    <xdr:col>28</xdr:col>
                    <xdr:colOff>28575</xdr:colOff>
                    <xdr:row>27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5" r:id="rId35" name="Check Box 47">
              <controlPr defaultSize="0" autoFill="0" autoLine="0" autoPict="0">
                <anchor moveWithCells="1">
                  <from>
                    <xdr:col>3</xdr:col>
                    <xdr:colOff>95250</xdr:colOff>
                    <xdr:row>30</xdr:row>
                    <xdr:rowOff>28575</xdr:rowOff>
                  </from>
                  <to>
                    <xdr:col>4</xdr:col>
                    <xdr:colOff>133350</xdr:colOff>
                    <xdr:row>31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6" r:id="rId36" name="Group Box 48">
              <controlPr defaultSize="0" autoFill="0" autoPict="0">
                <anchor moveWithCells="1">
                  <from>
                    <xdr:col>4</xdr:col>
                    <xdr:colOff>161925</xdr:colOff>
                    <xdr:row>30</xdr:row>
                    <xdr:rowOff>0</xdr:rowOff>
                  </from>
                  <to>
                    <xdr:col>11</xdr:col>
                    <xdr:colOff>209550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9" r:id="rId37" name="Group Box 51">
              <controlPr defaultSize="0" autoFill="0" autoPict="0">
                <anchor moveWithCells="1">
                  <from>
                    <xdr:col>4</xdr:col>
                    <xdr:colOff>161925</xdr:colOff>
                    <xdr:row>32</xdr:row>
                    <xdr:rowOff>171450</xdr:rowOff>
                  </from>
                  <to>
                    <xdr:col>11</xdr:col>
                    <xdr:colOff>209550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2" r:id="rId38" name="Group Box 54">
              <controlPr defaultSize="0" autoFill="0" autoPict="0">
                <anchor moveWithCells="1">
                  <from>
                    <xdr:col>20</xdr:col>
                    <xdr:colOff>0</xdr:colOff>
                    <xdr:row>30</xdr:row>
                    <xdr:rowOff>0</xdr:rowOff>
                  </from>
                  <to>
                    <xdr:col>26</xdr:col>
                    <xdr:colOff>171450</xdr:colOff>
                    <xdr:row>33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3" r:id="rId39" name="Group Box 55">
              <controlPr defaultSize="0" autoFill="0" autoPict="0">
                <anchor moveWithCells="1">
                  <from>
                    <xdr:col>20</xdr:col>
                    <xdr:colOff>0</xdr:colOff>
                    <xdr:row>34</xdr:row>
                    <xdr:rowOff>0</xdr:rowOff>
                  </from>
                  <to>
                    <xdr:col>26</xdr:col>
                    <xdr:colOff>171450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9" r:id="rId40" name="Group Box 61">
              <controlPr defaultSize="0" autoFill="0" autoPict="0">
                <anchor moveWithCells="1">
                  <from>
                    <xdr:col>27</xdr:col>
                    <xdr:colOff>0</xdr:colOff>
                    <xdr:row>30</xdr:row>
                    <xdr:rowOff>171450</xdr:rowOff>
                  </from>
                  <to>
                    <xdr:col>34</xdr:col>
                    <xdr:colOff>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3" r:id="rId41" name="Group Box 65">
              <controlPr defaultSize="0" autoFill="0" autoPict="0">
                <anchor moveWithCells="1">
                  <from>
                    <xdr:col>27</xdr:col>
                    <xdr:colOff>0</xdr:colOff>
                    <xdr:row>34</xdr:row>
                    <xdr:rowOff>0</xdr:rowOff>
                  </from>
                  <to>
                    <xdr:col>34</xdr:col>
                    <xdr:colOff>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6" r:id="rId42" name="Check Box 68">
              <controlPr defaultSize="0" autoFill="0" autoLine="0" autoPict="0">
                <anchor moveWithCells="1">
                  <from>
                    <xdr:col>3</xdr:col>
                    <xdr:colOff>95250</xdr:colOff>
                    <xdr:row>39</xdr:row>
                    <xdr:rowOff>28575</xdr:rowOff>
                  </from>
                  <to>
                    <xdr:col>4</xdr:col>
                    <xdr:colOff>133350</xdr:colOff>
                    <xdr:row>40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7" r:id="rId43" name="Group Box 69">
              <controlPr defaultSize="0" autoFill="0" autoPict="0">
                <anchor moveWithCells="1">
                  <from>
                    <xdr:col>4</xdr:col>
                    <xdr:colOff>161925</xdr:colOff>
                    <xdr:row>39</xdr:row>
                    <xdr:rowOff>0</xdr:rowOff>
                  </from>
                  <to>
                    <xdr:col>12</xdr:col>
                    <xdr:colOff>0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8" r:id="rId44" name="Group Box 70">
              <controlPr defaultSize="0" autoFill="0" autoPict="0">
                <anchor moveWithCells="1">
                  <from>
                    <xdr:col>4</xdr:col>
                    <xdr:colOff>161925</xdr:colOff>
                    <xdr:row>41</xdr:row>
                    <xdr:rowOff>171450</xdr:rowOff>
                  </from>
                  <to>
                    <xdr:col>11</xdr:col>
                    <xdr:colOff>209550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9" r:id="rId45" name="Group Box 71">
              <controlPr defaultSize="0" autoFill="0" autoPict="0">
                <anchor moveWithCells="1">
                  <from>
                    <xdr:col>20</xdr:col>
                    <xdr:colOff>0</xdr:colOff>
                    <xdr:row>39</xdr:row>
                    <xdr:rowOff>0</xdr:rowOff>
                  </from>
                  <to>
                    <xdr:col>26</xdr:col>
                    <xdr:colOff>171450</xdr:colOff>
                    <xdr:row>42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0" r:id="rId46" name="Group Box 72">
              <controlPr defaultSize="0" autoFill="0" autoPict="0">
                <anchor moveWithCells="1">
                  <from>
                    <xdr:col>20</xdr:col>
                    <xdr:colOff>0</xdr:colOff>
                    <xdr:row>43</xdr:row>
                    <xdr:rowOff>0</xdr:rowOff>
                  </from>
                  <to>
                    <xdr:col>26</xdr:col>
                    <xdr:colOff>171450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1" r:id="rId47" name="Group Box 73">
              <controlPr defaultSize="0" autoFill="0" autoPict="0">
                <anchor moveWithCells="1">
                  <from>
                    <xdr:col>27</xdr:col>
                    <xdr:colOff>0</xdr:colOff>
                    <xdr:row>39</xdr:row>
                    <xdr:rowOff>171450</xdr:rowOff>
                  </from>
                  <to>
                    <xdr:col>34</xdr:col>
                    <xdr:colOff>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2" r:id="rId48" name="Group Box 74">
              <controlPr defaultSize="0" autoFill="0" autoPict="0">
                <anchor moveWithCells="1">
                  <from>
                    <xdr:col>27</xdr:col>
                    <xdr:colOff>0</xdr:colOff>
                    <xdr:row>43</xdr:row>
                    <xdr:rowOff>0</xdr:rowOff>
                  </from>
                  <to>
                    <xdr:col>34</xdr:col>
                    <xdr:colOff>0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4" r:id="rId49" name="Option Button 76">
              <controlPr defaultSize="0" autoFill="0" autoLine="0" autoPict="0">
                <anchor moveWithCells="1">
                  <from>
                    <xdr:col>5</xdr:col>
                    <xdr:colOff>28575</xdr:colOff>
                    <xdr:row>30</xdr:row>
                    <xdr:rowOff>9525</xdr:rowOff>
                  </from>
                  <to>
                    <xdr:col>6</xdr:col>
                    <xdr:colOff>47625</xdr:colOff>
                    <xdr:row>30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5" r:id="rId50" name="Option Button 77">
              <controlPr defaultSize="0" autoFill="0" autoLine="0" autoPict="0">
                <anchor moveWithCells="1">
                  <from>
                    <xdr:col>5</xdr:col>
                    <xdr:colOff>28575</xdr:colOff>
                    <xdr:row>30</xdr:row>
                    <xdr:rowOff>161925</xdr:rowOff>
                  </from>
                  <to>
                    <xdr:col>6</xdr:col>
                    <xdr:colOff>38100</xdr:colOff>
                    <xdr:row>31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6" r:id="rId51" name="Option Button 78">
              <controlPr defaultSize="0" autoFill="0" autoLine="0" autoPict="0">
                <anchor moveWithCells="1">
                  <from>
                    <xdr:col>5</xdr:col>
                    <xdr:colOff>28575</xdr:colOff>
                    <xdr:row>33</xdr:row>
                    <xdr:rowOff>0</xdr:rowOff>
                  </from>
                  <to>
                    <xdr:col>6</xdr:col>
                    <xdr:colOff>66675</xdr:colOff>
                    <xdr:row>33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7" r:id="rId52" name="Option Button 79">
              <controlPr defaultSize="0" autoFill="0" autoLine="0" autoPict="0">
                <anchor moveWithCells="1">
                  <from>
                    <xdr:col>5</xdr:col>
                    <xdr:colOff>28575</xdr:colOff>
                    <xdr:row>33</xdr:row>
                    <xdr:rowOff>161925</xdr:rowOff>
                  </from>
                  <to>
                    <xdr:col>6</xdr:col>
                    <xdr:colOff>57150</xdr:colOff>
                    <xdr:row>34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9" r:id="rId53" name="Option Button 81">
              <controlPr defaultSize="0" autoFill="0" autoLine="0" autoPict="0">
                <anchor moveWithCells="1">
                  <from>
                    <xdr:col>20</xdr:col>
                    <xdr:colOff>9525</xdr:colOff>
                    <xdr:row>30</xdr:row>
                    <xdr:rowOff>171450</xdr:rowOff>
                  </from>
                  <to>
                    <xdr:col>21</xdr:col>
                    <xdr:colOff>95250</xdr:colOff>
                    <xdr:row>31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0" r:id="rId54" name="Option Button 82">
              <controlPr defaultSize="0" autoFill="0" autoLine="0" autoPict="0">
                <anchor moveWithCells="1">
                  <from>
                    <xdr:col>20</xdr:col>
                    <xdr:colOff>9525</xdr:colOff>
                    <xdr:row>31</xdr:row>
                    <xdr:rowOff>161925</xdr:rowOff>
                  </from>
                  <to>
                    <xdr:col>21</xdr:col>
                    <xdr:colOff>85725</xdr:colOff>
                    <xdr:row>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1" r:id="rId55" name="Option Button 83">
              <controlPr defaultSize="0" autoFill="0" autoLine="0" autoPict="0">
                <anchor moveWithCells="1">
                  <from>
                    <xdr:col>20</xdr:col>
                    <xdr:colOff>9525</xdr:colOff>
                    <xdr:row>33</xdr:row>
                    <xdr:rowOff>0</xdr:rowOff>
                  </from>
                  <to>
                    <xdr:col>21</xdr:col>
                    <xdr:colOff>76200</xdr:colOff>
                    <xdr:row>33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2" r:id="rId56" name="Option Button 84">
              <controlPr defaultSize="0" autoFill="0" autoLine="0" autoPict="0">
                <anchor moveWithCells="1">
                  <from>
                    <xdr:col>20</xdr:col>
                    <xdr:colOff>9525</xdr:colOff>
                    <xdr:row>35</xdr:row>
                    <xdr:rowOff>9525</xdr:rowOff>
                  </from>
                  <to>
                    <xdr:col>21</xdr:col>
                    <xdr:colOff>85725</xdr:colOff>
                    <xdr:row>35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3" r:id="rId57" name="Option Button 85">
              <controlPr defaultSize="0" autoFill="0" autoLine="0" autoPict="0">
                <anchor moveWithCells="1">
                  <from>
                    <xdr:col>20</xdr:col>
                    <xdr:colOff>9525</xdr:colOff>
                    <xdr:row>35</xdr:row>
                    <xdr:rowOff>161925</xdr:rowOff>
                  </from>
                  <to>
                    <xdr:col>21</xdr:col>
                    <xdr:colOff>76200</xdr:colOff>
                    <xdr:row>36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4" r:id="rId58" name="Option Button 86">
              <controlPr defaultSize="0" autoFill="0" autoLine="0" autoPict="0">
                <anchor moveWithCells="1">
                  <from>
                    <xdr:col>27</xdr:col>
                    <xdr:colOff>47625</xdr:colOff>
                    <xdr:row>30</xdr:row>
                    <xdr:rowOff>171450</xdr:rowOff>
                  </from>
                  <to>
                    <xdr:col>28</xdr:col>
                    <xdr:colOff>47625</xdr:colOff>
                    <xdr:row>31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5" r:id="rId59" name="Option Button 87">
              <controlPr defaultSize="0" autoFill="0" autoLine="0" autoPict="0">
                <anchor moveWithCells="1">
                  <from>
                    <xdr:col>27</xdr:col>
                    <xdr:colOff>47625</xdr:colOff>
                    <xdr:row>31</xdr:row>
                    <xdr:rowOff>152400</xdr:rowOff>
                  </from>
                  <to>
                    <xdr:col>28</xdr:col>
                    <xdr:colOff>76200</xdr:colOff>
                    <xdr:row>32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6" r:id="rId60" name="Option Button 88">
              <controlPr defaultSize="0" autoFill="0" autoLine="0" autoPict="0">
                <anchor moveWithCells="1">
                  <from>
                    <xdr:col>27</xdr:col>
                    <xdr:colOff>47625</xdr:colOff>
                    <xdr:row>32</xdr:row>
                    <xdr:rowOff>152400</xdr:rowOff>
                  </from>
                  <to>
                    <xdr:col>28</xdr:col>
                    <xdr:colOff>66675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7" r:id="rId61" name="Option Button 89">
              <controlPr defaultSize="0" autoFill="0" autoLine="0" autoPict="0">
                <anchor moveWithCells="1">
                  <from>
                    <xdr:col>27</xdr:col>
                    <xdr:colOff>9525</xdr:colOff>
                    <xdr:row>35</xdr:row>
                    <xdr:rowOff>9525</xdr:rowOff>
                  </from>
                  <to>
                    <xdr:col>28</xdr:col>
                    <xdr:colOff>38100</xdr:colOff>
                    <xdr:row>35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8" r:id="rId62" name="Option Button 90">
              <controlPr defaultSize="0" autoFill="0" autoLine="0" autoPict="0">
                <anchor moveWithCells="1">
                  <from>
                    <xdr:col>27</xdr:col>
                    <xdr:colOff>0</xdr:colOff>
                    <xdr:row>35</xdr:row>
                    <xdr:rowOff>152400</xdr:rowOff>
                  </from>
                  <to>
                    <xdr:col>28</xdr:col>
                    <xdr:colOff>19050</xdr:colOff>
                    <xdr:row>37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U69"/>
  <sheetViews>
    <sheetView tabSelected="1" zoomScale="130" zoomScaleNormal="130" zoomScaleSheetLayoutView="160" workbookViewId="0">
      <selection activeCell="AM4" sqref="AM4"/>
    </sheetView>
  </sheetViews>
  <sheetFormatPr defaultRowHeight="12" x14ac:dyDescent="0.25"/>
  <cols>
    <col min="1" max="1" width="9.140625" style="121"/>
    <col min="2" max="2" width="4.7109375" style="121" bestFit="1" customWidth="1"/>
    <col min="3" max="3" width="1.7109375" style="121" bestFit="1" customWidth="1"/>
    <col min="4" max="4" width="3.140625" style="121" bestFit="1" customWidth="1"/>
    <col min="5" max="5" width="1.7109375" style="121" bestFit="1" customWidth="1"/>
    <col min="6" max="6" width="3.140625" style="121" customWidth="1"/>
    <col min="7" max="7" width="1.7109375" style="121" bestFit="1" customWidth="1"/>
    <col min="8" max="8" width="4.85546875" style="121" bestFit="1" customWidth="1"/>
    <col min="9" max="9" width="1.5703125" style="121" bestFit="1" customWidth="1"/>
    <col min="10" max="10" width="4.85546875" style="121" bestFit="1" customWidth="1"/>
    <col min="11" max="11" width="1.7109375" style="121" bestFit="1" customWidth="1"/>
    <col min="12" max="12" width="3.140625" style="121" bestFit="1" customWidth="1"/>
    <col min="13" max="13" width="1.7109375" style="121" bestFit="1" customWidth="1"/>
    <col min="14" max="14" width="3.140625" style="121" customWidth="1"/>
    <col min="15" max="15" width="1.5703125" style="121" bestFit="1" customWidth="1"/>
    <col min="16" max="16" width="4.85546875" style="121" bestFit="1" customWidth="1"/>
    <col min="17" max="17" width="1.7109375" style="121" bestFit="1" customWidth="1"/>
    <col min="18" max="18" width="3.140625" style="121" customWidth="1"/>
    <col min="19" max="19" width="1.7109375" style="121" bestFit="1" customWidth="1"/>
    <col min="20" max="20" width="3.140625" style="121" customWidth="1"/>
    <col min="21" max="21" width="1.7109375" style="121" bestFit="1" customWidth="1"/>
    <col min="22" max="22" width="3.140625" style="121" customWidth="1"/>
    <col min="23" max="23" width="1.7109375" style="121" bestFit="1" customWidth="1"/>
    <col min="24" max="24" width="3.140625" style="121" bestFit="1" customWidth="1"/>
    <col min="25" max="25" width="1.7109375" style="121" bestFit="1" customWidth="1"/>
    <col min="26" max="26" width="3.140625" style="121" bestFit="1" customWidth="1"/>
    <col min="27" max="27" width="1.7109375" style="121" bestFit="1" customWidth="1"/>
    <col min="28" max="28" width="3.140625" style="121" bestFit="1" customWidth="1"/>
    <col min="29" max="29" width="1.5703125" style="121" bestFit="1" customWidth="1"/>
    <col min="30" max="30" width="3.5703125" style="121" bestFit="1" customWidth="1"/>
    <col min="31" max="31" width="1.7109375" style="121" bestFit="1" customWidth="1"/>
    <col min="32" max="32" width="3.140625" style="121" bestFit="1" customWidth="1"/>
    <col min="33" max="33" width="1.7109375" style="121" bestFit="1" customWidth="1"/>
    <col min="34" max="34" width="3.140625" style="121" bestFit="1" customWidth="1"/>
    <col min="35" max="35" width="1.5703125" style="121" customWidth="1"/>
    <col min="36" max="36" width="3.140625" style="121" customWidth="1"/>
    <col min="37" max="37" width="1.7109375" style="121" customWidth="1"/>
    <col min="38" max="38" width="3.140625" style="121" customWidth="1"/>
    <col min="39" max="39" width="1.7109375" style="121" customWidth="1"/>
    <col min="40" max="40" width="3.140625" style="121" customWidth="1"/>
    <col min="41" max="41" width="1.7109375" style="121" bestFit="1" customWidth="1"/>
    <col min="42" max="42" width="3.140625" style="121" customWidth="1"/>
    <col min="43" max="16384" width="9.140625" style="121"/>
  </cols>
  <sheetData>
    <row r="1" spans="1:47" x14ac:dyDescent="0.25">
      <c r="A1" s="283" t="s">
        <v>152</v>
      </c>
      <c r="B1" s="308"/>
      <c r="C1" s="360"/>
      <c r="D1" s="354"/>
      <c r="E1" s="354"/>
      <c r="F1" s="354"/>
      <c r="G1" s="354"/>
      <c r="H1" s="354"/>
      <c r="I1" s="354"/>
      <c r="J1" s="354"/>
      <c r="K1" s="354"/>
      <c r="L1" s="354"/>
      <c r="M1" s="354"/>
      <c r="N1" s="354"/>
      <c r="O1" s="354"/>
      <c r="P1" s="284" t="s">
        <v>153</v>
      </c>
      <c r="Q1" s="284"/>
      <c r="R1" s="284"/>
      <c r="S1" s="284"/>
      <c r="T1" s="354"/>
      <c r="U1" s="354"/>
      <c r="V1" s="354"/>
      <c r="W1" s="354"/>
      <c r="X1" s="354"/>
      <c r="Y1" s="354"/>
      <c r="Z1" s="354"/>
      <c r="AA1" s="354"/>
      <c r="AB1" s="354"/>
      <c r="AC1" s="354"/>
      <c r="AD1" s="354"/>
      <c r="AE1" s="355"/>
      <c r="AF1" s="116"/>
      <c r="AG1" s="116"/>
      <c r="AH1" s="116"/>
      <c r="AI1" s="116"/>
      <c r="AJ1" s="116"/>
    </row>
    <row r="2" spans="1:47" x14ac:dyDescent="0.25">
      <c r="A2" s="274"/>
      <c r="B2" s="281"/>
      <c r="C2" s="346"/>
      <c r="D2" s="344"/>
      <c r="E2" s="344"/>
      <c r="F2" s="344"/>
      <c r="G2" s="344"/>
      <c r="H2" s="344"/>
      <c r="I2" s="344"/>
      <c r="J2" s="344"/>
      <c r="K2" s="344"/>
      <c r="L2" s="344"/>
      <c r="M2" s="344"/>
      <c r="N2" s="344"/>
      <c r="O2" s="344"/>
      <c r="P2" s="275"/>
      <c r="Q2" s="275"/>
      <c r="R2" s="275"/>
      <c r="S2" s="275"/>
      <c r="T2" s="344"/>
      <c r="U2" s="344"/>
      <c r="V2" s="344"/>
      <c r="W2" s="344"/>
      <c r="X2" s="344"/>
      <c r="Y2" s="344"/>
      <c r="Z2" s="344"/>
      <c r="AA2" s="344"/>
      <c r="AB2" s="344"/>
      <c r="AC2" s="344"/>
      <c r="AD2" s="344"/>
      <c r="AE2" s="351"/>
      <c r="AF2" s="116"/>
      <c r="AG2" s="116"/>
      <c r="AH2" s="116"/>
      <c r="AI2" s="116"/>
      <c r="AJ2" s="116"/>
    </row>
    <row r="3" spans="1:47" ht="15" customHeight="1" x14ac:dyDescent="0.25">
      <c r="A3" s="356" t="s">
        <v>154</v>
      </c>
      <c r="B3" s="357"/>
      <c r="C3" s="346"/>
      <c r="D3" s="344"/>
      <c r="E3" s="344"/>
      <c r="F3" s="344"/>
      <c r="G3" s="344"/>
      <c r="H3" s="344"/>
      <c r="I3" s="344"/>
      <c r="J3" s="344"/>
      <c r="K3" s="344"/>
      <c r="L3" s="344"/>
      <c r="M3" s="344"/>
      <c r="N3" s="344"/>
      <c r="O3" s="344"/>
      <c r="P3" s="275" t="s">
        <v>155</v>
      </c>
      <c r="Q3" s="275"/>
      <c r="R3" s="275"/>
      <c r="S3" s="275"/>
      <c r="T3" s="344"/>
      <c r="U3" s="344"/>
      <c r="V3" s="344"/>
      <c r="W3" s="344"/>
      <c r="X3" s="344"/>
      <c r="Y3" s="344"/>
      <c r="Z3" s="344"/>
      <c r="AA3" s="344"/>
      <c r="AB3" s="344"/>
      <c r="AC3" s="344"/>
      <c r="AD3" s="344"/>
      <c r="AE3" s="351"/>
      <c r="AF3" s="116"/>
      <c r="AG3" s="116"/>
      <c r="AH3" s="116"/>
      <c r="AI3" s="116"/>
      <c r="AJ3" s="116"/>
    </row>
    <row r="4" spans="1:47" x14ac:dyDescent="0.25">
      <c r="A4" s="356"/>
      <c r="B4" s="357"/>
      <c r="C4" s="346"/>
      <c r="D4" s="344"/>
      <c r="E4" s="344"/>
      <c r="F4" s="344"/>
      <c r="G4" s="344"/>
      <c r="H4" s="344"/>
      <c r="I4" s="344"/>
      <c r="J4" s="344"/>
      <c r="K4" s="344"/>
      <c r="L4" s="344"/>
      <c r="M4" s="344"/>
      <c r="N4" s="344"/>
      <c r="O4" s="344"/>
      <c r="P4" s="275"/>
      <c r="Q4" s="275"/>
      <c r="R4" s="275"/>
      <c r="S4" s="275"/>
      <c r="T4" s="344"/>
      <c r="U4" s="344"/>
      <c r="V4" s="344"/>
      <c r="W4" s="344"/>
      <c r="X4" s="344"/>
      <c r="Y4" s="344"/>
      <c r="Z4" s="344"/>
      <c r="AA4" s="344"/>
      <c r="AB4" s="344"/>
      <c r="AC4" s="344"/>
      <c r="AD4" s="344"/>
      <c r="AE4" s="351"/>
      <c r="AF4" s="116"/>
      <c r="AG4" s="116"/>
      <c r="AH4" s="116"/>
      <c r="AI4" s="116"/>
      <c r="AJ4" s="116"/>
    </row>
    <row r="5" spans="1:47" ht="15" customHeight="1" x14ac:dyDescent="0.25">
      <c r="A5" s="356" t="s">
        <v>156</v>
      </c>
      <c r="B5" s="357"/>
      <c r="C5" s="361"/>
      <c r="D5" s="362"/>
      <c r="E5" s="362"/>
      <c r="F5" s="362"/>
      <c r="G5" s="362"/>
      <c r="H5" s="362"/>
      <c r="I5" s="362"/>
      <c r="J5" s="362"/>
      <c r="K5" s="362"/>
      <c r="L5" s="362"/>
      <c r="M5" s="362"/>
      <c r="N5" s="362"/>
      <c r="O5" s="362"/>
      <c r="P5" s="352" t="s">
        <v>157</v>
      </c>
      <c r="Q5" s="352"/>
      <c r="R5" s="352"/>
      <c r="S5" s="352"/>
      <c r="T5" s="344"/>
      <c r="U5" s="344"/>
      <c r="V5" s="344"/>
      <c r="W5" s="344"/>
      <c r="X5" s="344"/>
      <c r="Y5" s="344"/>
      <c r="Z5" s="344"/>
      <c r="AA5" s="344"/>
      <c r="AB5" s="344"/>
      <c r="AC5" s="344"/>
      <c r="AD5" s="344"/>
      <c r="AE5" s="351"/>
      <c r="AF5" s="116"/>
      <c r="AG5" s="116"/>
      <c r="AH5" s="116"/>
      <c r="AI5" s="116"/>
      <c r="AJ5" s="116"/>
    </row>
    <row r="6" spans="1:47" x14ac:dyDescent="0.25">
      <c r="A6" s="356"/>
      <c r="B6" s="357"/>
      <c r="C6" s="361"/>
      <c r="D6" s="362"/>
      <c r="E6" s="362"/>
      <c r="F6" s="362"/>
      <c r="G6" s="362"/>
      <c r="H6" s="362"/>
      <c r="I6" s="362"/>
      <c r="J6" s="362"/>
      <c r="K6" s="362"/>
      <c r="L6" s="362"/>
      <c r="M6" s="362"/>
      <c r="N6" s="362"/>
      <c r="O6" s="362"/>
      <c r="P6" s="352"/>
      <c r="Q6" s="352"/>
      <c r="R6" s="352"/>
      <c r="S6" s="352"/>
      <c r="T6" s="344"/>
      <c r="U6" s="344"/>
      <c r="V6" s="344"/>
      <c r="W6" s="344"/>
      <c r="X6" s="344"/>
      <c r="Y6" s="344"/>
      <c r="Z6" s="344"/>
      <c r="AA6" s="344"/>
      <c r="AB6" s="344"/>
      <c r="AC6" s="344"/>
      <c r="AD6" s="344"/>
      <c r="AE6" s="351"/>
      <c r="AF6" s="116"/>
      <c r="AG6" s="116"/>
      <c r="AH6" s="116"/>
      <c r="AI6" s="116"/>
      <c r="AJ6" s="116"/>
    </row>
    <row r="7" spans="1:47" x14ac:dyDescent="0.25">
      <c r="A7" s="274" t="s">
        <v>158</v>
      </c>
      <c r="B7" s="281"/>
      <c r="C7" s="346"/>
      <c r="D7" s="344"/>
      <c r="E7" s="344"/>
      <c r="F7" s="344"/>
      <c r="G7" s="344"/>
      <c r="H7" s="344"/>
      <c r="I7" s="344"/>
      <c r="J7" s="344"/>
      <c r="K7" s="344"/>
      <c r="L7" s="344"/>
      <c r="M7" s="344"/>
      <c r="N7" s="344"/>
      <c r="O7" s="344"/>
      <c r="P7" s="344"/>
      <c r="Q7" s="344"/>
      <c r="R7" s="344"/>
      <c r="S7" s="344"/>
      <c r="T7" s="344"/>
      <c r="U7" s="344"/>
      <c r="V7" s="344"/>
      <c r="W7" s="344"/>
      <c r="X7" s="344"/>
      <c r="Y7" s="344"/>
      <c r="Z7" s="344"/>
      <c r="AA7" s="344"/>
      <c r="AB7" s="344"/>
      <c r="AC7" s="344"/>
      <c r="AD7" s="344"/>
      <c r="AE7" s="351"/>
      <c r="AF7" s="116"/>
      <c r="AG7" s="116"/>
      <c r="AH7" s="116"/>
      <c r="AI7" s="116"/>
      <c r="AJ7" s="116"/>
    </row>
    <row r="8" spans="1:47" x14ac:dyDescent="0.25">
      <c r="A8" s="274"/>
      <c r="B8" s="281"/>
      <c r="C8" s="346"/>
      <c r="D8" s="344"/>
      <c r="E8" s="344"/>
      <c r="F8" s="344"/>
      <c r="G8" s="344"/>
      <c r="H8" s="344"/>
      <c r="I8" s="344"/>
      <c r="J8" s="344"/>
      <c r="K8" s="344"/>
      <c r="L8" s="344"/>
      <c r="M8" s="344"/>
      <c r="N8" s="344"/>
      <c r="O8" s="344"/>
      <c r="P8" s="344"/>
      <c r="Q8" s="344"/>
      <c r="R8" s="344"/>
      <c r="S8" s="344"/>
      <c r="T8" s="344"/>
      <c r="U8" s="344"/>
      <c r="V8" s="344"/>
      <c r="W8" s="344"/>
      <c r="X8" s="344"/>
      <c r="Y8" s="344"/>
      <c r="Z8" s="344"/>
      <c r="AA8" s="344"/>
      <c r="AB8" s="344"/>
      <c r="AC8" s="344"/>
      <c r="AD8" s="344"/>
      <c r="AE8" s="351"/>
      <c r="AF8" s="116"/>
      <c r="AG8" s="116"/>
      <c r="AH8" s="116"/>
      <c r="AI8" s="116"/>
      <c r="AJ8" s="116"/>
    </row>
    <row r="9" spans="1:47" x14ac:dyDescent="0.25">
      <c r="A9" s="274"/>
      <c r="B9" s="281"/>
      <c r="C9" s="346"/>
      <c r="D9" s="344"/>
      <c r="E9" s="344"/>
      <c r="F9" s="344"/>
      <c r="G9" s="344"/>
      <c r="H9" s="344"/>
      <c r="I9" s="344"/>
      <c r="J9" s="344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  <c r="W9" s="344"/>
      <c r="X9" s="344"/>
      <c r="Y9" s="344"/>
      <c r="Z9" s="344"/>
      <c r="AA9" s="344"/>
      <c r="AB9" s="344"/>
      <c r="AC9" s="344"/>
      <c r="AD9" s="344"/>
      <c r="AE9" s="351"/>
      <c r="AF9" s="116"/>
      <c r="AG9" s="116"/>
      <c r="AH9" s="116"/>
      <c r="AI9" s="116"/>
      <c r="AJ9" s="116"/>
    </row>
    <row r="10" spans="1:47" ht="15" customHeight="1" x14ac:dyDescent="0.25">
      <c r="A10" s="356" t="s">
        <v>176</v>
      </c>
      <c r="B10" s="357"/>
      <c r="C10" s="274" t="s">
        <v>177</v>
      </c>
      <c r="D10" s="275"/>
      <c r="E10" s="275"/>
      <c r="F10" s="275"/>
      <c r="G10" s="275"/>
      <c r="H10" s="275" t="s">
        <v>178</v>
      </c>
      <c r="I10" s="275"/>
      <c r="J10" s="275"/>
      <c r="K10" s="275"/>
      <c r="L10" s="275"/>
      <c r="M10" s="275" t="s">
        <v>179</v>
      </c>
      <c r="N10" s="275"/>
      <c r="O10" s="275"/>
      <c r="P10" s="275"/>
      <c r="Q10" s="275"/>
      <c r="R10" s="352" t="s">
        <v>192</v>
      </c>
      <c r="S10" s="352"/>
      <c r="T10" s="352"/>
      <c r="U10" s="352"/>
      <c r="V10" s="352"/>
      <c r="W10" s="352"/>
      <c r="X10" s="352"/>
      <c r="Y10" s="275" t="s">
        <v>190</v>
      </c>
      <c r="Z10" s="275"/>
      <c r="AA10" s="275"/>
      <c r="AB10" s="275"/>
      <c r="AC10" s="275"/>
      <c r="AD10" s="275"/>
      <c r="AE10" s="281"/>
      <c r="AF10" s="93"/>
      <c r="AG10" s="93"/>
      <c r="AH10" s="93"/>
      <c r="AI10" s="116"/>
      <c r="AJ10" s="116"/>
    </row>
    <row r="11" spans="1:47" ht="12.75" thickBot="1" x14ac:dyDescent="0.3">
      <c r="A11" s="358"/>
      <c r="B11" s="359"/>
      <c r="C11" s="349"/>
      <c r="D11" s="350"/>
      <c r="E11" s="350"/>
      <c r="F11" s="350"/>
      <c r="G11" s="350"/>
      <c r="H11" s="350"/>
      <c r="I11" s="350"/>
      <c r="J11" s="350"/>
      <c r="K11" s="350"/>
      <c r="L11" s="350"/>
      <c r="M11" s="347"/>
      <c r="N11" s="347"/>
      <c r="O11" s="347"/>
      <c r="P11" s="347"/>
      <c r="Q11" s="347"/>
      <c r="R11" s="353"/>
      <c r="S11" s="353"/>
      <c r="T11" s="353"/>
      <c r="U11" s="353"/>
      <c r="V11" s="353"/>
      <c r="W11" s="353"/>
      <c r="X11" s="353"/>
      <c r="Y11" s="347"/>
      <c r="Z11" s="347"/>
      <c r="AA11" s="347"/>
      <c r="AB11" s="347"/>
      <c r="AC11" s="347"/>
      <c r="AD11" s="347"/>
      <c r="AE11" s="348"/>
      <c r="AF11" s="93"/>
      <c r="AG11" s="93"/>
      <c r="AH11" s="93"/>
      <c r="AI11" s="116"/>
      <c r="AJ11" s="116"/>
    </row>
    <row r="12" spans="1:47" ht="15" customHeight="1" x14ac:dyDescent="0.25">
      <c r="A12" s="283"/>
      <c r="B12" s="308"/>
      <c r="C12" s="283" t="s">
        <v>1</v>
      </c>
      <c r="D12" s="284"/>
      <c r="E12" s="284"/>
      <c r="F12" s="284"/>
      <c r="G12" s="284"/>
      <c r="H12" s="284"/>
      <c r="I12" s="284"/>
      <c r="J12" s="284"/>
      <c r="K12" s="284"/>
      <c r="L12" s="284" t="s">
        <v>168</v>
      </c>
      <c r="M12" s="284"/>
      <c r="N12" s="284"/>
      <c r="O12" s="284"/>
      <c r="P12" s="284"/>
      <c r="Q12" s="284"/>
      <c r="R12" s="284"/>
      <c r="S12" s="284"/>
      <c r="T12" s="284" t="s">
        <v>169</v>
      </c>
      <c r="U12" s="284"/>
      <c r="V12" s="284"/>
      <c r="W12" s="284"/>
      <c r="X12" s="284"/>
      <c r="Y12" s="284"/>
      <c r="Z12" s="284"/>
      <c r="AA12" s="284"/>
      <c r="AB12" s="284"/>
      <c r="AC12" s="284"/>
      <c r="AD12" s="284"/>
      <c r="AE12" s="308"/>
      <c r="AF12" s="116"/>
      <c r="AG12" s="116"/>
      <c r="AH12" s="116"/>
      <c r="AI12" s="116"/>
      <c r="AJ12" s="116"/>
    </row>
    <row r="13" spans="1:47" x14ac:dyDescent="0.25">
      <c r="A13" s="274" t="s">
        <v>234</v>
      </c>
      <c r="B13" s="281"/>
      <c r="C13" s="363">
        <f>SUM(C14:G17)</f>
        <v>0.2</v>
      </c>
      <c r="D13" s="364"/>
      <c r="E13" s="364"/>
      <c r="F13" s="364"/>
      <c r="G13" s="364"/>
      <c r="H13" s="275" t="s">
        <v>36</v>
      </c>
      <c r="I13" s="275"/>
      <c r="J13" s="275"/>
      <c r="K13" s="275"/>
      <c r="L13" s="275" t="s">
        <v>30</v>
      </c>
      <c r="M13" s="275"/>
      <c r="N13" s="344">
        <v>130</v>
      </c>
      <c r="O13" s="344"/>
      <c r="P13" s="275" t="s">
        <v>31</v>
      </c>
      <c r="Q13" s="275"/>
      <c r="R13" s="344">
        <v>70</v>
      </c>
      <c r="S13" s="344"/>
      <c r="T13" s="275" t="s">
        <v>173</v>
      </c>
      <c r="U13" s="275"/>
      <c r="V13" s="275"/>
      <c r="W13" s="344">
        <v>0.6</v>
      </c>
      <c r="X13" s="344"/>
      <c r="Y13" s="344"/>
      <c r="Z13" s="275" t="s">
        <v>174</v>
      </c>
      <c r="AA13" s="275"/>
      <c r="AB13" s="275"/>
      <c r="AC13" s="344">
        <v>0.4</v>
      </c>
      <c r="AD13" s="344"/>
      <c r="AE13" s="351"/>
      <c r="AF13" s="116"/>
      <c r="AG13" s="116"/>
      <c r="AH13" s="116"/>
      <c r="AI13" s="116"/>
      <c r="AJ13" s="116"/>
      <c r="AK13" s="116"/>
      <c r="AL13" s="116"/>
      <c r="AM13" s="116"/>
      <c r="AQ13" s="121">
        <v>150</v>
      </c>
      <c r="AR13" s="121">
        <v>130</v>
      </c>
      <c r="AS13" s="121">
        <v>115</v>
      </c>
      <c r="AT13" s="121">
        <v>105</v>
      </c>
      <c r="AU13" s="121">
        <v>95</v>
      </c>
    </row>
    <row r="14" spans="1:47" x14ac:dyDescent="0.25">
      <c r="A14" s="274" t="s">
        <v>196</v>
      </c>
      <c r="B14" s="281"/>
      <c r="C14" s="346">
        <v>0.2</v>
      </c>
      <c r="D14" s="344"/>
      <c r="E14" s="344"/>
      <c r="F14" s="344"/>
      <c r="G14" s="344"/>
      <c r="H14" s="275" t="s">
        <v>36</v>
      </c>
      <c r="I14" s="275"/>
      <c r="J14" s="275"/>
      <c r="K14" s="275"/>
      <c r="L14" s="275" t="s">
        <v>32</v>
      </c>
      <c r="M14" s="275"/>
      <c r="N14" s="344">
        <v>95</v>
      </c>
      <c r="O14" s="344"/>
      <c r="P14" s="275" t="s">
        <v>33</v>
      </c>
      <c r="Q14" s="275"/>
      <c r="R14" s="344">
        <v>70</v>
      </c>
      <c r="S14" s="344"/>
      <c r="T14" s="275" t="s">
        <v>240</v>
      </c>
      <c r="U14" s="275"/>
      <c r="V14" s="275"/>
      <c r="W14" s="275"/>
      <c r="X14" s="275"/>
      <c r="Y14" s="275"/>
      <c r="Z14" s="344"/>
      <c r="AA14" s="344"/>
      <c r="AB14" s="344"/>
      <c r="AC14" s="275" t="s">
        <v>38</v>
      </c>
      <c r="AD14" s="275"/>
      <c r="AE14" s="281"/>
      <c r="AF14" s="116"/>
      <c r="AI14" s="116"/>
      <c r="AJ14" s="116" t="s">
        <v>196</v>
      </c>
      <c r="AK14" s="116"/>
      <c r="AL14" s="116"/>
      <c r="AM14" s="116"/>
    </row>
    <row r="15" spans="1:47" x14ac:dyDescent="0.25">
      <c r="A15" s="274" t="s">
        <v>197</v>
      </c>
      <c r="B15" s="281"/>
      <c r="C15" s="346"/>
      <c r="D15" s="344"/>
      <c r="E15" s="344"/>
      <c r="F15" s="344"/>
      <c r="G15" s="344"/>
      <c r="H15" s="275" t="s">
        <v>36</v>
      </c>
      <c r="I15" s="275"/>
      <c r="J15" s="275"/>
      <c r="K15" s="275"/>
      <c r="L15" s="275" t="s">
        <v>236</v>
      </c>
      <c r="M15" s="275"/>
      <c r="N15" s="344"/>
      <c r="O15" s="344"/>
      <c r="P15" s="275" t="s">
        <v>237</v>
      </c>
      <c r="Q15" s="275"/>
      <c r="R15" s="344"/>
      <c r="S15" s="344"/>
      <c r="T15" s="275" t="s">
        <v>240</v>
      </c>
      <c r="U15" s="275"/>
      <c r="V15" s="275"/>
      <c r="W15" s="275"/>
      <c r="X15" s="275"/>
      <c r="Y15" s="275"/>
      <c r="Z15" s="344"/>
      <c r="AA15" s="344"/>
      <c r="AB15" s="344"/>
      <c r="AC15" s="275" t="s">
        <v>38</v>
      </c>
      <c r="AD15" s="275"/>
      <c r="AE15" s="281"/>
      <c r="AF15" s="116"/>
      <c r="AI15" s="116"/>
      <c r="AJ15" s="116" t="s">
        <v>197</v>
      </c>
      <c r="AK15" s="116"/>
      <c r="AL15" s="116"/>
      <c r="AM15" s="116"/>
    </row>
    <row r="16" spans="1:47" x14ac:dyDescent="0.25">
      <c r="A16" s="274" t="s">
        <v>196</v>
      </c>
      <c r="B16" s="281"/>
      <c r="C16" s="346"/>
      <c r="D16" s="344"/>
      <c r="E16" s="344"/>
      <c r="F16" s="344"/>
      <c r="G16" s="344"/>
      <c r="H16" s="275" t="s">
        <v>36</v>
      </c>
      <c r="I16" s="275"/>
      <c r="J16" s="275"/>
      <c r="K16" s="275"/>
      <c r="L16" s="275" t="s">
        <v>238</v>
      </c>
      <c r="M16" s="275"/>
      <c r="N16" s="344"/>
      <c r="O16" s="344"/>
      <c r="P16" s="275" t="s">
        <v>239</v>
      </c>
      <c r="Q16" s="275"/>
      <c r="R16" s="344"/>
      <c r="S16" s="344"/>
      <c r="T16" s="275" t="s">
        <v>240</v>
      </c>
      <c r="U16" s="275"/>
      <c r="V16" s="275"/>
      <c r="W16" s="275"/>
      <c r="X16" s="275"/>
      <c r="Y16" s="275"/>
      <c r="Z16" s="344"/>
      <c r="AA16" s="344"/>
      <c r="AB16" s="344"/>
      <c r="AC16" s="275" t="s">
        <v>38</v>
      </c>
      <c r="AD16" s="275"/>
      <c r="AE16" s="281"/>
      <c r="AF16" s="116"/>
      <c r="AI16" s="116"/>
      <c r="AJ16" s="116" t="s">
        <v>235</v>
      </c>
      <c r="AK16" s="116"/>
      <c r="AL16" s="116"/>
      <c r="AM16" s="116"/>
    </row>
    <row r="17" spans="1:47" ht="12.75" thickBot="1" x14ac:dyDescent="0.3">
      <c r="A17" s="279" t="s">
        <v>233</v>
      </c>
      <c r="B17" s="282"/>
      <c r="C17" s="345"/>
      <c r="D17" s="331"/>
      <c r="E17" s="331"/>
      <c r="F17" s="331"/>
      <c r="G17" s="331"/>
      <c r="H17" s="280" t="s">
        <v>36</v>
      </c>
      <c r="I17" s="280"/>
      <c r="J17" s="280"/>
      <c r="K17" s="280"/>
      <c r="L17" s="280" t="s">
        <v>68</v>
      </c>
      <c r="M17" s="280"/>
      <c r="N17" s="331"/>
      <c r="O17" s="331"/>
      <c r="P17" s="280" t="s">
        <v>69</v>
      </c>
      <c r="Q17" s="280"/>
      <c r="R17" s="331"/>
      <c r="S17" s="331"/>
      <c r="T17" s="280" t="s">
        <v>241</v>
      </c>
      <c r="U17" s="280"/>
      <c r="V17" s="280"/>
      <c r="W17" s="280"/>
      <c r="X17" s="280"/>
      <c r="Y17" s="280"/>
      <c r="Z17" s="331"/>
      <c r="AA17" s="331"/>
      <c r="AB17" s="331"/>
      <c r="AC17" s="280" t="s">
        <v>187</v>
      </c>
      <c r="AD17" s="280"/>
      <c r="AE17" s="282"/>
      <c r="AF17" s="116"/>
    </row>
    <row r="18" spans="1:47" ht="6" customHeight="1" thickBot="1" x14ac:dyDescent="0.3">
      <c r="A18" s="118"/>
      <c r="B18" s="90"/>
      <c r="C18" s="116"/>
      <c r="D18" s="116"/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P18" s="116"/>
      <c r="Q18" s="116"/>
      <c r="R18" s="116"/>
      <c r="S18" s="116"/>
      <c r="T18" s="116"/>
      <c r="U18" s="116"/>
      <c r="V18" s="116"/>
      <c r="W18" s="116"/>
      <c r="X18" s="116"/>
      <c r="Y18" s="116"/>
      <c r="Z18" s="116"/>
      <c r="AA18" s="116"/>
      <c r="AB18" s="116"/>
      <c r="AC18" s="116"/>
      <c r="AD18" s="116"/>
      <c r="AE18" s="117"/>
      <c r="AF18" s="116"/>
    </row>
    <row r="19" spans="1:47" x14ac:dyDescent="0.25">
      <c r="A19" s="312" t="s">
        <v>254</v>
      </c>
      <c r="B19" s="289"/>
      <c r="C19" s="283" t="s">
        <v>191</v>
      </c>
      <c r="D19" s="284"/>
      <c r="E19" s="284"/>
      <c r="F19" s="284"/>
      <c r="G19" s="284"/>
      <c r="H19" s="284"/>
      <c r="I19" s="284" t="s">
        <v>175</v>
      </c>
      <c r="J19" s="284"/>
      <c r="K19" s="284"/>
      <c r="L19" s="284"/>
      <c r="M19" s="284"/>
      <c r="N19" s="284"/>
      <c r="O19" s="284" t="s">
        <v>243</v>
      </c>
      <c r="P19" s="284"/>
      <c r="Q19" s="284"/>
      <c r="R19" s="284"/>
      <c r="S19" s="284"/>
      <c r="T19" s="284"/>
      <c r="U19" s="284"/>
      <c r="V19" s="284"/>
      <c r="W19" s="284" t="s">
        <v>244</v>
      </c>
      <c r="X19" s="284"/>
      <c r="Y19" s="284"/>
      <c r="Z19" s="284"/>
      <c r="AA19" s="284"/>
      <c r="AB19" s="284"/>
      <c r="AC19" s="284"/>
      <c r="AD19" s="284"/>
      <c r="AE19" s="308"/>
      <c r="AF19" s="116"/>
      <c r="AJ19" s="121" t="s">
        <v>341</v>
      </c>
      <c r="AM19" s="121" t="s">
        <v>55</v>
      </c>
    </row>
    <row r="20" spans="1:47" ht="12.75" thickBot="1" x14ac:dyDescent="0.3">
      <c r="A20" s="291"/>
      <c r="B20" s="292"/>
      <c r="C20" s="345"/>
      <c r="D20" s="331"/>
      <c r="E20" s="331"/>
      <c r="F20" s="331"/>
      <c r="G20" s="331"/>
      <c r="H20" s="331"/>
      <c r="I20" s="331"/>
      <c r="J20" s="331"/>
      <c r="K20" s="331"/>
      <c r="L20" s="331"/>
      <c r="M20" s="331"/>
      <c r="N20" s="331"/>
      <c r="O20" s="331"/>
      <c r="P20" s="331"/>
      <c r="Q20" s="331"/>
      <c r="R20" s="331"/>
      <c r="S20" s="331"/>
      <c r="T20" s="331"/>
      <c r="U20" s="331"/>
      <c r="V20" s="331"/>
      <c r="W20" s="331"/>
      <c r="X20" s="331"/>
      <c r="Y20" s="331"/>
      <c r="Z20" s="331"/>
      <c r="AA20" s="331"/>
      <c r="AB20" s="331"/>
      <c r="AC20" s="331"/>
      <c r="AD20" s="331"/>
      <c r="AE20" s="332"/>
      <c r="AF20" s="116"/>
      <c r="AJ20" s="121" t="s">
        <v>242</v>
      </c>
      <c r="AL20" s="121" t="s">
        <v>57</v>
      </c>
      <c r="AM20" s="121" t="s">
        <v>57</v>
      </c>
      <c r="AR20" s="121">
        <f>IF(I20&lt;&gt;"Есть",0,IF(AND(I20="Есть",C13&gt;0,N13&gt;0,R13&gt;0,W13&gt;0,AC13&gt;0),2,"X1"))</f>
        <v>0</v>
      </c>
      <c r="AS20" s="121">
        <f>IF(I20&lt;&gt;"Нет",0,IF(AND(I20="Нет",C13&gt;0,N13&gt;0,R13&gt;0,W13&gt;0,AC13&gt;0),1,"X1"))</f>
        <v>0</v>
      </c>
      <c r="AT20" s="121">
        <f>IF(I20&lt;&gt;"Автоматически",0,IF(AND(I20="Автоматически",C13&gt;0,N13&gt;0,R13&gt;0,W13&gt;0,AC13&gt;0),AU20,"X1"))</f>
        <v>0</v>
      </c>
      <c r="AU20" s="121">
        <f>IF(OR(C24="Независимая",C28="Независимая",C32="Независимая"),2,IF(OR(C24="Зависимая",C28="Зависимая",C32="Зависимая"),1,"X1"))</f>
        <v>2</v>
      </c>
    </row>
    <row r="21" spans="1:47" ht="12.75" thickBot="1" x14ac:dyDescent="0.3">
      <c r="A21" s="89"/>
      <c r="B21" s="109" t="s">
        <v>2</v>
      </c>
      <c r="C21" s="105" t="s">
        <v>92</v>
      </c>
      <c r="D21" s="105" t="str">
        <f>IF(I20="Есть",AR20,IF(I20="Нет",AS20,IF(I20="Автоматически",AT20,"Х1")))</f>
        <v>Х1</v>
      </c>
      <c r="E21" s="105" t="s">
        <v>92</v>
      </c>
      <c r="F21" s="199" t="str">
        <f>IF(AND(C13&gt;0,N13&gt;0,C20&gt;0,I20&gt;0,R13&gt;0,D37&lt;&gt;"Х1"),VLOOKUP(TRUE,БВ!BC4:BE15,2,FALSE),"X2")</f>
        <v>X2</v>
      </c>
      <c r="G21" s="105" t="s">
        <v>92</v>
      </c>
      <c r="H21" s="199" t="str">
        <f>IF(D21=1,"00",IF(AND(C13&gt;0,SUM(C14:G16)&gt;0,N13&gt;0,R13&gt;0,I20&gt;0,D37&lt;&gt;"Х1"),VLOOKUP(TRUE,БВ!BG4:BI15,2,FALSE),"X3"))</f>
        <v>X3</v>
      </c>
      <c r="I21" s="105" t="s">
        <v>92</v>
      </c>
      <c r="J21" s="105" t="str">
        <f>IF(C20="Нет","0",IF(AND(C13&gt;0,N13&gt;0,R13&gt;0,C20&gt;0,D37&lt;&gt;"Х1"),VLOOKUP(TRUE,БВ!BK4:BM13,2,FALSE),"X4"))</f>
        <v>X4</v>
      </c>
      <c r="K21" s="105" t="s">
        <v>92</v>
      </c>
      <c r="L21" s="199" t="str">
        <f>IF(OR(C20="Нет",D21=1),"0",IF(AND(C13&gt;0,N13&gt;0,R13&gt;0,C20&gt;0,D37&lt;&gt;"Х1"),VLOOKUP(TRUE,БВ!BK4:BM13,2,FALSE),"X5"))</f>
        <v>X5</v>
      </c>
      <c r="M21" s="105" t="s">
        <v>92</v>
      </c>
      <c r="N21" s="105" t="str">
        <f>IF(O20="Нет","00",IF(AND(C13&gt;0,N13&gt;0,R20&gt;0,R13&gt;0,O20&gt;0),VLOOKUP(TRUE,IF(R20="Вогез",БВ!BS5:BU20,БВ!BV4:BX20),2,FALSE),"X6"))</f>
        <v>X6</v>
      </c>
      <c r="O21" s="105" t="s">
        <v>96</v>
      </c>
      <c r="P21" s="105" t="str">
        <f>IF(O20="Нет","0",IF(AND(C13&gt;0,N13&gt;0,R20&gt;0,R13&gt;0,O20&gt;0),VLOOKUP(TRUE,БВ!BZ4:CB6,2,FALSE),"X7"))</f>
        <v>X7</v>
      </c>
      <c r="Q21" s="105" t="s">
        <v>92</v>
      </c>
      <c r="R21" s="105" t="str">
        <f>IF(W20="Нет","00",IF(AND(C13&gt;0,N13&gt;0,Z20&gt;0,R13&gt;0,W20&gt;0),VLOOKUP(TRUE,БВ!CD4:CF15,2,FALSE),"X8"))</f>
        <v>X8</v>
      </c>
      <c r="S21" s="105" t="s">
        <v>96</v>
      </c>
      <c r="T21" s="105" t="str">
        <f>IF(W20="Нет","0",IF(AND(C13&gt;0,N13&gt;0,Z20&gt;0,R13&gt;0,W20&gt;0),VLOOKUP(TRUE,БВ!CH4:CJ6,2,FALSE),"X9"))</f>
        <v>X9</v>
      </c>
      <c r="U21" s="105"/>
      <c r="V21" s="105"/>
      <c r="W21" s="105"/>
      <c r="X21" s="105"/>
      <c r="Y21" s="105"/>
      <c r="Z21" s="124"/>
      <c r="AA21" s="119"/>
      <c r="AB21" s="119"/>
      <c r="AC21" s="119"/>
      <c r="AD21" s="119"/>
      <c r="AE21" s="123"/>
      <c r="AF21" s="116"/>
      <c r="AJ21" s="121" t="s">
        <v>163</v>
      </c>
      <c r="AL21" s="121" t="s">
        <v>325</v>
      </c>
      <c r="AM21" s="121" t="s">
        <v>245</v>
      </c>
    </row>
    <row r="22" spans="1:47" ht="5.25" customHeight="1" thickBot="1" x14ac:dyDescent="0.3">
      <c r="A22" s="115"/>
      <c r="B22" s="107"/>
      <c r="C22" s="109"/>
      <c r="D22" s="107"/>
      <c r="E22" s="107"/>
      <c r="F22" s="122"/>
      <c r="G22" s="107"/>
      <c r="H22" s="122"/>
      <c r="I22" s="107"/>
      <c r="J22" s="107"/>
      <c r="K22" s="107"/>
      <c r="L22" s="122"/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22"/>
      <c r="AA22" s="116"/>
      <c r="AB22" s="116"/>
      <c r="AC22" s="116"/>
      <c r="AD22" s="116"/>
      <c r="AE22" s="117"/>
      <c r="AF22" s="116"/>
    </row>
    <row r="23" spans="1:47" ht="12" customHeight="1" x14ac:dyDescent="0.25">
      <c r="A23" s="340" t="s">
        <v>251</v>
      </c>
      <c r="B23" s="341"/>
      <c r="C23" s="311" t="s">
        <v>124</v>
      </c>
      <c r="D23" s="284"/>
      <c r="E23" s="284"/>
      <c r="F23" s="284"/>
      <c r="G23" s="284"/>
      <c r="H23" s="284"/>
      <c r="I23" s="284" t="s">
        <v>59</v>
      </c>
      <c r="J23" s="284"/>
      <c r="K23" s="284"/>
      <c r="L23" s="284"/>
      <c r="M23" s="284"/>
      <c r="N23" s="284"/>
      <c r="O23" s="284" t="s">
        <v>246</v>
      </c>
      <c r="P23" s="284"/>
      <c r="Q23" s="284"/>
      <c r="R23" s="284"/>
      <c r="S23" s="284"/>
      <c r="T23" s="284"/>
      <c r="U23" s="284" t="s">
        <v>209</v>
      </c>
      <c r="V23" s="284"/>
      <c r="W23" s="284"/>
      <c r="X23" s="284"/>
      <c r="Y23" s="284"/>
      <c r="Z23" s="284"/>
      <c r="AA23" s="284" t="s">
        <v>247</v>
      </c>
      <c r="AB23" s="284"/>
      <c r="AC23" s="284"/>
      <c r="AD23" s="284"/>
      <c r="AE23" s="308"/>
      <c r="AF23" s="116"/>
      <c r="AJ23" s="121" t="s">
        <v>125</v>
      </c>
      <c r="AK23" s="121" t="s">
        <v>149</v>
      </c>
      <c r="AL23" s="121" t="s">
        <v>55</v>
      </c>
      <c r="AM23" s="121" t="s">
        <v>248</v>
      </c>
      <c r="AN23" s="121" t="s">
        <v>215</v>
      </c>
    </row>
    <row r="24" spans="1:47" ht="12.75" thickBot="1" x14ac:dyDescent="0.3">
      <c r="A24" s="342"/>
      <c r="B24" s="343"/>
      <c r="C24" s="339" t="s">
        <v>126</v>
      </c>
      <c r="D24" s="331"/>
      <c r="E24" s="331"/>
      <c r="F24" s="331"/>
      <c r="G24" s="331"/>
      <c r="H24" s="331"/>
      <c r="I24" s="331" t="s">
        <v>151</v>
      </c>
      <c r="J24" s="331"/>
      <c r="K24" s="331"/>
      <c r="L24" s="331"/>
      <c r="M24" s="331"/>
      <c r="N24" s="331"/>
      <c r="O24" s="331" t="s">
        <v>55</v>
      </c>
      <c r="P24" s="331"/>
      <c r="Q24" s="331"/>
      <c r="R24" s="331"/>
      <c r="S24" s="331"/>
      <c r="T24" s="331"/>
      <c r="U24" s="331" t="s">
        <v>248</v>
      </c>
      <c r="V24" s="331"/>
      <c r="W24" s="331"/>
      <c r="X24" s="331"/>
      <c r="Y24" s="331"/>
      <c r="Z24" s="331"/>
      <c r="AA24" s="331" t="s">
        <v>215</v>
      </c>
      <c r="AB24" s="331"/>
      <c r="AC24" s="331"/>
      <c r="AD24" s="331"/>
      <c r="AE24" s="332"/>
      <c r="AF24" s="116"/>
      <c r="AJ24" s="121" t="s">
        <v>126</v>
      </c>
      <c r="AK24" s="121" t="s">
        <v>285</v>
      </c>
      <c r="AL24" s="121" t="s">
        <v>57</v>
      </c>
      <c r="AM24" s="121" t="s">
        <v>57</v>
      </c>
      <c r="AN24" s="121" t="s">
        <v>249</v>
      </c>
    </row>
    <row r="25" spans="1:47" ht="12.75" thickBot="1" x14ac:dyDescent="0.3">
      <c r="A25" s="126"/>
      <c r="B25" s="109" t="s">
        <v>259</v>
      </c>
      <c r="C25" s="109" t="s">
        <v>92</v>
      </c>
      <c r="D25" s="109">
        <f>IF(C24="зависимая",1,IF(C24="независимая",2,"Х1"))</f>
        <v>2</v>
      </c>
      <c r="E25" s="109" t="s">
        <v>92</v>
      </c>
      <c r="F25" s="157" t="str">
        <f>IF(AND(C14&gt;0,N13&gt;0,R13&gt;0,N14&gt;0,R14&gt;0),VLOOKUP(TRUE,'БОВ (1)'!BQ4:BS15,2,FALSE),"X2")</f>
        <v>06</v>
      </c>
      <c r="G25" s="109" t="s">
        <v>92</v>
      </c>
      <c r="H25" s="157" t="str">
        <f>IF(AND(C14&gt;0,N13&gt;0,R13&gt;0,N14&gt;0,R14&gt;0,O24&gt;0,W13&gt;0,AC13&gt;0),VLOOKUP(TRUE,'БОВ (1)'!BU4:BX26,2,FALSE),"X3")</f>
        <v>09</v>
      </c>
      <c r="I25" s="109" t="s">
        <v>96</v>
      </c>
      <c r="J25" s="109" t="str">
        <f>IF(O24&gt;0,VLOOKUP(TRUE,'БОВ (1)'!BZ4:CB6,2,FALSE),"X4")</f>
        <v>1</v>
      </c>
      <c r="K25" s="109" t="s">
        <v>92</v>
      </c>
      <c r="L25" s="157" t="str">
        <f>IF(AND(C14&gt;0,N13&gt;0,R13&gt;0,N14&gt;0,R14&gt;0),VLOOKUP(TRUE,'БОВ (1)'!CD4:CF15,2,FALSE),"X5")</f>
        <v>07</v>
      </c>
      <c r="M25" s="109" t="s">
        <v>92</v>
      </c>
      <c r="N25" s="109">
        <f>IF(Z14&gt;5,"X6",IF(AND(C14&gt;0,N13&gt;0,R13&gt;0,N14&gt;0,R14&gt;0,I24&gt;0),VLOOKUP(TRUE,IF('БОВ (1)'!B15="TOP-SD",'БОВ (1)'!CH4:CJ14,IF('БОВ (1)'!B15="Yonos MAXO-D",'БОВ (1)'!CK4:CM14,IF('БОВ (1)'!B15="Stratos-D",'БОВ (1)'!CN4:CP14,FALSE))),2,FALSE),"X6"))</f>
        <v>3</v>
      </c>
      <c r="O25" s="109" t="s">
        <v>96</v>
      </c>
      <c r="P25" s="109">
        <f>IF(I24&gt;0,VLOOKUP(TRUE,'БОВ (1)'!CR4:CT7,2,FALSE),"X7")</f>
        <v>3</v>
      </c>
      <c r="Q25" s="109" t="s">
        <v>92</v>
      </c>
      <c r="R25" s="109" t="str">
        <f>IF(AND(C14&gt;0,N13&gt;0,R13&gt;0,N14&gt;0,R14&gt;0,C24&gt;0),VLOOKUP(TRUE,'БОВ (1)'!CW4:CY10,2,FALSE),"X8")</f>
        <v>2</v>
      </c>
      <c r="S25" s="109" t="s">
        <v>96</v>
      </c>
      <c r="T25" s="109" t="str">
        <f>IF(AND(C14&gt;0,N13&gt;0,R13&gt;0,N14&gt;0,R14&gt;0,C24&gt;0),VLOOKUP(TRUE,'БОВ (1)'!DA4:DC9,2,FALSE),"X9")</f>
        <v>1</v>
      </c>
      <c r="U25" s="109" t="s">
        <v>92</v>
      </c>
      <c r="V25" s="109" t="str">
        <f>IF(U24&gt;0,VLOOKUP(TRUE,'БОВ (1)'!DE4:DG6,2,FALSE),"X10")</f>
        <v>1</v>
      </c>
      <c r="W25" s="156" t="s">
        <v>92</v>
      </c>
      <c r="X25" s="156" t="str">
        <f>IF(AA24&gt;0,VLOOKUP(TRUE,'БОВ (1)'!DI4:DK5,2,FALSE),"X11")</f>
        <v>1</v>
      </c>
      <c r="Y25" s="109"/>
      <c r="Z25" s="125"/>
      <c r="AA25" s="109"/>
      <c r="AB25" s="125"/>
      <c r="AC25" s="109"/>
      <c r="AD25" s="109"/>
      <c r="AE25" s="110"/>
      <c r="AF25" s="122"/>
      <c r="AG25" s="73"/>
      <c r="AH25" s="73"/>
      <c r="AI25" s="73"/>
      <c r="AJ25" s="73"/>
      <c r="AK25" s="73" t="s">
        <v>151</v>
      </c>
      <c r="AL25" s="121" t="s">
        <v>56</v>
      </c>
      <c r="AM25" s="121" t="s">
        <v>56</v>
      </c>
      <c r="AN25" s="73"/>
      <c r="AO25" s="73"/>
      <c r="AP25" s="73"/>
    </row>
    <row r="26" spans="1:47" ht="5.25" customHeight="1" thickBot="1" x14ac:dyDescent="0.3">
      <c r="A26" s="115"/>
      <c r="B26" s="109"/>
      <c r="C26" s="107"/>
      <c r="D26" s="107"/>
      <c r="E26" s="107"/>
      <c r="F26" s="122"/>
      <c r="G26" s="107"/>
      <c r="H26" s="122"/>
      <c r="I26" s="107"/>
      <c r="J26" s="107"/>
      <c r="K26" s="107"/>
      <c r="L26" s="122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22"/>
      <c r="AA26" s="116"/>
      <c r="AB26" s="116"/>
      <c r="AC26" s="116"/>
      <c r="AD26" s="116"/>
      <c r="AE26" s="117"/>
      <c r="AF26" s="116"/>
    </row>
    <row r="27" spans="1:47" ht="12" customHeight="1" x14ac:dyDescent="0.25">
      <c r="A27" s="312" t="s">
        <v>252</v>
      </c>
      <c r="B27" s="321"/>
      <c r="C27" s="311" t="s">
        <v>124</v>
      </c>
      <c r="D27" s="284"/>
      <c r="E27" s="284"/>
      <c r="F27" s="284"/>
      <c r="G27" s="284"/>
      <c r="H27" s="284"/>
      <c r="I27" s="284" t="s">
        <v>59</v>
      </c>
      <c r="J27" s="284"/>
      <c r="K27" s="284"/>
      <c r="L27" s="284"/>
      <c r="M27" s="284"/>
      <c r="N27" s="284"/>
      <c r="O27" s="284" t="s">
        <v>246</v>
      </c>
      <c r="P27" s="284"/>
      <c r="Q27" s="284"/>
      <c r="R27" s="284"/>
      <c r="S27" s="284"/>
      <c r="T27" s="284"/>
      <c r="U27" s="284" t="s">
        <v>209</v>
      </c>
      <c r="V27" s="284"/>
      <c r="W27" s="284"/>
      <c r="X27" s="284"/>
      <c r="Y27" s="284"/>
      <c r="Z27" s="284"/>
      <c r="AA27" s="284" t="s">
        <v>247</v>
      </c>
      <c r="AB27" s="284"/>
      <c r="AC27" s="284"/>
      <c r="AD27" s="284"/>
      <c r="AE27" s="308"/>
      <c r="AF27" s="116"/>
    </row>
    <row r="28" spans="1:47" ht="12.75" thickBot="1" x14ac:dyDescent="0.3">
      <c r="A28" s="306"/>
      <c r="B28" s="273"/>
      <c r="C28" s="339"/>
      <c r="D28" s="331"/>
      <c r="E28" s="331"/>
      <c r="F28" s="331"/>
      <c r="G28" s="331"/>
      <c r="H28" s="331"/>
      <c r="I28" s="331"/>
      <c r="J28" s="331"/>
      <c r="K28" s="331"/>
      <c r="L28" s="331"/>
      <c r="M28" s="331"/>
      <c r="N28" s="331"/>
      <c r="O28" s="331"/>
      <c r="P28" s="331"/>
      <c r="Q28" s="331"/>
      <c r="R28" s="331"/>
      <c r="S28" s="331"/>
      <c r="T28" s="331"/>
      <c r="U28" s="331"/>
      <c r="V28" s="331"/>
      <c r="W28" s="331"/>
      <c r="X28" s="331"/>
      <c r="Y28" s="331"/>
      <c r="Z28" s="331"/>
      <c r="AA28" s="331"/>
      <c r="AB28" s="331"/>
      <c r="AC28" s="331"/>
      <c r="AD28" s="331"/>
      <c r="AE28" s="332"/>
      <c r="AF28" s="116"/>
    </row>
    <row r="29" spans="1:47" ht="12.75" thickBot="1" x14ac:dyDescent="0.3">
      <c r="A29" s="126"/>
      <c r="B29" s="109" t="s">
        <v>260</v>
      </c>
      <c r="C29" s="109" t="s">
        <v>92</v>
      </c>
      <c r="D29" s="156" t="str">
        <f>IF(C28="зависимая",1,IF(C28="независимая",2,"Х1"))</f>
        <v>Х1</v>
      </c>
      <c r="E29" s="156" t="s">
        <v>92</v>
      </c>
      <c r="F29" s="157" t="str">
        <f>IF(AND(C15&gt;0,N13&gt;0,R13&gt;0,N15&gt;0,R15&gt;0),VLOOKUP(TRUE,'БОВ (2)'!BQ4:BS15,2,FALSE),"X2")</f>
        <v>X2</v>
      </c>
      <c r="G29" s="156" t="s">
        <v>92</v>
      </c>
      <c r="H29" s="157" t="str">
        <f>IF(AND(C15&gt;0,N13&gt;0,R13&gt;0,N15&gt;0,R15&gt;0,O28&gt;0,W13&gt;0,AC13&gt;0),VLOOKUP(TRUE,'БОВ (2)'!BU4:BX26,2,FALSE),"X3")</f>
        <v>X3</v>
      </c>
      <c r="I29" s="156" t="s">
        <v>96</v>
      </c>
      <c r="J29" s="156" t="str">
        <f>IF(O28&gt;0,VLOOKUP(TRUE,'БОВ (2)'!BZ4:CB6,2,FALSE),"X4")</f>
        <v>X4</v>
      </c>
      <c r="K29" s="156" t="s">
        <v>92</v>
      </c>
      <c r="L29" s="157" t="str">
        <f>IF(AND(C15&gt;0,N13&gt;0,R13&gt;0,N15&gt;0,R15&gt;0),VLOOKUP(TRUE,'БОВ (2)'!CD4:CF15,2,FALSE),"X5")</f>
        <v>X5</v>
      </c>
      <c r="M29" s="156" t="s">
        <v>92</v>
      </c>
      <c r="N29" s="156" t="str">
        <f>IF(Z15&gt;5,"X6",IF(AND(C15&gt;0,N13&gt;0,R13&gt;0,N15&gt;0,R15&gt;0,I28&gt;0),VLOOKUP(TRUE,IF('БОВ (2)'!B15="TOP-SD",'БОВ (2)'!CH4:CJ14,IF('БОВ (2)'!B15="Yonos MAXO-D",'БОВ (2)'!CK4:CM14,IF('БОВ (2)'!B15="Stratos-D",'БОВ (2)'!CN4:CP14,FALSE))),2,FALSE),"X6"))</f>
        <v>X6</v>
      </c>
      <c r="O29" s="156" t="s">
        <v>96</v>
      </c>
      <c r="P29" s="156" t="str">
        <f>IF(I28&gt;0,VLOOKUP(TRUE,'БОВ (2)'!CR4:CT7,2,FALSE),"X7")</f>
        <v>X7</v>
      </c>
      <c r="Q29" s="156" t="s">
        <v>92</v>
      </c>
      <c r="R29" s="156" t="str">
        <f>IF(AND(C15&gt;0,N13&gt;0,R13&gt;0,N15&gt;0,R15&gt;0,C28&gt;0),VLOOKUP(TRUE,'БОВ (2)'!CW4:CY10,2,FALSE),"X8")</f>
        <v>X8</v>
      </c>
      <c r="S29" s="156" t="s">
        <v>96</v>
      </c>
      <c r="T29" s="156" t="str">
        <f>IF(AND(C15&gt;0,N13&gt;0,R13&gt;0,N15&gt;0,R15&gt;0,C28&gt;0),VLOOKUP(TRUE,'БОВ (2)'!DA4:DC9,2,FALSE),"X9")</f>
        <v>X9</v>
      </c>
      <c r="U29" s="156" t="s">
        <v>92</v>
      </c>
      <c r="V29" s="156" t="str">
        <f>IF(U28&gt;0,VLOOKUP(TRUE,'БОВ (2)'!DE4:DG6,2,FALSE),"X10")</f>
        <v>X10</v>
      </c>
      <c r="W29" s="156" t="s">
        <v>92</v>
      </c>
      <c r="X29" s="156" t="str">
        <f>IF(AA28&gt;0,VLOOKUP(TRUE,'БОВ (2)'!DI4:DK5,2,FALSE),"X11")</f>
        <v>X11</v>
      </c>
      <c r="Y29" s="109"/>
      <c r="Z29" s="125"/>
      <c r="AA29" s="109"/>
      <c r="AB29" s="125"/>
      <c r="AC29" s="109"/>
      <c r="AD29" s="109"/>
      <c r="AE29" s="110"/>
      <c r="AF29" s="116"/>
    </row>
    <row r="30" spans="1:47" ht="6" customHeight="1" thickBot="1" x14ac:dyDescent="0.3">
      <c r="A30" s="92"/>
      <c r="B30" s="106"/>
      <c r="C30" s="107"/>
      <c r="D30" s="107"/>
      <c r="E30" s="107"/>
      <c r="F30" s="122"/>
      <c r="G30" s="107"/>
      <c r="H30" s="122"/>
      <c r="I30" s="107"/>
      <c r="J30" s="107"/>
      <c r="K30" s="107"/>
      <c r="L30" s="122"/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22"/>
      <c r="AA30" s="107"/>
      <c r="AB30" s="122"/>
      <c r="AC30" s="107"/>
      <c r="AD30" s="107"/>
      <c r="AE30" s="108"/>
      <c r="AF30" s="116"/>
    </row>
    <row r="31" spans="1:47" ht="12" customHeight="1" x14ac:dyDescent="0.25">
      <c r="A31" s="312" t="s">
        <v>253</v>
      </c>
      <c r="B31" s="321"/>
      <c r="C31" s="311" t="s">
        <v>124</v>
      </c>
      <c r="D31" s="284"/>
      <c r="E31" s="284"/>
      <c r="F31" s="284"/>
      <c r="G31" s="284"/>
      <c r="H31" s="284"/>
      <c r="I31" s="284" t="s">
        <v>59</v>
      </c>
      <c r="J31" s="284"/>
      <c r="K31" s="284"/>
      <c r="L31" s="284"/>
      <c r="M31" s="284"/>
      <c r="N31" s="284"/>
      <c r="O31" s="284" t="s">
        <v>246</v>
      </c>
      <c r="P31" s="284"/>
      <c r="Q31" s="284"/>
      <c r="R31" s="284"/>
      <c r="S31" s="284"/>
      <c r="T31" s="284"/>
      <c r="U31" s="284" t="s">
        <v>209</v>
      </c>
      <c r="V31" s="284"/>
      <c r="W31" s="284"/>
      <c r="X31" s="284"/>
      <c r="Y31" s="284"/>
      <c r="Z31" s="284"/>
      <c r="AA31" s="284" t="s">
        <v>247</v>
      </c>
      <c r="AB31" s="284"/>
      <c r="AC31" s="284"/>
      <c r="AD31" s="284"/>
      <c r="AE31" s="308"/>
      <c r="AF31" s="116"/>
    </row>
    <row r="32" spans="1:47" ht="12.75" thickBot="1" x14ac:dyDescent="0.3">
      <c r="A32" s="306"/>
      <c r="B32" s="273"/>
      <c r="C32" s="339"/>
      <c r="D32" s="331"/>
      <c r="E32" s="331"/>
      <c r="F32" s="331"/>
      <c r="G32" s="331"/>
      <c r="H32" s="331"/>
      <c r="I32" s="331"/>
      <c r="J32" s="331"/>
      <c r="K32" s="331"/>
      <c r="L32" s="331"/>
      <c r="M32" s="331"/>
      <c r="N32" s="331"/>
      <c r="O32" s="331"/>
      <c r="P32" s="331"/>
      <c r="Q32" s="331"/>
      <c r="R32" s="331"/>
      <c r="S32" s="331"/>
      <c r="T32" s="331"/>
      <c r="U32" s="331"/>
      <c r="V32" s="331"/>
      <c r="W32" s="331"/>
      <c r="X32" s="331"/>
      <c r="Y32" s="331"/>
      <c r="Z32" s="331"/>
      <c r="AA32" s="331"/>
      <c r="AB32" s="331"/>
      <c r="AC32" s="331"/>
      <c r="AD32" s="331"/>
      <c r="AE32" s="332"/>
      <c r="AF32" s="116"/>
    </row>
    <row r="33" spans="1:46" ht="12.75" thickBot="1" x14ac:dyDescent="0.3">
      <c r="A33" s="94"/>
      <c r="B33" s="105" t="s">
        <v>261</v>
      </c>
      <c r="C33" s="105" t="s">
        <v>92</v>
      </c>
      <c r="D33" s="156" t="str">
        <f>IF(C32="зависимая",1,IF(C32="независимая",2,"Х1"))</f>
        <v>Х1</v>
      </c>
      <c r="E33" s="156" t="s">
        <v>92</v>
      </c>
      <c r="F33" s="157" t="str">
        <f>IF(AND(C16&gt;0,N13&gt;0,R13&gt;0,N16&gt;0,R16&gt;0),VLOOKUP(TRUE,'БОВ (3)'!BQ4:BS15,2,FALSE),"X2")</f>
        <v>X2</v>
      </c>
      <c r="G33" s="156" t="s">
        <v>92</v>
      </c>
      <c r="H33" s="157" t="str">
        <f>IF(AND(C16&gt;0,N13&gt;0,R13&gt;0,N16&gt;0,R16&gt;0,O32&gt;0,W13&gt;0,AC13&gt;0),VLOOKUP(TRUE,'БОВ (3)'!BU4:BX26,2,FALSE),"X3")</f>
        <v>X3</v>
      </c>
      <c r="I33" s="156" t="s">
        <v>96</v>
      </c>
      <c r="J33" s="156" t="str">
        <f>IF(O32&gt;0,VLOOKUP(TRUE,'БОВ (3)'!BZ4:CB6,2,FALSE),"X4")</f>
        <v>X4</v>
      </c>
      <c r="K33" s="156" t="s">
        <v>92</v>
      </c>
      <c r="L33" s="157" t="str">
        <f>IF(AND(C16&gt;0,N13&gt;0,R13&gt;0,N16&gt;0,R16&gt;0),VLOOKUP(TRUE,'БОВ (3)'!CD4:CF15,2,FALSE),"X5")</f>
        <v>X5</v>
      </c>
      <c r="M33" s="156" t="s">
        <v>92</v>
      </c>
      <c r="N33" s="156" t="str">
        <f>IF(Z16&gt;5,"X6",IF(AND(C16&gt;0,N13&gt;0,R13&gt;0,N16&gt;0,R16&gt;0,I32&gt;0),VLOOKUP(TRUE,IF('БОВ (3)'!B15="TOP-SD",'БОВ (3)'!CH4:CJ14,IF('БОВ (3)'!B15="Yonos MAXO-D",'БОВ (3)'!CK4:CM14,IF('БОВ (3)'!B15="Stratos-D",'БОВ (3)'!CN4:CP14,FALSE))),2,FALSE),"X6"))</f>
        <v>X6</v>
      </c>
      <c r="O33" s="156" t="s">
        <v>96</v>
      </c>
      <c r="P33" s="156" t="str">
        <f>IF(I32&gt;0,VLOOKUP(TRUE,'БОВ (3)'!CR4:CT7,2,FALSE),"X7")</f>
        <v>X7</v>
      </c>
      <c r="Q33" s="156" t="s">
        <v>92</v>
      </c>
      <c r="R33" s="156" t="str">
        <f>IF(AND(C13&gt;0,N13&gt;0,R13&gt;0,N16&gt;0,R16&gt;0,C32&gt;0),VLOOKUP(TRUE,'БОВ (3)'!CW4:CY10,2,FALSE),"X8")</f>
        <v>X8</v>
      </c>
      <c r="S33" s="156" t="s">
        <v>96</v>
      </c>
      <c r="T33" s="156" t="str">
        <f>IF(AND(C16&gt;0,N13&gt;0,R13&gt;0,N16&gt;0,R16&gt;0,C32&gt;0),VLOOKUP(TRUE,'БОВ (3)'!DA4:DC9,2,FALSE),"X9")</f>
        <v>X9</v>
      </c>
      <c r="U33" s="156" t="s">
        <v>92</v>
      </c>
      <c r="V33" s="156" t="str">
        <f>IF(U32&gt;0,VLOOKUP(TRUE,'БОВ (3)'!DE4:DG6,2,FALSE),"X10")</f>
        <v>X10</v>
      </c>
      <c r="W33" s="156" t="s">
        <v>92</v>
      </c>
      <c r="X33" s="156" t="str">
        <f>IF(AA32&gt;0,VLOOKUP(TRUE,'БОВ (3)'!DI4:DK5,2,FALSE),"X11")</f>
        <v>X11</v>
      </c>
      <c r="Y33" s="105"/>
      <c r="Z33" s="124"/>
      <c r="AA33" s="105"/>
      <c r="AB33" s="124"/>
      <c r="AC33" s="105"/>
      <c r="AD33" s="105"/>
      <c r="AE33" s="111"/>
      <c r="AF33" s="116"/>
    </row>
    <row r="34" spans="1:46" ht="6" customHeight="1" thickBot="1" x14ac:dyDescent="0.3">
      <c r="A34" s="92"/>
      <c r="B34" s="107"/>
      <c r="C34" s="106"/>
      <c r="D34" s="107"/>
      <c r="E34" s="107"/>
      <c r="F34" s="122"/>
      <c r="G34" s="107"/>
      <c r="H34" s="122"/>
      <c r="I34" s="107"/>
      <c r="J34" s="107"/>
      <c r="K34" s="107"/>
      <c r="L34" s="122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22"/>
      <c r="AA34" s="107"/>
      <c r="AB34" s="122"/>
      <c r="AC34" s="107"/>
      <c r="AD34" s="107"/>
      <c r="AE34" s="108"/>
      <c r="AF34" s="116"/>
    </row>
    <row r="35" spans="1:46" x14ac:dyDescent="0.25">
      <c r="A35" s="312" t="s">
        <v>255</v>
      </c>
      <c r="B35" s="290"/>
      <c r="C35" s="311" t="s">
        <v>124</v>
      </c>
      <c r="D35" s="284"/>
      <c r="E35" s="284"/>
      <c r="F35" s="284"/>
      <c r="G35" s="284"/>
      <c r="H35" s="284"/>
      <c r="I35" s="284" t="s">
        <v>59</v>
      </c>
      <c r="J35" s="284"/>
      <c r="K35" s="284"/>
      <c r="L35" s="284"/>
      <c r="M35" s="284"/>
      <c r="N35" s="284"/>
      <c r="O35" s="284" t="s">
        <v>246</v>
      </c>
      <c r="P35" s="284"/>
      <c r="Q35" s="284"/>
      <c r="R35" s="284"/>
      <c r="S35" s="284"/>
      <c r="T35" s="284"/>
      <c r="U35" s="284" t="s">
        <v>209</v>
      </c>
      <c r="V35" s="284"/>
      <c r="W35" s="284"/>
      <c r="X35" s="284"/>
      <c r="Y35" s="284"/>
      <c r="Z35" s="284"/>
      <c r="AA35" s="284" t="s">
        <v>247</v>
      </c>
      <c r="AB35" s="284"/>
      <c r="AC35" s="284"/>
      <c r="AD35" s="284"/>
      <c r="AE35" s="308"/>
      <c r="AF35" s="116"/>
      <c r="AJ35" s="121" t="s">
        <v>163</v>
      </c>
      <c r="AK35" s="121" t="s">
        <v>313</v>
      </c>
      <c r="AL35" s="160" t="s">
        <v>55</v>
      </c>
    </row>
    <row r="36" spans="1:46" ht="12.75" thickBot="1" x14ac:dyDescent="0.3">
      <c r="A36" s="307"/>
      <c r="B36" s="330"/>
      <c r="C36" s="339"/>
      <c r="D36" s="331"/>
      <c r="E36" s="331"/>
      <c r="F36" s="331"/>
      <c r="G36" s="331"/>
      <c r="H36" s="331"/>
      <c r="I36" s="331"/>
      <c r="J36" s="331"/>
      <c r="K36" s="331"/>
      <c r="L36" s="331"/>
      <c r="M36" s="331"/>
      <c r="N36" s="331"/>
      <c r="O36" s="331"/>
      <c r="P36" s="331"/>
      <c r="Q36" s="331"/>
      <c r="R36" s="331"/>
      <c r="S36" s="331"/>
      <c r="T36" s="331"/>
      <c r="U36" s="331"/>
      <c r="V36" s="331"/>
      <c r="W36" s="331"/>
      <c r="X36" s="331"/>
      <c r="Y36" s="331"/>
      <c r="Z36" s="331"/>
      <c r="AA36" s="331"/>
      <c r="AB36" s="331"/>
      <c r="AC36" s="331"/>
      <c r="AD36" s="331"/>
      <c r="AE36" s="332"/>
      <c r="AF36" s="116"/>
      <c r="AJ36" s="121" t="s">
        <v>256</v>
      </c>
      <c r="AK36" s="73" t="s">
        <v>258</v>
      </c>
      <c r="AL36" s="121" t="s">
        <v>57</v>
      </c>
      <c r="AR36" s="121">
        <f>IF(C36&lt;&gt;"Принуд. Паралл.",0,IF(AND(C36="Принуд. Паралл.",C17&gt;0),1,"Х1"))</f>
        <v>0</v>
      </c>
      <c r="AS36" s="121">
        <f>IF(C36&lt;&gt;"Принудит. Смеш.",0,IF(AND(C36="Принудит. Смеш.",C17&gt;0,SUM(C14:G16)&gt;0,N13&gt;0,R13&gt;0),2,"Х1"))</f>
        <v>0</v>
      </c>
      <c r="AT36" s="121">
        <f>IF(C36&lt;&gt;"Автоматически",0,IF(AND(C36="Автоматически",C17&gt;0,SUM(C14:G16)&gt;0,N13&gt;0,R13&gt;0),IF(AND(C17/(C14+C15+C16)&gt;0.2,C17/(C14+C15+C16)&lt;1),2,1),"Х1"))</f>
        <v>0</v>
      </c>
    </row>
    <row r="37" spans="1:46" ht="12.75" thickBot="1" x14ac:dyDescent="0.3">
      <c r="A37" s="118"/>
      <c r="B37" s="105" t="s">
        <v>250</v>
      </c>
      <c r="C37" s="105" t="s">
        <v>92</v>
      </c>
      <c r="D37" s="105" t="str">
        <f>IF(C36="Принуд. Паралл.",AR36,IF(C36="Принудит. Смеш.",AS36,IF(C36="Автоматически",AT36,"Х1")))</f>
        <v>Х1</v>
      </c>
      <c r="E37" s="105" t="s">
        <v>92</v>
      </c>
      <c r="F37" s="199" t="str">
        <f>IF(D37=1,IF(AND(C17&gt;0,N17&gt;0,R17&gt;0),VLOOKUP(TRUE,БГ!BB4:BD15,2,FALSE),"X2"),IF(D37=2,IF(AND(C17&gt;0,N17&gt;0,R17&gt;0,SUM(C14:G16)&gt;0,N13&gt;0,R13&gt;0),VLOOKUP(TRUE,'БГ-С'!BM4:BO15,2,FALSE),"X2"),"X2"))</f>
        <v>X2</v>
      </c>
      <c r="G37" s="105" t="s">
        <v>92</v>
      </c>
      <c r="H37" s="199" t="str">
        <f>IF(D37=1,IF(AND(C17&gt;0,N17&gt;0,R17&gt;0,O36&gt;0),VLOOKUP(TRUE,БГ!BF4:BI26,2,FALSE),"X3"),IF(D37=2,IF(AND(C17&gt;0,N17&gt;0,R17&gt;0,SUM(C14:G16)&gt;0,N13&gt;0,R13&gt;0,O36&gt;0),VLOOKUP(TRUE,'БГ-С'!BQ4:BT26,2,FALSE),"X3"),"X3"))</f>
        <v>X3</v>
      </c>
      <c r="I37" s="105" t="s">
        <v>96</v>
      </c>
      <c r="J37" s="105" t="str">
        <f>IF(D37=1,IF(AND(C17&gt;0,N17&gt;0,R17&gt;0,O36&gt;0),VLOOKUP(TRUE,БГ!BK4:BM6,2,FALSE),"X4"),IF(D37=2,IF(AND(C17&gt;0,N17&gt;0,R17&gt;0,SUM(C14:G16)&gt;0,N13&gt;0,R13&gt;0,O36&gt;0),VLOOKUP(TRUE,'БГ-С'!BV4:BX6,2,FALSE),"X4"),"X4"))</f>
        <v>X4</v>
      </c>
      <c r="K37" s="105" t="s">
        <v>92</v>
      </c>
      <c r="L37" s="199" t="str">
        <f>IF(D37=1,IF(AND(C17&gt;0,N17&gt;0,R17&gt;0),VLOOKUP(TRUE,БГ!BO4:BQ15,2,FALSE),"X5"),IF(D37=2,IF(AND(C17&gt;0,N17&gt;0,R17&gt;0,SUM(C14:G16)&gt;0,N13&gt;0,R13&gt;0),VLOOKUP(TRUE,'БГ-С'!BZ4:CB15,2,FALSE),"X5"),"X5"))</f>
        <v>X5</v>
      </c>
      <c r="M37" s="105" t="s">
        <v>92</v>
      </c>
      <c r="N37" s="105" t="str">
        <f>IF(D37=1,IF(AND(C17&gt;0,N17&gt;0,R17&gt;0),VLOOKUP(TRUE,БГ!BS4:BU15,2,FALSE),"X6"),IF(D37=2,IF(AND(C17&gt;0,N17&gt;0,R17&gt;0,SUM(C14:G16)&gt;0,N13&gt;0,R13&gt;0),VLOOKUP(TRUE,'БГ-С'!CD4:CF15,2,FALSE),"X6"),"X6"))</f>
        <v>X6</v>
      </c>
      <c r="O37" s="105" t="s">
        <v>92</v>
      </c>
      <c r="P37" s="105" t="str">
        <f>IF(D37=1,IF(AND(C17&gt;0,N17&gt;0,R17&gt;0),VLOOKUP(TRUE,БГ!BW4:BY15,2,FALSE),"X7"),IF(D37=2,IF(AND(C17&gt;0,N17&gt;0,R17&gt;0,SUM(C14:G16)&gt;0,N13&gt;0,R13&gt;0),VLOOKUP(TRUE,'БГ-С'!CH4:CJ15,2,FALSE),"X7"),"X7"))</f>
        <v>X7</v>
      </c>
      <c r="Q37" s="105" t="s">
        <v>92</v>
      </c>
      <c r="R37" s="105" t="str">
        <f>IF(D37=1,IF(AND(C17&gt;0,N17&gt;0,R17&gt;0),VLOOKUP(TRUE,БГ!CA4:CC15,2,FALSE),"X8"),IF(D37=2,IF(AND(C17&gt;0,N17&gt;0,R17&gt;0,SUM(C14:G16)&gt;0,N13&gt;0,R13&gt;0),VLOOKUP(TRUE,'БГ-С'!CL4:CN15,2,FALSE),"X8"),"X8"))</f>
        <v>X8</v>
      </c>
      <c r="S37" s="105" t="s">
        <v>92</v>
      </c>
      <c r="T37" s="105" t="str">
        <f>IF(D37=1,IF(AND(C17&gt;0,N17&gt;0,R17&gt;0),VLOOKUP(TRUE,БГ!CE4:CG9,2,FALSE),"X9"),IF(D37=2,IF(AND(C17&gt;0,N17&gt;0,R17&gt;0,SUM(C14:G16)&gt;0,N13&gt;0,R13&gt;0),VLOOKUP(TRUE,'БГ-С'!CP4:CR9,2,FALSE),"X9"),"X9"))</f>
        <v>X9</v>
      </c>
      <c r="U37" s="105" t="s">
        <v>92</v>
      </c>
      <c r="V37" s="200" t="str">
        <f>IF(D37=1,IF(AND(C17&gt;0,N17&gt;0,R17&gt;0,I36&gt;0),VLOOKUP(TRUE,IF(I36="stratos-z",БГ!CI4:CK7,БГ!CL4:CN7),2,FALSE),"X10"),IF(D37=2,IF(AND(C17&gt;0,N17&gt;0,R17&gt;0,SUM(C14:G16)&gt;0,N13&gt;0,R13&gt;0,I36&gt;0),VLOOKUP(TRUE,IF(I36="stratos-z",'БГ-С'!CT4:CV7,'БГ-С'!CW4:CY7),2,FALSE),"X10"),"X10"))</f>
        <v>X10</v>
      </c>
      <c r="W37" s="105" t="s">
        <v>96</v>
      </c>
      <c r="X37" s="105" t="str">
        <f>IF(D37=1,IF(AND(C17&gt;0,N17&gt;0,R17&gt;0,I36&gt;0),VLOOKUP(TRUE,БГ!CP5:CR6,2,FALSE),"X11"),IF(D37=2,IF(AND(C17&gt;0,N17&gt;0,R17&gt;0,SUM(C14:G16)&gt;0,N13&gt;0,R13&gt;0,I36&gt;0),VLOOKUP(TRUE,'БГ-С'!DA5:DC6,2,FALSE),"X11"),"X11"))</f>
        <v>X11</v>
      </c>
      <c r="Y37" s="105" t="s">
        <v>92</v>
      </c>
      <c r="Z37" s="204" t="str">
        <f>IF(D37=1,IF(AND(C17&gt;0,N17&gt;0,R17&gt;0,C17&lt;1.001),VLOOKUP(TRUE,БГ!CU5:CW19,2,FALSE),"X12"),IF(D37=2,IF(AND(C17&gt;0,N17&gt;0,R17&gt;0,SUM(C14:G16)&gt;0,N13&gt;0,R13&gt;0),VLOOKUP(TRUE,'БГ-С'!DF5:DH19,2,FALSE),"X12"),"X12"))</f>
        <v>X12</v>
      </c>
      <c r="AA37" s="119" t="s">
        <v>92</v>
      </c>
      <c r="AB37" s="199" t="str">
        <f>IF(D37=1,IF(U36&gt;0,VLOOKUP(TRUE,БГ!CY4:DA6,2,FALSE),"X13"),IF(D37=2,IF(U36&gt;0,VLOOKUP(TRUE,'БГ-С'!DJ4:DL6,2,FALSE),"X13"),"X13"))</f>
        <v>X13</v>
      </c>
      <c r="AC37" s="119" t="s">
        <v>92</v>
      </c>
      <c r="AD37" s="199" t="str">
        <f>IF(D37=1,IF(AA36&gt;0,VLOOKUP(TRUE,БГ!DC4:DE5,2,FALSE),"X14"),IF(D37=2,IF(AA36&gt;0,VLOOKUP(TRUE,'БГ-С'!DN4:DP5,2,FALSE),"X14"),"X14"))</f>
        <v>X14</v>
      </c>
      <c r="AE37" s="123"/>
      <c r="AF37" s="116"/>
      <c r="AJ37" s="121" t="s">
        <v>257</v>
      </c>
      <c r="AL37" s="121" t="s">
        <v>56</v>
      </c>
    </row>
    <row r="38" spans="1:46" ht="6" customHeight="1" thickBot="1" x14ac:dyDescent="0.3">
      <c r="A38" s="92"/>
      <c r="B38" s="106"/>
      <c r="C38" s="107"/>
      <c r="D38" s="107"/>
      <c r="E38" s="107"/>
      <c r="F38" s="122"/>
      <c r="G38" s="107"/>
      <c r="H38" s="122"/>
      <c r="I38" s="107"/>
      <c r="J38" s="107"/>
      <c r="K38" s="107"/>
      <c r="L38" s="122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22"/>
      <c r="AA38" s="107"/>
      <c r="AB38" s="122"/>
      <c r="AC38" s="107"/>
      <c r="AD38" s="107"/>
      <c r="AE38" s="108"/>
      <c r="AF38" s="116"/>
      <c r="AL38" s="121" t="s">
        <v>282</v>
      </c>
    </row>
    <row r="39" spans="1:46" x14ac:dyDescent="0.25">
      <c r="A39" s="312" t="s">
        <v>262</v>
      </c>
      <c r="B39" s="290"/>
      <c r="C39" s="311" t="s">
        <v>162</v>
      </c>
      <c r="D39" s="284"/>
      <c r="E39" s="284"/>
      <c r="F39" s="284"/>
      <c r="G39" s="284"/>
      <c r="H39" s="284"/>
      <c r="I39" s="284" t="s">
        <v>263</v>
      </c>
      <c r="J39" s="284"/>
      <c r="K39" s="284"/>
      <c r="L39" s="284"/>
      <c r="M39" s="284"/>
      <c r="N39" s="284"/>
      <c r="O39" s="284" t="s">
        <v>264</v>
      </c>
      <c r="P39" s="284"/>
      <c r="Q39" s="284"/>
      <c r="R39" s="284"/>
      <c r="S39" s="284"/>
      <c r="T39" s="284"/>
      <c r="U39" s="284" t="s">
        <v>265</v>
      </c>
      <c r="V39" s="284"/>
      <c r="W39" s="284"/>
      <c r="X39" s="284"/>
      <c r="Y39" s="284"/>
      <c r="Z39" s="284"/>
      <c r="AA39" s="284" t="s">
        <v>266</v>
      </c>
      <c r="AB39" s="284"/>
      <c r="AC39" s="284"/>
      <c r="AD39" s="284"/>
      <c r="AE39" s="308"/>
      <c r="AF39" s="116"/>
      <c r="AJ39" s="121" t="s">
        <v>163</v>
      </c>
      <c r="AK39" s="121" t="s">
        <v>269</v>
      </c>
      <c r="AL39" s="121" t="s">
        <v>272</v>
      </c>
      <c r="AM39" s="121" t="s">
        <v>273</v>
      </c>
    </row>
    <row r="40" spans="1:46" ht="12.75" thickBot="1" x14ac:dyDescent="0.3">
      <c r="A40" s="307"/>
      <c r="B40" s="330"/>
      <c r="C40" s="339"/>
      <c r="D40" s="331"/>
      <c r="E40" s="331"/>
      <c r="F40" s="331"/>
      <c r="G40" s="331"/>
      <c r="H40" s="331"/>
      <c r="I40" s="331"/>
      <c r="J40" s="331"/>
      <c r="K40" s="331"/>
      <c r="L40" s="331"/>
      <c r="M40" s="331"/>
      <c r="N40" s="331"/>
      <c r="O40" s="331"/>
      <c r="P40" s="331"/>
      <c r="Q40" s="331"/>
      <c r="R40" s="331"/>
      <c r="S40" s="331"/>
      <c r="T40" s="331"/>
      <c r="U40" s="331"/>
      <c r="V40" s="331"/>
      <c r="W40" s="331"/>
      <c r="X40" s="331"/>
      <c r="Y40" s="331"/>
      <c r="Z40" s="331"/>
      <c r="AA40" s="331"/>
      <c r="AB40" s="331"/>
      <c r="AC40" s="331"/>
      <c r="AD40" s="331"/>
      <c r="AE40" s="332"/>
      <c r="AJ40" s="121" t="s">
        <v>267</v>
      </c>
      <c r="AK40" s="121" t="s">
        <v>270</v>
      </c>
      <c r="AL40" s="121" t="s">
        <v>57</v>
      </c>
      <c r="AM40" s="121" t="s">
        <v>275</v>
      </c>
    </row>
    <row r="41" spans="1:46" ht="12" customHeight="1" thickBot="1" x14ac:dyDescent="0.3">
      <c r="A41" s="89"/>
      <c r="B41" s="109" t="s">
        <v>276</v>
      </c>
      <c r="C41" s="109" t="s">
        <v>92</v>
      </c>
      <c r="D41" s="109" t="s">
        <v>93</v>
      </c>
      <c r="E41" s="109" t="s">
        <v>92</v>
      </c>
      <c r="F41" s="125" t="s">
        <v>94</v>
      </c>
      <c r="G41" s="109" t="s">
        <v>96</v>
      </c>
      <c r="H41" s="125" t="s">
        <v>95</v>
      </c>
      <c r="I41" s="109" t="s">
        <v>92</v>
      </c>
      <c r="J41" s="109" t="s">
        <v>97</v>
      </c>
      <c r="K41" s="109" t="s">
        <v>96</v>
      </c>
      <c r="L41" s="125" t="s">
        <v>98</v>
      </c>
      <c r="M41" s="109" t="s">
        <v>92</v>
      </c>
      <c r="N41" s="109" t="s">
        <v>99</v>
      </c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1"/>
      <c r="AJ41" s="121" t="s">
        <v>268</v>
      </c>
      <c r="AK41" s="121" t="s">
        <v>271</v>
      </c>
      <c r="AM41" s="121" t="s">
        <v>274</v>
      </c>
    </row>
    <row r="42" spans="1:46" ht="6" customHeight="1" thickBot="1" x14ac:dyDescent="0.3">
      <c r="A42" s="92"/>
      <c r="B42" s="107"/>
      <c r="C42" s="107"/>
      <c r="D42" s="107"/>
      <c r="E42" s="107"/>
      <c r="F42" s="122"/>
      <c r="G42" s="107"/>
      <c r="H42" s="122"/>
      <c r="I42" s="107"/>
      <c r="J42" s="107"/>
      <c r="K42" s="107"/>
      <c r="L42" s="122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22"/>
      <c r="AA42" s="107"/>
      <c r="AB42" s="122"/>
      <c r="AC42" s="107"/>
      <c r="AD42" s="107"/>
      <c r="AE42" s="108"/>
      <c r="AF42" s="116"/>
    </row>
    <row r="43" spans="1:46" x14ac:dyDescent="0.25">
      <c r="A43" s="312" t="s">
        <v>277</v>
      </c>
      <c r="B43" s="290"/>
      <c r="C43" s="311" t="s">
        <v>162</v>
      </c>
      <c r="D43" s="284"/>
      <c r="E43" s="284"/>
      <c r="F43" s="284"/>
      <c r="G43" s="284"/>
      <c r="H43" s="284"/>
      <c r="I43" s="284" t="s">
        <v>263</v>
      </c>
      <c r="J43" s="284"/>
      <c r="K43" s="284"/>
      <c r="L43" s="284"/>
      <c r="M43" s="284"/>
      <c r="N43" s="284"/>
      <c r="O43" s="284" t="s">
        <v>264</v>
      </c>
      <c r="P43" s="284"/>
      <c r="Q43" s="284"/>
      <c r="R43" s="284"/>
      <c r="S43" s="284"/>
      <c r="T43" s="284"/>
      <c r="U43" s="284" t="s">
        <v>265</v>
      </c>
      <c r="V43" s="284"/>
      <c r="W43" s="284"/>
      <c r="X43" s="284"/>
      <c r="Y43" s="284"/>
      <c r="Z43" s="284"/>
      <c r="AA43" s="284" t="s">
        <v>266</v>
      </c>
      <c r="AB43" s="284"/>
      <c r="AC43" s="284"/>
      <c r="AD43" s="284"/>
      <c r="AE43" s="308"/>
    </row>
    <row r="44" spans="1:46" ht="12.75" thickBot="1" x14ac:dyDescent="0.3">
      <c r="A44" s="307"/>
      <c r="B44" s="330"/>
      <c r="C44" s="339"/>
      <c r="D44" s="331"/>
      <c r="E44" s="331"/>
      <c r="F44" s="331"/>
      <c r="G44" s="331"/>
      <c r="H44" s="331"/>
      <c r="I44" s="331"/>
      <c r="J44" s="331"/>
      <c r="K44" s="331"/>
      <c r="L44" s="331"/>
      <c r="M44" s="331"/>
      <c r="N44" s="331"/>
      <c r="O44" s="331"/>
      <c r="P44" s="331"/>
      <c r="Q44" s="331"/>
      <c r="R44" s="331"/>
      <c r="S44" s="331"/>
      <c r="T44" s="331"/>
      <c r="U44" s="331"/>
      <c r="V44" s="331"/>
      <c r="W44" s="331"/>
      <c r="X44" s="331"/>
      <c r="Y44" s="331"/>
      <c r="Z44" s="331"/>
      <c r="AA44" s="331"/>
      <c r="AB44" s="331"/>
      <c r="AC44" s="331"/>
      <c r="AD44" s="331"/>
      <c r="AE44" s="332"/>
    </row>
    <row r="45" spans="1:46" ht="12.75" thickBot="1" x14ac:dyDescent="0.3">
      <c r="A45" s="89"/>
      <c r="B45" s="109" t="s">
        <v>280</v>
      </c>
      <c r="C45" s="109" t="s">
        <v>92</v>
      </c>
      <c r="D45" s="109" t="s">
        <v>93</v>
      </c>
      <c r="E45" s="109" t="s">
        <v>92</v>
      </c>
      <c r="F45" s="125" t="s">
        <v>94</v>
      </c>
      <c r="G45" s="109" t="s">
        <v>96</v>
      </c>
      <c r="H45" s="125" t="s">
        <v>95</v>
      </c>
      <c r="I45" s="109" t="s">
        <v>92</v>
      </c>
      <c r="J45" s="109" t="s">
        <v>97</v>
      </c>
      <c r="K45" s="109" t="s">
        <v>96</v>
      </c>
      <c r="L45" s="125" t="s">
        <v>98</v>
      </c>
      <c r="M45" s="109" t="s">
        <v>92</v>
      </c>
      <c r="N45" s="109" t="s">
        <v>99</v>
      </c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0"/>
      <c r="AB45" s="90"/>
      <c r="AC45" s="90"/>
      <c r="AD45" s="90"/>
      <c r="AE45" s="91"/>
    </row>
    <row r="46" spans="1:46" ht="6" customHeight="1" thickBot="1" x14ac:dyDescent="0.3">
      <c r="A46" s="92"/>
      <c r="B46" s="107"/>
      <c r="C46" s="107"/>
      <c r="D46" s="107"/>
      <c r="E46" s="107"/>
      <c r="F46" s="122"/>
      <c r="G46" s="107"/>
      <c r="H46" s="122"/>
      <c r="I46" s="107"/>
      <c r="J46" s="107"/>
      <c r="K46" s="107"/>
      <c r="L46" s="122"/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  <c r="Y46" s="107"/>
      <c r="Z46" s="122"/>
      <c r="AA46" s="107"/>
      <c r="AB46" s="122"/>
      <c r="AC46" s="107"/>
      <c r="AD46" s="107"/>
      <c r="AE46" s="108"/>
      <c r="AF46" s="116"/>
    </row>
    <row r="47" spans="1:46" x14ac:dyDescent="0.25">
      <c r="A47" s="312" t="s">
        <v>278</v>
      </c>
      <c r="B47" s="290"/>
      <c r="C47" s="311" t="s">
        <v>162</v>
      </c>
      <c r="D47" s="284"/>
      <c r="E47" s="284"/>
      <c r="F47" s="284"/>
      <c r="G47" s="284"/>
      <c r="H47" s="284"/>
      <c r="I47" s="284" t="s">
        <v>263</v>
      </c>
      <c r="J47" s="284"/>
      <c r="K47" s="284"/>
      <c r="L47" s="284"/>
      <c r="M47" s="284"/>
      <c r="N47" s="284"/>
      <c r="O47" s="284" t="s">
        <v>264</v>
      </c>
      <c r="P47" s="284"/>
      <c r="Q47" s="284"/>
      <c r="R47" s="284"/>
      <c r="S47" s="284"/>
      <c r="T47" s="284"/>
      <c r="U47" s="284" t="s">
        <v>265</v>
      </c>
      <c r="V47" s="284"/>
      <c r="W47" s="284"/>
      <c r="X47" s="284"/>
      <c r="Y47" s="284"/>
      <c r="Z47" s="284"/>
      <c r="AA47" s="284" t="s">
        <v>266</v>
      </c>
      <c r="AB47" s="284"/>
      <c r="AC47" s="284"/>
      <c r="AD47" s="284"/>
      <c r="AE47" s="308"/>
    </row>
    <row r="48" spans="1:46" ht="12.75" thickBot="1" x14ac:dyDescent="0.3">
      <c r="A48" s="307"/>
      <c r="B48" s="330"/>
      <c r="C48" s="339"/>
      <c r="D48" s="331"/>
      <c r="E48" s="331"/>
      <c r="F48" s="331"/>
      <c r="G48" s="331"/>
      <c r="H48" s="331"/>
      <c r="I48" s="331"/>
      <c r="J48" s="331"/>
      <c r="K48" s="331"/>
      <c r="L48" s="331"/>
      <c r="M48" s="331"/>
      <c r="N48" s="331"/>
      <c r="O48" s="331"/>
      <c r="P48" s="331"/>
      <c r="Q48" s="331"/>
      <c r="R48" s="331"/>
      <c r="S48" s="331"/>
      <c r="T48" s="331"/>
      <c r="U48" s="331"/>
      <c r="V48" s="331"/>
      <c r="W48" s="331"/>
      <c r="X48" s="331"/>
      <c r="Y48" s="331"/>
      <c r="Z48" s="331"/>
      <c r="AA48" s="331"/>
      <c r="AB48" s="331"/>
      <c r="AC48" s="331"/>
      <c r="AD48" s="331"/>
      <c r="AE48" s="332"/>
    </row>
    <row r="49" spans="1:32" ht="12.75" thickBot="1" x14ac:dyDescent="0.3">
      <c r="A49" s="118"/>
      <c r="B49" s="105" t="s">
        <v>281</v>
      </c>
      <c r="C49" s="105" t="s">
        <v>92</v>
      </c>
      <c r="D49" s="105" t="s">
        <v>93</v>
      </c>
      <c r="E49" s="105" t="s">
        <v>92</v>
      </c>
      <c r="F49" s="124" t="s">
        <v>94</v>
      </c>
      <c r="G49" s="105" t="s">
        <v>96</v>
      </c>
      <c r="H49" s="124" t="s">
        <v>95</v>
      </c>
      <c r="I49" s="105" t="s">
        <v>92</v>
      </c>
      <c r="J49" s="105" t="s">
        <v>97</v>
      </c>
      <c r="K49" s="105" t="s">
        <v>96</v>
      </c>
      <c r="L49" s="124" t="s">
        <v>98</v>
      </c>
      <c r="M49" s="105" t="s">
        <v>92</v>
      </c>
      <c r="N49" s="105" t="s">
        <v>99</v>
      </c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  <c r="Z49" s="119"/>
      <c r="AA49" s="119"/>
      <c r="AB49" s="119"/>
      <c r="AC49" s="119"/>
      <c r="AD49" s="119"/>
      <c r="AE49" s="123"/>
    </row>
    <row r="50" spans="1:32" ht="6" customHeight="1" thickBot="1" x14ac:dyDescent="0.3">
      <c r="A50" s="92"/>
      <c r="B50" s="107"/>
      <c r="C50" s="109"/>
      <c r="D50" s="107"/>
      <c r="E50" s="107"/>
      <c r="F50" s="122"/>
      <c r="G50" s="107"/>
      <c r="H50" s="122"/>
      <c r="I50" s="107"/>
      <c r="J50" s="107"/>
      <c r="K50" s="107"/>
      <c r="L50" s="122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22"/>
      <c r="AA50" s="107"/>
      <c r="AB50" s="122"/>
      <c r="AC50" s="107"/>
      <c r="AD50" s="107"/>
      <c r="AE50" s="108"/>
      <c r="AF50" s="116"/>
    </row>
    <row r="51" spans="1:32" x14ac:dyDescent="0.25">
      <c r="A51" s="312" t="s">
        <v>279</v>
      </c>
      <c r="B51" s="321"/>
      <c r="C51" s="333"/>
      <c r="D51" s="333"/>
      <c r="E51" s="333"/>
      <c r="F51" s="333"/>
      <c r="G51" s="333"/>
      <c r="H51" s="333"/>
      <c r="I51" s="333"/>
      <c r="J51" s="333"/>
      <c r="K51" s="333"/>
      <c r="L51" s="333"/>
      <c r="M51" s="333"/>
      <c r="N51" s="333"/>
      <c r="O51" s="333"/>
      <c r="P51" s="333"/>
      <c r="Q51" s="333"/>
      <c r="R51" s="333"/>
      <c r="S51" s="333"/>
      <c r="T51" s="333"/>
      <c r="U51" s="333"/>
      <c r="V51" s="333"/>
      <c r="W51" s="333"/>
      <c r="X51" s="333"/>
      <c r="Y51" s="333"/>
      <c r="Z51" s="333"/>
      <c r="AA51" s="333"/>
      <c r="AB51" s="333"/>
      <c r="AC51" s="333"/>
      <c r="AD51" s="333"/>
      <c r="AE51" s="334"/>
    </row>
    <row r="52" spans="1:32" x14ac:dyDescent="0.25">
      <c r="A52" s="298"/>
      <c r="B52" s="300"/>
      <c r="C52" s="335"/>
      <c r="D52" s="335"/>
      <c r="E52" s="335"/>
      <c r="F52" s="335"/>
      <c r="G52" s="335"/>
      <c r="H52" s="335"/>
      <c r="I52" s="335"/>
      <c r="J52" s="335"/>
      <c r="K52" s="335"/>
      <c r="L52" s="335"/>
      <c r="M52" s="335"/>
      <c r="N52" s="335"/>
      <c r="O52" s="335"/>
      <c r="P52" s="335"/>
      <c r="Q52" s="335"/>
      <c r="R52" s="335"/>
      <c r="S52" s="335"/>
      <c r="T52" s="335"/>
      <c r="U52" s="335"/>
      <c r="V52" s="335"/>
      <c r="W52" s="335"/>
      <c r="X52" s="335"/>
      <c r="Y52" s="335"/>
      <c r="Z52" s="335"/>
      <c r="AA52" s="335"/>
      <c r="AB52" s="335"/>
      <c r="AC52" s="335"/>
      <c r="AD52" s="335"/>
      <c r="AE52" s="336"/>
    </row>
    <row r="53" spans="1:32" x14ac:dyDescent="0.25">
      <c r="A53" s="298"/>
      <c r="B53" s="300"/>
      <c r="C53" s="335"/>
      <c r="D53" s="335"/>
      <c r="E53" s="335"/>
      <c r="F53" s="335"/>
      <c r="G53" s="335"/>
      <c r="H53" s="335"/>
      <c r="I53" s="335"/>
      <c r="J53" s="335"/>
      <c r="K53" s="335"/>
      <c r="L53" s="335"/>
      <c r="M53" s="335"/>
      <c r="N53" s="335"/>
      <c r="O53" s="335"/>
      <c r="P53" s="335"/>
      <c r="Q53" s="335"/>
      <c r="R53" s="335"/>
      <c r="S53" s="335"/>
      <c r="T53" s="335"/>
      <c r="U53" s="335"/>
      <c r="V53" s="335"/>
      <c r="W53" s="335"/>
      <c r="X53" s="335"/>
      <c r="Y53" s="335"/>
      <c r="Z53" s="335"/>
      <c r="AA53" s="335"/>
      <c r="AB53" s="335"/>
      <c r="AC53" s="335"/>
      <c r="AD53" s="335"/>
      <c r="AE53" s="336"/>
    </row>
    <row r="54" spans="1:32" x14ac:dyDescent="0.25">
      <c r="A54" s="298"/>
      <c r="B54" s="300"/>
      <c r="C54" s="335"/>
      <c r="D54" s="335"/>
      <c r="E54" s="335"/>
      <c r="F54" s="335"/>
      <c r="G54" s="335"/>
      <c r="H54" s="335"/>
      <c r="I54" s="335"/>
      <c r="J54" s="335"/>
      <c r="K54" s="335"/>
      <c r="L54" s="335"/>
      <c r="M54" s="335"/>
      <c r="N54" s="335"/>
      <c r="O54" s="335"/>
      <c r="P54" s="335"/>
      <c r="Q54" s="335"/>
      <c r="R54" s="335"/>
      <c r="S54" s="335"/>
      <c r="T54" s="335"/>
      <c r="U54" s="335"/>
      <c r="V54" s="335"/>
      <c r="W54" s="335"/>
      <c r="X54" s="335"/>
      <c r="Y54" s="335"/>
      <c r="Z54" s="335"/>
      <c r="AA54" s="335"/>
      <c r="AB54" s="335"/>
      <c r="AC54" s="335"/>
      <c r="AD54" s="335"/>
      <c r="AE54" s="336"/>
    </row>
    <row r="55" spans="1:32" x14ac:dyDescent="0.25">
      <c r="A55" s="298"/>
      <c r="B55" s="300"/>
      <c r="C55" s="335"/>
      <c r="D55" s="335"/>
      <c r="E55" s="335"/>
      <c r="F55" s="335"/>
      <c r="G55" s="335"/>
      <c r="H55" s="335"/>
      <c r="I55" s="335"/>
      <c r="J55" s="335"/>
      <c r="K55" s="335"/>
      <c r="L55" s="335"/>
      <c r="M55" s="335"/>
      <c r="N55" s="335"/>
      <c r="O55" s="335"/>
      <c r="P55" s="335"/>
      <c r="Q55" s="335"/>
      <c r="R55" s="335"/>
      <c r="S55" s="335"/>
      <c r="T55" s="335"/>
      <c r="U55" s="335"/>
      <c r="V55" s="335"/>
      <c r="W55" s="335"/>
      <c r="X55" s="335"/>
      <c r="Y55" s="335"/>
      <c r="Z55" s="335"/>
      <c r="AA55" s="335"/>
      <c r="AB55" s="335"/>
      <c r="AC55" s="335"/>
      <c r="AD55" s="335"/>
      <c r="AE55" s="336"/>
    </row>
    <row r="56" spans="1:32" x14ac:dyDescent="0.25">
      <c r="A56" s="298"/>
      <c r="B56" s="300"/>
      <c r="C56" s="335"/>
      <c r="D56" s="335"/>
      <c r="E56" s="335"/>
      <c r="F56" s="335"/>
      <c r="G56" s="335"/>
      <c r="H56" s="335"/>
      <c r="I56" s="335"/>
      <c r="J56" s="335"/>
      <c r="K56" s="335"/>
      <c r="L56" s="335"/>
      <c r="M56" s="335"/>
      <c r="N56" s="335"/>
      <c r="O56" s="335"/>
      <c r="P56" s="335"/>
      <c r="Q56" s="335"/>
      <c r="R56" s="335"/>
      <c r="S56" s="335"/>
      <c r="T56" s="335"/>
      <c r="U56" s="335"/>
      <c r="V56" s="335"/>
      <c r="W56" s="335"/>
      <c r="X56" s="335"/>
      <c r="Y56" s="335"/>
      <c r="Z56" s="335"/>
      <c r="AA56" s="335"/>
      <c r="AB56" s="335"/>
      <c r="AC56" s="335"/>
      <c r="AD56" s="335"/>
      <c r="AE56" s="336"/>
    </row>
    <row r="57" spans="1:32" ht="12.75" thickBot="1" x14ac:dyDescent="0.3">
      <c r="A57" s="306"/>
      <c r="B57" s="273"/>
      <c r="C57" s="337"/>
      <c r="D57" s="337"/>
      <c r="E57" s="337"/>
      <c r="F57" s="337"/>
      <c r="G57" s="337"/>
      <c r="H57" s="337"/>
      <c r="I57" s="337"/>
      <c r="J57" s="337"/>
      <c r="K57" s="337"/>
      <c r="L57" s="337"/>
      <c r="M57" s="337"/>
      <c r="N57" s="337"/>
      <c r="O57" s="337"/>
      <c r="P57" s="337"/>
      <c r="Q57" s="337"/>
      <c r="R57" s="337"/>
      <c r="S57" s="337"/>
      <c r="T57" s="337"/>
      <c r="U57" s="337"/>
      <c r="V57" s="337"/>
      <c r="W57" s="337"/>
      <c r="X57" s="337"/>
      <c r="Y57" s="337"/>
      <c r="Z57" s="337"/>
      <c r="AA57" s="337"/>
      <c r="AB57" s="337"/>
      <c r="AC57" s="337"/>
      <c r="AD57" s="337"/>
      <c r="AE57" s="338"/>
    </row>
    <row r="69" spans="2:26" x14ac:dyDescent="0.25">
      <c r="B69" s="107" t="s">
        <v>8</v>
      </c>
      <c r="C69" s="107" t="s">
        <v>92</v>
      </c>
      <c r="D69" s="107" t="s">
        <v>93</v>
      </c>
      <c r="E69" s="107" t="s">
        <v>92</v>
      </c>
      <c r="F69" s="122" t="s">
        <v>94</v>
      </c>
      <c r="G69" s="107" t="s">
        <v>92</v>
      </c>
      <c r="H69" s="122" t="s">
        <v>95</v>
      </c>
      <c r="I69" s="107" t="s">
        <v>96</v>
      </c>
      <c r="J69" s="107" t="s">
        <v>97</v>
      </c>
      <c r="K69" s="107" t="s">
        <v>92</v>
      </c>
      <c r="L69" s="122" t="s">
        <v>98</v>
      </c>
      <c r="M69" s="107" t="s">
        <v>92</v>
      </c>
      <c r="N69" s="107" t="s">
        <v>99</v>
      </c>
      <c r="O69" s="107" t="s">
        <v>96</v>
      </c>
      <c r="P69" s="107" t="s">
        <v>100</v>
      </c>
      <c r="Q69" s="107" t="s">
        <v>92</v>
      </c>
      <c r="R69" s="107" t="s">
        <v>219</v>
      </c>
      <c r="S69" s="107" t="s">
        <v>92</v>
      </c>
      <c r="T69" s="107" t="s">
        <v>229</v>
      </c>
      <c r="U69" s="107" t="s">
        <v>92</v>
      </c>
      <c r="V69" s="107" t="s">
        <v>230</v>
      </c>
      <c r="W69" s="107" t="s">
        <v>92</v>
      </c>
      <c r="X69" s="107" t="s">
        <v>231</v>
      </c>
      <c r="Y69" s="107" t="s">
        <v>92</v>
      </c>
      <c r="Z69" s="122" t="s">
        <v>232</v>
      </c>
    </row>
  </sheetData>
  <mergeCells count="169">
    <mergeCell ref="A16:B16"/>
    <mergeCell ref="A17:B17"/>
    <mergeCell ref="A13:B13"/>
    <mergeCell ref="R10:X11"/>
    <mergeCell ref="P3:S4"/>
    <mergeCell ref="P5:S6"/>
    <mergeCell ref="T1:AE2"/>
    <mergeCell ref="T3:AE4"/>
    <mergeCell ref="T5:AE6"/>
    <mergeCell ref="C7:AE9"/>
    <mergeCell ref="A1:B2"/>
    <mergeCell ref="A3:B4"/>
    <mergeCell ref="A5:B6"/>
    <mergeCell ref="A7:B9"/>
    <mergeCell ref="A10:B11"/>
    <mergeCell ref="C1:O2"/>
    <mergeCell ref="C5:O6"/>
    <mergeCell ref="C3:O4"/>
    <mergeCell ref="P1:S2"/>
    <mergeCell ref="N13:O13"/>
    <mergeCell ref="P13:Q13"/>
    <mergeCell ref="A12:B12"/>
    <mergeCell ref="H13:K13"/>
    <mergeCell ref="C13:G13"/>
    <mergeCell ref="C14:G14"/>
    <mergeCell ref="C15:G15"/>
    <mergeCell ref="T12:AE12"/>
    <mergeCell ref="C10:G10"/>
    <mergeCell ref="H10:L10"/>
    <mergeCell ref="M10:Q10"/>
    <mergeCell ref="Y10:AE10"/>
    <mergeCell ref="Y11:AE11"/>
    <mergeCell ref="C11:G11"/>
    <mergeCell ref="H11:L11"/>
    <mergeCell ref="M11:Q11"/>
    <mergeCell ref="C12:K12"/>
    <mergeCell ref="L12:S12"/>
    <mergeCell ref="T13:V13"/>
    <mergeCell ref="W13:Y13"/>
    <mergeCell ref="Z13:AB13"/>
    <mergeCell ref="AC13:AE13"/>
    <mergeCell ref="Z14:AB14"/>
    <mergeCell ref="AC14:AE14"/>
    <mergeCell ref="R13:S13"/>
    <mergeCell ref="Z15:AB15"/>
    <mergeCell ref="AC15:AE15"/>
    <mergeCell ref="H17:K17"/>
    <mergeCell ref="T15:Y15"/>
    <mergeCell ref="T16:Y16"/>
    <mergeCell ref="T17:Y17"/>
    <mergeCell ref="T14:Y14"/>
    <mergeCell ref="L16:M16"/>
    <mergeCell ref="N16:O16"/>
    <mergeCell ref="P16:Q16"/>
    <mergeCell ref="R16:S16"/>
    <mergeCell ref="L14:M14"/>
    <mergeCell ref="N14:O14"/>
    <mergeCell ref="P14:Q14"/>
    <mergeCell ref="R14:S14"/>
    <mergeCell ref="L15:M15"/>
    <mergeCell ref="N15:O15"/>
    <mergeCell ref="P15:Q15"/>
    <mergeCell ref="R15:S15"/>
    <mergeCell ref="Z16:AB16"/>
    <mergeCell ref="AC16:AE16"/>
    <mergeCell ref="L13:M13"/>
    <mergeCell ref="O19:V19"/>
    <mergeCell ref="W19:AE19"/>
    <mergeCell ref="O20:Q20"/>
    <mergeCell ref="A19:B20"/>
    <mergeCell ref="C19:H19"/>
    <mergeCell ref="C20:H20"/>
    <mergeCell ref="I19:N19"/>
    <mergeCell ref="I20:N20"/>
    <mergeCell ref="Z17:AB17"/>
    <mergeCell ref="AC17:AE17"/>
    <mergeCell ref="L17:M17"/>
    <mergeCell ref="N17:O17"/>
    <mergeCell ref="P17:Q17"/>
    <mergeCell ref="R17:S17"/>
    <mergeCell ref="A14:B14"/>
    <mergeCell ref="A15:B15"/>
    <mergeCell ref="C16:G16"/>
    <mergeCell ref="C17:G17"/>
    <mergeCell ref="H14:K14"/>
    <mergeCell ref="H15:K15"/>
    <mergeCell ref="H16:K16"/>
    <mergeCell ref="A23:B24"/>
    <mergeCell ref="C24:H24"/>
    <mergeCell ref="I24:N24"/>
    <mergeCell ref="O24:T24"/>
    <mergeCell ref="U24:Z24"/>
    <mergeCell ref="AA24:AE24"/>
    <mergeCell ref="R20:V20"/>
    <mergeCell ref="W20:Y20"/>
    <mergeCell ref="Z20:AE20"/>
    <mergeCell ref="C23:H23"/>
    <mergeCell ref="I23:N23"/>
    <mergeCell ref="O23:T23"/>
    <mergeCell ref="U23:Z23"/>
    <mergeCell ref="AA23:AE23"/>
    <mergeCell ref="AA28:AE28"/>
    <mergeCell ref="A31:B32"/>
    <mergeCell ref="C31:H31"/>
    <mergeCell ref="I31:N31"/>
    <mergeCell ref="O31:T31"/>
    <mergeCell ref="U31:Z31"/>
    <mergeCell ref="AA31:AE31"/>
    <mergeCell ref="C32:H32"/>
    <mergeCell ref="I32:N32"/>
    <mergeCell ref="O32:T32"/>
    <mergeCell ref="A27:B28"/>
    <mergeCell ref="C27:H27"/>
    <mergeCell ref="I27:N27"/>
    <mergeCell ref="O27:T27"/>
    <mergeCell ref="U27:Z27"/>
    <mergeCell ref="AA27:AE27"/>
    <mergeCell ref="C28:H28"/>
    <mergeCell ref="I28:N28"/>
    <mergeCell ref="O28:T28"/>
    <mergeCell ref="U28:Z28"/>
    <mergeCell ref="U32:Z32"/>
    <mergeCell ref="AA32:AE32"/>
    <mergeCell ref="A35:B36"/>
    <mergeCell ref="C35:H35"/>
    <mergeCell ref="I35:N35"/>
    <mergeCell ref="O35:T35"/>
    <mergeCell ref="U35:Z35"/>
    <mergeCell ref="AA35:AE35"/>
    <mergeCell ref="C36:H36"/>
    <mergeCell ref="I36:N36"/>
    <mergeCell ref="I40:N40"/>
    <mergeCell ref="O40:T40"/>
    <mergeCell ref="U40:Z40"/>
    <mergeCell ref="AA40:AE40"/>
    <mergeCell ref="O36:T36"/>
    <mergeCell ref="U36:Z36"/>
    <mergeCell ref="AA36:AE36"/>
    <mergeCell ref="A39:B40"/>
    <mergeCell ref="C39:H39"/>
    <mergeCell ref="C40:H40"/>
    <mergeCell ref="I39:N39"/>
    <mergeCell ref="O39:T39"/>
    <mergeCell ref="U39:Z39"/>
    <mergeCell ref="AA39:AE39"/>
    <mergeCell ref="AA43:AE43"/>
    <mergeCell ref="C44:H44"/>
    <mergeCell ref="I44:N44"/>
    <mergeCell ref="O44:T44"/>
    <mergeCell ref="U44:Z44"/>
    <mergeCell ref="AA44:AE44"/>
    <mergeCell ref="A43:B44"/>
    <mergeCell ref="C43:H43"/>
    <mergeCell ref="I43:N43"/>
    <mergeCell ref="O43:T43"/>
    <mergeCell ref="U43:Z43"/>
    <mergeCell ref="AA48:AE48"/>
    <mergeCell ref="A51:B57"/>
    <mergeCell ref="C51:AE57"/>
    <mergeCell ref="A47:B48"/>
    <mergeCell ref="C47:H47"/>
    <mergeCell ref="I47:N47"/>
    <mergeCell ref="O47:T47"/>
    <mergeCell ref="U47:Z47"/>
    <mergeCell ref="AA47:AE47"/>
    <mergeCell ref="C48:H48"/>
    <mergeCell ref="I48:N48"/>
    <mergeCell ref="O48:T48"/>
    <mergeCell ref="U48:Z48"/>
  </mergeCells>
  <conditionalFormatting sqref="N25">
    <cfRule type="expression" dxfId="7" priority="9">
      <formula>$Z$14&gt;5</formula>
    </cfRule>
  </conditionalFormatting>
  <conditionalFormatting sqref="N29">
    <cfRule type="expression" dxfId="6" priority="8">
      <formula>$Z$15&gt;5</formula>
    </cfRule>
  </conditionalFormatting>
  <conditionalFormatting sqref="N33">
    <cfRule type="expression" dxfId="5" priority="7">
      <formula>$Z$15&gt;5</formula>
    </cfRule>
  </conditionalFormatting>
  <conditionalFormatting sqref="A17:B17">
    <cfRule type="expression" dxfId="4" priority="6">
      <formula>$AR$36="Х1"</formula>
    </cfRule>
  </conditionalFormatting>
  <conditionalFormatting sqref="A14:B17 L13:M13 P13:Q13">
    <cfRule type="expression" dxfId="3" priority="5">
      <formula>OR($AS$36="Х1",$AT$36="Х1")</formula>
    </cfRule>
  </conditionalFormatting>
  <conditionalFormatting sqref="C17:G17">
    <cfRule type="expression" dxfId="2" priority="4">
      <formula>$C$17&gt;=1.001</formula>
    </cfRule>
  </conditionalFormatting>
  <conditionalFormatting sqref="A14:B17 L13:M13 P13:Q13 T13:V13 Z13:AB13">
    <cfRule type="expression" dxfId="1" priority="2">
      <formula>OR($AR$20="X1",$AS$20="X1",$AT$20="X1")</formula>
    </cfRule>
  </conditionalFormatting>
  <conditionalFormatting sqref="A14:B17 L13:M13 P13:Q13 T13:V13 Z13:AB13 C23:H23 C27:H27 C31:H31">
    <cfRule type="expression" dxfId="0" priority="1">
      <formula>$AT$20="X1"</formula>
    </cfRule>
  </conditionalFormatting>
  <dataValidations disablePrompts="1" count="19">
    <dataValidation type="list" allowBlank="1" showInputMessage="1" showErrorMessage="1" sqref="W20 C20:H20 O20">
      <formula1>$AJ$19:$AJ$20</formula1>
    </dataValidation>
    <dataValidation type="list" allowBlank="1" showInputMessage="1" showErrorMessage="1" sqref="Z20:AE20">
      <formula1>$AM$19:$AM$21</formula1>
    </dataValidation>
    <dataValidation type="list" allowBlank="1" showInputMessage="1" showErrorMessage="1" sqref="R20:V20">
      <formula1>$AL$19:$AL$21</formula1>
    </dataValidation>
    <dataValidation type="list" allowBlank="1" showInputMessage="1" showErrorMessage="1" sqref="C24:H24 C32:H32 C28:H28">
      <formula1>$AJ$23:$AJ$24</formula1>
    </dataValidation>
    <dataValidation type="list" allowBlank="1" showInputMessage="1" showErrorMessage="1" sqref="I24:N24 I32:N32 I28:N28">
      <formula1>$AK$23:$AK$25</formula1>
    </dataValidation>
    <dataValidation type="list" allowBlank="1" showInputMessage="1" showErrorMessage="1" sqref="O24:T24 O32:T32 O28:T28">
      <formula1>$AL$23:$AL$25</formula1>
    </dataValidation>
    <dataValidation type="list" allowBlank="1" showInputMessage="1" showErrorMessage="1" sqref="U24:Z24 U32:Z32 U28:Z28 U36:Z36">
      <formula1>$AM$23:$AM$25</formula1>
    </dataValidation>
    <dataValidation type="list" allowBlank="1" showInputMessage="1" showErrorMessage="1" sqref="AA36:AE36 AA32:AE32 AA28:AE28">
      <formula1>$AN$23:$AN$24</formula1>
    </dataValidation>
    <dataValidation type="list" allowBlank="1" showInputMessage="1" showErrorMessage="1" sqref="C36:H36">
      <formula1>$AJ$35:$AJ$37</formula1>
    </dataValidation>
    <dataValidation type="list" allowBlank="1" showInputMessage="1" showErrorMessage="1" sqref="C40:N40 C44:N44 C48:N48">
      <formula1>$AJ$39:$AJ$41</formula1>
    </dataValidation>
    <dataValidation type="list" allowBlank="1" showInputMessage="1" showErrorMessage="1" sqref="O40:T40 O44:T44 O48:T48">
      <formula1>$AK$39:$AK$41</formula1>
    </dataValidation>
    <dataValidation type="list" allowBlank="1" showInputMessage="1" showErrorMessage="1" sqref="U40:Z40 U44:Z44 U48:Z48">
      <formula1>$AL$39:$AL$40</formula1>
    </dataValidation>
    <dataValidation type="list" allowBlank="1" showInputMessage="1" showErrorMessage="1" sqref="AA40:AE40 AA44:AE44 AA48:AE48">
      <formula1>$AM$39:$AM$41</formula1>
    </dataValidation>
    <dataValidation type="list" allowBlank="1" showInputMessage="1" showErrorMessage="1" sqref="O36:T36">
      <formula1>$AL$35:$AL$38</formula1>
    </dataValidation>
    <dataValidation type="list" allowBlank="1" showInputMessage="1" showErrorMessage="1" sqref="AA24:AE24">
      <formula1>$AN$22:$AN$23</formula1>
    </dataValidation>
    <dataValidation type="list" allowBlank="1" showInputMessage="1" showErrorMessage="1" sqref="A14:B16">
      <formula1>$AJ$14:$AJ$16</formula1>
    </dataValidation>
    <dataValidation type="list" allowBlank="1" showInputMessage="1" showErrorMessage="1" sqref="I36:N36">
      <formula1>$AK$35:$AK$36</formula1>
    </dataValidation>
    <dataValidation type="list" allowBlank="1" showInputMessage="1" showErrorMessage="1" sqref="I20:N20">
      <formula1>$AJ$19:$AJ$21</formula1>
    </dataValidation>
    <dataValidation type="list" allowBlank="1" showInputMessage="1" showErrorMessage="1" sqref="N13:O13">
      <formula1>$AQ$13:$AU$13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88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3553" r:id="rId4" name="Флажок 2">
              <controlPr defaultSize="0" autoFill="0" autoLine="0" autoPict="0" altText="Наличие колон, выступов">
                <anchor moveWithCells="1">
                  <from>
                    <xdr:col>17</xdr:col>
                    <xdr:colOff>28575</xdr:colOff>
                    <xdr:row>9</xdr:row>
                    <xdr:rowOff>152400</xdr:rowOff>
                  </from>
                  <to>
                    <xdr:col>23</xdr:col>
                    <xdr:colOff>142875</xdr:colOff>
                    <xdr:row>10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4" r:id="rId5" name="Флажок 2">
              <controlPr defaultSize="0" autoFill="0" autoLine="0" autoPict="0" altText="Наличие колон, выступов">
                <anchor moveWithCells="1">
                  <from>
                    <xdr:col>1</xdr:col>
                    <xdr:colOff>123825</xdr:colOff>
                    <xdr:row>18</xdr:row>
                    <xdr:rowOff>9525</xdr:rowOff>
                  </from>
                  <to>
                    <xdr:col>2</xdr:col>
                    <xdr:colOff>0</xdr:colOff>
                    <xdr:row>19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8" r:id="rId6" name="Check Box 6">
              <controlPr defaultSize="0" autoFill="0" autoLine="0" autoPict="0" altText="Наличие колон, выступов">
                <anchor moveWithCells="1">
                  <from>
                    <xdr:col>1</xdr:col>
                    <xdr:colOff>114300</xdr:colOff>
                    <xdr:row>22</xdr:row>
                    <xdr:rowOff>19050</xdr:rowOff>
                  </from>
                  <to>
                    <xdr:col>1</xdr:col>
                    <xdr:colOff>304800</xdr:colOff>
                    <xdr:row>23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60" r:id="rId7" name="Check Box 8">
              <controlPr defaultSize="0" autoFill="0" autoLine="0" autoPict="0" altText="Наличие колон, выступов">
                <anchor moveWithCells="1">
                  <from>
                    <xdr:col>1</xdr:col>
                    <xdr:colOff>114300</xdr:colOff>
                    <xdr:row>26</xdr:row>
                    <xdr:rowOff>19050</xdr:rowOff>
                  </from>
                  <to>
                    <xdr:col>1</xdr:col>
                    <xdr:colOff>304800</xdr:colOff>
                    <xdr:row>27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61" r:id="rId8" name="Check Box 9">
              <controlPr defaultSize="0" autoFill="0" autoLine="0" autoPict="0" altText="Наличие колон, выступов">
                <anchor moveWithCells="1">
                  <from>
                    <xdr:col>1</xdr:col>
                    <xdr:colOff>114300</xdr:colOff>
                    <xdr:row>30</xdr:row>
                    <xdr:rowOff>19050</xdr:rowOff>
                  </from>
                  <to>
                    <xdr:col>1</xdr:col>
                    <xdr:colOff>304800</xdr:colOff>
                    <xdr:row>31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62" r:id="rId9" name="Check Box 10">
              <controlPr defaultSize="0" autoFill="0" autoLine="0" autoPict="0" altText="Наличие колон, выступов">
                <anchor moveWithCells="1">
                  <from>
                    <xdr:col>1</xdr:col>
                    <xdr:colOff>114300</xdr:colOff>
                    <xdr:row>26</xdr:row>
                    <xdr:rowOff>19050</xdr:rowOff>
                  </from>
                  <to>
                    <xdr:col>1</xdr:col>
                    <xdr:colOff>304800</xdr:colOff>
                    <xdr:row>27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63" r:id="rId10" name="Check Box 11">
              <controlPr defaultSize="0" autoFill="0" autoLine="0" autoPict="0" altText="Наличие колон, выступов">
                <anchor moveWithCells="1">
                  <from>
                    <xdr:col>1</xdr:col>
                    <xdr:colOff>114300</xdr:colOff>
                    <xdr:row>30</xdr:row>
                    <xdr:rowOff>19050</xdr:rowOff>
                  </from>
                  <to>
                    <xdr:col>1</xdr:col>
                    <xdr:colOff>304800</xdr:colOff>
                    <xdr:row>31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64" r:id="rId11" name="Check Box 12">
              <controlPr defaultSize="0" autoFill="0" autoLine="0" autoPict="0" altText="Наличие колон, выступов">
                <anchor moveWithCells="1">
                  <from>
                    <xdr:col>1</xdr:col>
                    <xdr:colOff>104775</xdr:colOff>
                    <xdr:row>34</xdr:row>
                    <xdr:rowOff>19050</xdr:rowOff>
                  </from>
                  <to>
                    <xdr:col>1</xdr:col>
                    <xdr:colOff>295275</xdr:colOff>
                    <xdr:row>35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13</vt:i4>
      </vt:variant>
      <vt:variant>
        <vt:lpstr>Именованные диапазоны</vt:lpstr>
      </vt:variant>
      <vt:variant>
        <vt:i4>4</vt:i4>
      </vt:variant>
    </vt:vector>
  </HeadingPairs>
  <TitlesOfParts>
    <vt:vector size="17" baseType="lpstr">
      <vt:lpstr>Лист1</vt:lpstr>
      <vt:lpstr>Лист2</vt:lpstr>
      <vt:lpstr>БОВ (1)</vt:lpstr>
      <vt:lpstr>БОВ (2)</vt:lpstr>
      <vt:lpstr>БОВ (3)</vt:lpstr>
      <vt:lpstr>Лист3</vt:lpstr>
      <vt:lpstr>БГ</vt:lpstr>
      <vt:lpstr>БГ-С</vt:lpstr>
      <vt:lpstr>БВ</vt:lpstr>
      <vt:lpstr>ОЛ</vt:lpstr>
      <vt:lpstr>ОЛ (2)</vt:lpstr>
      <vt:lpstr>ОЛ (3)</vt:lpstr>
      <vt:lpstr>ОЛ(4)</vt:lpstr>
      <vt:lpstr>ОЛ!Область_печати</vt:lpstr>
      <vt:lpstr>'ОЛ (2)'!Область_печати</vt:lpstr>
      <vt:lpstr>'ОЛ (3)'!Область_печати</vt:lpstr>
      <vt:lpstr>'ОЛ(4)'!Область_печати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2018-03-20T11:22:06Z</dcterms:modified>
</cp:coreProperties>
</file>