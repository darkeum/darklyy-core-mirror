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Серверное хранилище\Обмен\Иван\Андрей\"/>
    </mc:Choice>
  </mc:AlternateContent>
  <xr:revisionPtr revIDLastSave="0" documentId="12_ncr:500000_{CFA832F4-ECB6-431A-A021-3E3E396500FD}" xr6:coauthVersionLast="31" xr6:coauthVersionMax="31" xr10:uidLastSave="{00000000-0000-0000-0000-000000000000}"/>
  <bookViews>
    <workbookView xWindow="0" yWindow="0" windowWidth="16380" windowHeight="8190" tabRatio="500" firstSheet="3" activeTab="9" xr2:uid="{00000000-000D-0000-FFFF-FFFF00000000}"/>
  </bookViews>
  <sheets>
    <sheet name="Лист1" sheetId="1" state="hidden" r:id="rId1"/>
    <sheet name="Лист2" sheetId="2" state="hidden" r:id="rId2"/>
    <sheet name="Лист3" sheetId="6" state="hidden" r:id="rId3"/>
    <sheet name="БОВ (3)" sheetId="5" r:id="rId4"/>
    <sheet name="БГ" sheetId="7" r:id="rId5"/>
    <sheet name="БГ-С" sheetId="8" r:id="rId6"/>
    <sheet name="БОВ (2)" sheetId="4" r:id="rId7"/>
    <sheet name="БОВ (1)" sheetId="3" r:id="rId8"/>
    <sheet name="БВ" sheetId="9" r:id="rId9"/>
    <sheet name="ol4" sheetId="13" r:id="rId10"/>
  </sheets>
  <definedNames>
    <definedName name="_xlnm.Print_Area" localSheetId="9">'ol4'!$A$1:$AE$66</definedName>
  </definedNames>
  <calcPr calcId="162913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E4" i="13" l="1"/>
  <c r="BK8" i="13"/>
  <c r="F4" i="9"/>
  <c r="BE305" i="13"/>
  <c r="BD305" i="13"/>
  <c r="BA58" i="13"/>
  <c r="BA175" i="13"/>
  <c r="BA213" i="13"/>
  <c r="BA263" i="13"/>
  <c r="BA314" i="13"/>
  <c r="BA313" i="13"/>
  <c r="BA311" i="13"/>
  <c r="BA312" i="13"/>
  <c r="BA310" i="13"/>
  <c r="BA307" i="13"/>
  <c r="BA306" i="13"/>
  <c r="BA305" i="13"/>
  <c r="BA304" i="13"/>
  <c r="BA303" i="13"/>
  <c r="BA302" i="13"/>
  <c r="BA301" i="13"/>
  <c r="BA300" i="13"/>
  <c r="BE257" i="13"/>
  <c r="BD257" i="13"/>
  <c r="BD207" i="13"/>
  <c r="EV205" i="13" s="1"/>
  <c r="BA266" i="13"/>
  <c r="BA265" i="13"/>
  <c r="BA264" i="13"/>
  <c r="BA262" i="13"/>
  <c r="BA258" i="13"/>
  <c r="BA257" i="13"/>
  <c r="BA256" i="13"/>
  <c r="BA255" i="13"/>
  <c r="BA254" i="13"/>
  <c r="BA253" i="13"/>
  <c r="BA252" i="13"/>
  <c r="BA60" i="13"/>
  <c r="BA59" i="13"/>
  <c r="BA57" i="13"/>
  <c r="BA53" i="13"/>
  <c r="BA52" i="13"/>
  <c r="BA51" i="13"/>
  <c r="BA50" i="13" s="1"/>
  <c r="BP165" i="13"/>
  <c r="BP166" i="13"/>
  <c r="BP167" i="13"/>
  <c r="BM167" i="13" s="1"/>
  <c r="BQ167" i="13" s="1"/>
  <c r="BP168" i="13"/>
  <c r="BP169" i="13"/>
  <c r="BP170" i="13"/>
  <c r="BP171" i="13"/>
  <c r="BM171" i="13" s="1"/>
  <c r="BQ171" i="13" s="1"/>
  <c r="BP172" i="13"/>
  <c r="BP173" i="13"/>
  <c r="BP174" i="13"/>
  <c r="BP175" i="13"/>
  <c r="BP176" i="13"/>
  <c r="BP177" i="13"/>
  <c r="BP164" i="13"/>
  <c r="BO165" i="13"/>
  <c r="BO166" i="13"/>
  <c r="BO167" i="13"/>
  <c r="BO168" i="13"/>
  <c r="BO169" i="13"/>
  <c r="BO170" i="13"/>
  <c r="BO171" i="13"/>
  <c r="BO172" i="13"/>
  <c r="BO173" i="13"/>
  <c r="BO174" i="13"/>
  <c r="BO175" i="13"/>
  <c r="BO176" i="13"/>
  <c r="BO177" i="13"/>
  <c r="BO164" i="13"/>
  <c r="BK165" i="13"/>
  <c r="BK166" i="13"/>
  <c r="BK167" i="13"/>
  <c r="BK168" i="13"/>
  <c r="BH168" i="13" s="1"/>
  <c r="BK169" i="13"/>
  <c r="BK170" i="13"/>
  <c r="BK171" i="13"/>
  <c r="BK172" i="13"/>
  <c r="BK173" i="13"/>
  <c r="BK174" i="13"/>
  <c r="BK175" i="13"/>
  <c r="BK176" i="13"/>
  <c r="BH176" i="13" s="1"/>
  <c r="BK177" i="13"/>
  <c r="BK164" i="13"/>
  <c r="BJ165" i="13"/>
  <c r="BJ166" i="13"/>
  <c r="BJ167" i="13"/>
  <c r="BJ168" i="13"/>
  <c r="BJ169" i="13"/>
  <c r="BJ170" i="13"/>
  <c r="BJ171" i="13"/>
  <c r="BJ172" i="13"/>
  <c r="BJ173" i="13"/>
  <c r="BJ174" i="13"/>
  <c r="BJ175" i="13"/>
  <c r="BJ176" i="13"/>
  <c r="BJ177" i="13"/>
  <c r="BJ164" i="13"/>
  <c r="K4" i="7"/>
  <c r="BA177" i="13"/>
  <c r="BA176" i="13"/>
  <c r="BA174" i="13"/>
  <c r="BA171" i="13"/>
  <c r="BA170" i="13"/>
  <c r="BA169" i="13"/>
  <c r="BA168" i="13"/>
  <c r="BA167" i="13"/>
  <c r="BA164" i="13"/>
  <c r="FH203" i="13"/>
  <c r="FH202" i="13"/>
  <c r="FD203" i="13"/>
  <c r="FD204" i="13"/>
  <c r="FD202" i="13"/>
  <c r="EZ203" i="13"/>
  <c r="EZ204" i="13"/>
  <c r="EZ205" i="13"/>
  <c r="EZ206" i="13"/>
  <c r="EZ207" i="13"/>
  <c r="EZ202" i="13"/>
  <c r="EV203" i="13"/>
  <c r="EV204" i="13"/>
  <c r="EV207" i="13"/>
  <c r="EV208" i="13"/>
  <c r="EQ204" i="13"/>
  <c r="EQ205" i="13"/>
  <c r="EQ203" i="13"/>
  <c r="EC203" i="13"/>
  <c r="EC204" i="13"/>
  <c r="EC205" i="13"/>
  <c r="EC206" i="13"/>
  <c r="EC207" i="13"/>
  <c r="EC208" i="13"/>
  <c r="EC209" i="13"/>
  <c r="EC210" i="13"/>
  <c r="EC211" i="13"/>
  <c r="EC212" i="13"/>
  <c r="EC213" i="13"/>
  <c r="EC202" i="13"/>
  <c r="CD4" i="5"/>
  <c r="DY203" i="13"/>
  <c r="DY204" i="13"/>
  <c r="DY202" i="13"/>
  <c r="BZ4" i="5"/>
  <c r="DT203" i="13"/>
  <c r="DT204" i="13"/>
  <c r="DT205" i="13"/>
  <c r="DT206" i="13"/>
  <c r="DT207" i="13"/>
  <c r="DT208" i="13"/>
  <c r="DT209" i="13"/>
  <c r="DT210" i="13"/>
  <c r="DT211" i="13"/>
  <c r="DT212" i="13"/>
  <c r="DT213" i="13"/>
  <c r="DT214" i="13"/>
  <c r="DT215" i="13"/>
  <c r="DT216" i="13"/>
  <c r="DT217" i="13"/>
  <c r="DT218" i="13"/>
  <c r="DT219" i="13"/>
  <c r="DT220" i="13"/>
  <c r="DT221" i="13"/>
  <c r="DT222" i="13"/>
  <c r="DT223" i="13"/>
  <c r="DT224" i="13"/>
  <c r="DT202" i="13"/>
  <c r="BU5" i="5"/>
  <c r="DP203" i="13"/>
  <c r="DP204" i="13"/>
  <c r="DP205" i="13"/>
  <c r="DP206" i="13"/>
  <c r="DP207" i="13"/>
  <c r="DP208" i="13"/>
  <c r="DP209" i="13"/>
  <c r="DP210" i="13"/>
  <c r="DP211" i="13"/>
  <c r="DP212" i="13"/>
  <c r="DP213" i="13"/>
  <c r="DP202" i="13"/>
  <c r="BQ4" i="5"/>
  <c r="DJ203" i="13"/>
  <c r="DJ204" i="13"/>
  <c r="DJ205" i="13"/>
  <c r="DJ206" i="13"/>
  <c r="DJ207" i="13"/>
  <c r="DJ208" i="13"/>
  <c r="DJ209" i="13"/>
  <c r="DJ210" i="13"/>
  <c r="DJ211" i="13"/>
  <c r="DJ202" i="13"/>
  <c r="DH203" i="13"/>
  <c r="DH204" i="13"/>
  <c r="DH205" i="13"/>
  <c r="DH206" i="13"/>
  <c r="DH207" i="13"/>
  <c r="DH208" i="13"/>
  <c r="DH209" i="13"/>
  <c r="DH210" i="13"/>
  <c r="DH211" i="13"/>
  <c r="DH202" i="13"/>
  <c r="DE203" i="13"/>
  <c r="DE204" i="13"/>
  <c r="DE205" i="13"/>
  <c r="DE206" i="13"/>
  <c r="DE207" i="13"/>
  <c r="DE208" i="13"/>
  <c r="DE202" i="13"/>
  <c r="DC203" i="13"/>
  <c r="DC204" i="13"/>
  <c r="DC205" i="13"/>
  <c r="DC206" i="13"/>
  <c r="DC207" i="13"/>
  <c r="DC208" i="13"/>
  <c r="DC202" i="13"/>
  <c r="CZ203" i="13"/>
  <c r="CZ204" i="13"/>
  <c r="CZ205" i="13"/>
  <c r="CZ206" i="13"/>
  <c r="CZ207" i="13"/>
  <c r="CZ208" i="13"/>
  <c r="CZ209" i="13"/>
  <c r="CZ202" i="13"/>
  <c r="CS203" i="13"/>
  <c r="CS204" i="13"/>
  <c r="CS205" i="13"/>
  <c r="CS206" i="13"/>
  <c r="CS207" i="13"/>
  <c r="CS208" i="13"/>
  <c r="CS209" i="13"/>
  <c r="CS202" i="13"/>
  <c r="CU203" i="13"/>
  <c r="CU204" i="13"/>
  <c r="CU205" i="13"/>
  <c r="CU206" i="13"/>
  <c r="CU207" i="13"/>
  <c r="CU208" i="13"/>
  <c r="CU209" i="13"/>
  <c r="CU202" i="13"/>
  <c r="CX203" i="13"/>
  <c r="CX204" i="13"/>
  <c r="CX205" i="13"/>
  <c r="CX206" i="13"/>
  <c r="CX207" i="13"/>
  <c r="CX208" i="13"/>
  <c r="CX209" i="13"/>
  <c r="CX202" i="13"/>
  <c r="CN203" i="13"/>
  <c r="CN204" i="13"/>
  <c r="CN205" i="13"/>
  <c r="CN206" i="13"/>
  <c r="CN207" i="13"/>
  <c r="CN208" i="13"/>
  <c r="CN209" i="13"/>
  <c r="CN210" i="13"/>
  <c r="CN211" i="13"/>
  <c r="CN202" i="13"/>
  <c r="CL203" i="13"/>
  <c r="CL204" i="13"/>
  <c r="CL205" i="13"/>
  <c r="CL206" i="13"/>
  <c r="CL207" i="13"/>
  <c r="CL208" i="13"/>
  <c r="CL209" i="13"/>
  <c r="CL210" i="13"/>
  <c r="CL211" i="13"/>
  <c r="CL202" i="13"/>
  <c r="CJ203" i="13"/>
  <c r="CJ204" i="13"/>
  <c r="CJ205" i="13"/>
  <c r="CJ206" i="13"/>
  <c r="CJ207" i="13"/>
  <c r="CJ208" i="13"/>
  <c r="CJ209" i="13"/>
  <c r="CJ210" i="13"/>
  <c r="CJ211" i="13"/>
  <c r="CJ202" i="13"/>
  <c r="AK7" i="5"/>
  <c r="BT203" i="13"/>
  <c r="BT204" i="13"/>
  <c r="BT205" i="13"/>
  <c r="BT206" i="13"/>
  <c r="BQ206" i="13" s="1"/>
  <c r="BT207" i="13"/>
  <c r="BT208" i="13"/>
  <c r="BT209" i="13"/>
  <c r="BT210" i="13"/>
  <c r="BT211" i="13"/>
  <c r="BT212" i="13"/>
  <c r="BT213" i="13"/>
  <c r="BT214" i="13"/>
  <c r="BT215" i="13"/>
  <c r="BT202" i="13"/>
  <c r="U4" i="5"/>
  <c r="BS203" i="13"/>
  <c r="BS204" i="13"/>
  <c r="BS205" i="13"/>
  <c r="BS206" i="13"/>
  <c r="BS207" i="13"/>
  <c r="BS208" i="13"/>
  <c r="BS209" i="13"/>
  <c r="BS210" i="13"/>
  <c r="BS211" i="13"/>
  <c r="BS212" i="13"/>
  <c r="BS213" i="13"/>
  <c r="BS214" i="13"/>
  <c r="BS215" i="13"/>
  <c r="T5" i="5"/>
  <c r="T6" i="5"/>
  <c r="T7" i="5"/>
  <c r="T8" i="5"/>
  <c r="T9" i="5"/>
  <c r="T10" i="5"/>
  <c r="T11" i="5"/>
  <c r="T12" i="5"/>
  <c r="T13" i="5"/>
  <c r="T14" i="5"/>
  <c r="T15" i="5"/>
  <c r="T16" i="5"/>
  <c r="T17" i="5"/>
  <c r="BS202" i="13"/>
  <c r="BQ202" i="13" s="1"/>
  <c r="T4" i="5"/>
  <c r="BP203" i="13"/>
  <c r="BP204" i="13"/>
  <c r="BP205" i="13"/>
  <c r="BP206" i="13"/>
  <c r="BP207" i="13"/>
  <c r="BP208" i="13"/>
  <c r="BP209" i="13"/>
  <c r="BP210" i="13"/>
  <c r="BP211" i="13"/>
  <c r="BP212" i="13"/>
  <c r="BP213" i="13"/>
  <c r="BP214" i="13"/>
  <c r="BP215" i="13"/>
  <c r="BO203" i="13"/>
  <c r="BO204" i="13"/>
  <c r="BO205" i="13"/>
  <c r="BO206" i="13"/>
  <c r="BO207" i="13"/>
  <c r="BO208" i="13"/>
  <c r="BO209" i="13"/>
  <c r="BO210" i="13"/>
  <c r="BO211" i="13"/>
  <c r="BO212" i="13"/>
  <c r="BO213" i="13"/>
  <c r="BO214" i="13"/>
  <c r="BO215" i="13"/>
  <c r="BO202" i="13"/>
  <c r="BP202" i="13"/>
  <c r="K4" i="5"/>
  <c r="L4" i="5" s="1"/>
  <c r="BK203" i="13"/>
  <c r="BK204" i="13"/>
  <c r="BK205" i="13"/>
  <c r="BK206" i="13"/>
  <c r="BH206" i="13" s="1"/>
  <c r="BK207" i="13"/>
  <c r="BK208" i="13"/>
  <c r="BK209" i="13"/>
  <c r="BK210" i="13"/>
  <c r="BK211" i="13"/>
  <c r="BK212" i="13"/>
  <c r="BK213" i="13"/>
  <c r="BK214" i="13"/>
  <c r="BK215" i="13"/>
  <c r="BK202" i="13"/>
  <c r="BJ203" i="13"/>
  <c r="BJ204" i="13"/>
  <c r="BJ205" i="13"/>
  <c r="BJ206" i="13"/>
  <c r="BJ207" i="13"/>
  <c r="BJ208" i="13"/>
  <c r="BJ209" i="13"/>
  <c r="BJ210" i="13"/>
  <c r="BJ211" i="13"/>
  <c r="BJ212" i="13"/>
  <c r="BJ213" i="13"/>
  <c r="BJ214" i="13"/>
  <c r="BJ215" i="13"/>
  <c r="BJ202" i="13"/>
  <c r="BE207" i="13"/>
  <c r="F9" i="5"/>
  <c r="BA216" i="13"/>
  <c r="BA215" i="13"/>
  <c r="BA214" i="13"/>
  <c r="BA212" i="13"/>
  <c r="BA209" i="13"/>
  <c r="BA208" i="13"/>
  <c r="BA207" i="13"/>
  <c r="BA206" i="13"/>
  <c r="BA205" i="13"/>
  <c r="BA204" i="13"/>
  <c r="BA202" i="13"/>
  <c r="BA203" i="13"/>
  <c r="BA47" i="13"/>
  <c r="B4" i="8"/>
  <c r="BJ5" i="13"/>
  <c r="BJ6" i="13"/>
  <c r="BJ7" i="13"/>
  <c r="BJ8" i="13"/>
  <c r="BJ9" i="13"/>
  <c r="BJ10" i="13"/>
  <c r="BJ11" i="13"/>
  <c r="BJ12" i="13"/>
  <c r="BJ13" i="13"/>
  <c r="BJ14" i="13"/>
  <c r="BJ15" i="13"/>
  <c r="BJ16" i="13"/>
  <c r="BJ17" i="13"/>
  <c r="BJ4" i="13"/>
  <c r="BA13" i="13"/>
  <c r="BA12" i="13"/>
  <c r="B12" i="9"/>
  <c r="DT322" i="13"/>
  <c r="DT321" i="13"/>
  <c r="DT320" i="13"/>
  <c r="DT319" i="13"/>
  <c r="DT318" i="13"/>
  <c r="CB318" i="13"/>
  <c r="DT317" i="13"/>
  <c r="CB317" i="13"/>
  <c r="BY317" i="13"/>
  <c r="DT316" i="13"/>
  <c r="CB316" i="13"/>
  <c r="BY316" i="13"/>
  <c r="DT315" i="13"/>
  <c r="CB315" i="13"/>
  <c r="BY315" i="13"/>
  <c r="DT314" i="13"/>
  <c r="CB314" i="13"/>
  <c r="BY314" i="13"/>
  <c r="DT313" i="13"/>
  <c r="CB313" i="13"/>
  <c r="BY313" i="13"/>
  <c r="BS313" i="13"/>
  <c r="BT313" i="13" s="1"/>
  <c r="BQ313" i="13" s="1"/>
  <c r="BO313" i="13"/>
  <c r="BP313" i="13" s="1"/>
  <c r="BM313" i="13" s="1"/>
  <c r="BJ313" i="13"/>
  <c r="BK313" i="13" s="1"/>
  <c r="BH313" i="13" s="1"/>
  <c r="DT312" i="13"/>
  <c r="CE312" i="13"/>
  <c r="CB312" i="13"/>
  <c r="BY312" i="13"/>
  <c r="BS312" i="13"/>
  <c r="BT312" i="13" s="1"/>
  <c r="BQ312" i="13" s="1"/>
  <c r="BO312" i="13"/>
  <c r="BP312" i="13" s="1"/>
  <c r="BM312" i="13" s="1"/>
  <c r="BK312" i="13"/>
  <c r="BH312" i="13" s="1"/>
  <c r="BJ312" i="13"/>
  <c r="EC311" i="13"/>
  <c r="DT311" i="13"/>
  <c r="DP311" i="13"/>
  <c r="CE311" i="13"/>
  <c r="CB311" i="13"/>
  <c r="BY311" i="13"/>
  <c r="BS311" i="13"/>
  <c r="BT311" i="13" s="1"/>
  <c r="BQ311" i="13" s="1"/>
  <c r="BO311" i="13"/>
  <c r="BP311" i="13" s="1"/>
  <c r="BM311" i="13" s="1"/>
  <c r="BJ311" i="13"/>
  <c r="BK311" i="13" s="1"/>
  <c r="BH311" i="13" s="1"/>
  <c r="BD310" i="13"/>
  <c r="EQ300" i="13" s="1"/>
  <c r="EM310" i="13"/>
  <c r="EJ310" i="13"/>
  <c r="EG310" i="13"/>
  <c r="EC310" i="13"/>
  <c r="DT310" i="13"/>
  <c r="DP310" i="13"/>
  <c r="CE310" i="13"/>
  <c r="CB310" i="13"/>
  <c r="BY310" i="13"/>
  <c r="BS310" i="13"/>
  <c r="BT310" i="13" s="1"/>
  <c r="BQ310" i="13" s="1"/>
  <c r="BO310" i="13"/>
  <c r="BP310" i="13" s="1"/>
  <c r="BM310" i="13" s="1"/>
  <c r="BK310" i="13"/>
  <c r="BH310" i="13" s="1"/>
  <c r="BJ310" i="13"/>
  <c r="BE303" i="13"/>
  <c r="EM309" i="13"/>
  <c r="EJ309" i="13"/>
  <c r="EG309" i="13"/>
  <c r="EC309" i="13"/>
  <c r="DT309" i="13"/>
  <c r="DP309" i="13"/>
  <c r="DJ309" i="13"/>
  <c r="DH309" i="13"/>
  <c r="CN309" i="13"/>
  <c r="CL309" i="13"/>
  <c r="CJ309" i="13"/>
  <c r="CE309" i="13"/>
  <c r="CB309" i="13"/>
  <c r="BY309" i="13"/>
  <c r="BS309" i="13"/>
  <c r="BT309" i="13" s="1"/>
  <c r="BQ309" i="13" s="1"/>
  <c r="BO309" i="13"/>
  <c r="BP309" i="13" s="1"/>
  <c r="BM309" i="13" s="1"/>
  <c r="BJ309" i="13"/>
  <c r="BK309" i="13" s="1"/>
  <c r="BH309" i="13" s="1"/>
  <c r="EG308" i="13"/>
  <c r="EC308" i="13"/>
  <c r="DT308" i="13"/>
  <c r="DP308" i="13"/>
  <c r="DJ308" i="13"/>
  <c r="DH308" i="13"/>
  <c r="CN308" i="13"/>
  <c r="CL308" i="13"/>
  <c r="CJ308" i="13"/>
  <c r="CE308" i="13"/>
  <c r="CB308" i="13"/>
  <c r="BY308" i="13"/>
  <c r="BS308" i="13"/>
  <c r="BT308" i="13" s="1"/>
  <c r="BQ308" i="13" s="1"/>
  <c r="BP308" i="13"/>
  <c r="BM308" i="13" s="1"/>
  <c r="BO308" i="13"/>
  <c r="BJ308" i="13"/>
  <c r="BK308" i="13" s="1"/>
  <c r="BH308" i="13" s="1"/>
  <c r="EG307" i="13"/>
  <c r="EC307" i="13"/>
  <c r="DT307" i="13"/>
  <c r="DP307" i="13"/>
  <c r="DJ307" i="13"/>
  <c r="DH307" i="13"/>
  <c r="CZ307" i="13"/>
  <c r="CX307" i="13"/>
  <c r="CU307" i="13"/>
  <c r="CS307" i="13"/>
  <c r="CN307" i="13"/>
  <c r="CL307" i="13"/>
  <c r="CJ307" i="13"/>
  <c r="CE307" i="13"/>
  <c r="CB307" i="13"/>
  <c r="BY307" i="13"/>
  <c r="BT307" i="13"/>
  <c r="BQ307" i="13" s="1"/>
  <c r="BS307" i="13"/>
  <c r="BO307" i="13"/>
  <c r="BP307" i="13" s="1"/>
  <c r="BM307" i="13" s="1"/>
  <c r="BK307" i="13"/>
  <c r="BJ307" i="13"/>
  <c r="BH307" i="13"/>
  <c r="EV306" i="13"/>
  <c r="EM306" i="13"/>
  <c r="EJ306" i="13"/>
  <c r="EG306" i="13"/>
  <c r="EC306" i="13"/>
  <c r="DT306" i="13"/>
  <c r="DP306" i="13"/>
  <c r="DJ306" i="13"/>
  <c r="DH306" i="13"/>
  <c r="DE306" i="13"/>
  <c r="DC306" i="13"/>
  <c r="CZ306" i="13"/>
  <c r="CX306" i="13"/>
  <c r="CU306" i="13"/>
  <c r="CS306" i="13"/>
  <c r="CN306" i="13"/>
  <c r="CL306" i="13"/>
  <c r="CJ306" i="13"/>
  <c r="CE306" i="13"/>
  <c r="CB306" i="13"/>
  <c r="BY306" i="13"/>
  <c r="BT306" i="13"/>
  <c r="BQ306" i="13" s="1"/>
  <c r="BS306" i="13"/>
  <c r="BO306" i="13"/>
  <c r="BP306" i="13" s="1"/>
  <c r="BM306" i="13" s="1"/>
  <c r="BK306" i="13"/>
  <c r="BJ306" i="13"/>
  <c r="BH306" i="13"/>
  <c r="EZ305" i="13"/>
  <c r="EV305" i="13"/>
  <c r="EM305" i="13"/>
  <c r="EJ305" i="13"/>
  <c r="EG305" i="13"/>
  <c r="EC305" i="13"/>
  <c r="DT305" i="13"/>
  <c r="DP305" i="13"/>
  <c r="DJ305" i="13"/>
  <c r="DH305" i="13"/>
  <c r="DE305" i="13"/>
  <c r="DC305" i="13"/>
  <c r="CZ305" i="13"/>
  <c r="CX305" i="13"/>
  <c r="CU305" i="13"/>
  <c r="CS305" i="13"/>
  <c r="CN305" i="13"/>
  <c r="CL305" i="13"/>
  <c r="CJ305" i="13"/>
  <c r="CE305" i="13"/>
  <c r="CB305" i="13"/>
  <c r="BY305" i="13"/>
  <c r="BT305" i="13"/>
  <c r="BQ305" i="13" s="1"/>
  <c r="BS305" i="13"/>
  <c r="BO305" i="13"/>
  <c r="BP305" i="13" s="1"/>
  <c r="BM305" i="13" s="1"/>
  <c r="BK305" i="13"/>
  <c r="BJ305" i="13"/>
  <c r="BH305" i="13"/>
  <c r="EZ304" i="13"/>
  <c r="EV304" i="13"/>
  <c r="EM304" i="13"/>
  <c r="EJ304" i="13"/>
  <c r="EG304" i="13"/>
  <c r="EC304" i="13"/>
  <c r="DT304" i="13"/>
  <c r="DP304" i="13"/>
  <c r="DJ304" i="13"/>
  <c r="DH304" i="13"/>
  <c r="DE304" i="13"/>
  <c r="DC304" i="13"/>
  <c r="CZ304" i="13"/>
  <c r="CX304" i="13"/>
  <c r="CU304" i="13"/>
  <c r="CS304" i="13"/>
  <c r="CN304" i="13"/>
  <c r="CL304" i="13"/>
  <c r="CJ304" i="13"/>
  <c r="CE304" i="13"/>
  <c r="CB304" i="13"/>
  <c r="BY304" i="13"/>
  <c r="BT304" i="13"/>
  <c r="BS304" i="13"/>
  <c r="BQ304" i="13"/>
  <c r="BO304" i="13"/>
  <c r="BP304" i="13" s="1"/>
  <c r="BM304" i="13" s="1"/>
  <c r="BK304" i="13"/>
  <c r="BH304" i="13" s="1"/>
  <c r="BJ304" i="13"/>
  <c r="EZ303" i="13"/>
  <c r="EV303" i="13"/>
  <c r="EQ303" i="13"/>
  <c r="EM303" i="13"/>
  <c r="EJ303" i="13"/>
  <c r="EG303" i="13"/>
  <c r="EC303" i="13"/>
  <c r="DT303" i="13"/>
  <c r="DP303" i="13"/>
  <c r="DJ303" i="13"/>
  <c r="DH303" i="13"/>
  <c r="DE303" i="13"/>
  <c r="DC303" i="13"/>
  <c r="CZ303" i="13"/>
  <c r="CX303" i="13"/>
  <c r="CU303" i="13"/>
  <c r="CS303" i="13"/>
  <c r="CN303" i="13"/>
  <c r="CL303" i="13"/>
  <c r="CJ303" i="13"/>
  <c r="CE303" i="13"/>
  <c r="CB303" i="13"/>
  <c r="BY303" i="13"/>
  <c r="BT303" i="13"/>
  <c r="BQ303" i="13" s="1"/>
  <c r="BS303" i="13"/>
  <c r="BO303" i="13"/>
  <c r="BP303" i="13" s="1"/>
  <c r="BM303" i="13" s="1"/>
  <c r="BK303" i="13"/>
  <c r="BJ303" i="13"/>
  <c r="BH303" i="13"/>
  <c r="FD302" i="13"/>
  <c r="EZ302" i="13"/>
  <c r="EV302" i="13"/>
  <c r="EQ302" i="13"/>
  <c r="EM302" i="13"/>
  <c r="EJ302" i="13"/>
  <c r="EG302" i="13"/>
  <c r="EC302" i="13"/>
  <c r="DY302" i="13"/>
  <c r="DT302" i="13"/>
  <c r="DP302" i="13"/>
  <c r="DJ302" i="13"/>
  <c r="DH302" i="13"/>
  <c r="DE302" i="13"/>
  <c r="DC302" i="13"/>
  <c r="CZ302" i="13"/>
  <c r="CX302" i="13"/>
  <c r="CU302" i="13"/>
  <c r="CS302" i="13"/>
  <c r="CN302" i="13"/>
  <c r="CL302" i="13"/>
  <c r="CJ302" i="13"/>
  <c r="CE302" i="13"/>
  <c r="CB302" i="13"/>
  <c r="BY302" i="13"/>
  <c r="BT302" i="13"/>
  <c r="BQ302" i="13" s="1"/>
  <c r="BS302" i="13"/>
  <c r="BO302" i="13"/>
  <c r="BP302" i="13" s="1"/>
  <c r="BM302" i="13" s="1"/>
  <c r="BK302" i="13"/>
  <c r="BJ302" i="13"/>
  <c r="BH302" i="13"/>
  <c r="FH301" i="13"/>
  <c r="FD301" i="13"/>
  <c r="EZ301" i="13"/>
  <c r="EV301" i="13"/>
  <c r="EQ301" i="13"/>
  <c r="EM301" i="13"/>
  <c r="EJ301" i="13"/>
  <c r="EG301" i="13"/>
  <c r="EC301" i="13"/>
  <c r="DY301" i="13"/>
  <c r="DT301" i="13"/>
  <c r="DP301" i="13"/>
  <c r="DJ301" i="13"/>
  <c r="DH301" i="13"/>
  <c r="DE301" i="13"/>
  <c r="DC301" i="13"/>
  <c r="CZ301" i="13"/>
  <c r="CX301" i="13"/>
  <c r="CU301" i="13"/>
  <c r="CS301" i="13"/>
  <c r="CN301" i="13"/>
  <c r="CL301" i="13"/>
  <c r="CJ301" i="13"/>
  <c r="CE301" i="13"/>
  <c r="CB301" i="13"/>
  <c r="BY301" i="13"/>
  <c r="BT301" i="13"/>
  <c r="BS301" i="13"/>
  <c r="BQ301" i="13"/>
  <c r="BO301" i="13"/>
  <c r="BP301" i="13" s="1"/>
  <c r="BM301" i="13" s="1"/>
  <c r="BK301" i="13"/>
  <c r="BH301" i="13" s="1"/>
  <c r="BJ301" i="13"/>
  <c r="FH300" i="13"/>
  <c r="FD300" i="13"/>
  <c r="EZ300" i="13"/>
  <c r="EV300" i="13"/>
  <c r="EM300" i="13"/>
  <c r="EJ300" i="13"/>
  <c r="EG300" i="13"/>
  <c r="EC300" i="13"/>
  <c r="DY300" i="13"/>
  <c r="DT300" i="13"/>
  <c r="DP300" i="13"/>
  <c r="DJ300" i="13"/>
  <c r="DH300" i="13"/>
  <c r="DE300" i="13"/>
  <c r="DC300" i="13"/>
  <c r="CZ300" i="13"/>
  <c r="CX300" i="13"/>
  <c r="CU300" i="13"/>
  <c r="CS300" i="13"/>
  <c r="CN300" i="13"/>
  <c r="CL300" i="13"/>
  <c r="CJ300" i="13"/>
  <c r="CE300" i="13"/>
  <c r="CB300" i="13"/>
  <c r="BY300" i="13"/>
  <c r="BT300" i="13"/>
  <c r="BQ300" i="13" s="1"/>
  <c r="BS300" i="13"/>
  <c r="BO300" i="13"/>
  <c r="BP300" i="13" s="1"/>
  <c r="BM300" i="13" s="1"/>
  <c r="BE308" i="13" s="1"/>
  <c r="BK300" i="13"/>
  <c r="BJ300" i="13"/>
  <c r="BH300" i="13"/>
  <c r="BE307" i="13"/>
  <c r="BE309" i="13" s="1"/>
  <c r="DT274" i="13"/>
  <c r="DT273" i="13"/>
  <c r="DT272" i="13"/>
  <c r="DT271" i="13"/>
  <c r="DT270" i="13"/>
  <c r="CB270" i="13"/>
  <c r="DT269" i="13"/>
  <c r="CB269" i="13"/>
  <c r="BY269" i="13"/>
  <c r="DT268" i="13"/>
  <c r="CB268" i="13"/>
  <c r="BY268" i="13"/>
  <c r="DT267" i="13"/>
  <c r="CB267" i="13"/>
  <c r="BY267" i="13"/>
  <c r="DT266" i="13"/>
  <c r="CB266" i="13"/>
  <c r="BY266" i="13"/>
  <c r="DT265" i="13"/>
  <c r="CB265" i="13"/>
  <c r="BY265" i="13"/>
  <c r="BS265" i="13"/>
  <c r="BT265" i="13" s="1"/>
  <c r="BQ265" i="13" s="1"/>
  <c r="BO265" i="13"/>
  <c r="BP265" i="13" s="1"/>
  <c r="BM265" i="13" s="1"/>
  <c r="BJ265" i="13"/>
  <c r="BK265" i="13" s="1"/>
  <c r="BH265" i="13" s="1"/>
  <c r="DT264" i="13"/>
  <c r="CE264" i="13"/>
  <c r="CB264" i="13"/>
  <c r="BY264" i="13"/>
  <c r="BS264" i="13"/>
  <c r="BT264" i="13" s="1"/>
  <c r="BQ264" i="13" s="1"/>
  <c r="BO264" i="13"/>
  <c r="BP264" i="13" s="1"/>
  <c r="BM264" i="13" s="1"/>
  <c r="BK264" i="13"/>
  <c r="BH264" i="13" s="1"/>
  <c r="BJ264" i="13"/>
  <c r="EC263" i="13"/>
  <c r="DT263" i="13"/>
  <c r="DP263" i="13"/>
  <c r="CE263" i="13"/>
  <c r="CB263" i="13"/>
  <c r="BY263" i="13"/>
  <c r="BS263" i="13"/>
  <c r="BT263" i="13" s="1"/>
  <c r="BQ263" i="13" s="1"/>
  <c r="BO263" i="13"/>
  <c r="BP263" i="13" s="1"/>
  <c r="BM263" i="13" s="1"/>
  <c r="BJ263" i="13"/>
  <c r="BK263" i="13" s="1"/>
  <c r="BH263" i="13" s="1"/>
  <c r="BD262" i="13"/>
  <c r="EQ252" i="13" s="1"/>
  <c r="EM262" i="13"/>
  <c r="EJ262" i="13"/>
  <c r="EG262" i="13"/>
  <c r="EC262" i="13"/>
  <c r="DT262" i="13"/>
  <c r="DP262" i="13"/>
  <c r="CE262" i="13"/>
  <c r="CB262" i="13"/>
  <c r="BY262" i="13"/>
  <c r="BS262" i="13"/>
  <c r="BT262" i="13" s="1"/>
  <c r="BQ262" i="13" s="1"/>
  <c r="BO262" i="13"/>
  <c r="BP262" i="13" s="1"/>
  <c r="BM262" i="13" s="1"/>
  <c r="BK262" i="13"/>
  <c r="BH262" i="13" s="1"/>
  <c r="BJ262" i="13"/>
  <c r="BE255" i="13"/>
  <c r="EM261" i="13"/>
  <c r="EJ261" i="13"/>
  <c r="EG261" i="13"/>
  <c r="EC261" i="13"/>
  <c r="DT261" i="13"/>
  <c r="DP261" i="13"/>
  <c r="DJ261" i="13"/>
  <c r="DH261" i="13"/>
  <c r="CN261" i="13"/>
  <c r="CL261" i="13"/>
  <c r="CJ261" i="13"/>
  <c r="CE261" i="13"/>
  <c r="CB261" i="13"/>
  <c r="BY261" i="13"/>
  <c r="BS261" i="13"/>
  <c r="BT261" i="13" s="1"/>
  <c r="BQ261" i="13" s="1"/>
  <c r="BO261" i="13"/>
  <c r="BP261" i="13" s="1"/>
  <c r="BM261" i="13" s="1"/>
  <c r="BJ261" i="13"/>
  <c r="BK261" i="13" s="1"/>
  <c r="BH261" i="13" s="1"/>
  <c r="EG260" i="13"/>
  <c r="EC260" i="13"/>
  <c r="DT260" i="13"/>
  <c r="DP260" i="13"/>
  <c r="DJ260" i="13"/>
  <c r="DH260" i="13"/>
  <c r="CN260" i="13"/>
  <c r="CL260" i="13"/>
  <c r="CJ260" i="13"/>
  <c r="CE260" i="13"/>
  <c r="CB260" i="13"/>
  <c r="BY260" i="13"/>
  <c r="BS260" i="13"/>
  <c r="BT260" i="13" s="1"/>
  <c r="BQ260" i="13" s="1"/>
  <c r="BP260" i="13"/>
  <c r="BM260" i="13" s="1"/>
  <c r="BO260" i="13"/>
  <c r="BJ260" i="13"/>
  <c r="BK260" i="13" s="1"/>
  <c r="BH260" i="13" s="1"/>
  <c r="EG259" i="13"/>
  <c r="EC259" i="13"/>
  <c r="DT259" i="13"/>
  <c r="DP259" i="13"/>
  <c r="DJ259" i="13"/>
  <c r="DH259" i="13"/>
  <c r="CZ259" i="13"/>
  <c r="CX259" i="13"/>
  <c r="CU259" i="13"/>
  <c r="CS259" i="13"/>
  <c r="CN259" i="13"/>
  <c r="CL259" i="13"/>
  <c r="CJ259" i="13"/>
  <c r="CE259" i="13"/>
  <c r="CB259" i="13"/>
  <c r="BY259" i="13"/>
  <c r="BT259" i="13"/>
  <c r="BQ259" i="13" s="1"/>
  <c r="BS259" i="13"/>
  <c r="BO259" i="13"/>
  <c r="BP259" i="13" s="1"/>
  <c r="BM259" i="13" s="1"/>
  <c r="BK259" i="13"/>
  <c r="BJ259" i="13"/>
  <c r="BH259" i="13"/>
  <c r="BA259" i="13"/>
  <c r="EV258" i="13"/>
  <c r="EM258" i="13"/>
  <c r="EJ258" i="13"/>
  <c r="EG258" i="13"/>
  <c r="EC258" i="13"/>
  <c r="DT258" i="13"/>
  <c r="DP258" i="13"/>
  <c r="DJ258" i="13"/>
  <c r="DH258" i="13"/>
  <c r="DE258" i="13"/>
  <c r="DC258" i="13"/>
  <c r="CZ258" i="13"/>
  <c r="CX258" i="13"/>
  <c r="CU258" i="13"/>
  <c r="CS258" i="13"/>
  <c r="CN258" i="13"/>
  <c r="CL258" i="13"/>
  <c r="CJ258" i="13"/>
  <c r="CE258" i="13"/>
  <c r="CB258" i="13"/>
  <c r="BY258" i="13"/>
  <c r="BT258" i="13"/>
  <c r="BQ258" i="13" s="1"/>
  <c r="BS258" i="13"/>
  <c r="BO258" i="13"/>
  <c r="BP258" i="13" s="1"/>
  <c r="BM258" i="13" s="1"/>
  <c r="BK258" i="13"/>
  <c r="BJ258" i="13"/>
  <c r="BH258" i="13"/>
  <c r="EZ257" i="13"/>
  <c r="EV257" i="13"/>
  <c r="EM257" i="13"/>
  <c r="EJ257" i="13"/>
  <c r="EG257" i="13"/>
  <c r="EC257" i="13"/>
  <c r="DT257" i="13"/>
  <c r="DP257" i="13"/>
  <c r="DJ257" i="13"/>
  <c r="DH257" i="13"/>
  <c r="DE257" i="13"/>
  <c r="DC257" i="13"/>
  <c r="CZ257" i="13"/>
  <c r="CX257" i="13"/>
  <c r="CU257" i="13"/>
  <c r="CS257" i="13"/>
  <c r="CN257" i="13"/>
  <c r="CL257" i="13"/>
  <c r="CJ257" i="13"/>
  <c r="CE257" i="13"/>
  <c r="CB257" i="13"/>
  <c r="BY257" i="13"/>
  <c r="BT257" i="13"/>
  <c r="BQ257" i="13" s="1"/>
  <c r="BS257" i="13"/>
  <c r="BO257" i="13"/>
  <c r="BP257" i="13" s="1"/>
  <c r="BM257" i="13" s="1"/>
  <c r="BK257" i="13"/>
  <c r="BJ257" i="13"/>
  <c r="BH257" i="13"/>
  <c r="BA260" i="13"/>
  <c r="BW252" i="13" s="1"/>
  <c r="EZ256" i="13"/>
  <c r="EV256" i="13"/>
  <c r="EM256" i="13"/>
  <c r="EJ256" i="13"/>
  <c r="EG256" i="13"/>
  <c r="EC256" i="13"/>
  <c r="DT256" i="13"/>
  <c r="DP256" i="13"/>
  <c r="DJ256" i="13"/>
  <c r="DH256" i="13"/>
  <c r="DE256" i="13"/>
  <c r="DC256" i="13"/>
  <c r="CZ256" i="13"/>
  <c r="CX256" i="13"/>
  <c r="CU256" i="13"/>
  <c r="CS256" i="13"/>
  <c r="CN256" i="13"/>
  <c r="CL256" i="13"/>
  <c r="CJ256" i="13"/>
  <c r="CE256" i="13"/>
  <c r="CB256" i="13"/>
  <c r="BY256" i="13"/>
  <c r="BT256" i="13"/>
  <c r="BS256" i="13"/>
  <c r="BQ256" i="13"/>
  <c r="BO256" i="13"/>
  <c r="BP256" i="13" s="1"/>
  <c r="BM256" i="13" s="1"/>
  <c r="BK256" i="13"/>
  <c r="BH256" i="13" s="1"/>
  <c r="BJ256" i="13"/>
  <c r="EZ255" i="13"/>
  <c r="EV255" i="13"/>
  <c r="EQ255" i="13"/>
  <c r="EM255" i="13"/>
  <c r="EJ255" i="13"/>
  <c r="EG255" i="13"/>
  <c r="EC255" i="13"/>
  <c r="DT255" i="13"/>
  <c r="DP255" i="13"/>
  <c r="DJ255" i="13"/>
  <c r="DH255" i="13"/>
  <c r="DE255" i="13"/>
  <c r="DC255" i="13"/>
  <c r="CZ255" i="13"/>
  <c r="CX255" i="13"/>
  <c r="CU255" i="13"/>
  <c r="CS255" i="13"/>
  <c r="CN255" i="13"/>
  <c r="CL255" i="13"/>
  <c r="CJ255" i="13"/>
  <c r="CE255" i="13"/>
  <c r="CB255" i="13"/>
  <c r="BY255" i="13"/>
  <c r="BT255" i="13"/>
  <c r="BQ255" i="13" s="1"/>
  <c r="BS255" i="13"/>
  <c r="BO255" i="13"/>
  <c r="BP255" i="13" s="1"/>
  <c r="BM255" i="13" s="1"/>
  <c r="BK255" i="13"/>
  <c r="BJ255" i="13"/>
  <c r="BH255" i="13"/>
  <c r="FD254" i="13"/>
  <c r="EZ254" i="13"/>
  <c r="EV254" i="13"/>
  <c r="EQ254" i="13"/>
  <c r="EM254" i="13"/>
  <c r="EJ254" i="13"/>
  <c r="EG254" i="13"/>
  <c r="EC254" i="13"/>
  <c r="DY254" i="13"/>
  <c r="DT254" i="13"/>
  <c r="DP254" i="13"/>
  <c r="DJ254" i="13"/>
  <c r="DH254" i="13"/>
  <c r="DE254" i="13"/>
  <c r="DC254" i="13"/>
  <c r="CZ254" i="13"/>
  <c r="CX254" i="13"/>
  <c r="CU254" i="13"/>
  <c r="CS254" i="13"/>
  <c r="CN254" i="13"/>
  <c r="CL254" i="13"/>
  <c r="CJ254" i="13"/>
  <c r="CE254" i="13"/>
  <c r="CB254" i="13"/>
  <c r="BY254" i="13"/>
  <c r="BT254" i="13"/>
  <c r="BQ254" i="13" s="1"/>
  <c r="BS254" i="13"/>
  <c r="BO254" i="13"/>
  <c r="BP254" i="13" s="1"/>
  <c r="BM254" i="13" s="1"/>
  <c r="BK254" i="13"/>
  <c r="BJ254" i="13"/>
  <c r="BH254" i="13"/>
  <c r="FH253" i="13"/>
  <c r="FD253" i="13"/>
  <c r="EZ253" i="13"/>
  <c r="EV253" i="13"/>
  <c r="EQ253" i="13"/>
  <c r="EM253" i="13"/>
  <c r="EJ253" i="13"/>
  <c r="EG253" i="13"/>
  <c r="EC253" i="13"/>
  <c r="DY253" i="13"/>
  <c r="DT253" i="13"/>
  <c r="DP253" i="13"/>
  <c r="DJ253" i="13"/>
  <c r="DH253" i="13"/>
  <c r="DE253" i="13"/>
  <c r="DC253" i="13"/>
  <c r="CZ253" i="13"/>
  <c r="CX253" i="13"/>
  <c r="CU253" i="13"/>
  <c r="CS253" i="13"/>
  <c r="CN253" i="13"/>
  <c r="CL253" i="13"/>
  <c r="CJ253" i="13"/>
  <c r="CE253" i="13"/>
  <c r="CB253" i="13"/>
  <c r="BY253" i="13"/>
  <c r="BT253" i="13"/>
  <c r="BS253" i="13"/>
  <c r="BQ253" i="13"/>
  <c r="BO253" i="13"/>
  <c r="BP253" i="13" s="1"/>
  <c r="BM253" i="13" s="1"/>
  <c r="BK253" i="13"/>
  <c r="BH253" i="13" s="1"/>
  <c r="BJ253" i="13"/>
  <c r="FH252" i="13"/>
  <c r="FD252" i="13"/>
  <c r="EZ252" i="13"/>
  <c r="EV252" i="13"/>
  <c r="EM252" i="13"/>
  <c r="EJ252" i="13"/>
  <c r="EG252" i="13"/>
  <c r="EC252" i="13"/>
  <c r="DY252" i="13"/>
  <c r="DT252" i="13"/>
  <c r="DP252" i="13"/>
  <c r="DJ252" i="13"/>
  <c r="DH252" i="13"/>
  <c r="DE252" i="13"/>
  <c r="DC252" i="13"/>
  <c r="CZ252" i="13"/>
  <c r="CX252" i="13"/>
  <c r="CU252" i="13"/>
  <c r="CS252" i="13"/>
  <c r="CN252" i="13"/>
  <c r="CL252" i="13"/>
  <c r="CJ252" i="13"/>
  <c r="CE252" i="13"/>
  <c r="CB252" i="13"/>
  <c r="BY252" i="13"/>
  <c r="BT252" i="13"/>
  <c r="BQ252" i="13" s="1"/>
  <c r="BE265" i="13" s="1"/>
  <c r="BS252" i="13"/>
  <c r="BO252" i="13"/>
  <c r="BP252" i="13" s="1"/>
  <c r="BM252" i="13" s="1"/>
  <c r="BK252" i="13"/>
  <c r="BJ252" i="13"/>
  <c r="BH252" i="13"/>
  <c r="BE259" i="13"/>
  <c r="BE261" i="13" s="1"/>
  <c r="CB220" i="13"/>
  <c r="CB219" i="13"/>
  <c r="BY219" i="13"/>
  <c r="CB218" i="13"/>
  <c r="BY218" i="13"/>
  <c r="CB217" i="13"/>
  <c r="BY217" i="13"/>
  <c r="CB216" i="13"/>
  <c r="BY216" i="13"/>
  <c r="CB215" i="13"/>
  <c r="BY215" i="13"/>
  <c r="BQ215" i="13"/>
  <c r="BM215" i="13"/>
  <c r="BH215" i="13"/>
  <c r="CE214" i="13"/>
  <c r="CB214" i="13"/>
  <c r="BY214" i="13"/>
  <c r="CE213" i="13"/>
  <c r="CB213" i="13"/>
  <c r="BY213" i="13"/>
  <c r="BQ213" i="13"/>
  <c r="BM213" i="13"/>
  <c r="BH213" i="13"/>
  <c r="BD212" i="13"/>
  <c r="EQ202" i="13" s="1"/>
  <c r="CE212" i="13"/>
  <c r="CB212" i="13"/>
  <c r="BY212" i="13"/>
  <c r="BQ212" i="13"/>
  <c r="BM212" i="13"/>
  <c r="BH212" i="13"/>
  <c r="BE205" i="13"/>
  <c r="CE211" i="13"/>
  <c r="CB211" i="13"/>
  <c r="BY211" i="13"/>
  <c r="BQ211" i="13"/>
  <c r="BM211" i="13"/>
  <c r="BH211" i="13"/>
  <c r="CE210" i="13"/>
  <c r="CB210" i="13"/>
  <c r="BY210" i="13"/>
  <c r="BM210" i="13"/>
  <c r="CE209" i="13"/>
  <c r="CB209" i="13"/>
  <c r="BY209" i="13"/>
  <c r="BQ209" i="13"/>
  <c r="BM209" i="13"/>
  <c r="BH209" i="13"/>
  <c r="CE208" i="13"/>
  <c r="CB208" i="13"/>
  <c r="BY208" i="13"/>
  <c r="BQ208" i="13"/>
  <c r="BM208" i="13"/>
  <c r="BH208" i="13"/>
  <c r="CE207" i="13"/>
  <c r="CB207" i="13"/>
  <c r="BY207" i="13"/>
  <c r="BQ207" i="13"/>
  <c r="BM207" i="13"/>
  <c r="BH207" i="13"/>
  <c r="BA210" i="13"/>
  <c r="BW202" i="13" s="1"/>
  <c r="CE206" i="13"/>
  <c r="CB206" i="13"/>
  <c r="BY206" i="13"/>
  <c r="CE205" i="13"/>
  <c r="CB205" i="13"/>
  <c r="BY205" i="13"/>
  <c r="BQ205" i="13"/>
  <c r="BM205" i="13"/>
  <c r="BH205" i="13"/>
  <c r="CE204" i="13"/>
  <c r="CB204" i="13"/>
  <c r="BY204" i="13"/>
  <c r="BQ204" i="13"/>
  <c r="BM204" i="13"/>
  <c r="BH204" i="13"/>
  <c r="CE203" i="13"/>
  <c r="CB203" i="13"/>
  <c r="BY203" i="13"/>
  <c r="BQ203" i="13"/>
  <c r="BM203" i="13"/>
  <c r="BH203" i="13"/>
  <c r="CE202" i="13"/>
  <c r="CB202" i="13"/>
  <c r="BY202" i="13"/>
  <c r="BE209" i="13"/>
  <c r="BE211" i="13" s="1"/>
  <c r="DE186" i="13"/>
  <c r="DE185" i="13"/>
  <c r="DE184" i="13"/>
  <c r="DE183" i="13"/>
  <c r="DE182" i="13"/>
  <c r="CB182" i="13"/>
  <c r="DE181" i="13"/>
  <c r="CB181" i="13"/>
  <c r="BY181" i="13"/>
  <c r="DE180" i="13"/>
  <c r="CB180" i="13"/>
  <c r="BY180" i="13"/>
  <c r="ET179" i="13"/>
  <c r="DE179" i="13"/>
  <c r="CB179" i="13"/>
  <c r="BY179" i="13"/>
  <c r="ET178" i="13"/>
  <c r="DE178" i="13"/>
  <c r="CB178" i="13"/>
  <c r="BY178" i="13"/>
  <c r="ET177" i="13"/>
  <c r="DE177" i="13"/>
  <c r="CB177" i="13"/>
  <c r="BY177" i="13"/>
  <c r="BM177" i="13"/>
  <c r="BH177" i="13"/>
  <c r="ET176" i="13"/>
  <c r="DE176" i="13"/>
  <c r="CE176" i="13"/>
  <c r="CB176" i="13"/>
  <c r="BY176" i="13"/>
  <c r="ET175" i="13"/>
  <c r="DZ175" i="13"/>
  <c r="DV175" i="13"/>
  <c r="DR175" i="13"/>
  <c r="DN175" i="13"/>
  <c r="DE175" i="13"/>
  <c r="DA175" i="13"/>
  <c r="CE175" i="13"/>
  <c r="CB175" i="13"/>
  <c r="BY175" i="13"/>
  <c r="BM175" i="13"/>
  <c r="BQ175" i="13" s="1"/>
  <c r="BH175" i="13"/>
  <c r="BD178" i="13"/>
  <c r="ET174" i="13"/>
  <c r="DZ174" i="13"/>
  <c r="DV174" i="13"/>
  <c r="DR174" i="13"/>
  <c r="DN174" i="13"/>
  <c r="DE174" i="13"/>
  <c r="DA174" i="13"/>
  <c r="CE174" i="13"/>
  <c r="CB174" i="13"/>
  <c r="BY174" i="13"/>
  <c r="BM174" i="13"/>
  <c r="BQ174" i="13" s="1"/>
  <c r="BH174" i="13"/>
  <c r="ET173" i="13"/>
  <c r="DZ173" i="13"/>
  <c r="DV173" i="13"/>
  <c r="DR173" i="13"/>
  <c r="DN173" i="13"/>
  <c r="DE173" i="13"/>
  <c r="DA173" i="13"/>
  <c r="CE173" i="13"/>
  <c r="CB173" i="13"/>
  <c r="BY173" i="13"/>
  <c r="BM173" i="13"/>
  <c r="BQ173" i="13" s="1"/>
  <c r="BH173" i="13"/>
  <c r="ET172" i="13"/>
  <c r="DZ172" i="13"/>
  <c r="DV172" i="13"/>
  <c r="DR172" i="13"/>
  <c r="DN172" i="13"/>
  <c r="DE172" i="13"/>
  <c r="DA172" i="13"/>
  <c r="CE172" i="13"/>
  <c r="CB172" i="13"/>
  <c r="BY172" i="13"/>
  <c r="ET171" i="13"/>
  <c r="DZ171" i="13"/>
  <c r="DV171" i="13"/>
  <c r="DR171" i="13"/>
  <c r="DN171" i="13"/>
  <c r="DE171" i="13"/>
  <c r="DA171" i="13"/>
  <c r="CE171" i="13"/>
  <c r="CB171" i="13"/>
  <c r="BY171" i="13"/>
  <c r="BH171" i="13"/>
  <c r="ET170" i="13"/>
  <c r="DZ170" i="13"/>
  <c r="DV170" i="13"/>
  <c r="DR170" i="13"/>
  <c r="DN170" i="13"/>
  <c r="DE170" i="13"/>
  <c r="DA170" i="13"/>
  <c r="CE170" i="13"/>
  <c r="CB170" i="13"/>
  <c r="BY170" i="13"/>
  <c r="BM170" i="13"/>
  <c r="BQ170" i="13" s="1"/>
  <c r="BH170" i="13"/>
  <c r="ET169" i="13"/>
  <c r="ED169" i="13"/>
  <c r="DZ169" i="13"/>
  <c r="DV169" i="13"/>
  <c r="DR169" i="13"/>
  <c r="DN169" i="13"/>
  <c r="DE169" i="13"/>
  <c r="DA169" i="13"/>
  <c r="CE169" i="13"/>
  <c r="CB169" i="13"/>
  <c r="BY169" i="13"/>
  <c r="BM169" i="13"/>
  <c r="BQ169" i="13" s="1"/>
  <c r="BH169" i="13"/>
  <c r="ET168" i="13"/>
  <c r="ED168" i="13"/>
  <c r="DZ168" i="13"/>
  <c r="DV168" i="13"/>
  <c r="DR168" i="13"/>
  <c r="DN168" i="13"/>
  <c r="DE168" i="13"/>
  <c r="DA168" i="13"/>
  <c r="CO168" i="13"/>
  <c r="CE168" i="13"/>
  <c r="CB168" i="13"/>
  <c r="BY168" i="13"/>
  <c r="ET167" i="13"/>
  <c r="EK167" i="13"/>
  <c r="EH167" i="13"/>
  <c r="ED167" i="13"/>
  <c r="DZ167" i="13"/>
  <c r="DV167" i="13"/>
  <c r="DR167" i="13"/>
  <c r="DN167" i="13"/>
  <c r="DE167" i="13"/>
  <c r="DA167" i="13"/>
  <c r="CT167" i="13"/>
  <c r="CO167" i="13"/>
  <c r="CL167" i="13"/>
  <c r="CJ167" i="13"/>
  <c r="CE167" i="13"/>
  <c r="CB167" i="13"/>
  <c r="BY167" i="13"/>
  <c r="BH167" i="13"/>
  <c r="EX166" i="13"/>
  <c r="ET166" i="13"/>
  <c r="EO166" i="13"/>
  <c r="EK166" i="13"/>
  <c r="EH166" i="13"/>
  <c r="ED166" i="13"/>
  <c r="DZ166" i="13"/>
  <c r="DV166" i="13"/>
  <c r="DR166" i="13"/>
  <c r="DN166" i="13"/>
  <c r="DJ166" i="13"/>
  <c r="DE166" i="13"/>
  <c r="DA166" i="13"/>
  <c r="CT166" i="13"/>
  <c r="CO166" i="13"/>
  <c r="CL166" i="13"/>
  <c r="CJ166" i="13"/>
  <c r="CE166" i="13"/>
  <c r="CB166" i="13"/>
  <c r="BY166" i="13"/>
  <c r="BM166" i="13"/>
  <c r="BQ166" i="13" s="1"/>
  <c r="BH166" i="13"/>
  <c r="FB165" i="13"/>
  <c r="EX165" i="13"/>
  <c r="ET165" i="13"/>
  <c r="EO165" i="13"/>
  <c r="EK165" i="13"/>
  <c r="EH165" i="13"/>
  <c r="ED165" i="13"/>
  <c r="DZ165" i="13"/>
  <c r="DV165" i="13"/>
  <c r="DR165" i="13"/>
  <c r="DN165" i="13"/>
  <c r="DJ165" i="13"/>
  <c r="DE165" i="13"/>
  <c r="DA165" i="13"/>
  <c r="CT165" i="13"/>
  <c r="CO165" i="13"/>
  <c r="CL165" i="13"/>
  <c r="CJ165" i="13"/>
  <c r="CE165" i="13"/>
  <c r="CB165" i="13"/>
  <c r="BY165" i="13"/>
  <c r="BM165" i="13"/>
  <c r="BQ165" i="13" s="1"/>
  <c r="BH165" i="13"/>
  <c r="FB164" i="13"/>
  <c r="EX164" i="13"/>
  <c r="EK164" i="13"/>
  <c r="EH164" i="13"/>
  <c r="ED164" i="13"/>
  <c r="DZ164" i="13"/>
  <c r="DV164" i="13"/>
  <c r="DR164" i="13"/>
  <c r="DN164" i="13"/>
  <c r="DJ164" i="13"/>
  <c r="DE164" i="13"/>
  <c r="DA164" i="13"/>
  <c r="CT164" i="13"/>
  <c r="CO164" i="13"/>
  <c r="CL164" i="13"/>
  <c r="CJ164" i="13"/>
  <c r="CE164" i="13"/>
  <c r="BE166" i="13" s="1"/>
  <c r="CB164" i="13"/>
  <c r="BY164" i="13"/>
  <c r="BM164" i="13"/>
  <c r="BH164" i="13"/>
  <c r="BE175" i="13"/>
  <c r="BE177" i="13" s="1"/>
  <c r="CT163" i="13"/>
  <c r="BD169" i="13" s="1"/>
  <c r="CO163" i="13"/>
  <c r="BD173" i="13" s="1"/>
  <c r="BR5" i="13"/>
  <c r="DD136" i="13"/>
  <c r="DB136" i="13"/>
  <c r="DA136" i="13" s="1"/>
  <c r="DD135" i="13"/>
  <c r="DB135" i="13"/>
  <c r="DA135" i="13" s="1"/>
  <c r="DD134" i="13"/>
  <c r="DB134" i="13"/>
  <c r="DA134" i="13" s="1"/>
  <c r="DD133" i="13"/>
  <c r="DB133" i="13"/>
  <c r="DA133" i="13"/>
  <c r="DD132" i="13"/>
  <c r="DB132" i="13"/>
  <c r="DA132" i="13" s="1"/>
  <c r="DD131" i="13"/>
  <c r="DB131" i="13"/>
  <c r="DA131" i="13" s="1"/>
  <c r="DD130" i="13"/>
  <c r="DB130" i="13"/>
  <c r="DA130" i="13" s="1"/>
  <c r="DD129" i="13"/>
  <c r="DB129" i="13"/>
  <c r="DA129" i="13"/>
  <c r="DD128" i="13"/>
  <c r="DB128" i="13"/>
  <c r="DA128" i="13" s="1"/>
  <c r="DD127" i="13"/>
  <c r="DB127" i="13"/>
  <c r="DA127" i="13" s="1"/>
  <c r="DD126" i="13"/>
  <c r="DB126" i="13"/>
  <c r="DA126" i="13" s="1"/>
  <c r="DD125" i="13"/>
  <c r="DB125" i="13"/>
  <c r="DA125" i="13"/>
  <c r="DD124" i="13"/>
  <c r="DB124" i="13"/>
  <c r="DA124" i="13" s="1"/>
  <c r="DD123" i="13"/>
  <c r="DB123" i="13"/>
  <c r="DA123" i="13" s="1"/>
  <c r="DD122" i="13"/>
  <c r="DB122" i="13"/>
  <c r="DA122" i="13" s="1"/>
  <c r="DD121" i="13"/>
  <c r="DB121" i="13"/>
  <c r="DA121" i="13"/>
  <c r="DD120" i="13"/>
  <c r="DB120" i="13"/>
  <c r="DA120" i="13" s="1"/>
  <c r="DD119" i="13"/>
  <c r="DB119" i="13"/>
  <c r="DA119" i="13" s="1"/>
  <c r="DD118" i="13"/>
  <c r="DB118" i="13"/>
  <c r="DA118" i="13" s="1"/>
  <c r="DD117" i="13"/>
  <c r="DB117" i="13"/>
  <c r="DA117" i="13"/>
  <c r="DD116" i="13"/>
  <c r="DB116" i="13"/>
  <c r="DA116" i="13"/>
  <c r="DD115" i="13"/>
  <c r="DB115" i="13"/>
  <c r="DA115" i="13" s="1"/>
  <c r="DD114" i="13"/>
  <c r="DB114" i="13"/>
  <c r="DA114" i="13" s="1"/>
  <c r="DD113" i="13"/>
  <c r="DB113" i="13"/>
  <c r="DA113" i="13"/>
  <c r="DD112" i="13"/>
  <c r="DB112" i="13"/>
  <c r="DA112" i="13"/>
  <c r="DD111" i="13"/>
  <c r="DB111" i="13"/>
  <c r="DA111" i="13" s="1"/>
  <c r="DD110" i="13"/>
  <c r="DB110" i="13"/>
  <c r="DA110" i="13" s="1"/>
  <c r="DD109" i="13"/>
  <c r="DB109" i="13"/>
  <c r="DA109" i="13"/>
  <c r="DD108" i="13"/>
  <c r="DB108" i="13"/>
  <c r="DA108" i="13"/>
  <c r="DD107" i="13"/>
  <c r="DA107" i="13" s="1"/>
  <c r="DB107" i="13"/>
  <c r="DD106" i="13"/>
  <c r="DB106" i="13"/>
  <c r="DA106" i="13" s="1"/>
  <c r="DD105" i="13"/>
  <c r="DB105" i="13"/>
  <c r="DA105" i="13"/>
  <c r="DD104" i="13"/>
  <c r="DB104" i="13"/>
  <c r="DA104" i="13"/>
  <c r="DD103" i="13"/>
  <c r="DB103" i="13"/>
  <c r="DA103" i="13" s="1"/>
  <c r="DD102" i="13"/>
  <c r="DB102" i="13"/>
  <c r="DA102" i="13" s="1"/>
  <c r="DD101" i="13"/>
  <c r="DB101" i="13"/>
  <c r="DA101" i="13"/>
  <c r="DD100" i="13"/>
  <c r="DB100" i="13"/>
  <c r="DA100" i="13"/>
  <c r="DD99" i="13"/>
  <c r="DB99" i="13"/>
  <c r="DA99" i="13" s="1"/>
  <c r="DD98" i="13"/>
  <c r="DB98" i="13"/>
  <c r="DA98" i="13" s="1"/>
  <c r="DD97" i="13"/>
  <c r="DB97" i="13"/>
  <c r="DA97" i="13"/>
  <c r="DD96" i="13"/>
  <c r="DB96" i="13"/>
  <c r="DA96" i="13"/>
  <c r="DD95" i="13"/>
  <c r="DB95" i="13"/>
  <c r="DA95" i="13" s="1"/>
  <c r="DD94" i="13"/>
  <c r="DB94" i="13"/>
  <c r="DA94" i="13" s="1"/>
  <c r="DD93" i="13"/>
  <c r="DB93" i="13"/>
  <c r="DA93" i="13"/>
  <c r="DD92" i="13"/>
  <c r="DB92" i="13"/>
  <c r="DA92" i="13"/>
  <c r="DD91" i="13"/>
  <c r="DB91" i="13"/>
  <c r="DA91" i="13" s="1"/>
  <c r="DD90" i="13"/>
  <c r="DB90" i="13"/>
  <c r="DA90" i="13" s="1"/>
  <c r="DD89" i="13"/>
  <c r="DB89" i="13"/>
  <c r="DA89" i="13"/>
  <c r="DD88" i="13"/>
  <c r="DB88" i="13"/>
  <c r="DA88" i="13"/>
  <c r="DD87" i="13"/>
  <c r="DB87" i="13"/>
  <c r="DA87" i="13" s="1"/>
  <c r="DD86" i="13"/>
  <c r="DB86" i="13"/>
  <c r="DA86" i="13" s="1"/>
  <c r="DD85" i="13"/>
  <c r="DB85" i="13"/>
  <c r="DA85" i="13"/>
  <c r="DD84" i="13"/>
  <c r="DB84" i="13"/>
  <c r="DA84" i="13"/>
  <c r="DD83" i="13"/>
  <c r="DB83" i="13"/>
  <c r="DA83" i="13" s="1"/>
  <c r="DD82" i="13"/>
  <c r="DB82" i="13"/>
  <c r="DA82" i="13" s="1"/>
  <c r="DD81" i="13"/>
  <c r="DB81" i="13"/>
  <c r="DA81" i="13"/>
  <c r="DD80" i="13"/>
  <c r="DB80" i="13"/>
  <c r="DA80" i="13"/>
  <c r="DD79" i="13"/>
  <c r="DB79" i="13"/>
  <c r="DA79" i="13" s="1"/>
  <c r="DD78" i="13"/>
  <c r="DB78" i="13"/>
  <c r="DA78" i="13" s="1"/>
  <c r="DD77" i="13"/>
  <c r="DB77" i="13"/>
  <c r="DA77" i="13"/>
  <c r="DD76" i="13"/>
  <c r="DB76" i="13"/>
  <c r="DA76" i="13"/>
  <c r="DD75" i="13"/>
  <c r="DB75" i="13"/>
  <c r="DA75" i="13" s="1"/>
  <c r="DD74" i="13"/>
  <c r="DB74" i="13"/>
  <c r="DA74" i="13" s="1"/>
  <c r="DD73" i="13"/>
  <c r="DB73" i="13"/>
  <c r="DA73" i="13"/>
  <c r="DD72" i="13"/>
  <c r="DB72" i="13"/>
  <c r="DA72" i="13"/>
  <c r="DD71" i="13"/>
  <c r="DB71" i="13"/>
  <c r="DA71" i="13" s="1"/>
  <c r="DD70" i="13"/>
  <c r="DB70" i="13"/>
  <c r="DA70" i="13" s="1"/>
  <c r="DP69" i="13"/>
  <c r="DD69" i="13"/>
  <c r="DB69" i="13"/>
  <c r="DA69" i="13" s="1"/>
  <c r="DP68" i="13"/>
  <c r="DD68" i="13"/>
  <c r="DB68" i="13"/>
  <c r="DA68" i="13" s="1"/>
  <c r="DP67" i="13"/>
  <c r="DD67" i="13"/>
  <c r="DB67" i="13"/>
  <c r="DA67" i="13" s="1"/>
  <c r="DP66" i="13"/>
  <c r="DD66" i="13"/>
  <c r="DA66" i="13" s="1"/>
  <c r="DB66" i="13"/>
  <c r="DP65" i="13"/>
  <c r="DD65" i="13"/>
  <c r="DB65" i="13"/>
  <c r="DA65" i="13"/>
  <c r="CJ65" i="13"/>
  <c r="DP64" i="13"/>
  <c r="DD64" i="13"/>
  <c r="DB64" i="13"/>
  <c r="DA64" i="13" s="1"/>
  <c r="CJ64" i="13"/>
  <c r="CG64" i="13"/>
  <c r="BE64" i="13"/>
  <c r="BE66" i="13" s="1"/>
  <c r="DP63" i="13"/>
  <c r="DD63" i="13"/>
  <c r="DB63" i="13"/>
  <c r="DA63" i="13"/>
  <c r="CJ63" i="13"/>
  <c r="CG63" i="13"/>
  <c r="FE62" i="13"/>
  <c r="DP62" i="13"/>
  <c r="DD62" i="13"/>
  <c r="DA62" i="13" s="1"/>
  <c r="DB62" i="13"/>
  <c r="CJ62" i="13"/>
  <c r="CG62" i="13"/>
  <c r="FE61" i="13"/>
  <c r="DP61" i="13"/>
  <c r="DD61" i="13"/>
  <c r="DB61" i="13"/>
  <c r="DA61" i="13" s="1"/>
  <c r="CJ61" i="13"/>
  <c r="CG61" i="13"/>
  <c r="FE60" i="13"/>
  <c r="DP60" i="13"/>
  <c r="DD60" i="13"/>
  <c r="DB60" i="13"/>
  <c r="DA60" i="13" s="1"/>
  <c r="CJ60" i="13"/>
  <c r="CG60" i="13"/>
  <c r="BW60" i="13"/>
  <c r="BX60" i="13" s="1"/>
  <c r="BU60" i="13" s="1"/>
  <c r="BY60" i="13" s="1"/>
  <c r="BS60" i="13"/>
  <c r="BT60" i="13" s="1"/>
  <c r="BQ60" i="13" s="1"/>
  <c r="BO60" i="13"/>
  <c r="BP60" i="13" s="1"/>
  <c r="BM60" i="13" s="1"/>
  <c r="BK60" i="13"/>
  <c r="BH60" i="13" s="1"/>
  <c r="BJ60" i="13"/>
  <c r="FE59" i="13"/>
  <c r="DP59" i="13"/>
  <c r="DD59" i="13"/>
  <c r="DB59" i="13"/>
  <c r="DA59" i="13" s="1"/>
  <c r="CM59" i="13"/>
  <c r="CJ59" i="13"/>
  <c r="CG59" i="13"/>
  <c r="BW59" i="13"/>
  <c r="BX59" i="13" s="1"/>
  <c r="BU59" i="13" s="1"/>
  <c r="BY59" i="13" s="1"/>
  <c r="BS59" i="13"/>
  <c r="BT59" i="13" s="1"/>
  <c r="BQ59" i="13" s="1"/>
  <c r="BP59" i="13"/>
  <c r="BM59" i="13" s="1"/>
  <c r="BO59" i="13"/>
  <c r="BJ59" i="13"/>
  <c r="BK59" i="13" s="1"/>
  <c r="BH59" i="13" s="1"/>
  <c r="FE58" i="13"/>
  <c r="EK58" i="13"/>
  <c r="EG58" i="13"/>
  <c r="EC58" i="13"/>
  <c r="DY58" i="13"/>
  <c r="DP58" i="13"/>
  <c r="DL58" i="13"/>
  <c r="DD58" i="13"/>
  <c r="DB58" i="13"/>
  <c r="DA58" i="13"/>
  <c r="CM58" i="13"/>
  <c r="CJ58" i="13"/>
  <c r="CG58" i="13"/>
  <c r="BW58" i="13"/>
  <c r="BX58" i="13" s="1"/>
  <c r="BU58" i="13" s="1"/>
  <c r="BY58" i="13" s="1"/>
  <c r="BT58" i="13"/>
  <c r="BQ58" i="13" s="1"/>
  <c r="BS58" i="13"/>
  <c r="BO58" i="13"/>
  <c r="BP58" i="13" s="1"/>
  <c r="BM58" i="13" s="1"/>
  <c r="BK58" i="13"/>
  <c r="BJ58" i="13"/>
  <c r="BH58" i="13"/>
  <c r="BD67" i="13"/>
  <c r="FE57" i="13"/>
  <c r="EK57" i="13"/>
  <c r="EG57" i="13"/>
  <c r="EC57" i="13"/>
  <c r="DY57" i="13"/>
  <c r="DP57" i="13"/>
  <c r="DL57" i="13"/>
  <c r="DD57" i="13"/>
  <c r="DB57" i="13"/>
  <c r="DA57" i="13"/>
  <c r="CM57" i="13"/>
  <c r="CJ57" i="13"/>
  <c r="CG57" i="13"/>
  <c r="BW57" i="13"/>
  <c r="BX57" i="13" s="1"/>
  <c r="BU57" i="13" s="1"/>
  <c r="BY57" i="13" s="1"/>
  <c r="BT57" i="13"/>
  <c r="BQ57" i="13" s="1"/>
  <c r="BS57" i="13"/>
  <c r="BO57" i="13"/>
  <c r="BP57" i="13" s="1"/>
  <c r="BM57" i="13" s="1"/>
  <c r="BK57" i="13"/>
  <c r="BJ57" i="13"/>
  <c r="BH57" i="13"/>
  <c r="FE56" i="13"/>
  <c r="EK56" i="13"/>
  <c r="EG56" i="13"/>
  <c r="EC56" i="13"/>
  <c r="DY56" i="13"/>
  <c r="DP56" i="13"/>
  <c r="DL56" i="13"/>
  <c r="DD56" i="13"/>
  <c r="DB56" i="13"/>
  <c r="DA56" i="13"/>
  <c r="CM56" i="13"/>
  <c r="CJ56" i="13"/>
  <c r="CG56" i="13"/>
  <c r="BW56" i="13"/>
  <c r="BX56" i="13" s="1"/>
  <c r="BU56" i="13" s="1"/>
  <c r="BY56" i="13" s="1"/>
  <c r="BT56" i="13"/>
  <c r="BQ56" i="13" s="1"/>
  <c r="BS56" i="13"/>
  <c r="BO56" i="13"/>
  <c r="BP56" i="13" s="1"/>
  <c r="BM56" i="13" s="1"/>
  <c r="BK56" i="13"/>
  <c r="BJ56" i="13"/>
  <c r="BH56" i="13"/>
  <c r="FE55" i="13"/>
  <c r="EK55" i="13"/>
  <c r="EG55" i="13"/>
  <c r="EC55" i="13"/>
  <c r="DY55" i="13"/>
  <c r="DP55" i="13"/>
  <c r="DL55" i="13"/>
  <c r="DD55" i="13"/>
  <c r="DA55" i="13" s="1"/>
  <c r="DB55" i="13"/>
  <c r="CM55" i="13"/>
  <c r="CJ55" i="13"/>
  <c r="CG55" i="13"/>
  <c r="BW55" i="13"/>
  <c r="BX55" i="13" s="1"/>
  <c r="BU55" i="13" s="1"/>
  <c r="BY55" i="13" s="1"/>
  <c r="BT55" i="13"/>
  <c r="BS55" i="13"/>
  <c r="BQ55" i="13"/>
  <c r="BO55" i="13"/>
  <c r="BP55" i="13" s="1"/>
  <c r="BM55" i="13" s="1"/>
  <c r="BK55" i="13"/>
  <c r="BH55" i="13" s="1"/>
  <c r="BJ55" i="13"/>
  <c r="FE54" i="13"/>
  <c r="EK54" i="13"/>
  <c r="EG54" i="13"/>
  <c r="EC54" i="13"/>
  <c r="DY54" i="13"/>
  <c r="DP54" i="13"/>
  <c r="DL54" i="13"/>
  <c r="DD54" i="13"/>
  <c r="DB54" i="13"/>
  <c r="DA54" i="13" s="1"/>
  <c r="CM54" i="13"/>
  <c r="CJ54" i="13"/>
  <c r="CG54" i="13"/>
  <c r="BX54" i="13"/>
  <c r="BW54" i="13"/>
  <c r="BU54" i="13"/>
  <c r="BY54" i="13" s="1"/>
  <c r="BS54" i="13"/>
  <c r="BT54" i="13" s="1"/>
  <c r="BQ54" i="13" s="1"/>
  <c r="BP54" i="13"/>
  <c r="BM54" i="13" s="1"/>
  <c r="BO54" i="13"/>
  <c r="BJ54" i="13"/>
  <c r="BK54" i="13" s="1"/>
  <c r="BH54" i="13" s="1"/>
  <c r="FE53" i="13"/>
  <c r="EK53" i="13"/>
  <c r="EG53" i="13"/>
  <c r="EC53" i="13"/>
  <c r="DY53" i="13"/>
  <c r="DP53" i="13"/>
  <c r="DL53" i="13"/>
  <c r="DD53" i="13"/>
  <c r="DB53" i="13"/>
  <c r="DA53" i="13" s="1"/>
  <c r="CM53" i="13"/>
  <c r="CJ53" i="13"/>
  <c r="CG53" i="13"/>
  <c r="BX53" i="13"/>
  <c r="BW53" i="13"/>
  <c r="BU53" i="13"/>
  <c r="BY53" i="13" s="1"/>
  <c r="BS53" i="13"/>
  <c r="BT53" i="13" s="1"/>
  <c r="BQ53" i="13" s="1"/>
  <c r="BP53" i="13"/>
  <c r="BM53" i="13" s="1"/>
  <c r="BO53" i="13"/>
  <c r="BJ53" i="13"/>
  <c r="BK53" i="13" s="1"/>
  <c r="BH53" i="13" s="1"/>
  <c r="FE52" i="13"/>
  <c r="EO52" i="13"/>
  <c r="EK52" i="13"/>
  <c r="EG52" i="13"/>
  <c r="EC52" i="13"/>
  <c r="DY52" i="13"/>
  <c r="DP52" i="13"/>
  <c r="DL52" i="13"/>
  <c r="DD52" i="13"/>
  <c r="DB52" i="13"/>
  <c r="DA52" i="13" s="1"/>
  <c r="CM52" i="13"/>
  <c r="CJ52" i="13"/>
  <c r="CG52" i="13"/>
  <c r="BX52" i="13"/>
  <c r="BW52" i="13"/>
  <c r="BU52" i="13"/>
  <c r="BY52" i="13" s="1"/>
  <c r="BS52" i="13"/>
  <c r="BT52" i="13" s="1"/>
  <c r="BQ52" i="13" s="1"/>
  <c r="BP52" i="13"/>
  <c r="BM52" i="13" s="1"/>
  <c r="BO52" i="13"/>
  <c r="BJ52" i="13"/>
  <c r="BK52" i="13" s="1"/>
  <c r="BH52" i="13" s="1"/>
  <c r="BA54" i="13"/>
  <c r="CE47" i="13" s="1"/>
  <c r="FE51" i="13"/>
  <c r="EO51" i="13"/>
  <c r="EK51" i="13"/>
  <c r="EG51" i="13"/>
  <c r="EC51" i="13"/>
  <c r="DY51" i="13"/>
  <c r="DP51" i="13"/>
  <c r="DL51" i="13"/>
  <c r="DD51" i="13"/>
  <c r="DA51" i="13" s="1"/>
  <c r="DB51" i="13"/>
  <c r="CW51" i="13"/>
  <c r="CM51" i="13"/>
  <c r="CJ51" i="13"/>
  <c r="CG51" i="13"/>
  <c r="BX51" i="13"/>
  <c r="BU51" i="13" s="1"/>
  <c r="BY51" i="13" s="1"/>
  <c r="BW51" i="13"/>
  <c r="BS51" i="13"/>
  <c r="BT51" i="13" s="1"/>
  <c r="BQ51" i="13" s="1"/>
  <c r="BP51" i="13"/>
  <c r="BO51" i="13"/>
  <c r="BM51" i="13"/>
  <c r="BJ51" i="13"/>
  <c r="BK51" i="13" s="1"/>
  <c r="BH51" i="13" s="1"/>
  <c r="FE50" i="13"/>
  <c r="EV50" i="13"/>
  <c r="ES50" i="13"/>
  <c r="EO50" i="13"/>
  <c r="EK50" i="13"/>
  <c r="EG50" i="13"/>
  <c r="EC50" i="13"/>
  <c r="DY50" i="13"/>
  <c r="DP50" i="13"/>
  <c r="DL50" i="13"/>
  <c r="DD50" i="13"/>
  <c r="DA50" i="13" s="1"/>
  <c r="DB50" i="13"/>
  <c r="CW50" i="13"/>
  <c r="CT50" i="13"/>
  <c r="CR50" i="13"/>
  <c r="CM50" i="13"/>
  <c r="CJ50" i="13"/>
  <c r="CG50" i="13"/>
  <c r="BX50" i="13"/>
  <c r="BW50" i="13"/>
  <c r="BU50" i="13"/>
  <c r="BY50" i="13" s="1"/>
  <c r="BS50" i="13"/>
  <c r="BT50" i="13" s="1"/>
  <c r="BQ50" i="13" s="1"/>
  <c r="BP50" i="13"/>
  <c r="BM50" i="13" s="1"/>
  <c r="BO50" i="13"/>
  <c r="BJ50" i="13"/>
  <c r="BK50" i="13" s="1"/>
  <c r="BH50" i="13" s="1"/>
  <c r="FI49" i="13"/>
  <c r="FE49" i="13"/>
  <c r="EZ49" i="13"/>
  <c r="EV49" i="13"/>
  <c r="ES49" i="13"/>
  <c r="EO49" i="13"/>
  <c r="EK49" i="13"/>
  <c r="EG49" i="13"/>
  <c r="EC49" i="13"/>
  <c r="DY49" i="13"/>
  <c r="DU49" i="13"/>
  <c r="DP49" i="13"/>
  <c r="DL49" i="13"/>
  <c r="DD49" i="13"/>
  <c r="DB49" i="13"/>
  <c r="DA49" i="13" s="1"/>
  <c r="CW49" i="13"/>
  <c r="CT49" i="13"/>
  <c r="CR49" i="13"/>
  <c r="CM49" i="13"/>
  <c r="CJ49" i="13"/>
  <c r="CG49" i="13"/>
  <c r="BW49" i="13"/>
  <c r="BX49" i="13" s="1"/>
  <c r="BU49" i="13" s="1"/>
  <c r="BY49" i="13" s="1"/>
  <c r="BT49" i="13"/>
  <c r="BS49" i="13"/>
  <c r="BQ49" i="13"/>
  <c r="BO49" i="13"/>
  <c r="BP49" i="13" s="1"/>
  <c r="BM49" i="13" s="1"/>
  <c r="BK49" i="13"/>
  <c r="BH49" i="13" s="1"/>
  <c r="BJ49" i="13"/>
  <c r="FM48" i="13"/>
  <c r="FI48" i="13"/>
  <c r="FE48" i="13"/>
  <c r="EZ48" i="13"/>
  <c r="EV48" i="13"/>
  <c r="ES48" i="13"/>
  <c r="EO48" i="13"/>
  <c r="EK48" i="13"/>
  <c r="EG48" i="13"/>
  <c r="EC48" i="13"/>
  <c r="DY48" i="13"/>
  <c r="DU48" i="13"/>
  <c r="DP48" i="13"/>
  <c r="DL48" i="13"/>
  <c r="DD48" i="13"/>
  <c r="DB48" i="13"/>
  <c r="DA48" i="13"/>
  <c r="CW48" i="13"/>
  <c r="CT48" i="13"/>
  <c r="CR48" i="13"/>
  <c r="CM48" i="13"/>
  <c r="CJ48" i="13"/>
  <c r="CG48" i="13"/>
  <c r="BW48" i="13"/>
  <c r="BX48" i="13" s="1"/>
  <c r="BU48" i="13" s="1"/>
  <c r="BY48" i="13" s="1"/>
  <c r="BT48" i="13"/>
  <c r="BQ48" i="13" s="1"/>
  <c r="BS48" i="13"/>
  <c r="BO48" i="13"/>
  <c r="BP48" i="13" s="1"/>
  <c r="BM48" i="13" s="1"/>
  <c r="BK48" i="13"/>
  <c r="BJ48" i="13"/>
  <c r="BH48" i="13"/>
  <c r="FM47" i="13"/>
  <c r="FI47" i="13"/>
  <c r="EV47" i="13"/>
  <c r="ES47" i="13"/>
  <c r="EO47" i="13"/>
  <c r="EK47" i="13"/>
  <c r="EG47" i="13"/>
  <c r="EC47" i="13"/>
  <c r="DY47" i="13"/>
  <c r="DU47" i="13"/>
  <c r="DP47" i="13"/>
  <c r="DL47" i="13"/>
  <c r="DD47" i="13"/>
  <c r="DB47" i="13"/>
  <c r="DA47" i="13"/>
  <c r="BD52" i="13" s="1"/>
  <c r="CW47" i="13"/>
  <c r="CT47" i="13"/>
  <c r="CR47" i="13"/>
  <c r="CM47" i="13"/>
  <c r="CJ47" i="13"/>
  <c r="CG47" i="13"/>
  <c r="BW47" i="13"/>
  <c r="BX47" i="13" s="1"/>
  <c r="BU47" i="13" s="1"/>
  <c r="BT47" i="13"/>
  <c r="BQ47" i="13" s="1"/>
  <c r="BS47" i="13"/>
  <c r="BO47" i="13"/>
  <c r="BP47" i="13" s="1"/>
  <c r="BM47" i="13" s="1"/>
  <c r="BK47" i="13"/>
  <c r="BJ47" i="13"/>
  <c r="BH47" i="13"/>
  <c r="CW46" i="13"/>
  <c r="BD62" i="13" s="1"/>
  <c r="DU20" i="13"/>
  <c r="DR20" i="13"/>
  <c r="DU19" i="13"/>
  <c r="DR19" i="13"/>
  <c r="BT19" i="13"/>
  <c r="DU18" i="13"/>
  <c r="DR18" i="13"/>
  <c r="BT18" i="13"/>
  <c r="DU17" i="13"/>
  <c r="DR17" i="13"/>
  <c r="BT17" i="13"/>
  <c r="BO17" i="13"/>
  <c r="BL17" i="13" s="1"/>
  <c r="BN17" i="13"/>
  <c r="DU16" i="13"/>
  <c r="DR16" i="13"/>
  <c r="BT16" i="13"/>
  <c r="BO16" i="13"/>
  <c r="BL16" i="13" s="1"/>
  <c r="BN16" i="13"/>
  <c r="EC15" i="13"/>
  <c r="DU15" i="13"/>
  <c r="DR15" i="13"/>
  <c r="CD15" i="13"/>
  <c r="BT15" i="13"/>
  <c r="BO15" i="13"/>
  <c r="BN15" i="13"/>
  <c r="BL15" i="13"/>
  <c r="EC14" i="13"/>
  <c r="DU14" i="13"/>
  <c r="DR14" i="13"/>
  <c r="CG14" i="13"/>
  <c r="CD14" i="13"/>
  <c r="BX14" i="13"/>
  <c r="BT14" i="13"/>
  <c r="BO14" i="13"/>
  <c r="BL14" i="13" s="1"/>
  <c r="BN14" i="13"/>
  <c r="BE14" i="13"/>
  <c r="EC13" i="13"/>
  <c r="DU13" i="13"/>
  <c r="DR13" i="13"/>
  <c r="CG13" i="13"/>
  <c r="CD13" i="13"/>
  <c r="BX13" i="13"/>
  <c r="BT13" i="13"/>
  <c r="BN13" i="13"/>
  <c r="BO13" i="13" s="1"/>
  <c r="BL13" i="13" s="1"/>
  <c r="BE10" i="13"/>
  <c r="EC12" i="13"/>
  <c r="DU12" i="13"/>
  <c r="DR12" i="13"/>
  <c r="DN12" i="13"/>
  <c r="DJ12" i="13"/>
  <c r="DF12" i="13"/>
  <c r="CG12" i="13"/>
  <c r="CD12" i="13"/>
  <c r="BX12" i="13"/>
  <c r="BT12" i="13"/>
  <c r="BO12" i="13"/>
  <c r="BN12" i="13"/>
  <c r="BL12" i="13"/>
  <c r="BD9" i="13"/>
  <c r="EC11" i="13"/>
  <c r="DU11" i="13"/>
  <c r="DR11" i="13"/>
  <c r="DN11" i="13"/>
  <c r="DJ11" i="13"/>
  <c r="DF11" i="13"/>
  <c r="CK11" i="13"/>
  <c r="CG11" i="13"/>
  <c r="CD11" i="13"/>
  <c r="BX11" i="13"/>
  <c r="BT11" i="13"/>
  <c r="BO11" i="13"/>
  <c r="BN11" i="13"/>
  <c r="BL11" i="13"/>
  <c r="EC10" i="13"/>
  <c r="DU10" i="13"/>
  <c r="DR10" i="13"/>
  <c r="DN10" i="13"/>
  <c r="DJ10" i="13"/>
  <c r="DF10" i="13"/>
  <c r="CN10" i="13"/>
  <c r="CK10" i="13"/>
  <c r="CG10" i="13"/>
  <c r="CD10" i="13"/>
  <c r="BX10" i="13"/>
  <c r="BT10" i="13"/>
  <c r="BO10" i="13"/>
  <c r="BL10" i="13" s="1"/>
  <c r="BN10" i="13"/>
  <c r="EC9" i="13"/>
  <c r="DU9" i="13"/>
  <c r="DR9" i="13"/>
  <c r="DN9" i="13"/>
  <c r="DJ9" i="13"/>
  <c r="DF9" i="13"/>
  <c r="CN9" i="13"/>
  <c r="CK9" i="13"/>
  <c r="CG9" i="13"/>
  <c r="CD9" i="13"/>
  <c r="BX9" i="13"/>
  <c r="BT9" i="13"/>
  <c r="BO9" i="13"/>
  <c r="BL9" i="13" s="1"/>
  <c r="BN9" i="13"/>
  <c r="EC8" i="13"/>
  <c r="DU8" i="13"/>
  <c r="DR8" i="13"/>
  <c r="DN8" i="13"/>
  <c r="DJ8" i="13"/>
  <c r="DF8" i="13"/>
  <c r="CN8" i="13"/>
  <c r="CK8" i="13"/>
  <c r="CG8" i="13"/>
  <c r="CD8" i="13"/>
  <c r="BX8" i="13"/>
  <c r="BT8" i="13"/>
  <c r="BO8" i="13"/>
  <c r="BL8" i="13" s="1"/>
  <c r="BN8" i="13"/>
  <c r="EC7" i="13"/>
  <c r="DU7" i="13"/>
  <c r="DR7" i="13"/>
  <c r="DN7" i="13"/>
  <c r="DJ7" i="13"/>
  <c r="DF7" i="13"/>
  <c r="CN7" i="13"/>
  <c r="CK7" i="13"/>
  <c r="CG7" i="13"/>
  <c r="CD7" i="13"/>
  <c r="BX7" i="13"/>
  <c r="BT7" i="13"/>
  <c r="BO7" i="13"/>
  <c r="BL7" i="13" s="1"/>
  <c r="BN7" i="13"/>
  <c r="EG6" i="13"/>
  <c r="EC6" i="13"/>
  <c r="DY6" i="13"/>
  <c r="DU6" i="13"/>
  <c r="DR6" i="13"/>
  <c r="DN6" i="13"/>
  <c r="DJ6" i="13"/>
  <c r="DF6" i="13"/>
  <c r="CN6" i="13"/>
  <c r="CK6" i="13"/>
  <c r="CG6" i="13"/>
  <c r="CD6" i="13"/>
  <c r="BX6" i="13"/>
  <c r="BT6" i="13"/>
  <c r="BN6" i="13"/>
  <c r="BO6" i="13" s="1"/>
  <c r="BL6" i="13" s="1"/>
  <c r="BE6" i="13"/>
  <c r="EG5" i="13"/>
  <c r="EC5" i="13"/>
  <c r="DY5" i="13"/>
  <c r="DU5" i="13"/>
  <c r="DR5" i="13"/>
  <c r="DN5" i="13"/>
  <c r="DJ5" i="13"/>
  <c r="DF5" i="13"/>
  <c r="CN5" i="13"/>
  <c r="CK5" i="13"/>
  <c r="CG5" i="13"/>
  <c r="CD5" i="13"/>
  <c r="BX5" i="13"/>
  <c r="BT5" i="13"/>
  <c r="BN5" i="13"/>
  <c r="BO5" i="13" s="1"/>
  <c r="BL5" i="13" s="1"/>
  <c r="EG4" i="13"/>
  <c r="EC4" i="13"/>
  <c r="DY4" i="13"/>
  <c r="DU4" i="13"/>
  <c r="DR4" i="13"/>
  <c r="DN4" i="13"/>
  <c r="DJ4" i="13"/>
  <c r="DF4" i="13"/>
  <c r="CN4" i="13"/>
  <c r="CK4" i="13"/>
  <c r="CG4" i="13"/>
  <c r="CD4" i="13"/>
  <c r="BX4" i="13"/>
  <c r="BT4" i="13"/>
  <c r="BO4" i="13"/>
  <c r="BL4" i="13" s="1"/>
  <c r="BN4" i="13"/>
  <c r="CN3" i="13"/>
  <c r="BD16" i="13" s="1"/>
  <c r="CK3" i="13"/>
  <c r="BD12" i="13" s="1"/>
  <c r="AX12" i="13"/>
  <c r="AX11" i="13"/>
  <c r="BK5" i="13" l="1"/>
  <c r="BH5" i="13" s="1"/>
  <c r="BK16" i="13"/>
  <c r="BK12" i="13"/>
  <c r="EG210" i="13"/>
  <c r="EG206" i="13"/>
  <c r="EJ202" i="13"/>
  <c r="EJ209" i="13"/>
  <c r="EJ205" i="13"/>
  <c r="EM212" i="13"/>
  <c r="EM208" i="13"/>
  <c r="EM204" i="13"/>
  <c r="EG202" i="13"/>
  <c r="EG209" i="13"/>
  <c r="EG205" i="13"/>
  <c r="EJ212" i="13"/>
  <c r="EJ208" i="13"/>
  <c r="EJ204" i="13"/>
  <c r="EM211" i="13"/>
  <c r="EM207" i="13"/>
  <c r="EM203" i="13"/>
  <c r="EG212" i="13"/>
  <c r="EG208" i="13"/>
  <c r="EG204" i="13"/>
  <c r="EJ211" i="13"/>
  <c r="EJ207" i="13"/>
  <c r="EJ203" i="13"/>
  <c r="EM210" i="13"/>
  <c r="EM206" i="13"/>
  <c r="EG211" i="13"/>
  <c r="EG207" i="13"/>
  <c r="EG203" i="13"/>
  <c r="EJ210" i="13"/>
  <c r="EJ206" i="13"/>
  <c r="EM202" i="13"/>
  <c r="EM209" i="13"/>
  <c r="EM205" i="13"/>
  <c r="BA308" i="13"/>
  <c r="BW300" i="13" s="1"/>
  <c r="EV206" i="13"/>
  <c r="EV202" i="13"/>
  <c r="BE50" i="13"/>
  <c r="BK15" i="13"/>
  <c r="BH15" i="13" s="1"/>
  <c r="BK11" i="13"/>
  <c r="BH11" i="13" s="1"/>
  <c r="BK7" i="13"/>
  <c r="BH7" i="13" s="1"/>
  <c r="BK4" i="13"/>
  <c r="BH4" i="13" s="1"/>
  <c r="BK14" i="13"/>
  <c r="BH14" i="13" s="1"/>
  <c r="BK10" i="13"/>
  <c r="BH10" i="13" s="1"/>
  <c r="BK6" i="13"/>
  <c r="BH6" i="13" s="1"/>
  <c r="BK17" i="13"/>
  <c r="BH17" i="13" s="1"/>
  <c r="BK13" i="13"/>
  <c r="BH13" i="13" s="1"/>
  <c r="BK9" i="13"/>
  <c r="BH9" i="13" s="1"/>
  <c r="BH16" i="13"/>
  <c r="BH12" i="13"/>
  <c r="BH8" i="13"/>
  <c r="BE5" i="13" s="1"/>
  <c r="BM176" i="13"/>
  <c r="BQ176" i="13" s="1"/>
  <c r="BM172" i="13"/>
  <c r="BQ172" i="13" s="1"/>
  <c r="BM168" i="13"/>
  <c r="BQ168" i="13" s="1"/>
  <c r="BH172" i="13"/>
  <c r="BW164" i="13"/>
  <c r="BQ214" i="13"/>
  <c r="BQ210" i="13"/>
  <c r="BM214" i="13"/>
  <c r="BM206" i="13"/>
  <c r="BM202" i="13"/>
  <c r="BH202" i="13"/>
  <c r="BE203" i="13" s="1"/>
  <c r="BH214" i="13"/>
  <c r="BH210" i="13"/>
  <c r="BE202" i="13"/>
  <c r="BE301" i="13"/>
  <c r="BE313" i="13"/>
  <c r="BE312" i="13"/>
  <c r="BE300" i="13"/>
  <c r="BE302" i="13"/>
  <c r="BE260" i="13"/>
  <c r="BE253" i="13"/>
  <c r="BE264" i="13"/>
  <c r="BE252" i="13"/>
  <c r="BE254" i="13"/>
  <c r="BE215" i="13"/>
  <c r="BE214" i="13"/>
  <c r="BE204" i="13"/>
  <c r="BE165" i="13"/>
  <c r="BE172" i="13"/>
  <c r="BQ164" i="13"/>
  <c r="BE176" i="13" s="1"/>
  <c r="BE171" i="13"/>
  <c r="BQ177" i="13"/>
  <c r="BE164" i="13"/>
  <c r="BE167" i="13"/>
  <c r="BE55" i="13"/>
  <c r="BE60" i="13"/>
  <c r="BE47" i="13" s="1"/>
  <c r="BE48" i="13"/>
  <c r="BE61" i="13"/>
  <c r="BY47" i="13"/>
  <c r="BE65" i="13" s="1"/>
  <c r="BE58" i="13"/>
  <c r="BE49" i="13"/>
  <c r="BE15" i="13"/>
  <c r="CC5" i="13"/>
  <c r="BE7" i="13"/>
  <c r="BE8" i="13" s="1"/>
  <c r="BE54" i="13" l="1"/>
  <c r="DB7" i="13"/>
  <c r="DB11" i="13"/>
  <c r="DB15" i="13"/>
  <c r="DB14" i="13"/>
  <c r="DB8" i="13"/>
  <c r="DB12" i="13"/>
  <c r="DB4" i="13"/>
  <c r="DB10" i="13"/>
  <c r="DB5" i="13"/>
  <c r="DB9" i="13"/>
  <c r="DB13" i="13"/>
  <c r="DB6" i="13"/>
  <c r="BE210" i="13"/>
  <c r="BW301" i="13"/>
  <c r="BE304" i="13"/>
  <c r="BW253" i="13"/>
  <c r="BE256" i="13"/>
  <c r="BW203" i="13"/>
  <c r="BE206" i="13"/>
  <c r="BE168" i="13"/>
  <c r="BW165" i="13"/>
  <c r="BE57" i="13"/>
  <c r="CE48" i="13"/>
  <c r="BE51" i="13"/>
  <c r="F21" i="13" l="1"/>
  <c r="AT36" i="13" l="1"/>
  <c r="D37" i="13" s="1"/>
  <c r="AS36" i="13"/>
  <c r="AR36" i="13"/>
  <c r="X33" i="13"/>
  <c r="V33" i="13"/>
  <c r="T33" i="13"/>
  <c r="P33" i="13"/>
  <c r="N33" i="13"/>
  <c r="L33" i="13"/>
  <c r="J33" i="13"/>
  <c r="H33" i="13"/>
  <c r="F33" i="13"/>
  <c r="D33" i="13"/>
  <c r="V29" i="13"/>
  <c r="T29" i="13"/>
  <c r="R29" i="13"/>
  <c r="P29" i="13"/>
  <c r="N29" i="13"/>
  <c r="L29" i="13"/>
  <c r="J29" i="13"/>
  <c r="H29" i="13"/>
  <c r="F29" i="13"/>
  <c r="D29" i="13"/>
  <c r="D25" i="13"/>
  <c r="T21" i="13"/>
  <c r="AU20" i="13"/>
  <c r="AT20" i="13"/>
  <c r="AS20" i="13"/>
  <c r="AR20" i="13"/>
  <c r="D21" i="13" s="1"/>
  <c r="C13" i="13"/>
  <c r="O17" i="9"/>
  <c r="K17" i="9"/>
  <c r="O16" i="9"/>
  <c r="K16" i="9"/>
  <c r="O15" i="9"/>
  <c r="K15" i="9"/>
  <c r="O14" i="9"/>
  <c r="K14" i="9"/>
  <c r="O13" i="9"/>
  <c r="K13" i="9"/>
  <c r="B13" i="9"/>
  <c r="O12" i="9"/>
  <c r="K12" i="9"/>
  <c r="O11" i="9"/>
  <c r="K11" i="9"/>
  <c r="O10" i="9"/>
  <c r="K10" i="9"/>
  <c r="O9" i="9"/>
  <c r="K9" i="9"/>
  <c r="O8" i="9"/>
  <c r="K8" i="9"/>
  <c r="O7" i="9"/>
  <c r="K7" i="9"/>
  <c r="CH6" i="9"/>
  <c r="O6" i="9"/>
  <c r="K6" i="9"/>
  <c r="CH5" i="9"/>
  <c r="O5" i="9"/>
  <c r="K5" i="9"/>
  <c r="CH4" i="9"/>
  <c r="BZ4" i="9"/>
  <c r="O4" i="9"/>
  <c r="K4" i="9"/>
  <c r="BC86" i="8"/>
  <c r="BC67" i="8"/>
  <c r="BC64" i="8"/>
  <c r="BC60" i="8"/>
  <c r="BC57" i="8"/>
  <c r="BC53" i="8"/>
  <c r="BC39" i="8"/>
  <c r="BC35" i="8"/>
  <c r="BC32" i="8"/>
  <c r="BC28" i="8"/>
  <c r="BC25" i="8"/>
  <c r="BC23" i="8"/>
  <c r="BC21" i="8"/>
  <c r="X17" i="8"/>
  <c r="T17" i="8"/>
  <c r="P17" i="8"/>
  <c r="K17" i="8"/>
  <c r="B17" i="8"/>
  <c r="X16" i="8"/>
  <c r="T16" i="8"/>
  <c r="P16" i="8"/>
  <c r="K16" i="8"/>
  <c r="B16" i="8"/>
  <c r="X15" i="8"/>
  <c r="T15" i="8"/>
  <c r="P15" i="8"/>
  <c r="K15" i="8"/>
  <c r="B15" i="8"/>
  <c r="X14" i="8"/>
  <c r="T14" i="8"/>
  <c r="P14" i="8"/>
  <c r="K14" i="8"/>
  <c r="B14" i="8"/>
  <c r="X13" i="8"/>
  <c r="T13" i="8"/>
  <c r="P13" i="8"/>
  <c r="K13" i="8"/>
  <c r="X12" i="8"/>
  <c r="T12" i="8"/>
  <c r="P12" i="8"/>
  <c r="K12" i="8"/>
  <c r="X11" i="8"/>
  <c r="T11" i="8"/>
  <c r="P11" i="8"/>
  <c r="K11" i="8"/>
  <c r="X10" i="8"/>
  <c r="T10" i="8"/>
  <c r="P10" i="8"/>
  <c r="K10" i="8"/>
  <c r="B10" i="8"/>
  <c r="X9" i="8"/>
  <c r="T9" i="8"/>
  <c r="P9" i="8"/>
  <c r="K9" i="8"/>
  <c r="B9" i="8"/>
  <c r="BC8" i="8"/>
  <c r="X8" i="8"/>
  <c r="T8" i="8"/>
  <c r="P8" i="8"/>
  <c r="K8" i="8"/>
  <c r="B8" i="8"/>
  <c r="B7" i="8" s="1"/>
  <c r="X7" i="8"/>
  <c r="T7" i="8"/>
  <c r="P7" i="8"/>
  <c r="K7" i="8"/>
  <c r="DA6" i="8"/>
  <c r="X6" i="8"/>
  <c r="T6" i="8"/>
  <c r="P6" i="8"/>
  <c r="K6" i="8"/>
  <c r="DN5" i="8"/>
  <c r="X5" i="8"/>
  <c r="T5" i="8"/>
  <c r="P5" i="8"/>
  <c r="K5" i="8"/>
  <c r="DN4" i="8"/>
  <c r="X4" i="8"/>
  <c r="T4" i="8"/>
  <c r="P4" i="8"/>
  <c r="K4" i="8"/>
  <c r="BC90" i="8"/>
  <c r="P17" i="7"/>
  <c r="K17" i="7"/>
  <c r="B17" i="7"/>
  <c r="DC5" i="7" s="1"/>
  <c r="P16" i="7"/>
  <c r="K16" i="7"/>
  <c r="B16" i="7"/>
  <c r="P15" i="7"/>
  <c r="K15" i="7"/>
  <c r="B15" i="7"/>
  <c r="P14" i="7"/>
  <c r="K14" i="7"/>
  <c r="B14" i="7"/>
  <c r="P13" i="7"/>
  <c r="K13" i="7"/>
  <c r="P12" i="7"/>
  <c r="K12" i="7"/>
  <c r="P11" i="7"/>
  <c r="K11" i="7"/>
  <c r="B11" i="7"/>
  <c r="P10" i="7"/>
  <c r="K10" i="7"/>
  <c r="B10" i="7"/>
  <c r="P9" i="7"/>
  <c r="K9" i="7"/>
  <c r="B9" i="7"/>
  <c r="P8" i="7"/>
  <c r="K8" i="7"/>
  <c r="B8" i="7"/>
  <c r="B7" i="7" s="1"/>
  <c r="P7" i="7"/>
  <c r="K7" i="7"/>
  <c r="CY6" i="7"/>
  <c r="BK6" i="7"/>
  <c r="P6" i="7"/>
  <c r="K6" i="7"/>
  <c r="CY5" i="7"/>
  <c r="BK5" i="7"/>
  <c r="P5" i="7"/>
  <c r="K5" i="7"/>
  <c r="CY4" i="7"/>
  <c r="BK4" i="7"/>
  <c r="X4" i="7"/>
  <c r="P4" i="7"/>
  <c r="B4" i="7"/>
  <c r="B18" i="5"/>
  <c r="P17" i="5"/>
  <c r="K17" i="5"/>
  <c r="B17" i="5"/>
  <c r="DI5" i="5" s="1"/>
  <c r="P16" i="5"/>
  <c r="K16" i="5"/>
  <c r="B16" i="5"/>
  <c r="P15" i="5"/>
  <c r="K15" i="5"/>
  <c r="B15" i="5"/>
  <c r="CK14" i="5"/>
  <c r="P14" i="5"/>
  <c r="K14" i="5"/>
  <c r="E14" i="5"/>
  <c r="CH14" i="5" s="1"/>
  <c r="B14" i="5"/>
  <c r="CH13" i="5"/>
  <c r="P13" i="5"/>
  <c r="K13" i="5"/>
  <c r="P12" i="5"/>
  <c r="K12" i="5"/>
  <c r="P11" i="5"/>
  <c r="K11" i="5"/>
  <c r="B11" i="5"/>
  <c r="CK10" i="5"/>
  <c r="P10" i="5"/>
  <c r="K10" i="5"/>
  <c r="B10" i="5"/>
  <c r="P9" i="5"/>
  <c r="K9" i="5"/>
  <c r="B9" i="5"/>
  <c r="B12" i="5" s="1"/>
  <c r="CK8" i="5"/>
  <c r="P8" i="5"/>
  <c r="K8" i="5"/>
  <c r="B8" i="5"/>
  <c r="CR7" i="5"/>
  <c r="CN7" i="5"/>
  <c r="P7" i="5"/>
  <c r="K7" i="5"/>
  <c r="B7" i="5"/>
  <c r="DE6" i="5"/>
  <c r="CR6" i="5"/>
  <c r="CN6" i="5"/>
  <c r="BZ6" i="5"/>
  <c r="P6" i="5"/>
  <c r="K6" i="5"/>
  <c r="B6" i="5"/>
  <c r="DE5" i="5"/>
  <c r="CR5" i="5"/>
  <c r="CH5" i="5"/>
  <c r="BZ5" i="5"/>
  <c r="P5" i="5"/>
  <c r="K5" i="5"/>
  <c r="B5" i="5"/>
  <c r="DI4" i="5"/>
  <c r="DE4" i="5"/>
  <c r="CN4" i="5"/>
  <c r="CK4" i="5"/>
  <c r="X4" i="5"/>
  <c r="P4" i="5"/>
  <c r="B4" i="5"/>
  <c r="BA11" i="5" s="1"/>
  <c r="B18" i="4"/>
  <c r="T17" i="4"/>
  <c r="U17" i="4" s="1"/>
  <c r="R17" i="4" s="1"/>
  <c r="P17" i="4"/>
  <c r="K17" i="4"/>
  <c r="B17" i="4"/>
  <c r="T16" i="4"/>
  <c r="P16" i="4"/>
  <c r="K16" i="4"/>
  <c r="F16" i="4"/>
  <c r="U10" i="4" s="1"/>
  <c r="R10" i="4" s="1"/>
  <c r="B16" i="4"/>
  <c r="DE4" i="4" s="1"/>
  <c r="T15" i="4"/>
  <c r="U15" i="4" s="1"/>
  <c r="R15" i="4" s="1"/>
  <c r="P15" i="4"/>
  <c r="K15" i="4"/>
  <c r="B15" i="4"/>
  <c r="CR6" i="4" s="1"/>
  <c r="T14" i="4"/>
  <c r="P14" i="4"/>
  <c r="K14" i="4"/>
  <c r="E14" i="4"/>
  <c r="CH14" i="4" s="1"/>
  <c r="B14" i="4"/>
  <c r="BK13" i="4"/>
  <c r="BI13" i="4"/>
  <c r="U13" i="4"/>
  <c r="R13" i="4" s="1"/>
  <c r="T13" i="4"/>
  <c r="P13" i="4"/>
  <c r="K13" i="4"/>
  <c r="T12" i="4"/>
  <c r="P12" i="4"/>
  <c r="K12" i="4"/>
  <c r="B12" i="4"/>
  <c r="CH11" i="4"/>
  <c r="BK11" i="4"/>
  <c r="AY11" i="4"/>
  <c r="AV11" i="4"/>
  <c r="U11" i="4"/>
  <c r="R11" i="4" s="1"/>
  <c r="T11" i="4"/>
  <c r="P11" i="4"/>
  <c r="K11" i="4"/>
  <c r="B11" i="4"/>
  <c r="CN10" i="4"/>
  <c r="BI10" i="4"/>
  <c r="BF10" i="4"/>
  <c r="AY10" i="4"/>
  <c r="AV10" i="4"/>
  <c r="T10" i="4"/>
  <c r="P10" i="4"/>
  <c r="K10" i="4"/>
  <c r="B10" i="4"/>
  <c r="BI9" i="4"/>
  <c r="BF9" i="4"/>
  <c r="AY9" i="4"/>
  <c r="AV9" i="4"/>
  <c r="U9" i="4"/>
  <c r="R9" i="4" s="1"/>
  <c r="T9" i="4"/>
  <c r="P9" i="4"/>
  <c r="K9" i="4"/>
  <c r="B9" i="4"/>
  <c r="CK8" i="4"/>
  <c r="BK8" i="4"/>
  <c r="BD8" i="4"/>
  <c r="BA8" i="4"/>
  <c r="AT8" i="4"/>
  <c r="T8" i="4"/>
  <c r="P8" i="4"/>
  <c r="K8" i="4"/>
  <c r="B8" i="4"/>
  <c r="CR7" i="4"/>
  <c r="BI7" i="4"/>
  <c r="BF7" i="4"/>
  <c r="AY7" i="4"/>
  <c r="AV7" i="4"/>
  <c r="U7" i="4"/>
  <c r="R7" i="4" s="1"/>
  <c r="T7" i="4"/>
  <c r="P7" i="4"/>
  <c r="K7" i="4"/>
  <c r="B7" i="4"/>
  <c r="BZ6" i="4"/>
  <c r="BI6" i="4"/>
  <c r="BF6" i="4"/>
  <c r="AY6" i="4"/>
  <c r="AV6" i="4"/>
  <c r="U6" i="4"/>
  <c r="R6" i="4" s="1"/>
  <c r="T6" i="4"/>
  <c r="P6" i="4"/>
  <c r="K6" i="4"/>
  <c r="B6" i="4"/>
  <c r="DI5" i="4"/>
  <c r="CR5" i="4"/>
  <c r="BZ5" i="4"/>
  <c r="BK5" i="4"/>
  <c r="BI5" i="4"/>
  <c r="BA5" i="4"/>
  <c r="AY5" i="4"/>
  <c r="T5" i="4"/>
  <c r="U5" i="4" s="1"/>
  <c r="R5" i="4"/>
  <c r="P5" i="4"/>
  <c r="K5" i="4"/>
  <c r="B5" i="4"/>
  <c r="DI4" i="4"/>
  <c r="BK4" i="4"/>
  <c r="BF4" i="4"/>
  <c r="BD4" i="4"/>
  <c r="BA4" i="4"/>
  <c r="AV4" i="4"/>
  <c r="AT4" i="4"/>
  <c r="X4" i="4"/>
  <c r="U4" i="4"/>
  <c r="R4" i="4" s="1"/>
  <c r="T4" i="4"/>
  <c r="P4" i="4"/>
  <c r="K4" i="4"/>
  <c r="B4" i="4"/>
  <c r="BK12" i="4" s="1"/>
  <c r="B18" i="3"/>
  <c r="T17" i="3"/>
  <c r="P17" i="3"/>
  <c r="K17" i="3"/>
  <c r="B17" i="3"/>
  <c r="DI5" i="3" s="1"/>
  <c r="T16" i="3"/>
  <c r="P16" i="3"/>
  <c r="K16" i="3"/>
  <c r="B16" i="3"/>
  <c r="T15" i="3"/>
  <c r="P15" i="3"/>
  <c r="K15" i="3"/>
  <c r="B15" i="3"/>
  <c r="T14" i="3"/>
  <c r="P14" i="3"/>
  <c r="K14" i="3"/>
  <c r="B14" i="3"/>
  <c r="T13" i="3"/>
  <c r="P13" i="3"/>
  <c r="K13" i="3"/>
  <c r="T12" i="3"/>
  <c r="P12" i="3"/>
  <c r="K12" i="3"/>
  <c r="AT11" i="3"/>
  <c r="T11" i="3"/>
  <c r="P11" i="3"/>
  <c r="K11" i="3"/>
  <c r="B11" i="3"/>
  <c r="BD10" i="3"/>
  <c r="T10" i="3"/>
  <c r="P10" i="3"/>
  <c r="K10" i="3"/>
  <c r="B10" i="3"/>
  <c r="DA9" i="3"/>
  <c r="AT9" i="3"/>
  <c r="T9" i="3"/>
  <c r="P9" i="3"/>
  <c r="K9" i="3"/>
  <c r="F9" i="3"/>
  <c r="E9" i="3"/>
  <c r="B9" i="3"/>
  <c r="B12" i="3" s="1"/>
  <c r="AV8" i="3"/>
  <c r="T8" i="3"/>
  <c r="P8" i="3"/>
  <c r="K8" i="3"/>
  <c r="B8" i="3"/>
  <c r="DA7" i="3"/>
  <c r="CW7" i="3"/>
  <c r="CR7" i="3"/>
  <c r="AT7" i="3"/>
  <c r="T7" i="3"/>
  <c r="P7" i="3"/>
  <c r="K7" i="3"/>
  <c r="B7" i="3"/>
  <c r="DE6" i="3"/>
  <c r="CR6" i="3"/>
  <c r="BZ6" i="3"/>
  <c r="BD6" i="3"/>
  <c r="T6" i="3"/>
  <c r="P6" i="3"/>
  <c r="K6" i="3"/>
  <c r="B6" i="3"/>
  <c r="DE5" i="3"/>
  <c r="DA5" i="3"/>
  <c r="CW5" i="3"/>
  <c r="CR5" i="3"/>
  <c r="BZ5" i="3"/>
  <c r="BF5" i="3"/>
  <c r="BD5" i="3"/>
  <c r="T5" i="3"/>
  <c r="P5" i="3"/>
  <c r="K5" i="3"/>
  <c r="B5" i="3"/>
  <c r="DE4" i="3"/>
  <c r="V25" i="13" s="1"/>
  <c r="BZ4" i="3"/>
  <c r="J25" i="13" s="1"/>
  <c r="BK4" i="3"/>
  <c r="BI4" i="3"/>
  <c r="T4" i="3"/>
  <c r="P4" i="3"/>
  <c r="K4" i="3"/>
  <c r="B4" i="3"/>
  <c r="BA11" i="3" s="1"/>
  <c r="AJ35" i="2"/>
  <c r="AJ34" i="2"/>
  <c r="AI34" i="2"/>
  <c r="AJ33" i="2"/>
  <c r="AI33" i="2"/>
  <c r="AH33" i="2"/>
  <c r="AJ32" i="2"/>
  <c r="AI32" i="2"/>
  <c r="AH32" i="2"/>
  <c r="AG32" i="2"/>
  <c r="AJ31" i="2"/>
  <c r="AI31" i="2"/>
  <c r="AH31" i="2"/>
  <c r="AG31" i="2"/>
  <c r="AF31" i="2"/>
  <c r="AJ30" i="2"/>
  <c r="AI30" i="2"/>
  <c r="AH30" i="2"/>
  <c r="AG30" i="2"/>
  <c r="AF30" i="2"/>
  <c r="AE30" i="2"/>
  <c r="AJ29" i="2"/>
  <c r="AI29" i="2"/>
  <c r="AH29" i="2"/>
  <c r="AG29" i="2"/>
  <c r="AF29" i="2"/>
  <c r="AE29" i="2"/>
  <c r="AD29" i="2"/>
  <c r="AJ28" i="2"/>
  <c r="AI28" i="2"/>
  <c r="AH28" i="2"/>
  <c r="AG28" i="2"/>
  <c r="AF28" i="2"/>
  <c r="AE28" i="2"/>
  <c r="AD28" i="2"/>
  <c r="AC28" i="2"/>
  <c r="AJ27" i="2"/>
  <c r="AI27" i="2"/>
  <c r="AH27" i="2"/>
  <c r="AG27" i="2"/>
  <c r="AF27" i="2"/>
  <c r="AE27" i="2"/>
  <c r="AD27" i="2"/>
  <c r="AC27" i="2"/>
  <c r="AB27" i="2"/>
  <c r="AJ26" i="2"/>
  <c r="AI26" i="2"/>
  <c r="AH26" i="2"/>
  <c r="AG26" i="2"/>
  <c r="AF26" i="2"/>
  <c r="AE26" i="2"/>
  <c r="AD26" i="2"/>
  <c r="AC26" i="2"/>
  <c r="AB26" i="2"/>
  <c r="AA26" i="2"/>
  <c r="AJ25" i="2"/>
  <c r="AI25" i="2"/>
  <c r="AH25" i="2"/>
  <c r="AG25" i="2"/>
  <c r="AF25" i="2"/>
  <c r="AE25" i="2"/>
  <c r="AD25" i="2"/>
  <c r="AC25" i="2"/>
  <c r="AB25" i="2"/>
  <c r="AA25" i="2"/>
  <c r="Z25" i="2"/>
  <c r="AJ24" i="2"/>
  <c r="AI24" i="2"/>
  <c r="AH24" i="2"/>
  <c r="AG24" i="2"/>
  <c r="AF24" i="2"/>
  <c r="AE24" i="2"/>
  <c r="AD24" i="2"/>
  <c r="AC24" i="2"/>
  <c r="AB24" i="2"/>
  <c r="AA24" i="2"/>
  <c r="Z24" i="2"/>
  <c r="Y24" i="2"/>
  <c r="AJ23" i="2"/>
  <c r="AI23" i="2"/>
  <c r="AH23" i="2"/>
  <c r="AG23" i="2"/>
  <c r="AF23" i="2"/>
  <c r="AE23" i="2"/>
  <c r="AD23" i="2"/>
  <c r="AC23" i="2"/>
  <c r="AB23" i="2"/>
  <c r="AA23" i="2"/>
  <c r="Z23" i="2"/>
  <c r="Y23" i="2"/>
  <c r="X23" i="2"/>
  <c r="AJ22" i="2"/>
  <c r="AI22" i="2"/>
  <c r="AH22" i="2"/>
  <c r="AG22" i="2"/>
  <c r="AF22" i="2"/>
  <c r="AE22" i="2"/>
  <c r="AD22" i="2"/>
  <c r="AC22" i="2"/>
  <c r="AB22" i="2"/>
  <c r="AA22" i="2"/>
  <c r="Z22" i="2"/>
  <c r="Y22" i="2"/>
  <c r="X22" i="2"/>
  <c r="W22" i="2"/>
  <c r="AJ21" i="2"/>
  <c r="AI21" i="2"/>
  <c r="AH21" i="2"/>
  <c r="AG21" i="2"/>
  <c r="AF21" i="2"/>
  <c r="AE21" i="2"/>
  <c r="AD21" i="2"/>
  <c r="AC21" i="2"/>
  <c r="AB21" i="2"/>
  <c r="AA21" i="2"/>
  <c r="Z21" i="2"/>
  <c r="Y21" i="2"/>
  <c r="X21" i="2"/>
  <c r="W21" i="2"/>
  <c r="V21" i="2"/>
  <c r="AJ20" i="2"/>
  <c r="AI20" i="2"/>
  <c r="AH20" i="2"/>
  <c r="AG20" i="2"/>
  <c r="AF20" i="2"/>
  <c r="AE20" i="2"/>
  <c r="AD20" i="2"/>
  <c r="AC20" i="2"/>
  <c r="AB20" i="2"/>
  <c r="AA20" i="2"/>
  <c r="Z20" i="2"/>
  <c r="Y20" i="2"/>
  <c r="X20" i="2"/>
  <c r="W20" i="2"/>
  <c r="V20" i="2"/>
  <c r="U20" i="2"/>
  <c r="AJ19" i="2"/>
  <c r="AI19" i="2"/>
  <c r="AH19" i="2"/>
  <c r="AG19" i="2"/>
  <c r="AF19" i="2"/>
  <c r="AE19" i="2"/>
  <c r="AD19" i="2"/>
  <c r="AC19" i="2"/>
  <c r="AB19" i="2"/>
  <c r="AA19" i="2"/>
  <c r="Z19" i="2"/>
  <c r="Y19" i="2"/>
  <c r="X19" i="2"/>
  <c r="W19" i="2"/>
  <c r="V19" i="2"/>
  <c r="U19" i="2"/>
  <c r="T19" i="2"/>
  <c r="AJ18" i="2"/>
  <c r="AI18" i="2"/>
  <c r="AH18" i="2"/>
  <c r="AG18" i="2"/>
  <c r="AF18" i="2"/>
  <c r="AE18" i="2"/>
  <c r="AD18" i="2"/>
  <c r="AC18" i="2"/>
  <c r="AB18" i="2"/>
  <c r="AA18" i="2"/>
  <c r="Z18" i="2"/>
  <c r="Y18" i="2"/>
  <c r="X18" i="2"/>
  <c r="W18" i="2"/>
  <c r="V18" i="2"/>
  <c r="U18" i="2"/>
  <c r="T18" i="2"/>
  <c r="S18" i="2"/>
  <c r="AJ17" i="2"/>
  <c r="AI17" i="2"/>
  <c r="AH17" i="2"/>
  <c r="AG17" i="2"/>
  <c r="AF17" i="2"/>
  <c r="AE17" i="2"/>
  <c r="AD17" i="2"/>
  <c r="AC17" i="2"/>
  <c r="AB17" i="2"/>
  <c r="AA17" i="2"/>
  <c r="Z17" i="2"/>
  <c r="Y17" i="2"/>
  <c r="X17" i="2"/>
  <c r="W17" i="2"/>
  <c r="V17" i="2"/>
  <c r="U17" i="2"/>
  <c r="T17" i="2"/>
  <c r="S17" i="2"/>
  <c r="R17" i="2"/>
  <c r="AJ16" i="2"/>
  <c r="AI16" i="2"/>
  <c r="AH16" i="2"/>
  <c r="AG16" i="2"/>
  <c r="AF16" i="2"/>
  <c r="AE16" i="2"/>
  <c r="AD16" i="2"/>
  <c r="AC16" i="2"/>
  <c r="AB16" i="2"/>
  <c r="AA16" i="2"/>
  <c r="Z16" i="2"/>
  <c r="Y16" i="2"/>
  <c r="X16" i="2"/>
  <c r="W16" i="2"/>
  <c r="V16" i="2"/>
  <c r="U16" i="2"/>
  <c r="T16" i="2"/>
  <c r="S16" i="2"/>
  <c r="R16" i="2"/>
  <c r="Q16" i="2"/>
  <c r="AJ15" i="2"/>
  <c r="AI15" i="2"/>
  <c r="AH15" i="2"/>
  <c r="AG15" i="2"/>
  <c r="AF15" i="2"/>
  <c r="AE15" i="2"/>
  <c r="AD15" i="2"/>
  <c r="AC15" i="2"/>
  <c r="AB15" i="2"/>
  <c r="AA15" i="2"/>
  <c r="Z15" i="2"/>
  <c r="Y15" i="2"/>
  <c r="X15" i="2"/>
  <c r="W15" i="2"/>
  <c r="V15" i="2"/>
  <c r="U15" i="2"/>
  <c r="T15" i="2"/>
  <c r="S15" i="2"/>
  <c r="R15" i="2"/>
  <c r="Q15" i="2"/>
  <c r="P15" i="2"/>
  <c r="AJ14" i="2"/>
  <c r="AI14" i="2"/>
  <c r="AH14" i="2"/>
  <c r="AG14" i="2"/>
  <c r="AF14" i="2"/>
  <c r="AE14" i="2"/>
  <c r="AD14" i="2"/>
  <c r="AC14" i="2"/>
  <c r="AB14" i="2"/>
  <c r="AA14" i="2"/>
  <c r="Z14" i="2"/>
  <c r="Y14" i="2"/>
  <c r="X14" i="2"/>
  <c r="W14" i="2"/>
  <c r="V14" i="2"/>
  <c r="U14" i="2"/>
  <c r="T14" i="2"/>
  <c r="S14" i="2"/>
  <c r="R14" i="2"/>
  <c r="Q14" i="2"/>
  <c r="P14" i="2"/>
  <c r="O14" i="2"/>
  <c r="AJ13" i="2"/>
  <c r="AI13" i="2"/>
  <c r="AH13" i="2"/>
  <c r="AG13" i="2"/>
  <c r="AF13" i="2"/>
  <c r="AE13" i="2"/>
  <c r="AD13" i="2"/>
  <c r="AC13" i="2"/>
  <c r="AB13" i="2"/>
  <c r="AA13" i="2"/>
  <c r="Z13" i="2"/>
  <c r="Y13" i="2"/>
  <c r="X13" i="2"/>
  <c r="W13" i="2"/>
  <c r="V13" i="2"/>
  <c r="U13" i="2"/>
  <c r="T13" i="2"/>
  <c r="S13" i="2"/>
  <c r="R13" i="2"/>
  <c r="Q13" i="2"/>
  <c r="P13" i="2"/>
  <c r="O13" i="2"/>
  <c r="N13" i="2"/>
  <c r="AG12" i="2"/>
  <c r="AF12" i="2"/>
  <c r="AE12" i="2"/>
  <c r="AD12" i="2"/>
  <c r="AC12" i="2"/>
  <c r="AB12" i="2"/>
  <c r="AA12" i="2"/>
  <c r="Z12" i="2"/>
  <c r="Y12" i="2"/>
  <c r="X12" i="2"/>
  <c r="W12" i="2"/>
  <c r="V12" i="2"/>
  <c r="U12" i="2"/>
  <c r="T12" i="2"/>
  <c r="S12" i="2"/>
  <c r="R12" i="2"/>
  <c r="Q12" i="2"/>
  <c r="P12" i="2"/>
  <c r="O12" i="2"/>
  <c r="N12" i="2"/>
  <c r="M12" i="2"/>
  <c r="AE11" i="2"/>
  <c r="AD11" i="2"/>
  <c r="AC11" i="2"/>
  <c r="AB11" i="2"/>
  <c r="AA11" i="2"/>
  <c r="Z11" i="2"/>
  <c r="Y11" i="2"/>
  <c r="X11" i="2"/>
  <c r="W11" i="2"/>
  <c r="V11" i="2"/>
  <c r="U11" i="2"/>
  <c r="T11" i="2"/>
  <c r="S11" i="2"/>
  <c r="R11" i="2"/>
  <c r="Q11" i="2"/>
  <c r="P11" i="2"/>
  <c r="O11" i="2"/>
  <c r="N11" i="2"/>
  <c r="M11" i="2"/>
  <c r="L11" i="2"/>
  <c r="AB10" i="2"/>
  <c r="AA10" i="2"/>
  <c r="Z10" i="2"/>
  <c r="Y10" i="2"/>
  <c r="X10" i="2"/>
  <c r="W10" i="2"/>
  <c r="V10" i="2"/>
  <c r="U10" i="2"/>
  <c r="T10" i="2"/>
  <c r="S10" i="2"/>
  <c r="R10" i="2"/>
  <c r="Q10" i="2"/>
  <c r="P10" i="2"/>
  <c r="O10" i="2"/>
  <c r="N10" i="2"/>
  <c r="M10" i="2"/>
  <c r="L10" i="2"/>
  <c r="K10" i="2"/>
  <c r="Z9" i="2"/>
  <c r="Y9" i="2"/>
  <c r="X9" i="2"/>
  <c r="W9" i="2"/>
  <c r="V9" i="2"/>
  <c r="U9" i="2"/>
  <c r="T9" i="2"/>
  <c r="S9" i="2"/>
  <c r="R9" i="2"/>
  <c r="Q9" i="2"/>
  <c r="P9" i="2"/>
  <c r="O9" i="2"/>
  <c r="N9" i="2"/>
  <c r="M9" i="2"/>
  <c r="L9" i="2"/>
  <c r="K9" i="2"/>
  <c r="J9" i="2"/>
  <c r="U8" i="2"/>
  <c r="T8" i="2"/>
  <c r="S8" i="2"/>
  <c r="R8" i="2"/>
  <c r="Q8" i="2"/>
  <c r="P8" i="2"/>
  <c r="O8" i="2"/>
  <c r="N8" i="2"/>
  <c r="M8" i="2"/>
  <c r="L8" i="2"/>
  <c r="K8" i="2"/>
  <c r="J8" i="2"/>
  <c r="I8" i="2"/>
  <c r="P7" i="2"/>
  <c r="O7" i="2"/>
  <c r="N7" i="2"/>
  <c r="M7" i="2"/>
  <c r="L7" i="2"/>
  <c r="K7" i="2"/>
  <c r="J7" i="2"/>
  <c r="I7" i="2"/>
  <c r="H7" i="2"/>
  <c r="O6" i="2"/>
  <c r="N6" i="2"/>
  <c r="M6" i="2"/>
  <c r="L6" i="2"/>
  <c r="K6" i="2"/>
  <c r="J6" i="2"/>
  <c r="I6" i="2"/>
  <c r="H6" i="2"/>
  <c r="G6" i="2"/>
  <c r="N5" i="2"/>
  <c r="M5" i="2"/>
  <c r="L5" i="2"/>
  <c r="K5" i="2"/>
  <c r="J5" i="2"/>
  <c r="I5" i="2"/>
  <c r="H5" i="2"/>
  <c r="G5" i="2"/>
  <c r="F5" i="2"/>
  <c r="M4" i="2"/>
  <c r="L4" i="2"/>
  <c r="K4" i="2"/>
  <c r="J4" i="2"/>
  <c r="I4" i="2"/>
  <c r="H4" i="2"/>
  <c r="G4" i="2"/>
  <c r="F4" i="2"/>
  <c r="E4" i="2"/>
  <c r="L3" i="2"/>
  <c r="K3" i="2"/>
  <c r="J3" i="2"/>
  <c r="I3" i="2"/>
  <c r="H3" i="2"/>
  <c r="G3" i="2"/>
  <c r="F3" i="2"/>
  <c r="E3" i="2"/>
  <c r="D3" i="2"/>
  <c r="K2" i="2"/>
  <c r="J2" i="2"/>
  <c r="I2" i="2"/>
  <c r="H2" i="2"/>
  <c r="G2" i="2"/>
  <c r="F2" i="2"/>
  <c r="E2" i="2"/>
  <c r="D2" i="2"/>
  <c r="C2" i="2"/>
  <c r="Q56" i="1"/>
  <c r="P56" i="1"/>
  <c r="O56" i="1"/>
  <c r="N56" i="1"/>
  <c r="M56" i="1"/>
  <c r="L56" i="1"/>
  <c r="K56" i="1"/>
  <c r="J56" i="1"/>
  <c r="I56" i="1"/>
  <c r="H56" i="1"/>
  <c r="G56" i="1"/>
  <c r="F56" i="1"/>
  <c r="E56" i="1"/>
  <c r="D56" i="1"/>
  <c r="C56" i="1"/>
  <c r="Q55" i="1"/>
  <c r="P55" i="1"/>
  <c r="O55" i="1"/>
  <c r="N55" i="1"/>
  <c r="M55" i="1"/>
  <c r="L55" i="1"/>
  <c r="K55" i="1"/>
  <c r="J55" i="1"/>
  <c r="I55" i="1"/>
  <c r="H55" i="1"/>
  <c r="G55" i="1"/>
  <c r="F55" i="1"/>
  <c r="E55" i="1"/>
  <c r="D55" i="1"/>
  <c r="C55" i="1"/>
  <c r="Q54" i="1"/>
  <c r="P54" i="1"/>
  <c r="O54" i="1"/>
  <c r="N54" i="1"/>
  <c r="M54" i="1"/>
  <c r="L54" i="1"/>
  <c r="K54" i="1"/>
  <c r="J54" i="1"/>
  <c r="I54" i="1"/>
  <c r="H54" i="1"/>
  <c r="G54" i="1"/>
  <c r="F54" i="1"/>
  <c r="E54" i="1"/>
  <c r="D54" i="1"/>
  <c r="C54" i="1"/>
  <c r="Q53" i="1"/>
  <c r="P53" i="1"/>
  <c r="O53" i="1"/>
  <c r="N53" i="1"/>
  <c r="M53" i="1"/>
  <c r="L53" i="1"/>
  <c r="K53" i="1"/>
  <c r="J53" i="1"/>
  <c r="I53" i="1"/>
  <c r="H53" i="1"/>
  <c r="G53" i="1"/>
  <c r="F53" i="1"/>
  <c r="E53" i="1"/>
  <c r="D53" i="1"/>
  <c r="C53" i="1"/>
  <c r="Q52" i="1"/>
  <c r="P52" i="1"/>
  <c r="O52" i="1"/>
  <c r="N52" i="1"/>
  <c r="M52" i="1"/>
  <c r="L52" i="1"/>
  <c r="K52" i="1"/>
  <c r="J52" i="1"/>
  <c r="I52" i="1"/>
  <c r="H52" i="1"/>
  <c r="G52" i="1"/>
  <c r="F52" i="1"/>
  <c r="E52" i="1"/>
  <c r="D52" i="1"/>
  <c r="C52" i="1"/>
  <c r="Q51" i="1"/>
  <c r="P51" i="1"/>
  <c r="O51" i="1"/>
  <c r="N51" i="1"/>
  <c r="M51" i="1"/>
  <c r="L51" i="1"/>
  <c r="K51" i="1"/>
  <c r="J51" i="1"/>
  <c r="I51" i="1"/>
  <c r="H51" i="1"/>
  <c r="G51" i="1"/>
  <c r="F51" i="1"/>
  <c r="E51" i="1"/>
  <c r="D51" i="1"/>
  <c r="C51" i="1"/>
  <c r="Q50" i="1"/>
  <c r="P50" i="1"/>
  <c r="O50" i="1"/>
  <c r="N50" i="1"/>
  <c r="M50" i="1"/>
  <c r="L50" i="1"/>
  <c r="K50" i="1"/>
  <c r="J50" i="1"/>
  <c r="I50" i="1"/>
  <c r="H50" i="1"/>
  <c r="G50" i="1"/>
  <c r="F50" i="1"/>
  <c r="E50" i="1"/>
  <c r="D50" i="1"/>
  <c r="C50" i="1"/>
  <c r="Q49" i="1"/>
  <c r="P49" i="1"/>
  <c r="O49" i="1"/>
  <c r="N49" i="1"/>
  <c r="M49" i="1"/>
  <c r="L49" i="1"/>
  <c r="K49" i="1"/>
  <c r="J49" i="1"/>
  <c r="I49" i="1"/>
  <c r="H49" i="1"/>
  <c r="G49" i="1"/>
  <c r="F49" i="1"/>
  <c r="E49" i="1"/>
  <c r="D49" i="1"/>
  <c r="C49" i="1"/>
  <c r="Q48" i="1"/>
  <c r="P48" i="1"/>
  <c r="O48" i="1"/>
  <c r="N48" i="1"/>
  <c r="M48" i="1"/>
  <c r="L48" i="1"/>
  <c r="K48" i="1"/>
  <c r="J48" i="1"/>
  <c r="I48" i="1"/>
  <c r="H48" i="1"/>
  <c r="G48" i="1"/>
  <c r="F48" i="1"/>
  <c r="E48" i="1"/>
  <c r="D48" i="1"/>
  <c r="C48" i="1"/>
  <c r="Q47" i="1"/>
  <c r="P47" i="1"/>
  <c r="O47" i="1"/>
  <c r="N47" i="1"/>
  <c r="M47" i="1"/>
  <c r="L47" i="1"/>
  <c r="K47" i="1"/>
  <c r="J47" i="1"/>
  <c r="I47" i="1"/>
  <c r="H47" i="1"/>
  <c r="G47" i="1"/>
  <c r="F47" i="1"/>
  <c r="E47" i="1"/>
  <c r="D47" i="1"/>
  <c r="C47" i="1"/>
  <c r="Q46" i="1"/>
  <c r="P46" i="1"/>
  <c r="O46" i="1"/>
  <c r="N46" i="1"/>
  <c r="M46" i="1"/>
  <c r="L46" i="1"/>
  <c r="K46" i="1"/>
  <c r="J46" i="1"/>
  <c r="I46" i="1"/>
  <c r="H46" i="1"/>
  <c r="G46" i="1"/>
  <c r="F46" i="1"/>
  <c r="E46" i="1"/>
  <c r="D46" i="1"/>
  <c r="C46" i="1"/>
  <c r="Q45" i="1"/>
  <c r="P45" i="1"/>
  <c r="O45" i="1"/>
  <c r="N45" i="1"/>
  <c r="M45" i="1"/>
  <c r="L45" i="1"/>
  <c r="K45" i="1"/>
  <c r="J45" i="1"/>
  <c r="I45" i="1"/>
  <c r="H45" i="1"/>
  <c r="G45" i="1"/>
  <c r="F45" i="1"/>
  <c r="E45" i="1"/>
  <c r="D45" i="1"/>
  <c r="C45" i="1"/>
  <c r="Q44" i="1"/>
  <c r="P44" i="1"/>
  <c r="O44" i="1"/>
  <c r="N44" i="1"/>
  <c r="M44" i="1"/>
  <c r="L44" i="1"/>
  <c r="K44" i="1"/>
  <c r="J44" i="1"/>
  <c r="I44" i="1"/>
  <c r="H44" i="1"/>
  <c r="G44" i="1"/>
  <c r="F44" i="1"/>
  <c r="E44" i="1"/>
  <c r="D44" i="1"/>
  <c r="C44" i="1"/>
  <c r="Q43" i="1"/>
  <c r="P43" i="1"/>
  <c r="O43" i="1"/>
  <c r="N43" i="1"/>
  <c r="M43" i="1"/>
  <c r="L43" i="1"/>
  <c r="K43" i="1"/>
  <c r="J43" i="1"/>
  <c r="I43" i="1"/>
  <c r="H43" i="1"/>
  <c r="G43" i="1"/>
  <c r="F43" i="1"/>
  <c r="E43" i="1"/>
  <c r="D43" i="1"/>
  <c r="C43" i="1"/>
  <c r="Q42" i="1"/>
  <c r="P42" i="1"/>
  <c r="O42" i="1"/>
  <c r="N42" i="1"/>
  <c r="M42" i="1"/>
  <c r="L42" i="1"/>
  <c r="K42" i="1"/>
  <c r="J42" i="1"/>
  <c r="I42" i="1"/>
  <c r="H42" i="1"/>
  <c r="G42" i="1"/>
  <c r="F42" i="1"/>
  <c r="E42" i="1"/>
  <c r="D42" i="1"/>
  <c r="C42" i="1"/>
  <c r="Q41" i="1"/>
  <c r="P41" i="1"/>
  <c r="O41" i="1"/>
  <c r="N41" i="1"/>
  <c r="M41" i="1"/>
  <c r="L41" i="1"/>
  <c r="K41" i="1"/>
  <c r="J41" i="1"/>
  <c r="I41" i="1"/>
  <c r="H41" i="1"/>
  <c r="G41" i="1"/>
  <c r="F41" i="1"/>
  <c r="E41" i="1"/>
  <c r="D41" i="1"/>
  <c r="C41" i="1"/>
  <c r="Q40" i="1"/>
  <c r="P40" i="1"/>
  <c r="O40" i="1"/>
  <c r="N40" i="1"/>
  <c r="M40" i="1"/>
  <c r="L40" i="1"/>
  <c r="K40" i="1"/>
  <c r="J40" i="1"/>
  <c r="I40" i="1"/>
  <c r="H40" i="1"/>
  <c r="G40" i="1"/>
  <c r="F40" i="1"/>
  <c r="E40" i="1"/>
  <c r="D40" i="1"/>
  <c r="C40" i="1"/>
  <c r="Q39" i="1"/>
  <c r="P39" i="1"/>
  <c r="O39" i="1"/>
  <c r="N39" i="1"/>
  <c r="M39" i="1"/>
  <c r="L39" i="1"/>
  <c r="K39" i="1"/>
  <c r="J39" i="1"/>
  <c r="I39" i="1"/>
  <c r="H39" i="1"/>
  <c r="G39" i="1"/>
  <c r="F39" i="1"/>
  <c r="E39" i="1"/>
  <c r="D39" i="1"/>
  <c r="C39" i="1"/>
  <c r="Q38" i="1"/>
  <c r="P38" i="1"/>
  <c r="O38" i="1"/>
  <c r="N38" i="1"/>
  <c r="M38" i="1"/>
  <c r="L38" i="1"/>
  <c r="K38" i="1"/>
  <c r="J38" i="1"/>
  <c r="I38" i="1"/>
  <c r="H38" i="1"/>
  <c r="G38" i="1"/>
  <c r="F38" i="1"/>
  <c r="E38" i="1"/>
  <c r="D38" i="1"/>
  <c r="C38" i="1"/>
  <c r="Q37" i="1"/>
  <c r="P37" i="1"/>
  <c r="O37" i="1"/>
  <c r="N37" i="1"/>
  <c r="M37" i="1"/>
  <c r="L37" i="1"/>
  <c r="K37" i="1"/>
  <c r="J37" i="1"/>
  <c r="I37" i="1"/>
  <c r="H37" i="1"/>
  <c r="G37" i="1"/>
  <c r="F37" i="1"/>
  <c r="E37" i="1"/>
  <c r="D37" i="1"/>
  <c r="C37" i="1"/>
  <c r="Q36" i="1"/>
  <c r="P36" i="1"/>
  <c r="O36" i="1"/>
  <c r="N36" i="1"/>
  <c r="M36" i="1"/>
  <c r="L36" i="1"/>
  <c r="K36" i="1"/>
  <c r="J36" i="1"/>
  <c r="I36" i="1"/>
  <c r="H36" i="1"/>
  <c r="G36" i="1"/>
  <c r="F36" i="1"/>
  <c r="E36" i="1"/>
  <c r="D36" i="1"/>
  <c r="C36" i="1"/>
  <c r="Q35" i="1"/>
  <c r="P35" i="1"/>
  <c r="O35" i="1"/>
  <c r="N35" i="1"/>
  <c r="M35" i="1"/>
  <c r="L35" i="1"/>
  <c r="K35" i="1"/>
  <c r="J35" i="1"/>
  <c r="I35" i="1"/>
  <c r="H35" i="1"/>
  <c r="G35" i="1"/>
  <c r="F35" i="1"/>
  <c r="E35" i="1"/>
  <c r="D35" i="1"/>
  <c r="C35" i="1"/>
  <c r="Q34" i="1"/>
  <c r="P34" i="1"/>
  <c r="O34" i="1"/>
  <c r="N34" i="1"/>
  <c r="M34" i="1"/>
  <c r="L34" i="1"/>
  <c r="K34" i="1"/>
  <c r="J34" i="1"/>
  <c r="I34" i="1"/>
  <c r="H34" i="1"/>
  <c r="G34" i="1"/>
  <c r="F34" i="1"/>
  <c r="E34" i="1"/>
  <c r="D34" i="1"/>
  <c r="C34" i="1"/>
  <c r="Q33" i="1"/>
  <c r="P33" i="1"/>
  <c r="O33" i="1"/>
  <c r="N33" i="1"/>
  <c r="M33" i="1"/>
  <c r="L33" i="1"/>
  <c r="K33" i="1"/>
  <c r="J33" i="1"/>
  <c r="I33" i="1"/>
  <c r="H33" i="1"/>
  <c r="G33" i="1"/>
  <c r="F33" i="1"/>
  <c r="E33" i="1"/>
  <c r="D33" i="1"/>
  <c r="C33" i="1"/>
  <c r="Q32" i="1"/>
  <c r="P32" i="1"/>
  <c r="O32" i="1"/>
  <c r="N32" i="1"/>
  <c r="M32" i="1"/>
  <c r="L32" i="1"/>
  <c r="K32" i="1"/>
  <c r="J32" i="1"/>
  <c r="I32" i="1"/>
  <c r="H32" i="1"/>
  <c r="G32" i="1"/>
  <c r="F32" i="1"/>
  <c r="E32" i="1"/>
  <c r="D32" i="1"/>
  <c r="C32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C31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C30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C29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C28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C27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C26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C24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C20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C12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C9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C8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C7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C6" i="1"/>
  <c r="Q5" i="1"/>
  <c r="P5" i="1"/>
  <c r="O5" i="1"/>
  <c r="N5" i="1"/>
  <c r="M5" i="1"/>
  <c r="L5" i="1"/>
  <c r="K5" i="1"/>
  <c r="J5" i="1"/>
  <c r="I5" i="1"/>
  <c r="H5" i="1"/>
  <c r="G5" i="1"/>
  <c r="F5" i="1"/>
  <c r="E5" i="1"/>
  <c r="D5" i="1"/>
  <c r="C5" i="1"/>
  <c r="Q4" i="1"/>
  <c r="P4" i="1"/>
  <c r="O4" i="1"/>
  <c r="N4" i="1"/>
  <c r="M4" i="1"/>
  <c r="L4" i="1"/>
  <c r="K4" i="1"/>
  <c r="J4" i="1"/>
  <c r="I4" i="1"/>
  <c r="H4" i="1"/>
  <c r="G4" i="1"/>
  <c r="F4" i="1"/>
  <c r="E4" i="1"/>
  <c r="D4" i="1"/>
  <c r="C4" i="1"/>
  <c r="Q3" i="1"/>
  <c r="P3" i="1"/>
  <c r="O3" i="1"/>
  <c r="N3" i="1"/>
  <c r="M3" i="1"/>
  <c r="L3" i="1"/>
  <c r="K3" i="1"/>
  <c r="J3" i="1"/>
  <c r="I3" i="1"/>
  <c r="H3" i="1"/>
  <c r="G3" i="1"/>
  <c r="F3" i="1"/>
  <c r="E3" i="1"/>
  <c r="D3" i="1"/>
  <c r="C3" i="1"/>
  <c r="CN14" i="5" l="1"/>
  <c r="CR4" i="5"/>
  <c r="CK5" i="5"/>
  <c r="CH6" i="5"/>
  <c r="CH7" i="5"/>
  <c r="CN8" i="5"/>
  <c r="CH9" i="5"/>
  <c r="CH12" i="5"/>
  <c r="CK13" i="5"/>
  <c r="CH4" i="5"/>
  <c r="CN5" i="5"/>
  <c r="CK6" i="5"/>
  <c r="CK7" i="5"/>
  <c r="CK9" i="5"/>
  <c r="CH10" i="5"/>
  <c r="CN13" i="5"/>
  <c r="L15" i="3"/>
  <c r="Q5" i="5"/>
  <c r="N5" i="5" s="1"/>
  <c r="I15" i="3"/>
  <c r="X4" i="3"/>
  <c r="AV5" i="5"/>
  <c r="AY7" i="5"/>
  <c r="L13" i="5"/>
  <c r="I13" i="5" s="1"/>
  <c r="BK6" i="3"/>
  <c r="BA7" i="3"/>
  <c r="AY8" i="3"/>
  <c r="CW10" i="3"/>
  <c r="CW9" i="3"/>
  <c r="CW4" i="3"/>
  <c r="R25" i="13" s="1"/>
  <c r="BA9" i="3"/>
  <c r="BK10" i="3"/>
  <c r="CN5" i="4"/>
  <c r="CK6" i="4"/>
  <c r="CN7" i="4"/>
  <c r="F4" i="5"/>
  <c r="Q4" i="5"/>
  <c r="N4" i="5" s="1"/>
  <c r="AY4" i="5"/>
  <c r="E9" i="5"/>
  <c r="BD5" i="5"/>
  <c r="U7" i="5"/>
  <c r="R7" i="5" s="1"/>
  <c r="BA7" i="5"/>
  <c r="AY8" i="5"/>
  <c r="AT9" i="5"/>
  <c r="AT10" i="5"/>
  <c r="L17" i="5"/>
  <c r="L8" i="3"/>
  <c r="DE6" i="4"/>
  <c r="L11" i="4"/>
  <c r="I11" i="4" s="1"/>
  <c r="F16" i="5"/>
  <c r="BK13" i="5"/>
  <c r="AY11" i="5"/>
  <c r="BI10" i="5"/>
  <c r="AY10" i="5"/>
  <c r="BI13" i="5"/>
  <c r="BK11" i="5"/>
  <c r="AV11" i="5"/>
  <c r="BF10" i="5"/>
  <c r="AV10" i="5"/>
  <c r="BF9" i="5"/>
  <c r="AV9" i="5"/>
  <c r="BK8" i="5"/>
  <c r="BA8" i="5"/>
  <c r="BF7" i="5"/>
  <c r="AV7" i="5"/>
  <c r="BF6" i="5"/>
  <c r="AV6" i="5"/>
  <c r="AT11" i="5"/>
  <c r="BD10" i="5"/>
  <c r="BA9" i="5"/>
  <c r="BI8" i="5"/>
  <c r="AV8" i="5"/>
  <c r="BI7" i="5"/>
  <c r="AT7" i="5"/>
  <c r="BK6" i="5"/>
  <c r="AY6" i="5"/>
  <c r="BK5" i="5"/>
  <c r="BA5" i="5"/>
  <c r="BF4" i="5"/>
  <c r="AV4" i="5"/>
  <c r="BK12" i="5"/>
  <c r="BA10" i="5"/>
  <c r="BK9" i="5"/>
  <c r="AY9" i="5"/>
  <c r="BF8" i="5"/>
  <c r="AT8" i="5"/>
  <c r="BD7" i="5"/>
  <c r="BI6" i="5"/>
  <c r="AT6" i="5"/>
  <c r="BI5" i="5"/>
  <c r="AY5" i="5"/>
  <c r="BD4" i="5"/>
  <c r="AT4" i="5"/>
  <c r="BI12" i="5"/>
  <c r="BI11" i="5"/>
  <c r="BK4" i="5"/>
  <c r="F16" i="3"/>
  <c r="BK13" i="3"/>
  <c r="AY11" i="3"/>
  <c r="BI10" i="3"/>
  <c r="AY10" i="3"/>
  <c r="BI9" i="3"/>
  <c r="AY9" i="3"/>
  <c r="BD8" i="3"/>
  <c r="AT8" i="3"/>
  <c r="BI7" i="3"/>
  <c r="AY7" i="3"/>
  <c r="BI6" i="3"/>
  <c r="AY6" i="3"/>
  <c r="BK5" i="3"/>
  <c r="BA5" i="3"/>
  <c r="BF4" i="3"/>
  <c r="AV4" i="3"/>
  <c r="BI13" i="3"/>
  <c r="BK11" i="3"/>
  <c r="AV11" i="3"/>
  <c r="BF10" i="3"/>
  <c r="AV10" i="3"/>
  <c r="BF9" i="3"/>
  <c r="AV9" i="3"/>
  <c r="BK8" i="3"/>
  <c r="BA8" i="3"/>
  <c r="BF7" i="3"/>
  <c r="AV7" i="3"/>
  <c r="BF6" i="3"/>
  <c r="AV6" i="3"/>
  <c r="BI5" i="3"/>
  <c r="AY5" i="3"/>
  <c r="BD4" i="3"/>
  <c r="AT4" i="3"/>
  <c r="AY4" i="3"/>
  <c r="AT5" i="3"/>
  <c r="U6" i="3"/>
  <c r="R6" i="3" s="1"/>
  <c r="AT6" i="3"/>
  <c r="BD7" i="3"/>
  <c r="BF8" i="3"/>
  <c r="DA4" i="3"/>
  <c r="T25" i="13" s="1"/>
  <c r="DA8" i="3"/>
  <c r="DA6" i="3"/>
  <c r="BD9" i="3"/>
  <c r="AT10" i="3"/>
  <c r="F11" i="3"/>
  <c r="Q11" i="3"/>
  <c r="N11" i="3" s="1"/>
  <c r="BI11" i="3"/>
  <c r="BI12" i="3"/>
  <c r="L14" i="3"/>
  <c r="I14" i="3" s="1"/>
  <c r="CH4" i="4"/>
  <c r="CN6" i="4"/>
  <c r="U8" i="4"/>
  <c r="R8" i="4" s="1"/>
  <c r="F17" i="4" s="1"/>
  <c r="CN9" i="4"/>
  <c r="L10" i="4"/>
  <c r="I10" i="4" s="1"/>
  <c r="CH13" i="4"/>
  <c r="U14" i="4"/>
  <c r="R14" i="4" s="1"/>
  <c r="BA4" i="5"/>
  <c r="BF5" i="5"/>
  <c r="U6" i="5"/>
  <c r="R6" i="5" s="1"/>
  <c r="BA6" i="5"/>
  <c r="BK7" i="5"/>
  <c r="L8" i="5"/>
  <c r="BD8" i="5"/>
  <c r="L9" i="5"/>
  <c r="BD9" i="5"/>
  <c r="BK10" i="5"/>
  <c r="L15" i="5"/>
  <c r="I12" i="7"/>
  <c r="U9" i="3"/>
  <c r="R9" i="3" s="1"/>
  <c r="Q10" i="3"/>
  <c r="N10" i="3" s="1"/>
  <c r="Q5" i="4"/>
  <c r="N5" i="4" s="1"/>
  <c r="CN14" i="4"/>
  <c r="CN13" i="4"/>
  <c r="CH12" i="4"/>
  <c r="CK10" i="4"/>
  <c r="CK9" i="4"/>
  <c r="CK7" i="4"/>
  <c r="CH6" i="4"/>
  <c r="CK5" i="4"/>
  <c r="CR4" i="4"/>
  <c r="CK14" i="4"/>
  <c r="CK13" i="4"/>
  <c r="CH10" i="4"/>
  <c r="CH9" i="4"/>
  <c r="CN8" i="4"/>
  <c r="CH7" i="4"/>
  <c r="CH5" i="4"/>
  <c r="CN4" i="4"/>
  <c r="Q12" i="5"/>
  <c r="N12" i="5" s="1"/>
  <c r="F4" i="3"/>
  <c r="L5" i="3" s="1"/>
  <c r="I5" i="3" s="1"/>
  <c r="BA4" i="3"/>
  <c r="DI4" i="3"/>
  <c r="X25" i="13" s="1"/>
  <c r="AV5" i="3"/>
  <c r="BA6" i="3"/>
  <c r="CW6" i="3"/>
  <c r="BK7" i="3"/>
  <c r="I8" i="3"/>
  <c r="BI8" i="3"/>
  <c r="CW8" i="3"/>
  <c r="BK9" i="3"/>
  <c r="BA10" i="3"/>
  <c r="L12" i="3"/>
  <c r="I12" i="3" s="1"/>
  <c r="BK12" i="3"/>
  <c r="U13" i="3"/>
  <c r="R13" i="3" s="1"/>
  <c r="CK4" i="4"/>
  <c r="F9" i="4"/>
  <c r="F4" i="4"/>
  <c r="DE5" i="4"/>
  <c r="L7" i="4"/>
  <c r="I7" i="4" s="1"/>
  <c r="CH8" i="4"/>
  <c r="U12" i="4"/>
  <c r="R12" i="4" s="1"/>
  <c r="BZ4" i="4"/>
  <c r="U16" i="4"/>
  <c r="R16" i="4" s="1"/>
  <c r="R4" i="5"/>
  <c r="BI4" i="5"/>
  <c r="L5" i="5"/>
  <c r="I5" i="5" s="1"/>
  <c r="AT5" i="5"/>
  <c r="L6" i="5"/>
  <c r="BD6" i="5"/>
  <c r="BI9" i="5"/>
  <c r="U10" i="5"/>
  <c r="R10" i="5" s="1"/>
  <c r="F11" i="5"/>
  <c r="Q6" i="7"/>
  <c r="N6" i="7" s="1"/>
  <c r="R6" i="7" s="1"/>
  <c r="E18" i="7"/>
  <c r="CP5" i="7"/>
  <c r="CP6" i="7"/>
  <c r="BV5" i="8"/>
  <c r="BV4" i="8"/>
  <c r="BV6" i="8"/>
  <c r="DJ4" i="8"/>
  <c r="DJ6" i="8"/>
  <c r="DJ5" i="8"/>
  <c r="AU3" i="7"/>
  <c r="AU7" i="7"/>
  <c r="AU5" i="7"/>
  <c r="AU6" i="7"/>
  <c r="Q7" i="7"/>
  <c r="N7" i="7" s="1"/>
  <c r="R7" i="7" s="1"/>
  <c r="L9" i="7"/>
  <c r="I9" i="7" s="1"/>
  <c r="F11" i="7"/>
  <c r="Q9" i="7" s="1"/>
  <c r="N9" i="7" s="1"/>
  <c r="R9" i="7" s="1"/>
  <c r="L12" i="7"/>
  <c r="F15" i="7"/>
  <c r="F17" i="7" s="1"/>
  <c r="AY4" i="4"/>
  <c r="E9" i="4" s="1"/>
  <c r="BI4" i="4"/>
  <c r="AT5" i="4"/>
  <c r="BD5" i="4"/>
  <c r="BA6" i="4"/>
  <c r="BK6" i="4"/>
  <c r="BA7" i="4"/>
  <c r="BK7" i="4"/>
  <c r="AV8" i="4"/>
  <c r="BF8" i="4"/>
  <c r="BA9" i="4"/>
  <c r="BK9" i="4"/>
  <c r="BA10" i="4"/>
  <c r="BK10" i="4"/>
  <c r="BA11" i="4"/>
  <c r="BI12" i="4"/>
  <c r="I17" i="5"/>
  <c r="I15" i="5"/>
  <c r="I9" i="5"/>
  <c r="I6" i="5"/>
  <c r="L16" i="5"/>
  <c r="I16" i="5" s="1"/>
  <c r="F4" i="7"/>
  <c r="L8" i="7" s="1"/>
  <c r="I8" i="7" s="1"/>
  <c r="L14" i="7"/>
  <c r="I14" i="7" s="1"/>
  <c r="E24" i="8"/>
  <c r="DA5" i="8"/>
  <c r="BZ6" i="9"/>
  <c r="BZ5" i="9"/>
  <c r="X29" i="13"/>
  <c r="AV5" i="4"/>
  <c r="BF5" i="4"/>
  <c r="AT6" i="4"/>
  <c r="BD6" i="4"/>
  <c r="AT7" i="4"/>
  <c r="BD7" i="4"/>
  <c r="AY8" i="4"/>
  <c r="BI8" i="4"/>
  <c r="AT9" i="4"/>
  <c r="BD9" i="4"/>
  <c r="AT10" i="4"/>
  <c r="BD10" i="4"/>
  <c r="F11" i="4"/>
  <c r="Q6" i="4" s="1"/>
  <c r="N6" i="4" s="1"/>
  <c r="AT11" i="4"/>
  <c r="BI11" i="4"/>
  <c r="I8" i="5"/>
  <c r="U9" i="5"/>
  <c r="R9" i="5" s="1"/>
  <c r="U11" i="5"/>
  <c r="R11" i="5" s="1"/>
  <c r="L14" i="5"/>
  <c r="I14" i="5" s="1"/>
  <c r="AU4" i="7"/>
  <c r="DC4" i="7"/>
  <c r="L6" i="7"/>
  <c r="I6" i="7" s="1"/>
  <c r="Q16" i="7"/>
  <c r="N16" i="7" s="1"/>
  <c r="R16" i="7" s="1"/>
  <c r="CH8" i="5"/>
  <c r="CN9" i="5"/>
  <c r="CN10" i="5"/>
  <c r="CH11" i="5"/>
  <c r="BC6" i="8"/>
  <c r="B11" i="8"/>
  <c r="BC12" i="8"/>
  <c r="BC17" i="8"/>
  <c r="BC18" i="8"/>
  <c r="BC19" i="8"/>
  <c r="BC37" i="8"/>
  <c r="BC44" i="8"/>
  <c r="BC51" i="8"/>
  <c r="BC69" i="8"/>
  <c r="BC83" i="8"/>
  <c r="BC92" i="8"/>
  <c r="BC88" i="8"/>
  <c r="BC84" i="8"/>
  <c r="BC80" i="8"/>
  <c r="BC76" i="8"/>
  <c r="BC72" i="8"/>
  <c r="L13" i="9"/>
  <c r="I13" i="9" s="1"/>
  <c r="BC93" i="8"/>
  <c r="BC89" i="8"/>
  <c r="BC85" i="8"/>
  <c r="BC81" i="8"/>
  <c r="BC77" i="8"/>
  <c r="BC73" i="8"/>
  <c r="BC87" i="8"/>
  <c r="BC79" i="8"/>
  <c r="BC71" i="8"/>
  <c r="BC66" i="8"/>
  <c r="BC62" i="8"/>
  <c r="BC58" i="8"/>
  <c r="BC54" i="8"/>
  <c r="BC50" i="8"/>
  <c r="BC46" i="8"/>
  <c r="BC42" i="8"/>
  <c r="BC38" i="8"/>
  <c r="BC34" i="8"/>
  <c r="BC30" i="8"/>
  <c r="BC82" i="8"/>
  <c r="BC78" i="8"/>
  <c r="BC75" i="8"/>
  <c r="BC65" i="8"/>
  <c r="BC63" i="8"/>
  <c r="BC56" i="8"/>
  <c r="BC49" i="8"/>
  <c r="BC47" i="8"/>
  <c r="BC40" i="8"/>
  <c r="BC33" i="8"/>
  <c r="BC31" i="8"/>
  <c r="BC26" i="8"/>
  <c r="BC20" i="8"/>
  <c r="F17" i="8"/>
  <c r="Y8" i="8" s="1"/>
  <c r="V8" i="8" s="1"/>
  <c r="Z8" i="8" s="1"/>
  <c r="BC15" i="8"/>
  <c r="BC14" i="8"/>
  <c r="BC13" i="8"/>
  <c r="BC5" i="8"/>
  <c r="BC4" i="8"/>
  <c r="BC74" i="8"/>
  <c r="BC70" i="8"/>
  <c r="BC68" i="8"/>
  <c r="BC61" i="8"/>
  <c r="BC59" i="8"/>
  <c r="BC52" i="8"/>
  <c r="BC45" i="8"/>
  <c r="BC43" i="8"/>
  <c r="BC36" i="8"/>
  <c r="BC29" i="8"/>
  <c r="BC27" i="8"/>
  <c r="F21" i="8"/>
  <c r="F23" i="8" s="1"/>
  <c r="BC16" i="8"/>
  <c r="BC11" i="8"/>
  <c r="BC10" i="8"/>
  <c r="BC9" i="8"/>
  <c r="BC7" i="8"/>
  <c r="BC22" i="8"/>
  <c r="BC24" i="8"/>
  <c r="BC41" i="8"/>
  <c r="BC48" i="8"/>
  <c r="BC55" i="8"/>
  <c r="BC91" i="8"/>
  <c r="AD37" i="13"/>
  <c r="V37" i="13"/>
  <c r="N37" i="13"/>
  <c r="F37" i="13"/>
  <c r="AB37" i="13"/>
  <c r="T37" i="13"/>
  <c r="L37" i="13"/>
  <c r="Z37" i="13"/>
  <c r="J37" i="13"/>
  <c r="X37" i="13"/>
  <c r="H37" i="13"/>
  <c r="R37" i="13"/>
  <c r="P37" i="13"/>
  <c r="L7" i="9"/>
  <c r="I7" i="9" s="1"/>
  <c r="L5" i="9"/>
  <c r="I5" i="9" s="1"/>
  <c r="R33" i="13"/>
  <c r="P21" i="13"/>
  <c r="Y14" i="8" l="1"/>
  <c r="V14" i="8" s="1"/>
  <c r="Z14" i="8" s="1"/>
  <c r="CW8" i="4"/>
  <c r="CW6" i="4"/>
  <c r="CW7" i="4"/>
  <c r="CW5" i="4"/>
  <c r="CW9" i="4"/>
  <c r="CW4" i="4"/>
  <c r="CW10" i="4"/>
  <c r="DA8" i="5"/>
  <c r="DA6" i="5"/>
  <c r="DA4" i="5"/>
  <c r="DA9" i="5"/>
  <c r="DA5" i="5"/>
  <c r="DA7" i="5"/>
  <c r="AK7" i="7"/>
  <c r="AM6" i="7"/>
  <c r="AK6" i="7"/>
  <c r="AM5" i="7"/>
  <c r="AM4" i="7"/>
  <c r="AK4" i="7"/>
  <c r="AM7" i="7"/>
  <c r="AK5" i="7"/>
  <c r="E9" i="7"/>
  <c r="Q15" i="4"/>
  <c r="N15" i="4" s="1"/>
  <c r="Y15" i="8"/>
  <c r="V15" i="8" s="1"/>
  <c r="Z15" i="8" s="1"/>
  <c r="Q7" i="3"/>
  <c r="N7" i="3" s="1"/>
  <c r="Q6" i="3"/>
  <c r="N6" i="3" s="1"/>
  <c r="Q4" i="3"/>
  <c r="N4" i="3" s="1"/>
  <c r="F13" i="3"/>
  <c r="Q16" i="3"/>
  <c r="N16" i="3" s="1"/>
  <c r="Q17" i="3"/>
  <c r="N17" i="3" s="1"/>
  <c r="Q15" i="3"/>
  <c r="N15" i="3" s="1"/>
  <c r="Q5" i="3"/>
  <c r="N5" i="3" s="1"/>
  <c r="Q14" i="3"/>
  <c r="N14" i="3" s="1"/>
  <c r="Q13" i="3"/>
  <c r="N13" i="3" s="1"/>
  <c r="Q9" i="3"/>
  <c r="N9" i="3" s="1"/>
  <c r="F14" i="9"/>
  <c r="U17" i="3"/>
  <c r="R17" i="3" s="1"/>
  <c r="U15" i="3"/>
  <c r="R15" i="3" s="1"/>
  <c r="U12" i="3"/>
  <c r="R12" i="3" s="1"/>
  <c r="U14" i="3"/>
  <c r="R14" i="3" s="1"/>
  <c r="U5" i="3"/>
  <c r="R5" i="3" s="1"/>
  <c r="U16" i="3"/>
  <c r="R16" i="3" s="1"/>
  <c r="U8" i="3"/>
  <c r="R8" i="3" s="1"/>
  <c r="Q8" i="4"/>
  <c r="N8" i="4" s="1"/>
  <c r="U7" i="3"/>
  <c r="R7" i="3" s="1"/>
  <c r="L12" i="5"/>
  <c r="I12" i="5" s="1"/>
  <c r="L11" i="5"/>
  <c r="I11" i="5" s="1"/>
  <c r="I4" i="5"/>
  <c r="L10" i="5"/>
  <c r="I10" i="5" s="1"/>
  <c r="X5" i="5"/>
  <c r="L7" i="5"/>
  <c r="I7" i="5" s="1"/>
  <c r="Q12" i="3"/>
  <c r="N12" i="3" s="1"/>
  <c r="Q9" i="4"/>
  <c r="N9" i="4" s="1"/>
  <c r="Q8" i="3"/>
  <c r="N8" i="3" s="1"/>
  <c r="AL6" i="9"/>
  <c r="S5" i="9"/>
  <c r="AD5" i="9"/>
  <c r="L15" i="9"/>
  <c r="I15" i="9" s="1"/>
  <c r="L12" i="9"/>
  <c r="I12" i="9" s="1"/>
  <c r="L11" i="9"/>
  <c r="I11" i="9" s="1"/>
  <c r="AL8" i="9"/>
  <c r="AL5" i="9"/>
  <c r="AL9" i="9"/>
  <c r="AL11" i="9"/>
  <c r="L9" i="9"/>
  <c r="I9" i="9" s="1"/>
  <c r="L4" i="9"/>
  <c r="I4" i="9" s="1"/>
  <c r="L10" i="9"/>
  <c r="I10" i="9" s="1"/>
  <c r="AL4" i="9"/>
  <c r="AL10" i="9"/>
  <c r="AL7" i="9"/>
  <c r="AL3" i="9"/>
  <c r="E12" i="9" s="1"/>
  <c r="L16" i="9"/>
  <c r="I16" i="9" s="1"/>
  <c r="AS5" i="8"/>
  <c r="AS4" i="8"/>
  <c r="AU7" i="8"/>
  <c r="AU5" i="8"/>
  <c r="AU4" i="8"/>
  <c r="AS7" i="8"/>
  <c r="AU6" i="8"/>
  <c r="AS6" i="8"/>
  <c r="AF4" i="8"/>
  <c r="L8" i="9"/>
  <c r="I8" i="9" s="1"/>
  <c r="Q11" i="5"/>
  <c r="N11" i="5" s="1"/>
  <c r="Q10" i="5"/>
  <c r="N10" i="5" s="1"/>
  <c r="F13" i="5"/>
  <c r="Q7" i="5"/>
  <c r="N7" i="5" s="1"/>
  <c r="Q6" i="5"/>
  <c r="N6" i="5" s="1"/>
  <c r="F12" i="5" s="1"/>
  <c r="Q17" i="5"/>
  <c r="N17" i="5" s="1"/>
  <c r="Q15" i="5"/>
  <c r="N15" i="5" s="1"/>
  <c r="Q9" i="5"/>
  <c r="N9" i="5" s="1"/>
  <c r="Q13" i="5"/>
  <c r="N13" i="5" s="1"/>
  <c r="Q16" i="5"/>
  <c r="N16" i="5" s="1"/>
  <c r="L15" i="4"/>
  <c r="I15" i="4" s="1"/>
  <c r="X5" i="4"/>
  <c r="L16" i="4"/>
  <c r="I16" i="4" s="1"/>
  <c r="L12" i="4"/>
  <c r="I12" i="4" s="1"/>
  <c r="L14" i="4"/>
  <c r="I14" i="4" s="1"/>
  <c r="L8" i="4"/>
  <c r="I8" i="4" s="1"/>
  <c r="L5" i="4"/>
  <c r="I5" i="4" s="1"/>
  <c r="L13" i="4"/>
  <c r="I13" i="4" s="1"/>
  <c r="Y13" i="8"/>
  <c r="V13" i="8" s="1"/>
  <c r="Z13" i="8" s="1"/>
  <c r="Q14" i="5"/>
  <c r="N14" i="5" s="1"/>
  <c r="U17" i="5"/>
  <c r="R17" i="5" s="1"/>
  <c r="U15" i="5"/>
  <c r="R15" i="5" s="1"/>
  <c r="U13" i="5"/>
  <c r="R13" i="5" s="1"/>
  <c r="U14" i="5"/>
  <c r="R14" i="5" s="1"/>
  <c r="U16" i="5"/>
  <c r="R16" i="5" s="1"/>
  <c r="U5" i="5"/>
  <c r="R5" i="5" s="1"/>
  <c r="CW10" i="5"/>
  <c r="CW9" i="5"/>
  <c r="CW7" i="5"/>
  <c r="CW6" i="5"/>
  <c r="CW4" i="5"/>
  <c r="CW8" i="5"/>
  <c r="CW5" i="5"/>
  <c r="L17" i="4"/>
  <c r="I17" i="4" s="1"/>
  <c r="U8" i="5"/>
  <c r="R8" i="5" s="1"/>
  <c r="L6" i="9"/>
  <c r="I6" i="9" s="1"/>
  <c r="L14" i="9"/>
  <c r="I14" i="9" s="1"/>
  <c r="Y17" i="8"/>
  <c r="V17" i="8" s="1"/>
  <c r="Z17" i="8" s="1"/>
  <c r="Y12" i="8"/>
  <c r="V12" i="8" s="1"/>
  <c r="Z12" i="8" s="1"/>
  <c r="AX8" i="8"/>
  <c r="AX7" i="8"/>
  <c r="Y6" i="8"/>
  <c r="V6" i="8" s="1"/>
  <c r="Z6" i="8" s="1"/>
  <c r="AX3" i="8"/>
  <c r="E19" i="8" s="1"/>
  <c r="AX6" i="8"/>
  <c r="Y11" i="8"/>
  <c r="V11" i="8" s="1"/>
  <c r="Z11" i="8" s="1"/>
  <c r="Y10" i="8"/>
  <c r="V10" i="8" s="1"/>
  <c r="Z10" i="8" s="1"/>
  <c r="Y9" i="8"/>
  <c r="V9" i="8" s="1"/>
  <c r="Z9" i="8" s="1"/>
  <c r="Y7" i="8"/>
  <c r="V7" i="8" s="1"/>
  <c r="Z7" i="8" s="1"/>
  <c r="Y5" i="8"/>
  <c r="V5" i="8" s="1"/>
  <c r="Z5" i="8" s="1"/>
  <c r="Y16" i="8"/>
  <c r="V16" i="8" s="1"/>
  <c r="Z16" i="8" s="1"/>
  <c r="Y4" i="8"/>
  <c r="V4" i="8" s="1"/>
  <c r="AX5" i="8"/>
  <c r="AX4" i="8"/>
  <c r="F4" i="8"/>
  <c r="L17" i="9"/>
  <c r="I17" i="9" s="1"/>
  <c r="Q16" i="4"/>
  <c r="N16" i="4" s="1"/>
  <c r="Q4" i="4"/>
  <c r="N4" i="4" s="1"/>
  <c r="F13" i="4"/>
  <c r="Q10" i="4"/>
  <c r="N10" i="4" s="1"/>
  <c r="Q12" i="4"/>
  <c r="N12" i="4" s="1"/>
  <c r="CW7" i="8"/>
  <c r="CW6" i="8"/>
  <c r="CT7" i="8"/>
  <c r="CT6" i="8"/>
  <c r="CW5" i="8"/>
  <c r="CW4" i="8"/>
  <c r="CT5" i="8"/>
  <c r="CT4" i="8"/>
  <c r="L16" i="7"/>
  <c r="I16" i="7" s="1"/>
  <c r="L17" i="7"/>
  <c r="I17" i="7" s="1"/>
  <c r="L15" i="7"/>
  <c r="I15" i="7" s="1"/>
  <c r="L7" i="7"/>
  <c r="I7" i="7" s="1"/>
  <c r="L13" i="7"/>
  <c r="I13" i="7" s="1"/>
  <c r="L11" i="7"/>
  <c r="I11" i="7" s="1"/>
  <c r="X5" i="7"/>
  <c r="L5" i="7"/>
  <c r="I5" i="7" s="1"/>
  <c r="L4" i="7"/>
  <c r="I4" i="7" s="1"/>
  <c r="L10" i="7"/>
  <c r="I10" i="7" s="1"/>
  <c r="Q15" i="7"/>
  <c r="N15" i="7" s="1"/>
  <c r="R15" i="7" s="1"/>
  <c r="Q13" i="7"/>
  <c r="N13" i="7" s="1"/>
  <c r="R13" i="7" s="1"/>
  <c r="Q11" i="7"/>
  <c r="N11" i="7" s="1"/>
  <c r="R11" i="7" s="1"/>
  <c r="AP5" i="7"/>
  <c r="Q5" i="7"/>
  <c r="N5" i="7" s="1"/>
  <c r="R5" i="7" s="1"/>
  <c r="AP4" i="7"/>
  <c r="Q4" i="7"/>
  <c r="N4" i="7" s="1"/>
  <c r="AP3" i="7"/>
  <c r="Q8" i="7"/>
  <c r="N8" i="7" s="1"/>
  <c r="R8" i="7" s="1"/>
  <c r="Q10" i="7"/>
  <c r="N10" i="7" s="1"/>
  <c r="R10" i="7" s="1"/>
  <c r="AP8" i="7"/>
  <c r="AP7" i="7"/>
  <c r="Q17" i="7"/>
  <c r="N17" i="7" s="1"/>
  <c r="R17" i="7" s="1"/>
  <c r="Q14" i="7"/>
  <c r="N14" i="7" s="1"/>
  <c r="R14" i="7" s="1"/>
  <c r="AP6" i="7"/>
  <c r="CL7" i="7"/>
  <c r="CL6" i="7"/>
  <c r="CI7" i="7"/>
  <c r="CI6" i="7"/>
  <c r="CL5" i="7"/>
  <c r="CL4" i="7"/>
  <c r="CI5" i="7"/>
  <c r="CI4" i="7"/>
  <c r="Q17" i="4"/>
  <c r="N17" i="4" s="1"/>
  <c r="L6" i="4"/>
  <c r="I6" i="4" s="1"/>
  <c r="DA7" i="4"/>
  <c r="DA5" i="4"/>
  <c r="DA9" i="4"/>
  <c r="DA6" i="4"/>
  <c r="DA8" i="4"/>
  <c r="DA4" i="4"/>
  <c r="F11" i="8"/>
  <c r="L13" i="3"/>
  <c r="I13" i="3" s="1"/>
  <c r="X5" i="3"/>
  <c r="L7" i="3"/>
  <c r="I7" i="3" s="1"/>
  <c r="L10" i="3"/>
  <c r="I10" i="3" s="1"/>
  <c r="L6" i="3"/>
  <c r="I6" i="3" s="1"/>
  <c r="L4" i="3"/>
  <c r="I4" i="3" s="1"/>
  <c r="L11" i="3"/>
  <c r="I11" i="3" s="1"/>
  <c r="L9" i="3"/>
  <c r="I9" i="3" s="1"/>
  <c r="L9" i="4"/>
  <c r="I9" i="4" s="1"/>
  <c r="Q13" i="4"/>
  <c r="N13" i="4" s="1"/>
  <c r="L4" i="4"/>
  <c r="I4" i="4" s="1"/>
  <c r="F5" i="4" s="1"/>
  <c r="U10" i="3"/>
  <c r="R10" i="3" s="1"/>
  <c r="Q8" i="5"/>
  <c r="N8" i="5" s="1"/>
  <c r="Q14" i="4"/>
  <c r="N14" i="4" s="1"/>
  <c r="U11" i="3"/>
  <c r="R11" i="3" s="1"/>
  <c r="U12" i="5"/>
  <c r="R12" i="5" s="1"/>
  <c r="L16" i="3"/>
  <c r="I16" i="3" s="1"/>
  <c r="U4" i="3"/>
  <c r="R4" i="3" s="1"/>
  <c r="F17" i="3" s="1"/>
  <c r="Q12" i="7"/>
  <c r="N12" i="7" s="1"/>
  <c r="R12" i="7" s="1"/>
  <c r="Q7" i="4"/>
  <c r="N7" i="4" s="1"/>
  <c r="L17" i="3"/>
  <c r="I17" i="3" s="1"/>
  <c r="Q11" i="4"/>
  <c r="N11" i="4" s="1"/>
  <c r="F17" i="5" l="1"/>
  <c r="CD10" i="5"/>
  <c r="CD9" i="5"/>
  <c r="CD14" i="5"/>
  <c r="CD13" i="5"/>
  <c r="CD15" i="5"/>
  <c r="CD12" i="5"/>
  <c r="CD11" i="5"/>
  <c r="CD5" i="5"/>
  <c r="CD8" i="5"/>
  <c r="CD7" i="5"/>
  <c r="CD6" i="5"/>
  <c r="AC21" i="7"/>
  <c r="Z20" i="7"/>
  <c r="Z19" i="7"/>
  <c r="Z18" i="7"/>
  <c r="AC17" i="7"/>
  <c r="AF15" i="7"/>
  <c r="Z21" i="7"/>
  <c r="Z17" i="7"/>
  <c r="AF16" i="7"/>
  <c r="AC15" i="7"/>
  <c r="Z14" i="7"/>
  <c r="AC19" i="7"/>
  <c r="AC16" i="7"/>
  <c r="Z15" i="7"/>
  <c r="AF14" i="7"/>
  <c r="AF13" i="7"/>
  <c r="Z12" i="7"/>
  <c r="AF11" i="7"/>
  <c r="AC10" i="7"/>
  <c r="Z9" i="7"/>
  <c r="AC8" i="7"/>
  <c r="Z6" i="7"/>
  <c r="AC5" i="7"/>
  <c r="AC4" i="7"/>
  <c r="Z16" i="7"/>
  <c r="AC14" i="7"/>
  <c r="AC13" i="7"/>
  <c r="AC11" i="7"/>
  <c r="Z10" i="7"/>
  <c r="Z8" i="7"/>
  <c r="AF7" i="7"/>
  <c r="Z5" i="7"/>
  <c r="Z4" i="7"/>
  <c r="Z13" i="7"/>
  <c r="Z11" i="7"/>
  <c r="AC7" i="7"/>
  <c r="AF6" i="7"/>
  <c r="AF5" i="7"/>
  <c r="AC18" i="7"/>
  <c r="Z7" i="7"/>
  <c r="AC6" i="7"/>
  <c r="AC22" i="7"/>
  <c r="AF12" i="7"/>
  <c r="AF9" i="7"/>
  <c r="AF8" i="7"/>
  <c r="AF4" i="7"/>
  <c r="AC20" i="7"/>
  <c r="AC9" i="7"/>
  <c r="AC12" i="7"/>
  <c r="AF10" i="7"/>
  <c r="Z4" i="8"/>
  <c r="F22" i="8" s="1"/>
  <c r="F18" i="8"/>
  <c r="CP9" i="8"/>
  <c r="CP7" i="8"/>
  <c r="CP6" i="8"/>
  <c r="CP4" i="8"/>
  <c r="CP8" i="8"/>
  <c r="CP5" i="8"/>
  <c r="AE14" i="9"/>
  <c r="AH12" i="9"/>
  <c r="AH11" i="9"/>
  <c r="AE10" i="9"/>
  <c r="AE9" i="9"/>
  <c r="AE8" i="9"/>
  <c r="AE7" i="9"/>
  <c r="AE5" i="9"/>
  <c r="AE4" i="9"/>
  <c r="AE12" i="9"/>
  <c r="AE11" i="9"/>
  <c r="AH6" i="9"/>
  <c r="AE15" i="9"/>
  <c r="AH7" i="9"/>
  <c r="AE6" i="9"/>
  <c r="AH14" i="9"/>
  <c r="AH13" i="9"/>
  <c r="AH8" i="9"/>
  <c r="AH5" i="9"/>
  <c r="AH9" i="9"/>
  <c r="AH10" i="9"/>
  <c r="AE13" i="9"/>
  <c r="AH4" i="9"/>
  <c r="CU14" i="7"/>
  <c r="CU19" i="7"/>
  <c r="CU18" i="7"/>
  <c r="CU15" i="7"/>
  <c r="CU10" i="7"/>
  <c r="CU13" i="7"/>
  <c r="CU11" i="7"/>
  <c r="CU6" i="7"/>
  <c r="CU8" i="7"/>
  <c r="CU7" i="7"/>
  <c r="CU17" i="7"/>
  <c r="CU9" i="7"/>
  <c r="CU16" i="7"/>
  <c r="CU12" i="7"/>
  <c r="CU5" i="7"/>
  <c r="BQ10" i="4"/>
  <c r="BQ9" i="4"/>
  <c r="BQ7" i="4"/>
  <c r="BQ6" i="4"/>
  <c r="BQ14" i="4"/>
  <c r="BQ13" i="4"/>
  <c r="BQ5" i="4"/>
  <c r="BQ15" i="4"/>
  <c r="BQ11" i="4"/>
  <c r="BQ12" i="4"/>
  <c r="BQ4" i="4"/>
  <c r="BQ8" i="4"/>
  <c r="BE93" i="8"/>
  <c r="BB93" i="8" s="1"/>
  <c r="BE89" i="8"/>
  <c r="BB89" i="8" s="1"/>
  <c r="BE85" i="8"/>
  <c r="BB85" i="8" s="1"/>
  <c r="BE81" i="8"/>
  <c r="BB81" i="8" s="1"/>
  <c r="BE77" i="8"/>
  <c r="BB77" i="8" s="1"/>
  <c r="BE73" i="8"/>
  <c r="BB73" i="8" s="1"/>
  <c r="BE69" i="8"/>
  <c r="BB69" i="8" s="1"/>
  <c r="BE90" i="8"/>
  <c r="BB90" i="8" s="1"/>
  <c r="BE86" i="8"/>
  <c r="BB86" i="8" s="1"/>
  <c r="BE82" i="8"/>
  <c r="BB82" i="8" s="1"/>
  <c r="BE78" i="8"/>
  <c r="BB78" i="8" s="1"/>
  <c r="BE74" i="8"/>
  <c r="BB74" i="8" s="1"/>
  <c r="BE70" i="8"/>
  <c r="BB70" i="8" s="1"/>
  <c r="BE92" i="8"/>
  <c r="BB92" i="8" s="1"/>
  <c r="BE84" i="8"/>
  <c r="BB84" i="8" s="1"/>
  <c r="BE76" i="8"/>
  <c r="BB76" i="8" s="1"/>
  <c r="BE67" i="8"/>
  <c r="BB67" i="8" s="1"/>
  <c r="BE63" i="8"/>
  <c r="BB63" i="8" s="1"/>
  <c r="BE59" i="8"/>
  <c r="BB59" i="8" s="1"/>
  <c r="BE55" i="8"/>
  <c r="BB55" i="8" s="1"/>
  <c r="BE51" i="8"/>
  <c r="BB51" i="8" s="1"/>
  <c r="BE47" i="8"/>
  <c r="BB47" i="8" s="1"/>
  <c r="BE43" i="8"/>
  <c r="BB43" i="8" s="1"/>
  <c r="BE39" i="8"/>
  <c r="BB39" i="8" s="1"/>
  <c r="BE35" i="8"/>
  <c r="BB35" i="8" s="1"/>
  <c r="BE31" i="8"/>
  <c r="BB31" i="8" s="1"/>
  <c r="BE27" i="8"/>
  <c r="BB27" i="8" s="1"/>
  <c r="BE26" i="8"/>
  <c r="BB26" i="8" s="1"/>
  <c r="BE25" i="8"/>
  <c r="BB25" i="8" s="1"/>
  <c r="BE24" i="8"/>
  <c r="BB24" i="8" s="1"/>
  <c r="BE21" i="8"/>
  <c r="BB21" i="8" s="1"/>
  <c r="BE71" i="8"/>
  <c r="BB71" i="8" s="1"/>
  <c r="BE68" i="8"/>
  <c r="BB68" i="8" s="1"/>
  <c r="BE61" i="8"/>
  <c r="BB61" i="8" s="1"/>
  <c r="BE54" i="8"/>
  <c r="BB54" i="8" s="1"/>
  <c r="BE52" i="8"/>
  <c r="BB52" i="8" s="1"/>
  <c r="BE45" i="8"/>
  <c r="BB45" i="8" s="1"/>
  <c r="BE38" i="8"/>
  <c r="BB38" i="8" s="1"/>
  <c r="BE36" i="8"/>
  <c r="BB36" i="8" s="1"/>
  <c r="BE29" i="8"/>
  <c r="BB29" i="8" s="1"/>
  <c r="BE16" i="8"/>
  <c r="BB16" i="8" s="1"/>
  <c r="Q15" i="8"/>
  <c r="N15" i="8" s="1"/>
  <c r="Q14" i="8"/>
  <c r="N14" i="8" s="1"/>
  <c r="Q13" i="8"/>
  <c r="N13" i="8" s="1"/>
  <c r="BE11" i="8"/>
  <c r="BB11" i="8" s="1"/>
  <c r="BE10" i="8"/>
  <c r="BB10" i="8" s="1"/>
  <c r="BE9" i="8"/>
  <c r="BB9" i="8" s="1"/>
  <c r="Q5" i="8"/>
  <c r="N5" i="8" s="1"/>
  <c r="Q4" i="8"/>
  <c r="N4" i="8" s="1"/>
  <c r="BE91" i="8"/>
  <c r="BB91" i="8" s="1"/>
  <c r="BE88" i="8"/>
  <c r="BB88" i="8" s="1"/>
  <c r="BE66" i="8"/>
  <c r="BB66" i="8" s="1"/>
  <c r="BE64" i="8"/>
  <c r="BB64" i="8" s="1"/>
  <c r="BE57" i="8"/>
  <c r="BB57" i="8" s="1"/>
  <c r="BE50" i="8"/>
  <c r="BB50" i="8" s="1"/>
  <c r="BE48" i="8"/>
  <c r="BB48" i="8" s="1"/>
  <c r="BE41" i="8"/>
  <c r="BB41" i="8" s="1"/>
  <c r="BE34" i="8"/>
  <c r="BB34" i="8" s="1"/>
  <c r="BE32" i="8"/>
  <c r="BB32" i="8" s="1"/>
  <c r="BE23" i="8"/>
  <c r="BB23" i="8" s="1"/>
  <c r="BE22" i="8"/>
  <c r="BB22" i="8" s="1"/>
  <c r="BE12" i="8"/>
  <c r="BB12" i="8" s="1"/>
  <c r="BE8" i="8"/>
  <c r="BB8" i="8" s="1"/>
  <c r="BE7" i="8"/>
  <c r="BB7" i="8" s="1"/>
  <c r="BE83" i="8"/>
  <c r="BB83" i="8" s="1"/>
  <c r="BE62" i="8"/>
  <c r="BB62" i="8" s="1"/>
  <c r="BE44" i="8"/>
  <c r="BB44" i="8" s="1"/>
  <c r="BE37" i="8"/>
  <c r="BB37" i="8" s="1"/>
  <c r="BE30" i="8"/>
  <c r="BB30" i="8" s="1"/>
  <c r="BE19" i="8"/>
  <c r="BB19" i="8" s="1"/>
  <c r="BE18" i="8"/>
  <c r="BB18" i="8" s="1"/>
  <c r="BE17" i="8"/>
  <c r="BB17" i="8" s="1"/>
  <c r="Q17" i="8"/>
  <c r="N17" i="8" s="1"/>
  <c r="BE6" i="8"/>
  <c r="BB6" i="8" s="1"/>
  <c r="BE75" i="8"/>
  <c r="BB75" i="8" s="1"/>
  <c r="BE65" i="8"/>
  <c r="BB65" i="8" s="1"/>
  <c r="BE58" i="8"/>
  <c r="BB58" i="8" s="1"/>
  <c r="BE40" i="8"/>
  <c r="BB40" i="8" s="1"/>
  <c r="BE33" i="8"/>
  <c r="BB33" i="8" s="1"/>
  <c r="BE20" i="8"/>
  <c r="BB20" i="8" s="1"/>
  <c r="BE87" i="8"/>
  <c r="BB87" i="8" s="1"/>
  <c r="BE28" i="8"/>
  <c r="BB28" i="8" s="1"/>
  <c r="BE72" i="8"/>
  <c r="BB72" i="8" s="1"/>
  <c r="BE56" i="8"/>
  <c r="BB56" i="8" s="1"/>
  <c r="BE49" i="8"/>
  <c r="BB49" i="8" s="1"/>
  <c r="BE42" i="8"/>
  <c r="BB42" i="8" s="1"/>
  <c r="BE15" i="8"/>
  <c r="BB15" i="8" s="1"/>
  <c r="BE13" i="8"/>
  <c r="BB13" i="8" s="1"/>
  <c r="BE5" i="8"/>
  <c r="BB5" i="8" s="1"/>
  <c r="BE80" i="8"/>
  <c r="BB80" i="8" s="1"/>
  <c r="BE60" i="8"/>
  <c r="BB60" i="8" s="1"/>
  <c r="BE53" i="8"/>
  <c r="BB53" i="8" s="1"/>
  <c r="BE46" i="8"/>
  <c r="BB46" i="8" s="1"/>
  <c r="Q8" i="8"/>
  <c r="N8" i="8" s="1"/>
  <c r="BE4" i="8"/>
  <c r="BB4" i="8" s="1"/>
  <c r="E9" i="8" s="1"/>
  <c r="BE79" i="8"/>
  <c r="BB79" i="8" s="1"/>
  <c r="BE14" i="8"/>
  <c r="BB14" i="8" s="1"/>
  <c r="Q7" i="8"/>
  <c r="N7" i="8" s="1"/>
  <c r="Q9" i="8"/>
  <c r="N9" i="8" s="1"/>
  <c r="Q10" i="8"/>
  <c r="N10" i="8" s="1"/>
  <c r="Q12" i="8"/>
  <c r="N12" i="8" s="1"/>
  <c r="Q16" i="8"/>
  <c r="N16" i="8" s="1"/>
  <c r="Q11" i="8"/>
  <c r="N11" i="8" s="1"/>
  <c r="Q6" i="8"/>
  <c r="N6" i="8" s="1"/>
  <c r="E13" i="7"/>
  <c r="L16" i="8"/>
  <c r="I16" i="8" s="1"/>
  <c r="L11" i="8"/>
  <c r="I11" i="8" s="1"/>
  <c r="L10" i="8"/>
  <c r="I10" i="8" s="1"/>
  <c r="L9" i="8"/>
  <c r="I9" i="8" s="1"/>
  <c r="L7" i="8"/>
  <c r="I7" i="8" s="1"/>
  <c r="AF5" i="8"/>
  <c r="L8" i="8"/>
  <c r="I8" i="8" s="1"/>
  <c r="F14" i="8"/>
  <c r="L5" i="8"/>
  <c r="I5" i="8" s="1"/>
  <c r="L4" i="8"/>
  <c r="I4" i="8" s="1"/>
  <c r="L14" i="8"/>
  <c r="I14" i="8" s="1"/>
  <c r="L15" i="8"/>
  <c r="I15" i="8" s="1"/>
  <c r="L13" i="8"/>
  <c r="I13" i="8" s="1"/>
  <c r="L17" i="8"/>
  <c r="I17" i="8" s="1"/>
  <c r="L6" i="8"/>
  <c r="I6" i="8" s="1"/>
  <c r="L12" i="8"/>
  <c r="I12" i="8" s="1"/>
  <c r="Z21" i="4"/>
  <c r="AC18" i="4"/>
  <c r="AC17" i="4"/>
  <c r="Z16" i="4"/>
  <c r="AC15" i="4"/>
  <c r="Z14" i="4"/>
  <c r="AC13" i="4"/>
  <c r="AF11" i="4"/>
  <c r="AF10" i="4"/>
  <c r="AF9" i="4"/>
  <c r="Z8" i="4"/>
  <c r="AF7" i="4"/>
  <c r="AF6" i="4"/>
  <c r="AC4" i="4"/>
  <c r="AC22" i="4"/>
  <c r="AC19" i="4"/>
  <c r="Z18" i="4"/>
  <c r="Z17" i="4"/>
  <c r="Z15" i="4"/>
  <c r="Z13" i="4"/>
  <c r="AF12" i="4"/>
  <c r="AC11" i="4"/>
  <c r="AC10" i="4"/>
  <c r="AC9" i="4"/>
  <c r="AC7" i="4"/>
  <c r="AC6" i="4"/>
  <c r="AF5" i="4"/>
  <c r="Z4" i="4"/>
  <c r="AC20" i="4"/>
  <c r="AC14" i="4"/>
  <c r="Z10" i="4"/>
  <c r="AC8" i="4"/>
  <c r="Z5" i="4"/>
  <c r="AF14" i="4"/>
  <c r="AF8" i="4"/>
  <c r="Z6" i="4"/>
  <c r="AC5" i="4"/>
  <c r="AF4" i="4"/>
  <c r="Z20" i="4"/>
  <c r="AF15" i="4"/>
  <c r="Z12" i="4"/>
  <c r="Z7" i="4"/>
  <c r="Z19" i="4"/>
  <c r="AF16" i="4"/>
  <c r="AF13" i="4"/>
  <c r="AC12" i="4"/>
  <c r="Z11" i="4"/>
  <c r="Z9" i="4"/>
  <c r="AC21" i="4"/>
  <c r="AC16" i="4"/>
  <c r="F5" i="5"/>
  <c r="F5" i="3"/>
  <c r="AC20" i="3"/>
  <c r="Z19" i="3"/>
  <c r="AF16" i="3"/>
  <c r="AF14" i="3"/>
  <c r="AC12" i="3"/>
  <c r="Z11" i="3"/>
  <c r="Z10" i="3"/>
  <c r="Z9" i="3"/>
  <c r="AF8" i="3"/>
  <c r="Z7" i="3"/>
  <c r="Z6" i="3"/>
  <c r="AC5" i="3"/>
  <c r="AC21" i="3"/>
  <c r="Z20" i="3"/>
  <c r="AC16" i="3"/>
  <c r="AF15" i="3"/>
  <c r="AC14" i="3"/>
  <c r="AF13" i="3"/>
  <c r="Z12" i="3"/>
  <c r="AC8" i="3"/>
  <c r="Z5" i="3"/>
  <c r="AF4" i="3"/>
  <c r="Z21" i="3"/>
  <c r="AC18" i="3"/>
  <c r="Z17" i="3"/>
  <c r="Z15" i="3"/>
  <c r="Z14" i="3"/>
  <c r="AC10" i="3"/>
  <c r="AC6" i="3"/>
  <c r="AC4" i="3"/>
  <c r="AC22" i="3"/>
  <c r="AC19" i="3"/>
  <c r="AC17" i="3"/>
  <c r="AF12" i="3"/>
  <c r="AF10" i="3"/>
  <c r="Z18" i="3"/>
  <c r="Z16" i="3"/>
  <c r="AF11" i="3"/>
  <c r="AF9" i="3"/>
  <c r="AF7" i="3"/>
  <c r="Z4" i="3"/>
  <c r="AC15" i="3"/>
  <c r="Z13" i="3"/>
  <c r="AC13" i="3"/>
  <c r="AC11" i="3"/>
  <c r="AC9" i="3"/>
  <c r="Z8" i="3"/>
  <c r="AC7" i="3"/>
  <c r="AF6" i="3"/>
  <c r="AF5" i="3"/>
  <c r="F12" i="7"/>
  <c r="R4" i="7"/>
  <c r="F16" i="7" s="1"/>
  <c r="F5" i="7"/>
  <c r="AO13" i="4"/>
  <c r="AK12" i="4"/>
  <c r="AM8" i="4"/>
  <c r="AK5" i="4"/>
  <c r="AO4" i="4"/>
  <c r="AM13" i="4"/>
  <c r="AO11" i="4"/>
  <c r="AO10" i="4"/>
  <c r="AO9" i="4"/>
  <c r="AK8" i="4"/>
  <c r="AO7" i="4"/>
  <c r="AO6" i="4"/>
  <c r="AM4" i="4"/>
  <c r="AO12" i="4"/>
  <c r="AM11" i="4"/>
  <c r="AM9" i="4"/>
  <c r="AK13" i="4"/>
  <c r="AM12" i="4"/>
  <c r="AK11" i="4"/>
  <c r="AK9" i="4"/>
  <c r="AM7" i="4"/>
  <c r="AM6" i="4"/>
  <c r="AO5" i="4"/>
  <c r="AK10" i="4"/>
  <c r="AM10" i="4"/>
  <c r="AO8" i="4"/>
  <c r="AK7" i="4"/>
  <c r="AK6" i="4"/>
  <c r="AM5" i="4"/>
  <c r="AK4" i="4"/>
  <c r="BK11" i="9"/>
  <c r="BK6" i="9"/>
  <c r="BK12" i="9"/>
  <c r="BK10" i="9"/>
  <c r="BK4" i="9"/>
  <c r="BK7" i="9"/>
  <c r="BK9" i="9"/>
  <c r="BK5" i="9"/>
  <c r="BK8" i="9"/>
  <c r="Y13" i="9"/>
  <c r="U6" i="9"/>
  <c r="U17" i="9"/>
  <c r="Y14" i="9"/>
  <c r="U13" i="9"/>
  <c r="Y10" i="9"/>
  <c r="Y9" i="9"/>
  <c r="Y8" i="9"/>
  <c r="Y7" i="9"/>
  <c r="Y4" i="9"/>
  <c r="Y12" i="9"/>
  <c r="Y11" i="9"/>
  <c r="U10" i="9"/>
  <c r="U4" i="9"/>
  <c r="U16" i="9"/>
  <c r="U15" i="9"/>
  <c r="U12" i="9"/>
  <c r="U11" i="9"/>
  <c r="U7" i="9"/>
  <c r="Y6" i="9"/>
  <c r="U18" i="9"/>
  <c r="U8" i="9"/>
  <c r="U14" i="9"/>
  <c r="Y5" i="9"/>
  <c r="U9" i="9"/>
  <c r="U5" i="9"/>
  <c r="U19" i="9"/>
  <c r="AO10" i="9"/>
  <c r="AO9" i="9"/>
  <c r="AO8" i="9"/>
  <c r="AO7" i="9"/>
  <c r="AO5" i="9"/>
  <c r="AO4" i="9"/>
  <c r="P9" i="9"/>
  <c r="M9" i="9" s="1"/>
  <c r="P10" i="9"/>
  <c r="M10" i="9" s="1"/>
  <c r="P4" i="9"/>
  <c r="M4" i="9" s="1"/>
  <c r="P8" i="9"/>
  <c r="M8" i="9" s="1"/>
  <c r="AO6" i="9"/>
  <c r="P7" i="9"/>
  <c r="M7" i="9" s="1"/>
  <c r="P14" i="9"/>
  <c r="M14" i="9" s="1"/>
  <c r="P16" i="9"/>
  <c r="M16" i="9" s="1"/>
  <c r="AO3" i="9"/>
  <c r="E16" i="9" s="1"/>
  <c r="P13" i="9"/>
  <c r="M13" i="9" s="1"/>
  <c r="P11" i="9"/>
  <c r="M11" i="9" s="1"/>
  <c r="P6" i="9"/>
  <c r="M6" i="9" s="1"/>
  <c r="P5" i="9"/>
  <c r="M5" i="9" s="1"/>
  <c r="P15" i="9"/>
  <c r="M15" i="9" s="1"/>
  <c r="P17" i="9"/>
  <c r="M17" i="9" s="1"/>
  <c r="P12" i="9"/>
  <c r="M12" i="9" s="1"/>
  <c r="AK13" i="3"/>
  <c r="AO12" i="3"/>
  <c r="AM11" i="3"/>
  <c r="AM10" i="3"/>
  <c r="AM9" i="3"/>
  <c r="AM7" i="3"/>
  <c r="AM6" i="3"/>
  <c r="AO5" i="3"/>
  <c r="AK4" i="3"/>
  <c r="AM12" i="3"/>
  <c r="AK11" i="3"/>
  <c r="AK10" i="3"/>
  <c r="AK9" i="3"/>
  <c r="AO8" i="3"/>
  <c r="AK7" i="3"/>
  <c r="AK6" i="3"/>
  <c r="AM5" i="3"/>
  <c r="AO13" i="3"/>
  <c r="AO11" i="3"/>
  <c r="AO9" i="3"/>
  <c r="AM8" i="3"/>
  <c r="AO7" i="3"/>
  <c r="AM4" i="3"/>
  <c r="E14" i="3" s="1"/>
  <c r="AM13" i="3"/>
  <c r="AK8" i="3"/>
  <c r="AK12" i="3"/>
  <c r="AO10" i="3"/>
  <c r="AO6" i="3"/>
  <c r="AK5" i="3"/>
  <c r="AO4" i="3"/>
  <c r="F12" i="4"/>
  <c r="AK13" i="5"/>
  <c r="AO12" i="5"/>
  <c r="AM11" i="5"/>
  <c r="AM10" i="5"/>
  <c r="AM12" i="5"/>
  <c r="AK11" i="5"/>
  <c r="AK10" i="5"/>
  <c r="AK9" i="5"/>
  <c r="AO8" i="5"/>
  <c r="AK6" i="5"/>
  <c r="AM9" i="5"/>
  <c r="AO5" i="5"/>
  <c r="AK4" i="5"/>
  <c r="AO13" i="5"/>
  <c r="AO11" i="5"/>
  <c r="AO7" i="5"/>
  <c r="AM5" i="5"/>
  <c r="AM13" i="5"/>
  <c r="AK8" i="5"/>
  <c r="AM7" i="5"/>
  <c r="AM4" i="5"/>
  <c r="AK12" i="5"/>
  <c r="AK5" i="5"/>
  <c r="AO9" i="5"/>
  <c r="AO6" i="5"/>
  <c r="AO10" i="5"/>
  <c r="AM8" i="5"/>
  <c r="AM6" i="5"/>
  <c r="AO4" i="5"/>
  <c r="F5" i="9"/>
  <c r="BC4" i="9" s="1"/>
  <c r="AC20" i="5"/>
  <c r="Z19" i="5"/>
  <c r="AF16" i="5"/>
  <c r="AF14" i="5"/>
  <c r="AC12" i="5"/>
  <c r="Z11" i="5"/>
  <c r="Z10" i="5"/>
  <c r="AC21" i="5"/>
  <c r="Z20" i="5"/>
  <c r="AC16" i="5"/>
  <c r="AF15" i="5"/>
  <c r="AC14" i="5"/>
  <c r="AF13" i="5"/>
  <c r="Z12" i="5"/>
  <c r="AC8" i="5"/>
  <c r="Z18" i="5"/>
  <c r="Z16" i="5"/>
  <c r="Z13" i="5"/>
  <c r="AF12" i="5"/>
  <c r="AF10" i="5"/>
  <c r="AF8" i="5"/>
  <c r="AC7" i="5"/>
  <c r="AF6" i="5"/>
  <c r="AC5" i="5"/>
  <c r="AC10" i="5"/>
  <c r="AF9" i="5"/>
  <c r="Z8" i="5"/>
  <c r="Z7" i="5"/>
  <c r="AC6" i="5"/>
  <c r="Z5" i="5"/>
  <c r="AF4" i="5"/>
  <c r="AC22" i="5"/>
  <c r="AC19" i="5"/>
  <c r="AC17" i="5"/>
  <c r="AC15" i="5"/>
  <c r="AF11" i="5"/>
  <c r="Z21" i="5"/>
  <c r="AC9" i="5"/>
  <c r="Z6" i="5"/>
  <c r="AC18" i="5"/>
  <c r="Z14" i="5"/>
  <c r="Z9" i="5"/>
  <c r="AF7" i="5"/>
  <c r="AC4" i="5"/>
  <c r="Z15" i="5"/>
  <c r="AF5" i="5"/>
  <c r="Z4" i="5"/>
  <c r="Z17" i="5"/>
  <c r="AC13" i="5"/>
  <c r="AC11" i="5"/>
  <c r="F12" i="3"/>
  <c r="CD10" i="3" l="1"/>
  <c r="CD9" i="3"/>
  <c r="CD7" i="3"/>
  <c r="CD5" i="3"/>
  <c r="CD14" i="3"/>
  <c r="CD13" i="3"/>
  <c r="CD4" i="3"/>
  <c r="CD12" i="3"/>
  <c r="CD11" i="3"/>
  <c r="CD6" i="3"/>
  <c r="CD15" i="3"/>
  <c r="CD8" i="3"/>
  <c r="F7" i="5"/>
  <c r="F6" i="5"/>
  <c r="BO12" i="9"/>
  <c r="BO10" i="9"/>
  <c r="BO9" i="9"/>
  <c r="BO8" i="9"/>
  <c r="BO7" i="9"/>
  <c r="BO5" i="9"/>
  <c r="BO4" i="9"/>
  <c r="BO11" i="9"/>
  <c r="BO6" i="9"/>
  <c r="F7" i="9"/>
  <c r="F8" i="9" s="1"/>
  <c r="F6" i="9"/>
  <c r="E9" i="9"/>
  <c r="F6" i="3"/>
  <c r="F7" i="3"/>
  <c r="F6" i="4"/>
  <c r="F7" i="4"/>
  <c r="F5" i="8"/>
  <c r="CH12" i="8"/>
  <c r="CH8" i="8"/>
  <c r="CH7" i="8"/>
  <c r="CH6" i="8"/>
  <c r="CH5" i="8"/>
  <c r="CH4" i="8"/>
  <c r="CH15" i="8"/>
  <c r="CH13" i="8"/>
  <c r="CH9" i="8"/>
  <c r="CH10" i="8"/>
  <c r="CH14" i="8"/>
  <c r="CH11" i="8"/>
  <c r="BS15" i="7"/>
  <c r="BO15" i="7"/>
  <c r="BS13" i="7"/>
  <c r="BS11" i="7"/>
  <c r="BO10" i="7"/>
  <c r="BB7" i="7"/>
  <c r="BS14" i="7"/>
  <c r="BO13" i="7"/>
  <c r="BB12" i="7"/>
  <c r="BO11" i="7"/>
  <c r="BB9" i="7"/>
  <c r="BB8" i="7"/>
  <c r="BS7" i="7"/>
  <c r="BS6" i="7"/>
  <c r="BB6" i="7"/>
  <c r="BO14" i="7"/>
  <c r="BS12" i="7"/>
  <c r="BS9" i="7"/>
  <c r="BO8" i="7"/>
  <c r="BO7" i="7"/>
  <c r="BO6" i="7"/>
  <c r="BS4" i="7"/>
  <c r="BB14" i="7"/>
  <c r="BO12" i="7"/>
  <c r="BS10" i="7"/>
  <c r="BO9" i="7"/>
  <c r="BB5" i="7"/>
  <c r="BO4" i="7"/>
  <c r="BB15" i="7"/>
  <c r="BB10" i="7"/>
  <c r="BS5" i="7"/>
  <c r="BO5" i="7"/>
  <c r="BB13" i="7"/>
  <c r="BB4" i="7"/>
  <c r="BB11" i="7"/>
  <c r="BS8" i="7"/>
  <c r="AH21" i="8"/>
  <c r="AK21" i="8"/>
  <c r="AK16" i="8"/>
  <c r="AH15" i="8"/>
  <c r="AH14" i="8"/>
  <c r="AH13" i="8"/>
  <c r="AN12" i="8"/>
  <c r="AK11" i="8"/>
  <c r="AK10" i="8"/>
  <c r="AK9" i="8"/>
  <c r="AK7" i="8"/>
  <c r="AN6" i="8"/>
  <c r="AK19" i="8"/>
  <c r="AK18" i="8"/>
  <c r="AK17" i="8"/>
  <c r="AH16" i="8"/>
  <c r="AK12" i="8"/>
  <c r="AH11" i="8"/>
  <c r="AH10" i="8"/>
  <c r="AH9" i="8"/>
  <c r="AN8" i="8"/>
  <c r="AH7" i="8"/>
  <c r="AK6" i="8"/>
  <c r="AN5" i="8"/>
  <c r="AN4" i="8"/>
  <c r="AN16" i="8"/>
  <c r="AK15" i="8"/>
  <c r="AK14" i="8"/>
  <c r="AK13" i="8"/>
  <c r="AK8" i="8"/>
  <c r="AH6" i="8"/>
  <c r="AK22" i="8"/>
  <c r="AH8" i="8"/>
  <c r="AK5" i="8"/>
  <c r="AK4" i="8"/>
  <c r="AK20" i="8"/>
  <c r="AH18" i="8"/>
  <c r="AN14" i="8"/>
  <c r="AH12" i="8"/>
  <c r="AH4" i="8"/>
  <c r="AH20" i="8"/>
  <c r="AN11" i="8"/>
  <c r="AH19" i="8"/>
  <c r="AH17" i="8"/>
  <c r="AN15" i="8"/>
  <c r="AN13" i="8"/>
  <c r="AN9" i="8"/>
  <c r="AN7" i="8"/>
  <c r="AN10" i="8"/>
  <c r="AH5" i="8"/>
  <c r="DF19" i="8"/>
  <c r="DF18" i="8"/>
  <c r="DF17" i="8"/>
  <c r="DF15" i="8"/>
  <c r="DF14" i="8"/>
  <c r="DF13" i="8"/>
  <c r="DF9" i="8"/>
  <c r="DF11" i="8"/>
  <c r="DF10" i="8"/>
  <c r="DF8" i="8"/>
  <c r="DF5" i="8"/>
  <c r="DF16" i="8"/>
  <c r="DF12" i="8"/>
  <c r="DF6" i="8"/>
  <c r="DF7" i="8"/>
  <c r="CL5" i="8"/>
  <c r="CL4" i="8"/>
  <c r="CL15" i="8"/>
  <c r="CL14" i="8"/>
  <c r="CL13" i="8"/>
  <c r="CL11" i="8"/>
  <c r="CL10" i="8"/>
  <c r="CL9" i="8"/>
  <c r="CL7" i="8"/>
  <c r="CL6" i="8"/>
  <c r="CL8" i="8"/>
  <c r="CL12" i="8"/>
  <c r="CD15" i="4"/>
  <c r="CD11" i="4"/>
  <c r="CD8" i="4"/>
  <c r="CD4" i="4"/>
  <c r="CD12" i="4"/>
  <c r="CD6" i="4"/>
  <c r="CD10" i="4"/>
  <c r="CD5" i="4"/>
  <c r="CD7" i="4"/>
  <c r="CD14" i="4"/>
  <c r="CD13" i="4"/>
  <c r="CD9" i="4"/>
  <c r="CH14" i="3"/>
  <c r="CH13" i="3"/>
  <c r="CK8" i="3"/>
  <c r="CN6" i="3"/>
  <c r="CK4" i="3"/>
  <c r="CH11" i="3"/>
  <c r="CN10" i="3"/>
  <c r="CN9" i="3"/>
  <c r="CH8" i="3"/>
  <c r="CN7" i="3"/>
  <c r="CK6" i="3"/>
  <c r="CN5" i="3"/>
  <c r="CH4" i="3"/>
  <c r="CN14" i="3"/>
  <c r="CN13" i="3"/>
  <c r="CH10" i="3"/>
  <c r="CK10" i="3"/>
  <c r="CK14" i="3"/>
  <c r="CK13" i="3"/>
  <c r="CK9" i="3"/>
  <c r="CN8" i="3"/>
  <c r="CK7" i="3"/>
  <c r="CK5" i="3"/>
  <c r="CH12" i="3"/>
  <c r="CH9" i="3"/>
  <c r="CH7" i="3"/>
  <c r="CH6" i="3"/>
  <c r="CH5" i="3"/>
  <c r="CR4" i="3"/>
  <c r="P25" i="13" s="1"/>
  <c r="CN4" i="3"/>
  <c r="F15" i="9"/>
  <c r="L21" i="13"/>
  <c r="J21" i="13"/>
  <c r="CA14" i="7"/>
  <c r="CA15" i="7"/>
  <c r="CA12" i="7"/>
  <c r="CA9" i="7"/>
  <c r="CA8" i="7"/>
  <c r="CA5" i="7"/>
  <c r="CA4" i="7"/>
  <c r="CA10" i="7"/>
  <c r="CA13" i="7"/>
  <c r="CA11" i="7"/>
  <c r="CA6" i="7"/>
  <c r="CA7" i="7"/>
  <c r="BQ15" i="3"/>
  <c r="BQ11" i="3"/>
  <c r="BQ8" i="3"/>
  <c r="BQ12" i="3"/>
  <c r="BQ4" i="3"/>
  <c r="BQ14" i="3"/>
  <c r="BQ13" i="3"/>
  <c r="BQ7" i="3"/>
  <c r="BQ10" i="3"/>
  <c r="BQ6" i="3"/>
  <c r="BQ5" i="3"/>
  <c r="BQ9" i="3"/>
  <c r="U8" i="8"/>
  <c r="R8" i="8" s="1"/>
  <c r="U16" i="8"/>
  <c r="R16" i="8" s="1"/>
  <c r="U6" i="8"/>
  <c r="R6" i="8" s="1"/>
  <c r="U7" i="8"/>
  <c r="R7" i="8" s="1"/>
  <c r="U17" i="8"/>
  <c r="R17" i="8" s="1"/>
  <c r="U12" i="8"/>
  <c r="R12" i="8" s="1"/>
  <c r="U11" i="8"/>
  <c r="R11" i="8" s="1"/>
  <c r="U9" i="8"/>
  <c r="R9" i="8" s="1"/>
  <c r="U14" i="8"/>
  <c r="R14" i="8" s="1"/>
  <c r="U13" i="8"/>
  <c r="R13" i="8" s="1"/>
  <c r="U15" i="8"/>
  <c r="R15" i="8" s="1"/>
  <c r="U4" i="8"/>
  <c r="R4" i="8" s="1"/>
  <c r="U10" i="8"/>
  <c r="R10" i="8" s="1"/>
  <c r="U5" i="8"/>
  <c r="R5" i="8" s="1"/>
  <c r="F6" i="7"/>
  <c r="F7" i="7"/>
  <c r="BC10" i="9"/>
  <c r="BC9" i="9"/>
  <c r="BC8" i="9"/>
  <c r="BC7" i="9"/>
  <c r="BC5" i="9"/>
  <c r="BC15" i="9"/>
  <c r="BC13" i="9"/>
  <c r="BC14" i="9"/>
  <c r="BC6" i="9"/>
  <c r="BC12" i="9"/>
  <c r="BC11" i="9"/>
  <c r="BW14" i="7"/>
  <c r="BW7" i="7"/>
  <c r="BW6" i="7"/>
  <c r="BW15" i="7"/>
  <c r="BW12" i="7"/>
  <c r="BW9" i="7"/>
  <c r="BW8" i="7"/>
  <c r="BW5" i="7"/>
  <c r="BW4" i="7"/>
  <c r="BW10" i="7"/>
  <c r="BW13" i="7"/>
  <c r="BW11" i="7"/>
  <c r="BQ15" i="5"/>
  <c r="BQ11" i="5"/>
  <c r="BQ12" i="5"/>
  <c r="BQ13" i="5"/>
  <c r="BQ9" i="5"/>
  <c r="BQ14" i="5"/>
  <c r="BQ10" i="5"/>
  <c r="BQ8" i="5"/>
  <c r="BQ7" i="5"/>
  <c r="BQ5" i="5"/>
  <c r="BQ6" i="5"/>
  <c r="CE5" i="7"/>
  <c r="CE8" i="7"/>
  <c r="CE7" i="7"/>
  <c r="CE6" i="7"/>
  <c r="CE9" i="7"/>
  <c r="CE4" i="7"/>
  <c r="F12" i="8"/>
  <c r="F10" i="9"/>
  <c r="F7" i="8" l="1"/>
  <c r="F6" i="8"/>
  <c r="BU24" i="3"/>
  <c r="BU21" i="3"/>
  <c r="BU12" i="3"/>
  <c r="BU4" i="3"/>
  <c r="BU23" i="3"/>
  <c r="BU18" i="3"/>
  <c r="BU17" i="3"/>
  <c r="BU10" i="3"/>
  <c r="BU9" i="3"/>
  <c r="BU7" i="3"/>
  <c r="BU6" i="3"/>
  <c r="BU26" i="3"/>
  <c r="BU16" i="3"/>
  <c r="BU11" i="3"/>
  <c r="BU5" i="3"/>
  <c r="BU25" i="3"/>
  <c r="BU20" i="3"/>
  <c r="BU8" i="3"/>
  <c r="BU22" i="3"/>
  <c r="BU19" i="3"/>
  <c r="BU15" i="3"/>
  <c r="BU14" i="3"/>
  <c r="BU13" i="3"/>
  <c r="F8" i="3"/>
  <c r="BG11" i="9"/>
  <c r="BG6" i="9"/>
  <c r="BG9" i="9"/>
  <c r="BG10" i="9"/>
  <c r="BG4" i="9"/>
  <c r="H21" i="13" s="1"/>
  <c r="BG12" i="9"/>
  <c r="BG5" i="9"/>
  <c r="BG7" i="9"/>
  <c r="BG8" i="9"/>
  <c r="BM12" i="8"/>
  <c r="BM8" i="8"/>
  <c r="BM7" i="8"/>
  <c r="BM6" i="8"/>
  <c r="BM11" i="8"/>
  <c r="BM10" i="8"/>
  <c r="BM9" i="8"/>
  <c r="BM15" i="8"/>
  <c r="BM14" i="8"/>
  <c r="BM13" i="8"/>
  <c r="BM5" i="8"/>
  <c r="BM4" i="8"/>
  <c r="L25" i="13"/>
  <c r="BZ15" i="8"/>
  <c r="BZ14" i="8"/>
  <c r="BZ13" i="8"/>
  <c r="BZ11" i="8"/>
  <c r="BZ10" i="8"/>
  <c r="BZ9" i="8"/>
  <c r="BZ8" i="8"/>
  <c r="BZ5" i="8"/>
  <c r="BZ4" i="8"/>
  <c r="BZ12" i="8"/>
  <c r="BZ7" i="8"/>
  <c r="BZ6" i="8"/>
  <c r="F25" i="13"/>
  <c r="BU26" i="4"/>
  <c r="BU22" i="4"/>
  <c r="BU19" i="4"/>
  <c r="BU14" i="4"/>
  <c r="BU13" i="4"/>
  <c r="BU5" i="4"/>
  <c r="BU25" i="4"/>
  <c r="BU20" i="4"/>
  <c r="BU16" i="4"/>
  <c r="BU15" i="4"/>
  <c r="BU11" i="4"/>
  <c r="BU8" i="4"/>
  <c r="BU24" i="4"/>
  <c r="BU7" i="4"/>
  <c r="BU6" i="4"/>
  <c r="BU18" i="4"/>
  <c r="BU23" i="4"/>
  <c r="BU17" i="4"/>
  <c r="BU10" i="4"/>
  <c r="BU9" i="4"/>
  <c r="BU21" i="4"/>
  <c r="BU12" i="4"/>
  <c r="BU4" i="4"/>
  <c r="F8" i="4"/>
  <c r="BS20" i="9"/>
  <c r="BV18" i="9"/>
  <c r="BS17" i="9"/>
  <c r="BV16" i="9"/>
  <c r="BS15" i="9"/>
  <c r="BV14" i="9"/>
  <c r="BS13" i="9"/>
  <c r="BS10" i="9"/>
  <c r="BS9" i="9"/>
  <c r="BS8" i="9"/>
  <c r="BS7" i="9"/>
  <c r="BS5" i="9"/>
  <c r="BS4" i="9"/>
  <c r="BV19" i="9"/>
  <c r="BS18" i="9"/>
  <c r="BS16" i="9"/>
  <c r="BS14" i="9"/>
  <c r="BV11" i="9"/>
  <c r="BV6" i="9"/>
  <c r="BV20" i="9"/>
  <c r="BV17" i="9"/>
  <c r="BV13" i="9"/>
  <c r="BV12" i="9"/>
  <c r="BS11" i="9"/>
  <c r="BV7" i="9"/>
  <c r="BS6" i="9"/>
  <c r="BS19" i="9"/>
  <c r="BS12" i="9"/>
  <c r="BV8" i="9"/>
  <c r="BV5" i="9"/>
  <c r="BV4" i="9"/>
  <c r="BV10" i="9"/>
  <c r="BV9" i="9"/>
  <c r="BV15" i="9"/>
  <c r="CD11" i="9"/>
  <c r="CD12" i="9"/>
  <c r="CD5" i="9"/>
  <c r="CD4" i="9"/>
  <c r="CD8" i="9"/>
  <c r="CD9" i="9"/>
  <c r="CD14" i="9"/>
  <c r="CD10" i="9"/>
  <c r="CD7" i="9"/>
  <c r="CD13" i="9"/>
  <c r="CD6" i="9"/>
  <c r="CD15" i="9"/>
  <c r="BF23" i="7"/>
  <c r="BF16" i="7"/>
  <c r="BF26" i="7"/>
  <c r="BF22" i="7"/>
  <c r="BF14" i="7"/>
  <c r="BF21" i="7"/>
  <c r="BF17" i="7"/>
  <c r="BF12" i="7"/>
  <c r="BF9" i="7"/>
  <c r="BF8" i="7"/>
  <c r="BF6" i="7"/>
  <c r="BF25" i="7"/>
  <c r="BF20" i="7"/>
  <c r="BF18" i="7"/>
  <c r="BF10" i="7"/>
  <c r="BF5" i="7"/>
  <c r="BF4" i="7"/>
  <c r="BF19" i="7"/>
  <c r="BF24" i="7"/>
  <c r="BF15" i="7"/>
  <c r="BF7" i="7"/>
  <c r="BF13" i="7"/>
  <c r="BF11" i="7"/>
  <c r="F8" i="7"/>
  <c r="F15" i="8"/>
  <c r="N25" i="13"/>
  <c r="BU24" i="5"/>
  <c r="BU21" i="5"/>
  <c r="BU12" i="5"/>
  <c r="BU23" i="5"/>
  <c r="BU18" i="5"/>
  <c r="BU17" i="5"/>
  <c r="BU10" i="5"/>
  <c r="BU9" i="5"/>
  <c r="BU7" i="5"/>
  <c r="BU6" i="5"/>
  <c r="BU25" i="5"/>
  <c r="BU20" i="5"/>
  <c r="BU4" i="5"/>
  <c r="BU22" i="5"/>
  <c r="BU19" i="5"/>
  <c r="BU15" i="5"/>
  <c r="BU14" i="5"/>
  <c r="BU11" i="5"/>
  <c r="BU16" i="5"/>
  <c r="BU8" i="5"/>
  <c r="BU13" i="5"/>
  <c r="BU26" i="5"/>
  <c r="F8" i="5"/>
  <c r="N21" i="13" l="1"/>
  <c r="R21" i="13"/>
  <c r="H25" i="13"/>
  <c r="CD11" i="8"/>
  <c r="CD10" i="8"/>
  <c r="CD9" i="8"/>
  <c r="CD12" i="8"/>
  <c r="CD8" i="8"/>
  <c r="CD7" i="8"/>
  <c r="CD6" i="8"/>
  <c r="CD15" i="8"/>
  <c r="CD14" i="8"/>
  <c r="CD13" i="8"/>
  <c r="CD5" i="8"/>
  <c r="CD4" i="8"/>
  <c r="BQ23" i="8"/>
  <c r="BQ22" i="8"/>
  <c r="BQ6" i="8"/>
  <c r="BQ24" i="8"/>
  <c r="BQ21" i="8"/>
  <c r="BQ19" i="8"/>
  <c r="BQ18" i="8"/>
  <c r="BQ17" i="8"/>
  <c r="BQ15" i="8"/>
  <c r="BQ14" i="8"/>
  <c r="BQ13" i="8"/>
  <c r="BQ5" i="8"/>
  <c r="BQ4" i="8"/>
  <c r="BQ20" i="8"/>
  <c r="BQ12" i="8"/>
  <c r="BQ26" i="8"/>
  <c r="BQ8" i="8"/>
  <c r="BQ11" i="8"/>
  <c r="BQ7" i="8"/>
  <c r="BQ9" i="8"/>
  <c r="BQ25" i="8"/>
  <c r="BQ10" i="8"/>
  <c r="BQ16" i="8"/>
  <c r="F8" i="8"/>
</calcChain>
</file>

<file path=xl/sharedStrings.xml><?xml version="1.0" encoding="utf-8"?>
<sst xmlns="http://schemas.openxmlformats.org/spreadsheetml/2006/main" count="4013" uniqueCount="350">
  <si>
    <t>Блок</t>
  </si>
  <si>
    <t>БВ</t>
  </si>
  <si>
    <t>БОВ</t>
  </si>
  <si>
    <t>БГ</t>
  </si>
  <si>
    <t>БОВГ</t>
  </si>
  <si>
    <t>Нагрузка</t>
  </si>
  <si>
    <t>xx</t>
  </si>
  <si>
    <t>РП</t>
  </si>
  <si>
    <t>Рх</t>
  </si>
  <si>
    <t>хП</t>
  </si>
  <si>
    <t>С</t>
  </si>
  <si>
    <t>Т</t>
  </si>
  <si>
    <t>Т-2(50%)</t>
  </si>
  <si>
    <t>Т-2(75%)</t>
  </si>
  <si>
    <t>Т-2(100%)</t>
  </si>
  <si>
    <t>П</t>
  </si>
  <si>
    <t>0,10</t>
  </si>
  <si>
    <t>0,20</t>
  </si>
  <si>
    <t>0,30</t>
  </si>
  <si>
    <t>0,04</t>
  </si>
  <si>
    <t>0,05</t>
  </si>
  <si>
    <t>0,06</t>
  </si>
  <si>
    <t>0,07</t>
  </si>
  <si>
    <t>0,08</t>
  </si>
  <si>
    <t>0,09</t>
  </si>
  <si>
    <t>1,0</t>
  </si>
  <si>
    <t>2,0</t>
  </si>
  <si>
    <t>3,0</t>
  </si>
  <si>
    <t>4,0</t>
  </si>
  <si>
    <t>БОВ-1</t>
  </si>
  <si>
    <t>Диаметр трубопровода</t>
  </si>
  <si>
    <t>Клапан</t>
  </si>
  <si>
    <t>Насос</t>
  </si>
  <si>
    <t>TOP-SD</t>
  </si>
  <si>
    <t>Yonos MAXO-D</t>
  </si>
  <si>
    <t>Stratos-D</t>
  </si>
  <si>
    <t>Теплообменник</t>
  </si>
  <si>
    <t>Х1</t>
  </si>
  <si>
    <t>Х2</t>
  </si>
  <si>
    <t>Х3</t>
  </si>
  <si>
    <t>Х4</t>
  </si>
  <si>
    <t>Х5</t>
  </si>
  <si>
    <t>Х6</t>
  </si>
  <si>
    <t>Х7</t>
  </si>
  <si>
    <t>Х8</t>
  </si>
  <si>
    <t>Х9</t>
  </si>
  <si>
    <t>Х10</t>
  </si>
  <si>
    <t>Х11</t>
  </si>
  <si>
    <t>D1</t>
  </si>
  <si>
    <t>l</t>
  </si>
  <si>
    <t>h</t>
  </si>
  <si>
    <t>D2</t>
  </si>
  <si>
    <t>Dп</t>
  </si>
  <si>
    <t>IMI Hydronic</t>
  </si>
  <si>
    <t>Siemens</t>
  </si>
  <si>
    <t>Danfoss</t>
  </si>
  <si>
    <t>Gнас</t>
  </si>
  <si>
    <t>150-75</t>
  </si>
  <si>
    <t>130-75</t>
  </si>
  <si>
    <t>115-75</t>
  </si>
  <si>
    <t>105-75</t>
  </si>
  <si>
    <t>№</t>
  </si>
  <si>
    <t>Схема</t>
  </si>
  <si>
    <t>Ду</t>
  </si>
  <si>
    <t xml:space="preserve"> Kv</t>
  </si>
  <si>
    <t>Производитель</t>
  </si>
  <si>
    <t>Тип насоса</t>
  </si>
  <si>
    <t>Тип ТО</t>
  </si>
  <si>
    <t>Контролл.</t>
  </si>
  <si>
    <t>ША</t>
  </si>
  <si>
    <t>Q</t>
  </si>
  <si>
    <t>Гкал/ч</t>
  </si>
  <si>
    <t>G1</t>
  </si>
  <si>
    <t>ΔPкл</t>
  </si>
  <si>
    <t>TOP-SD 32/10 3~</t>
  </si>
  <si>
    <t>Yonos MAXO-D 32/0,5-11</t>
  </si>
  <si>
    <t>Stratos-D 32/1-12</t>
  </si>
  <si>
    <t>НН08</t>
  </si>
  <si>
    <t>1</t>
  </si>
  <si>
    <t>Зависимая</t>
  </si>
  <si>
    <t>01</t>
  </si>
  <si>
    <t>0</t>
  </si>
  <si>
    <t>отсутствует</t>
  </si>
  <si>
    <t>Segnetics</t>
  </si>
  <si>
    <t>отдельный</t>
  </si>
  <si>
    <t>Т1</t>
  </si>
  <si>
    <r>
      <rPr>
        <sz val="11"/>
        <color rgb="FF000000"/>
        <rFont val="Calibri"/>
        <family val="2"/>
        <charset val="204"/>
      </rPr>
      <t>°</t>
    </r>
    <r>
      <rPr>
        <sz val="11"/>
        <color rgb="FF000000"/>
        <rFont val="Calibri"/>
        <family val="2"/>
        <charset val="1"/>
      </rPr>
      <t>С</t>
    </r>
  </si>
  <si>
    <t>Kvрасч</t>
  </si>
  <si>
    <t>TOP-SD 40/10 3~</t>
  </si>
  <si>
    <t>Yonos MAXO-D 40/0,5-12</t>
  </si>
  <si>
    <t>Stratos-D 40/1-12</t>
  </si>
  <si>
    <t>НН14</t>
  </si>
  <si>
    <t>НН19</t>
  </si>
  <si>
    <t>НН20</t>
  </si>
  <si>
    <t>2</t>
  </si>
  <si>
    <t>Независимая</t>
  </si>
  <si>
    <t>02</t>
  </si>
  <si>
    <t>Учтен в БОВ-1</t>
  </si>
  <si>
    <t>Т2</t>
  </si>
  <si>
    <t>dкл</t>
  </si>
  <si>
    <t>TOP-SD 50/10 3~</t>
  </si>
  <si>
    <t>Yonos MAXO-D 50/0,5-12</t>
  </si>
  <si>
    <t>Stratos-D 50/1-12</t>
  </si>
  <si>
    <t>03</t>
  </si>
  <si>
    <t>3</t>
  </si>
  <si>
    <t>Т11</t>
  </si>
  <si>
    <t>Kv</t>
  </si>
  <si>
    <t>TOP-SD 40/15 3~</t>
  </si>
  <si>
    <t>Yonos MAXO-D 40/0,5-16</t>
  </si>
  <si>
    <t>Stratos-D 40/1-16</t>
  </si>
  <si>
    <t>04</t>
  </si>
  <si>
    <t>Т21</t>
  </si>
  <si>
    <t>TOP-SD 50/15 3~</t>
  </si>
  <si>
    <t>Yonos MAXO-D 50/0,5-16</t>
  </si>
  <si>
    <t>Stratos-D 50/1-16</t>
  </si>
  <si>
    <t>05</t>
  </si>
  <si>
    <t>4</t>
  </si>
  <si>
    <t>Р1</t>
  </si>
  <si>
    <t>м.в.ст.</t>
  </si>
  <si>
    <t>TOP-SD 65/15 3~</t>
  </si>
  <si>
    <t>Yonos MAXO-D 65/0,5-16</t>
  </si>
  <si>
    <t>Stratos-D 65/1-12</t>
  </si>
  <si>
    <t>НН47</t>
  </si>
  <si>
    <t>06</t>
  </si>
  <si>
    <t>5</t>
  </si>
  <si>
    <t>Р2</t>
  </si>
  <si>
    <t>TOP-SD 80/15 3~</t>
  </si>
  <si>
    <t>Yonos MAXO-D 80/0,5-12</t>
  </si>
  <si>
    <t>Stratos-D 80/1-12</t>
  </si>
  <si>
    <t>НН62</t>
  </si>
  <si>
    <t>07</t>
  </si>
  <si>
    <t>6</t>
  </si>
  <si>
    <t>Δpсов</t>
  </si>
  <si>
    <t>G2</t>
  </si>
  <si>
    <t>TOP-SD 80/20 3~</t>
  </si>
  <si>
    <t>DPL 80/115-2,2/2</t>
  </si>
  <si>
    <t>08</t>
  </si>
  <si>
    <t>ΔPтс</t>
  </si>
  <si>
    <t>09</t>
  </si>
  <si>
    <t>DPL 100/175-3/4</t>
  </si>
  <si>
    <t>10</t>
  </si>
  <si>
    <t>11</t>
  </si>
  <si>
    <t>12</t>
  </si>
  <si>
    <t>Контр.</t>
  </si>
  <si>
    <t>Gп</t>
  </si>
  <si>
    <t>13</t>
  </si>
  <si>
    <t>14</t>
  </si>
  <si>
    <t>Система</t>
  </si>
  <si>
    <t>15</t>
  </si>
  <si>
    <t>16</t>
  </si>
  <si>
    <t>g</t>
  </si>
  <si>
    <t>17</t>
  </si>
  <si>
    <t>kэ</t>
  </si>
  <si>
    <t>18</t>
  </si>
  <si>
    <t>19</t>
  </si>
  <si>
    <t>20</t>
  </si>
  <si>
    <t>21</t>
  </si>
  <si>
    <t>22</t>
  </si>
  <si>
    <t>23</t>
  </si>
  <si>
    <t>БОВ-2</t>
  </si>
  <si>
    <t>БОВ-3</t>
  </si>
  <si>
    <t>Т1/Т2</t>
  </si>
  <si>
    <t>Т11/Т21</t>
  </si>
  <si>
    <t>Рама ТО</t>
  </si>
  <si>
    <t>-</t>
  </si>
  <si>
    <t>.</t>
  </si>
  <si>
    <t>Yonos-MAXO-D</t>
  </si>
  <si>
    <t>на блоке</t>
  </si>
  <si>
    <t>Насос Wilo</t>
  </si>
  <si>
    <t>Счетчик ХВС</t>
  </si>
  <si>
    <t>Х12</t>
  </si>
  <si>
    <t>Х13</t>
  </si>
  <si>
    <t>Х14</t>
  </si>
  <si>
    <t>D3</t>
  </si>
  <si>
    <t>D4</t>
  </si>
  <si>
    <t>"Пульсар" 15</t>
  </si>
  <si>
    <t>НН08-16/1</t>
  </si>
  <si>
    <t>Т2'</t>
  </si>
  <si>
    <t>Т3</t>
  </si>
  <si>
    <t>Т4</t>
  </si>
  <si>
    <t>Счетчик</t>
  </si>
  <si>
    <t>Stratos-Z 25/1-8</t>
  </si>
  <si>
    <t xml:space="preserve"> Yonos MAXO-Z 25/0,5-7 </t>
  </si>
  <si>
    <t>"Пульсар" 20</t>
  </si>
  <si>
    <t>НН19-16/1</t>
  </si>
  <si>
    <t>Параллельная</t>
  </si>
  <si>
    <t>Stratos-Z 32/1-12</t>
  </si>
  <si>
    <t xml:space="preserve"> Yonos MAXO-Z 25/0,5-10</t>
  </si>
  <si>
    <t>"Пульсар" М 25</t>
  </si>
  <si>
    <t>НН19-16/2</t>
  </si>
  <si>
    <t>Смешанная</t>
  </si>
  <si>
    <t>Yonos MAXO-Z</t>
  </si>
  <si>
    <t xml:space="preserve"> Yonos MAXO-Z 30/0,5-12</t>
  </si>
  <si>
    <t>"Пульсар" М 32</t>
  </si>
  <si>
    <t>НН19-16/3</t>
  </si>
  <si>
    <t>Stratos-Z</t>
  </si>
  <si>
    <t>НН08-16/2</t>
  </si>
  <si>
    <t>Stratos-Z 40/1-12</t>
  </si>
  <si>
    <t xml:space="preserve"> Yonos MAXO-Z 40/0,5-12</t>
  </si>
  <si>
    <t>"Пульсар" М 40</t>
  </si>
  <si>
    <t>НН19-16/4</t>
  </si>
  <si>
    <t>НН14-16/1</t>
  </si>
  <si>
    <t>В1</t>
  </si>
  <si>
    <t>"Пульсар" Т 50</t>
  </si>
  <si>
    <t>НН14-16/2</t>
  </si>
  <si>
    <t>G3</t>
  </si>
  <si>
    <t>НН19-16/5</t>
  </si>
  <si>
    <t>НН21-16/2</t>
  </si>
  <si>
    <t>G4</t>
  </si>
  <si>
    <t>НН21-16/3</t>
  </si>
  <si>
    <t>НН47-16/2</t>
  </si>
  <si>
    <t>НН41-16/1</t>
  </si>
  <si>
    <t>НН41-16/2</t>
  </si>
  <si>
    <t>НН41-16/3</t>
  </si>
  <si>
    <t>БГ-С</t>
  </si>
  <si>
    <t>D2'</t>
  </si>
  <si>
    <t>QГВС</t>
  </si>
  <si>
    <t>G Т2'</t>
  </si>
  <si>
    <t>Тип</t>
  </si>
  <si>
    <t>G2'</t>
  </si>
  <si>
    <t>Клапан балансир</t>
  </si>
  <si>
    <t>Расходомеры</t>
  </si>
  <si>
    <t>D94</t>
  </si>
  <si>
    <t>Вогез</t>
  </si>
  <si>
    <t>РС20-6</t>
  </si>
  <si>
    <t>Т94</t>
  </si>
  <si>
    <t>Расход. Т1</t>
  </si>
  <si>
    <t>Расход. Т94</t>
  </si>
  <si>
    <t>Балансир</t>
  </si>
  <si>
    <t>15-1,6</t>
  </si>
  <si>
    <t>15-4,0</t>
  </si>
  <si>
    <t>ΔPклБ</t>
  </si>
  <si>
    <t>РС20-12</t>
  </si>
  <si>
    <t>2-хтрубная</t>
  </si>
  <si>
    <t>Отсутствует</t>
  </si>
  <si>
    <t>15-2,5</t>
  </si>
  <si>
    <t>20-6,3</t>
  </si>
  <si>
    <t>РС32-30</t>
  </si>
  <si>
    <t>3-хтрубная</t>
  </si>
  <si>
    <t>20-4,0</t>
  </si>
  <si>
    <t>25-8,0</t>
  </si>
  <si>
    <t>РС50-36</t>
  </si>
  <si>
    <t>КБЧ</t>
  </si>
  <si>
    <t>20-6,3,0</t>
  </si>
  <si>
    <t>32-16,0</t>
  </si>
  <si>
    <t>РС50-72</t>
  </si>
  <si>
    <t>25-10,0</t>
  </si>
  <si>
    <t>40-20,0</t>
  </si>
  <si>
    <t>РС65-60</t>
  </si>
  <si>
    <t>50-32,0</t>
  </si>
  <si>
    <t>РС80-90</t>
  </si>
  <si>
    <t>dклБ</t>
  </si>
  <si>
    <t>40-25,0</t>
  </si>
  <si>
    <t>65-50,0</t>
  </si>
  <si>
    <t>РС100-280</t>
  </si>
  <si>
    <t>7</t>
  </si>
  <si>
    <t>80-80,0</t>
  </si>
  <si>
    <t>РС150-630</t>
  </si>
  <si>
    <t>8</t>
  </si>
  <si>
    <t>65-40,0</t>
  </si>
  <si>
    <t>100-125,0</t>
  </si>
  <si>
    <t>9</t>
  </si>
  <si>
    <t>80-63,0</t>
  </si>
  <si>
    <t>125-160,0</t>
  </si>
  <si>
    <t>100-100,0</t>
  </si>
  <si>
    <t>Нету</t>
  </si>
  <si>
    <t>150-200,0</t>
  </si>
  <si>
    <t>150-250,0</t>
  </si>
  <si>
    <t>150-280,0</t>
  </si>
  <si>
    <t>Организация</t>
  </si>
  <si>
    <t>ИНН</t>
  </si>
  <si>
    <t>Контактное лицо</t>
  </si>
  <si>
    <t>Должность</t>
  </si>
  <si>
    <t>Контактный телефон</t>
  </si>
  <si>
    <t>Дата заполнения</t>
  </si>
  <si>
    <t>Объект</t>
  </si>
  <si>
    <t>Размеры помещения</t>
  </si>
  <si>
    <t>Длина</t>
  </si>
  <si>
    <t>Ширина</t>
  </si>
  <si>
    <t>Высота</t>
  </si>
  <si>
    <t>Наличие блока</t>
  </si>
  <si>
    <t>Температура</t>
  </si>
  <si>
    <t>Давление</t>
  </si>
  <si>
    <t>Автоматически</t>
  </si>
  <si>
    <t>Р1, МПа</t>
  </si>
  <si>
    <t>Р2, МПа</t>
  </si>
  <si>
    <t>Подпитка</t>
  </si>
  <si>
    <t>Наличие выступов, колонн</t>
  </si>
  <si>
    <t>Узел учета</t>
  </si>
  <si>
    <t>МПа</t>
  </si>
  <si>
    <t>Высота здания</t>
  </si>
  <si>
    <t>Отопление</t>
  </si>
  <si>
    <t>Вентиляция</t>
  </si>
  <si>
    <t>Контроллер</t>
  </si>
  <si>
    <t>Отдельный</t>
  </si>
  <si>
    <t>Теплосеть</t>
  </si>
  <si>
    <t>Потери давления</t>
  </si>
  <si>
    <t>Т12</t>
  </si>
  <si>
    <t>Т22</t>
  </si>
  <si>
    <t>Т13</t>
  </si>
  <si>
    <t>Т23</t>
  </si>
  <si>
    <t>Технология</t>
  </si>
  <si>
    <t>ГВС</t>
  </si>
  <si>
    <t>Давление ХВС</t>
  </si>
  <si>
    <t>Блок ввода
БВ</t>
  </si>
  <si>
    <t>Регулятор давления</t>
  </si>
  <si>
    <t>Ограничение расхода</t>
  </si>
  <si>
    <t>Есть</t>
  </si>
  <si>
    <t>kod1</t>
  </si>
  <si>
    <t>kod2</t>
  </si>
  <si>
    <t>kod3</t>
  </si>
  <si>
    <t>kod4</t>
  </si>
  <si>
    <t>Нет</t>
  </si>
  <si>
    <t>ADL</t>
  </si>
  <si>
    <t>Блок отоп./ 
вент. БОВ-1</t>
  </si>
  <si>
    <t>Клапан регулир-ий</t>
  </si>
  <si>
    <t>Шкаф авт-ки</t>
  </si>
  <si>
    <t>Блок отоп./ 
вент. БОВ-2</t>
  </si>
  <si>
    <t>Блок отоп./ 
вент. БОВ-3</t>
  </si>
  <si>
    <t>Блок ГВС
БГВ</t>
  </si>
  <si>
    <t>kod5</t>
  </si>
  <si>
    <t>kod6</t>
  </si>
  <si>
    <t>kod7</t>
  </si>
  <si>
    <t>Принудит. Смеш.</t>
  </si>
  <si>
    <t>БГВ</t>
  </si>
  <si>
    <t>Принуд. Паралл.</t>
  </si>
  <si>
    <t>Прямого действия</t>
  </si>
  <si>
    <t>Блок подпитки
БП-1</t>
  </si>
  <si>
    <t>Насосная станция</t>
  </si>
  <si>
    <t>Повысит. Насос</t>
  </si>
  <si>
    <t>Клапан солиноид.</t>
  </si>
  <si>
    <t>Расш. Бак</t>
  </si>
  <si>
    <t>MHIL</t>
  </si>
  <si>
    <t>Tork</t>
  </si>
  <si>
    <t>Wester</t>
  </si>
  <si>
    <t>Принудит. Да</t>
  </si>
  <si>
    <t>MHI</t>
  </si>
  <si>
    <t>Flamco</t>
  </si>
  <si>
    <t>БП-1</t>
  </si>
  <si>
    <t>Принуд. Нет</t>
  </si>
  <si>
    <t>Helix</t>
  </si>
  <si>
    <t>Reflex</t>
  </si>
  <si>
    <t>Блок подпитки
БП-2</t>
  </si>
  <si>
    <t>БП-2</t>
  </si>
  <si>
    <t>Блок подпитки
БП-3</t>
  </si>
  <si>
    <t>БП-3</t>
  </si>
  <si>
    <t>Дополнительная информация</t>
  </si>
  <si>
    <t>БОВ - 3</t>
  </si>
  <si>
    <t>БОВ - 2</t>
  </si>
  <si>
    <t>БОВ - 1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</si>
</sst>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_-* #,##0.00_р_._-;\-* #,##0.00_р_._-;_-* \-??_р_._-;_-@_-"/>
  </numFmts>
  <fonts count="9" x14ac:knownFonts="1">
    <font>
      <sz val="11"/>
      <color rgb="FF000000"/>
      <name val="Calibri"/>
      <family val="2"/>
      <charset val="1"/>
    </font>
    <font>
      <sz val="11"/>
      <color rgb="FF000000"/>
      <name val="Symbol"/>
      <family val="1"/>
      <charset val="2"/>
    </font>
    <font>
      <sz val="11"/>
      <color rgb="FF000000"/>
      <name val="Calibri"/>
      <family val="2"/>
      <charset val="204"/>
    </font>
    <font>
      <sz val="9"/>
      <color rgb="FF000000"/>
      <name val="Calibri"/>
      <family val="2"/>
      <charset val="1"/>
    </font>
    <font>
      <sz val="9"/>
      <color rgb="FF000000"/>
      <name val="Calibri"/>
      <family val="2"/>
      <charset val="204"/>
    </font>
    <font>
      <sz val="11"/>
      <color rgb="FF000000"/>
      <name val="Calibri"/>
      <family val="2"/>
      <charset val="1"/>
    </font>
    <font>
      <sz val="22"/>
      <color rgb="FF000000"/>
      <name val="Calibri"/>
      <family val="2"/>
      <charset val="1"/>
    </font>
    <font>
      <sz val="22"/>
      <color theme="0"/>
      <name val="Calibri"/>
      <family val="2"/>
      <charset val="1"/>
    </font>
    <font>
      <b/>
      <sz val="11"/>
      <color rgb="FF000000"/>
      <name val="Calibri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B7DEE8"/>
        <bgColor rgb="FF99CCFF"/>
      </patternFill>
    </fill>
    <fill>
      <patternFill patternType="solid">
        <fgColor rgb="FFC3D69B"/>
        <bgColor rgb="FFB7DEE8"/>
      </patternFill>
    </fill>
    <fill>
      <patternFill patternType="solid">
        <fgColor rgb="FFF2F2F2"/>
        <bgColor rgb="FFFFFFCC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B7DEE8"/>
      </patternFill>
    </fill>
  </fills>
  <borders count="51">
    <border>
      <left/>
      <right/>
      <top/>
      <bottom/>
      <diagonal/>
    </border>
    <border diagonalDown="1">
      <left style="medium">
        <color auto="1"/>
      </left>
      <right/>
      <top style="medium">
        <color auto="1"/>
      </top>
      <bottom/>
      <diagonal style="thin">
        <color auto="1"/>
      </diagonal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 diagonalDown="1">
      <left/>
      <right style="medium">
        <color auto="1"/>
      </right>
      <top/>
      <bottom style="medium">
        <color auto="1"/>
      </bottom>
      <diagonal style="thin">
        <color auto="1"/>
      </diagonal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165" fontId="5" fillId="0" borderId="0" applyBorder="0" applyProtection="0"/>
  </cellStyleXfs>
  <cellXfs count="320">
    <xf numFmtId="0" fontId="0" fillId="0" borderId="0" xfId="0"/>
    <xf numFmtId="0" fontId="0" fillId="0" borderId="0" xfId="0" applyBorder="1" applyAlignment="1">
      <alignment horizontal="center"/>
    </xf>
    <xf numFmtId="0" fontId="0" fillId="0" borderId="19" xfId="0" applyFont="1" applyBorder="1" applyAlignment="1">
      <alignment horizontal="center"/>
    </xf>
    <xf numFmtId="0" fontId="0" fillId="0" borderId="18" xfId="0" applyFont="1" applyBorder="1" applyAlignment="1">
      <alignment horizontal="center"/>
    </xf>
    <xf numFmtId="0" fontId="0" fillId="0" borderId="19" xfId="0" applyFont="1" applyBorder="1" applyAlignment="1">
      <alignment horizontal="center" vertical="center"/>
    </xf>
    <xf numFmtId="0" fontId="0" fillId="0" borderId="18" xfId="0" applyFont="1" applyBorder="1" applyAlignment="1">
      <alignment horizontal="center" vertical="center"/>
    </xf>
    <xf numFmtId="0" fontId="0" fillId="0" borderId="7" xfId="0" applyFont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17" xfId="0" applyBorder="1" applyAlignment="1">
      <alignment horizontal="center" vertical="center"/>
    </xf>
    <xf numFmtId="164" fontId="0" fillId="0" borderId="13" xfId="0" applyNumberFormat="1" applyFont="1" applyBorder="1" applyAlignment="1">
      <alignment horizontal="center" vertical="center"/>
    </xf>
    <xf numFmtId="2" fontId="0" fillId="0" borderId="13" xfId="0" applyNumberFormat="1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65" fontId="0" fillId="0" borderId="0" xfId="1" applyFont="1" applyBorder="1" applyAlignment="1" applyProtection="1"/>
    <xf numFmtId="165" fontId="0" fillId="2" borderId="0" xfId="1" applyFont="1" applyFill="1" applyBorder="1" applyAlignment="1" applyProtection="1"/>
    <xf numFmtId="0" fontId="0" fillId="0" borderId="0" xfId="0" applyBorder="1" applyAlignment="1">
      <alignment horizontal="center"/>
    </xf>
    <xf numFmtId="0" fontId="0" fillId="0" borderId="18" xfId="0" applyFont="1" applyBorder="1" applyAlignment="1"/>
    <xf numFmtId="0" fontId="0" fillId="0" borderId="19" xfId="0" applyFont="1" applyBorder="1" applyAlignment="1"/>
    <xf numFmtId="0" fontId="0" fillId="0" borderId="18" xfId="0" applyBorder="1" applyAlignment="1">
      <alignment horizontal="center" vertical="center"/>
    </xf>
    <xf numFmtId="0" fontId="0" fillId="0" borderId="3" xfId="0" applyBorder="1" applyAlignment="1"/>
    <xf numFmtId="0" fontId="0" fillId="0" borderId="4" xfId="0" applyBorder="1" applyAlignment="1"/>
    <xf numFmtId="0" fontId="0" fillId="0" borderId="3" xfId="0" applyBorder="1"/>
    <xf numFmtId="0" fontId="0" fillId="0" borderId="0" xfId="0" applyAlignment="1"/>
    <xf numFmtId="0" fontId="0" fillId="0" borderId="4" xfId="0" applyBorder="1"/>
    <xf numFmtId="0" fontId="0" fillId="0" borderId="18" xfId="0" applyFont="1" applyBorder="1"/>
    <xf numFmtId="0" fontId="1" fillId="0" borderId="18" xfId="0" applyFont="1" applyBorder="1"/>
    <xf numFmtId="0" fontId="0" fillId="0" borderId="19" xfId="0" applyFont="1" applyBorder="1"/>
    <xf numFmtId="0" fontId="0" fillId="0" borderId="4" xfId="0" applyFont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3" xfId="0" applyBorder="1" applyAlignment="1">
      <alignment horizontal="center"/>
    </xf>
    <xf numFmtId="49" fontId="0" fillId="0" borderId="15" xfId="0" applyNumberFormat="1" applyFont="1" applyBorder="1" applyAlignment="1">
      <alignment horizontal="center"/>
    </xf>
    <xf numFmtId="0" fontId="0" fillId="0" borderId="13" xfId="0" applyBorder="1" applyAlignment="1">
      <alignment horizontal="center"/>
    </xf>
    <xf numFmtId="49" fontId="0" fillId="0" borderId="0" xfId="0" applyNumberFormat="1" applyFont="1" applyBorder="1" applyAlignment="1">
      <alignment horizontal="center" vertical="center"/>
    </xf>
    <xf numFmtId="0" fontId="0" fillId="0" borderId="13" xfId="0" applyBorder="1"/>
    <xf numFmtId="0" fontId="0" fillId="0" borderId="15" xfId="0" applyBorder="1"/>
    <xf numFmtId="0" fontId="0" fillId="0" borderId="16" xfId="0" applyFont="1" applyBorder="1" applyAlignment="1">
      <alignment horizontal="center"/>
    </xf>
    <xf numFmtId="49" fontId="0" fillId="0" borderId="0" xfId="0" applyNumberFormat="1" applyFont="1" applyBorder="1" applyAlignment="1">
      <alignment horizontal="center"/>
    </xf>
    <xf numFmtId="0" fontId="0" fillId="0" borderId="0" xfId="0" applyBorder="1"/>
    <xf numFmtId="0" fontId="0" fillId="0" borderId="0" xfId="0" applyFont="1" applyAlignment="1">
      <alignment horizontal="right"/>
    </xf>
    <xf numFmtId="0" fontId="0" fillId="3" borderId="0" xfId="0" applyFill="1"/>
    <xf numFmtId="2" fontId="0" fillId="0" borderId="0" xfId="0" applyNumberFormat="1" applyAlignment="1">
      <alignment horizontal="left"/>
    </xf>
    <xf numFmtId="0" fontId="0" fillId="0" borderId="16" xfId="0" applyBorder="1"/>
    <xf numFmtId="0" fontId="0" fillId="0" borderId="15" xfId="0" applyFont="1" applyBorder="1" applyAlignment="1">
      <alignment horizontal="left"/>
    </xf>
    <xf numFmtId="0" fontId="0" fillId="0" borderId="20" xfId="0" applyBorder="1"/>
    <xf numFmtId="0" fontId="0" fillId="0" borderId="21" xfId="0" applyBorder="1"/>
    <xf numFmtId="0" fontId="0" fillId="0" borderId="2" xfId="0" applyBorder="1"/>
    <xf numFmtId="0" fontId="0" fillId="0" borderId="20" xfId="0" applyBorder="1" applyAlignment="1">
      <alignment horizontal="center"/>
    </xf>
    <xf numFmtId="0" fontId="0" fillId="0" borderId="7" xfId="0" applyBorder="1"/>
    <xf numFmtId="0" fontId="0" fillId="0" borderId="7" xfId="0" applyFont="1" applyBorder="1" applyAlignment="1">
      <alignment vertical="top" wrapText="1"/>
    </xf>
    <xf numFmtId="0" fontId="0" fillId="0" borderId="7" xfId="0" applyFont="1" applyBorder="1" applyAlignment="1">
      <alignment wrapText="1"/>
    </xf>
    <xf numFmtId="0" fontId="0" fillId="0" borderId="15" xfId="0" applyBorder="1" applyAlignment="1">
      <alignment horizontal="center"/>
    </xf>
    <xf numFmtId="0" fontId="0" fillId="0" borderId="0" xfId="0" applyFont="1" applyBorder="1" applyAlignment="1">
      <alignment horizontal="center" vertical="center" wrapText="1"/>
    </xf>
    <xf numFmtId="0" fontId="2" fillId="0" borderId="0" xfId="0" applyFont="1"/>
    <xf numFmtId="0" fontId="0" fillId="0" borderId="0" xfId="0" applyAlignment="1">
      <alignment horizontal="left"/>
    </xf>
    <xf numFmtId="2" fontId="0" fillId="0" borderId="0" xfId="0" applyNumberFormat="1" applyBorder="1"/>
    <xf numFmtId="0" fontId="0" fillId="0" borderId="13" xfId="0" applyFont="1" applyBorder="1" applyAlignment="1">
      <alignment wrapText="1"/>
    </xf>
    <xf numFmtId="0" fontId="0" fillId="0" borderId="0" xfId="0" applyFont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0" xfId="0" applyFont="1" applyBorder="1" applyAlignment="1">
      <alignment horizontal="left"/>
    </xf>
    <xf numFmtId="0" fontId="0" fillId="0" borderId="0" xfId="0" applyAlignment="1">
      <alignment horizontal="center"/>
    </xf>
    <xf numFmtId="0" fontId="2" fillId="0" borderId="0" xfId="0" applyFont="1" applyAlignment="1">
      <alignment horizontal="right"/>
    </xf>
    <xf numFmtId="0" fontId="0" fillId="0" borderId="13" xfId="0" applyFont="1" applyBorder="1"/>
    <xf numFmtId="0" fontId="0" fillId="0" borderId="5" xfId="0" applyBorder="1" applyAlignment="1">
      <alignment horizontal="center"/>
    </xf>
    <xf numFmtId="0" fontId="0" fillId="0" borderId="5" xfId="0" applyBorder="1"/>
    <xf numFmtId="0" fontId="0" fillId="0" borderId="22" xfId="0" applyFont="1" applyBorder="1" applyAlignment="1">
      <alignment wrapText="1"/>
    </xf>
    <xf numFmtId="0" fontId="0" fillId="0" borderId="17" xfId="0" applyBorder="1"/>
    <xf numFmtId="0" fontId="0" fillId="0" borderId="17" xfId="0" applyFont="1" applyBorder="1" applyAlignment="1">
      <alignment wrapText="1"/>
    </xf>
    <xf numFmtId="0" fontId="0" fillId="0" borderId="22" xfId="0" applyBorder="1"/>
    <xf numFmtId="0" fontId="0" fillId="0" borderId="23" xfId="0" applyBorder="1" applyAlignment="1">
      <alignment horizontal="center" vertical="center"/>
    </xf>
    <xf numFmtId="0" fontId="0" fillId="0" borderId="23" xfId="0" applyBorder="1"/>
    <xf numFmtId="0" fontId="0" fillId="0" borderId="0" xfId="0" applyBorder="1" applyAlignment="1">
      <alignment horizontal="right"/>
    </xf>
    <xf numFmtId="0" fontId="0" fillId="0" borderId="22" xfId="0" applyBorder="1" applyAlignment="1">
      <alignment horizontal="right"/>
    </xf>
    <xf numFmtId="49" fontId="0" fillId="0" borderId="5" xfId="0" applyNumberFormat="1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7" xfId="0" applyBorder="1" applyAlignment="1">
      <alignment horizontal="center"/>
    </xf>
    <xf numFmtId="49" fontId="0" fillId="0" borderId="22" xfId="0" applyNumberFormat="1" applyBorder="1" applyAlignment="1">
      <alignment horizontal="center"/>
    </xf>
    <xf numFmtId="0" fontId="0" fillId="0" borderId="23" xfId="0" applyBorder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Font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49" fontId="0" fillId="0" borderId="21" xfId="0" applyNumberFormat="1" applyFont="1" applyBorder="1" applyAlignment="1">
      <alignment horizontal="center" vertical="center"/>
    </xf>
    <xf numFmtId="2" fontId="0" fillId="0" borderId="0" xfId="0" applyNumberFormat="1"/>
    <xf numFmtId="0" fontId="0" fillId="0" borderId="16" xfId="0" applyFont="1" applyBorder="1" applyAlignment="1">
      <alignment horizontal="center" wrapText="1"/>
    </xf>
    <xf numFmtId="0" fontId="0" fillId="0" borderId="21" xfId="0" applyBorder="1" applyAlignment="1">
      <alignment horizontal="center"/>
    </xf>
    <xf numFmtId="0" fontId="0" fillId="0" borderId="18" xfId="0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4" xfId="0" applyFont="1" applyBorder="1" applyAlignment="1">
      <alignment vertical="center"/>
    </xf>
    <xf numFmtId="0" fontId="3" fillId="0" borderId="18" xfId="0" applyFont="1" applyBorder="1" applyAlignment="1">
      <alignment vertical="center"/>
    </xf>
    <xf numFmtId="0" fontId="3" fillId="0" borderId="0" xfId="0" applyFont="1" applyBorder="1" applyAlignment="1">
      <alignment horizontal="center" vertical="center"/>
    </xf>
    <xf numFmtId="0" fontId="3" fillId="0" borderId="19" xfId="0" applyFont="1" applyBorder="1" applyAlignment="1">
      <alignment vertical="center"/>
    </xf>
    <xf numFmtId="0" fontId="3" fillId="0" borderId="15" xfId="0" applyFont="1" applyBorder="1" applyAlignment="1">
      <alignment vertical="center" wrapText="1"/>
    </xf>
    <xf numFmtId="0" fontId="3" fillId="0" borderId="0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3" fillId="0" borderId="23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3" fillId="0" borderId="16" xfId="0" applyFont="1" applyBorder="1" applyAlignment="1">
      <alignment vertical="center"/>
    </xf>
    <xf numFmtId="0" fontId="3" fillId="0" borderId="22" xfId="0" applyFont="1" applyBorder="1" applyAlignment="1">
      <alignment horizontal="center" vertical="center"/>
    </xf>
    <xf numFmtId="49" fontId="3" fillId="0" borderId="22" xfId="0" applyNumberFormat="1" applyFont="1" applyBorder="1" applyAlignment="1">
      <alignment horizontal="center" vertical="center"/>
    </xf>
    <xf numFmtId="0" fontId="3" fillId="0" borderId="22" xfId="0" applyFont="1" applyBorder="1" applyAlignment="1">
      <alignment vertical="center"/>
    </xf>
    <xf numFmtId="0" fontId="3" fillId="0" borderId="23" xfId="0" applyFont="1" applyBorder="1" applyAlignment="1">
      <alignment vertical="center"/>
    </xf>
    <xf numFmtId="0" fontId="3" fillId="0" borderId="15" xfId="0" applyFont="1" applyBorder="1" applyAlignment="1">
      <alignment vertical="center"/>
    </xf>
    <xf numFmtId="49" fontId="3" fillId="0" borderId="0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vertical="center" wrapText="1"/>
    </xf>
    <xf numFmtId="49" fontId="3" fillId="0" borderId="18" xfId="0" applyNumberFormat="1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0" fillId="0" borderId="5" xfId="0" applyFont="1" applyBorder="1" applyAlignment="1">
      <alignment horizontal="center"/>
    </xf>
    <xf numFmtId="0" fontId="0" fillId="0" borderId="0" xfId="0" applyFont="1" applyBorder="1" applyAlignment="1">
      <alignment horizontal="center" vertical="center"/>
    </xf>
    <xf numFmtId="0" fontId="0" fillId="0" borderId="0" xfId="0" applyFont="1" applyBorder="1" applyAlignment="1">
      <alignment horizontal="center"/>
    </xf>
    <xf numFmtId="0" fontId="0" fillId="0" borderId="4" xfId="0" applyFont="1" applyBorder="1" applyAlignment="1">
      <alignment horizontal="center"/>
    </xf>
    <xf numFmtId="0" fontId="3" fillId="0" borderId="10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 wrapText="1"/>
    </xf>
    <xf numFmtId="0" fontId="3" fillId="0" borderId="2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3" fillId="0" borderId="29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4" borderId="36" xfId="0" applyFont="1" applyFill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4" borderId="38" xfId="0" applyFont="1" applyFill="1" applyBorder="1" applyAlignment="1">
      <alignment horizontal="center" vertical="center"/>
    </xf>
    <xf numFmtId="0" fontId="3" fillId="4" borderId="29" xfId="0" applyFont="1" applyFill="1" applyBorder="1" applyAlignment="1">
      <alignment horizontal="center" vertical="center"/>
    </xf>
    <xf numFmtId="0" fontId="3" fillId="0" borderId="39" xfId="0" applyFont="1" applyBorder="1" applyAlignment="1">
      <alignment horizontal="center" vertical="center"/>
    </xf>
    <xf numFmtId="0" fontId="3" fillId="4" borderId="30" xfId="0" applyFont="1" applyFill="1" applyBorder="1" applyAlignment="1">
      <alignment horizontal="center" vertical="center"/>
    </xf>
    <xf numFmtId="0" fontId="3" fillId="4" borderId="29" xfId="0" applyFont="1" applyFill="1" applyBorder="1" applyAlignment="1">
      <alignment horizontal="center" vertical="center" wrapText="1"/>
    </xf>
    <xf numFmtId="0" fontId="3" fillId="0" borderId="39" xfId="0" applyFont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center" vertical="center"/>
    </xf>
    <xf numFmtId="0" fontId="3" fillId="0" borderId="32" xfId="0" applyFont="1" applyBorder="1" applyAlignment="1">
      <alignment horizontal="center" vertical="center" wrapText="1"/>
    </xf>
    <xf numFmtId="0" fontId="3" fillId="4" borderId="31" xfId="0" applyFont="1" applyFill="1" applyBorder="1" applyAlignment="1">
      <alignment horizontal="center" vertical="center" wrapText="1"/>
    </xf>
    <xf numFmtId="0" fontId="3" fillId="4" borderId="32" xfId="0" applyFont="1" applyFill="1" applyBorder="1" applyAlignment="1">
      <alignment horizontal="center" vertical="center" wrapText="1"/>
    </xf>
    <xf numFmtId="0" fontId="3" fillId="4" borderId="32" xfId="0" applyFont="1" applyFill="1" applyBorder="1" applyAlignment="1">
      <alignment horizontal="center" vertical="center"/>
    </xf>
    <xf numFmtId="0" fontId="3" fillId="4" borderId="33" xfId="0" applyFont="1" applyFill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0" fontId="3" fillId="4" borderId="39" xfId="0" applyFont="1" applyFill="1" applyBorder="1" applyAlignment="1">
      <alignment horizontal="center" vertical="center"/>
    </xf>
    <xf numFmtId="0" fontId="3" fillId="4" borderId="26" xfId="0" applyFont="1" applyFill="1" applyBorder="1" applyAlignment="1">
      <alignment horizontal="center" vertical="center"/>
    </xf>
    <xf numFmtId="0" fontId="3" fillId="4" borderId="27" xfId="0" applyFont="1" applyFill="1" applyBorder="1" applyAlignment="1">
      <alignment horizontal="center" vertical="center"/>
    </xf>
    <xf numFmtId="0" fontId="3" fillId="4" borderId="28" xfId="0" applyFont="1" applyFill="1" applyBorder="1" applyAlignment="1">
      <alignment horizontal="center" vertical="center"/>
    </xf>
    <xf numFmtId="0" fontId="3" fillId="0" borderId="40" xfId="0" applyFont="1" applyBorder="1" applyAlignment="1">
      <alignment horizontal="center" vertical="center"/>
    </xf>
    <xf numFmtId="0" fontId="3" fillId="4" borderId="35" xfId="0" applyFont="1" applyFill="1" applyBorder="1" applyAlignment="1">
      <alignment horizontal="center" vertical="center"/>
    </xf>
    <xf numFmtId="0" fontId="3" fillId="4" borderId="19" xfId="0" applyFont="1" applyFill="1" applyBorder="1" applyAlignment="1">
      <alignment horizontal="center" vertical="center"/>
    </xf>
    <xf numFmtId="0" fontId="0" fillId="0" borderId="15" xfId="0" applyFont="1" applyBorder="1" applyAlignment="1">
      <alignment horizontal="right"/>
    </xf>
    <xf numFmtId="0" fontId="2" fillId="0" borderId="0" xfId="0" applyFont="1" applyBorder="1"/>
    <xf numFmtId="0" fontId="2" fillId="0" borderId="15" xfId="0" applyFont="1" applyBorder="1" applyAlignment="1">
      <alignment horizontal="right"/>
    </xf>
    <xf numFmtId="0" fontId="2" fillId="0" borderId="15" xfId="0" applyFont="1" applyBorder="1"/>
    <xf numFmtId="0" fontId="6" fillId="0" borderId="0" xfId="0" applyFont="1" applyBorder="1" applyAlignment="1">
      <alignment horizontal="center"/>
    </xf>
    <xf numFmtId="0" fontId="0" fillId="0" borderId="18" xfId="0" applyBorder="1"/>
    <xf numFmtId="0" fontId="0" fillId="3" borderId="0" xfId="0" applyFill="1" applyBorder="1"/>
    <xf numFmtId="0" fontId="0" fillId="0" borderId="21" xfId="0" applyBorder="1" applyAlignment="1">
      <alignment horizontal="center" vertical="center"/>
    </xf>
    <xf numFmtId="0" fontId="0" fillId="0" borderId="0" xfId="0" applyBorder="1" applyAlignment="1"/>
    <xf numFmtId="2" fontId="0" fillId="0" borderId="0" xfId="0" applyNumberFormat="1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22" xfId="0" applyBorder="1" applyAlignment="1">
      <alignment horizontal="center" vertical="center"/>
    </xf>
    <xf numFmtId="0" fontId="0" fillId="5" borderId="20" xfId="0" applyFill="1" applyBorder="1"/>
    <xf numFmtId="0" fontId="0" fillId="5" borderId="21" xfId="0" applyFill="1" applyBorder="1"/>
    <xf numFmtId="0" fontId="0" fillId="5" borderId="21" xfId="0" applyFill="1" applyBorder="1" applyAlignment="1">
      <alignment horizontal="center" vertical="center"/>
    </xf>
    <xf numFmtId="0" fontId="0" fillId="5" borderId="2" xfId="0" applyFill="1" applyBorder="1"/>
    <xf numFmtId="0" fontId="0" fillId="5" borderId="15" xfId="0" applyFill="1" applyBorder="1"/>
    <xf numFmtId="0" fontId="0" fillId="5" borderId="0" xfId="0" applyFill="1" applyBorder="1"/>
    <xf numFmtId="0" fontId="0" fillId="5" borderId="3" xfId="0" applyFont="1" applyFill="1" applyBorder="1" applyAlignment="1">
      <alignment horizontal="center"/>
    </xf>
    <xf numFmtId="0" fontId="0" fillId="5" borderId="18" xfId="0" applyFont="1" applyFill="1" applyBorder="1" applyAlignment="1"/>
    <xf numFmtId="0" fontId="0" fillId="5" borderId="19" xfId="0" applyFont="1" applyFill="1" applyBorder="1" applyAlignment="1"/>
    <xf numFmtId="0" fontId="0" fillId="5" borderId="7" xfId="0" applyFont="1" applyFill="1" applyBorder="1" applyAlignment="1">
      <alignment horizontal="center"/>
    </xf>
    <xf numFmtId="0" fontId="0" fillId="5" borderId="4" xfId="0" applyFont="1" applyFill="1" applyBorder="1" applyAlignment="1">
      <alignment horizontal="center" vertical="center"/>
    </xf>
    <xf numFmtId="0" fontId="0" fillId="5" borderId="3" xfId="0" applyFont="1" applyFill="1" applyBorder="1" applyAlignment="1">
      <alignment horizontal="center" vertical="center"/>
    </xf>
    <xf numFmtId="0" fontId="0" fillId="5" borderId="18" xfId="0" applyFill="1" applyBorder="1" applyAlignment="1">
      <alignment horizontal="center" vertical="center"/>
    </xf>
    <xf numFmtId="0" fontId="0" fillId="5" borderId="18" xfId="0" applyFont="1" applyFill="1" applyBorder="1" applyAlignment="1">
      <alignment horizontal="center" vertical="center"/>
    </xf>
    <xf numFmtId="0" fontId="0" fillId="5" borderId="3" xfId="0" applyFill="1" applyBorder="1" applyAlignment="1"/>
    <xf numFmtId="0" fontId="0" fillId="5" borderId="4" xfId="0" applyFill="1" applyBorder="1" applyAlignment="1"/>
    <xf numFmtId="0" fontId="0" fillId="5" borderId="19" xfId="0" applyFont="1" applyFill="1" applyBorder="1" applyAlignment="1">
      <alignment horizontal="center" vertical="center"/>
    </xf>
    <xf numFmtId="0" fontId="0" fillId="5" borderId="18" xfId="0" applyFont="1" applyFill="1" applyBorder="1" applyAlignment="1">
      <alignment horizontal="center"/>
    </xf>
    <xf numFmtId="0" fontId="0" fillId="5" borderId="3" xfId="0" applyFont="1" applyFill="1" applyBorder="1" applyAlignment="1">
      <alignment horizontal="center" vertical="center"/>
    </xf>
    <xf numFmtId="0" fontId="0" fillId="5" borderId="3" xfId="0" applyFill="1" applyBorder="1"/>
    <xf numFmtId="0" fontId="0" fillId="5" borderId="0" xfId="0" applyFill="1" applyBorder="1" applyAlignment="1"/>
    <xf numFmtId="0" fontId="0" fillId="5" borderId="16" xfId="0" applyFill="1" applyBorder="1"/>
    <xf numFmtId="0" fontId="0" fillId="5" borderId="4" xfId="0" applyFill="1" applyBorder="1"/>
    <xf numFmtId="0" fontId="0" fillId="5" borderId="18" xfId="0" applyFont="1" applyFill="1" applyBorder="1"/>
    <xf numFmtId="0" fontId="0" fillId="5" borderId="19" xfId="0" applyFont="1" applyFill="1" applyBorder="1"/>
    <xf numFmtId="0" fontId="0" fillId="5" borderId="4" xfId="0" applyFont="1" applyFill="1" applyBorder="1" applyAlignment="1">
      <alignment horizontal="center"/>
    </xf>
    <xf numFmtId="0" fontId="0" fillId="5" borderId="18" xfId="0" applyFill="1" applyBorder="1" applyAlignment="1">
      <alignment horizontal="center"/>
    </xf>
    <xf numFmtId="0" fontId="0" fillId="5" borderId="19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19" xfId="0" applyFont="1" applyFill="1" applyBorder="1" applyAlignment="1">
      <alignment horizontal="center"/>
    </xf>
    <xf numFmtId="49" fontId="0" fillId="5" borderId="15" xfId="0" applyNumberFormat="1" applyFont="1" applyFill="1" applyBorder="1" applyAlignment="1">
      <alignment horizontal="center"/>
    </xf>
    <xf numFmtId="0" fontId="0" fillId="5" borderId="0" xfId="0" applyFill="1" applyBorder="1" applyAlignment="1">
      <alignment horizontal="center"/>
    </xf>
    <xf numFmtId="0" fontId="0" fillId="5" borderId="13" xfId="0" applyFill="1" applyBorder="1" applyAlignment="1">
      <alignment horizontal="center"/>
    </xf>
    <xf numFmtId="49" fontId="0" fillId="5" borderId="0" xfId="0" applyNumberFormat="1" applyFont="1" applyFill="1" applyBorder="1" applyAlignment="1">
      <alignment horizontal="center" vertical="center"/>
    </xf>
    <xf numFmtId="0" fontId="0" fillId="5" borderId="0" xfId="0" applyFill="1" applyBorder="1" applyAlignment="1">
      <alignment horizontal="center" vertical="center"/>
    </xf>
    <xf numFmtId="0" fontId="0" fillId="5" borderId="13" xfId="0" applyFill="1" applyBorder="1"/>
    <xf numFmtId="0" fontId="0" fillId="5" borderId="16" xfId="0" applyFont="1" applyFill="1" applyBorder="1" applyAlignment="1">
      <alignment horizontal="center"/>
    </xf>
    <xf numFmtId="49" fontId="0" fillId="5" borderId="0" xfId="0" applyNumberFormat="1" applyFont="1" applyFill="1" applyBorder="1" applyAlignment="1">
      <alignment horizontal="center"/>
    </xf>
    <xf numFmtId="0" fontId="0" fillId="5" borderId="16" xfId="0" applyFill="1" applyBorder="1" applyAlignment="1">
      <alignment horizontal="center" vertical="center"/>
    </xf>
    <xf numFmtId="0" fontId="0" fillId="5" borderId="15" xfId="0" applyFont="1" applyFill="1" applyBorder="1" applyAlignment="1">
      <alignment horizontal="right"/>
    </xf>
    <xf numFmtId="0" fontId="0" fillId="5" borderId="15" xfId="0" applyFont="1" applyFill="1" applyBorder="1" applyAlignment="1">
      <alignment horizontal="left"/>
    </xf>
    <xf numFmtId="0" fontId="0" fillId="5" borderId="20" xfId="0" applyFill="1" applyBorder="1" applyAlignment="1">
      <alignment horizontal="center"/>
    </xf>
    <xf numFmtId="0" fontId="0" fillId="5" borderId="7" xfId="0" applyFill="1" applyBorder="1"/>
    <xf numFmtId="0" fontId="0" fillId="5" borderId="7" xfId="0" applyFont="1" applyFill="1" applyBorder="1" applyAlignment="1">
      <alignment vertical="top" wrapText="1"/>
    </xf>
    <xf numFmtId="0" fontId="0" fillId="5" borderId="7" xfId="0" applyFont="1" applyFill="1" applyBorder="1" applyAlignment="1">
      <alignment wrapText="1"/>
    </xf>
    <xf numFmtId="0" fontId="0" fillId="5" borderId="2" xfId="0" applyFont="1" applyFill="1" applyBorder="1" applyAlignment="1">
      <alignment horizontal="center" vertical="center"/>
    </xf>
    <xf numFmtId="0" fontId="0" fillId="5" borderId="15" xfId="0" applyFill="1" applyBorder="1" applyAlignment="1">
      <alignment horizontal="center"/>
    </xf>
    <xf numFmtId="0" fontId="0" fillId="5" borderId="0" xfId="0" applyFont="1" applyFill="1" applyBorder="1" applyAlignment="1">
      <alignment horizontal="center" vertical="center" wrapText="1"/>
    </xf>
    <xf numFmtId="0" fontId="2" fillId="5" borderId="0" xfId="0" applyFont="1" applyFill="1" applyBorder="1"/>
    <xf numFmtId="2" fontId="0" fillId="5" borderId="0" xfId="0" applyNumberFormat="1" applyFill="1" applyBorder="1"/>
    <xf numFmtId="0" fontId="0" fillId="5" borderId="13" xfId="0" applyFont="1" applyFill="1" applyBorder="1" applyAlignment="1">
      <alignment wrapText="1"/>
    </xf>
    <xf numFmtId="0" fontId="0" fillId="5" borderId="0" xfId="0" applyFont="1" applyFill="1" applyBorder="1" applyAlignment="1">
      <alignment horizontal="center" vertical="center"/>
    </xf>
    <xf numFmtId="0" fontId="0" fillId="5" borderId="16" xfId="0" applyFill="1" applyBorder="1" applyAlignment="1">
      <alignment horizontal="center"/>
    </xf>
    <xf numFmtId="0" fontId="0" fillId="5" borderId="13" xfId="0" applyFont="1" applyFill="1" applyBorder="1"/>
    <xf numFmtId="0" fontId="0" fillId="5" borderId="5" xfId="0" applyFill="1" applyBorder="1" applyAlignment="1">
      <alignment horizontal="center"/>
    </xf>
    <xf numFmtId="0" fontId="0" fillId="5" borderId="22" xfId="0" applyFont="1" applyFill="1" applyBorder="1" applyAlignment="1">
      <alignment wrapText="1"/>
    </xf>
    <xf numFmtId="0" fontId="0" fillId="5" borderId="17" xfId="0" applyFont="1" applyFill="1" applyBorder="1" applyAlignment="1">
      <alignment wrapText="1"/>
    </xf>
    <xf numFmtId="0" fontId="0" fillId="5" borderId="5" xfId="0" applyFill="1" applyBorder="1"/>
    <xf numFmtId="0" fontId="0" fillId="5" borderId="22" xfId="0" applyFill="1" applyBorder="1"/>
    <xf numFmtId="0" fontId="0" fillId="5" borderId="23" xfId="0" applyFill="1" applyBorder="1" applyAlignment="1">
      <alignment horizontal="center" vertical="center"/>
    </xf>
    <xf numFmtId="0" fontId="0" fillId="5" borderId="23" xfId="0" applyFill="1" applyBorder="1"/>
    <xf numFmtId="49" fontId="0" fillId="5" borderId="5" xfId="0" applyNumberFormat="1" applyFill="1" applyBorder="1" applyAlignment="1">
      <alignment horizontal="center"/>
    </xf>
    <xf numFmtId="0" fontId="0" fillId="5" borderId="22" xfId="0" applyFill="1" applyBorder="1" applyAlignment="1">
      <alignment horizontal="center"/>
    </xf>
    <xf numFmtId="0" fontId="0" fillId="5" borderId="17" xfId="0" applyFill="1" applyBorder="1" applyAlignment="1">
      <alignment horizontal="center"/>
    </xf>
    <xf numFmtId="49" fontId="0" fillId="5" borderId="22" xfId="0" applyNumberFormat="1" applyFill="1" applyBorder="1" applyAlignment="1">
      <alignment horizontal="center"/>
    </xf>
    <xf numFmtId="0" fontId="0" fillId="5" borderId="17" xfId="0" applyFill="1" applyBorder="1"/>
    <xf numFmtId="0" fontId="0" fillId="5" borderId="23" xfId="0" applyFill="1" applyBorder="1" applyAlignment="1">
      <alignment horizontal="center"/>
    </xf>
    <xf numFmtId="0" fontId="0" fillId="5" borderId="22" xfId="0" applyFill="1" applyBorder="1" applyAlignment="1">
      <alignment horizontal="center" vertical="center"/>
    </xf>
    <xf numFmtId="0" fontId="7" fillId="6" borderId="20" xfId="0" applyFont="1" applyFill="1" applyBorder="1" applyAlignment="1">
      <alignment horizontal="center" vertical="center"/>
    </xf>
    <xf numFmtId="0" fontId="7" fillId="6" borderId="21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/>
    </xf>
    <xf numFmtId="0" fontId="7" fillId="6" borderId="15" xfId="0" applyFont="1" applyFill="1" applyBorder="1" applyAlignment="1">
      <alignment horizontal="center" vertical="center"/>
    </xf>
    <xf numFmtId="0" fontId="7" fillId="6" borderId="0" xfId="0" applyFont="1" applyFill="1" applyBorder="1" applyAlignment="1">
      <alignment horizontal="center" vertical="center"/>
    </xf>
    <xf numFmtId="0" fontId="7" fillId="6" borderId="16" xfId="0" applyFont="1" applyFill="1" applyBorder="1" applyAlignment="1">
      <alignment horizontal="center" vertical="center"/>
    </xf>
    <xf numFmtId="0" fontId="7" fillId="6" borderId="5" xfId="0" applyFont="1" applyFill="1" applyBorder="1" applyAlignment="1">
      <alignment horizontal="center" vertical="center"/>
    </xf>
    <xf numFmtId="0" fontId="7" fillId="6" borderId="22" xfId="0" applyFont="1" applyFill="1" applyBorder="1" applyAlignment="1">
      <alignment horizontal="center" vertical="center"/>
    </xf>
    <xf numFmtId="0" fontId="7" fillId="6" borderId="23" xfId="0" applyFont="1" applyFill="1" applyBorder="1" applyAlignment="1">
      <alignment horizontal="center" vertical="center"/>
    </xf>
    <xf numFmtId="0" fontId="0" fillId="5" borderId="39" xfId="0" applyFill="1" applyBorder="1"/>
    <xf numFmtId="0" fontId="0" fillId="5" borderId="34" xfId="0" applyFill="1" applyBorder="1"/>
    <xf numFmtId="0" fontId="0" fillId="5" borderId="29" xfId="0" applyFill="1" applyBorder="1"/>
    <xf numFmtId="0" fontId="0" fillId="5" borderId="30" xfId="0" applyFill="1" applyBorder="1"/>
    <xf numFmtId="0" fontId="0" fillId="5" borderId="26" xfId="0" applyFill="1" applyBorder="1"/>
    <xf numFmtId="0" fontId="0" fillId="5" borderId="27" xfId="0" applyFill="1" applyBorder="1"/>
    <xf numFmtId="0" fontId="0" fillId="5" borderId="28" xfId="0" applyFill="1" applyBorder="1"/>
    <xf numFmtId="0" fontId="0" fillId="7" borderId="20" xfId="0" applyFont="1" applyFill="1" applyBorder="1" applyAlignment="1">
      <alignment horizontal="center"/>
    </xf>
    <xf numFmtId="0" fontId="0" fillId="7" borderId="7" xfId="0" applyFont="1" applyFill="1" applyBorder="1" applyAlignment="1">
      <alignment horizontal="center"/>
    </xf>
    <xf numFmtId="0" fontId="0" fillId="5" borderId="41" xfId="0" applyFill="1" applyBorder="1"/>
    <xf numFmtId="0" fontId="0" fillId="5" borderId="42" xfId="0" applyFill="1" applyBorder="1"/>
    <xf numFmtId="0" fontId="0" fillId="5" borderId="43" xfId="0" applyFill="1" applyBorder="1"/>
    <xf numFmtId="0" fontId="0" fillId="5" borderId="44" xfId="0" applyFill="1" applyBorder="1"/>
    <xf numFmtId="0" fontId="0" fillId="8" borderId="45" xfId="0" applyFont="1" applyFill="1" applyBorder="1"/>
    <xf numFmtId="0" fontId="1" fillId="8" borderId="45" xfId="0" applyFont="1" applyFill="1" applyBorder="1"/>
    <xf numFmtId="0" fontId="0" fillId="8" borderId="46" xfId="0" applyFont="1" applyFill="1" applyBorder="1"/>
    <xf numFmtId="0" fontId="0" fillId="5" borderId="47" xfId="0" applyFill="1" applyBorder="1"/>
    <xf numFmtId="0" fontId="0" fillId="5" borderId="32" xfId="0" applyFill="1" applyBorder="1" applyAlignment="1">
      <alignment horizontal="right"/>
    </xf>
    <xf numFmtId="0" fontId="0" fillId="5" borderId="32" xfId="0" applyFill="1" applyBorder="1"/>
    <xf numFmtId="0" fontId="0" fillId="5" borderId="48" xfId="0" applyFill="1" applyBorder="1" applyAlignment="1">
      <alignment horizontal="right"/>
    </xf>
    <xf numFmtId="0" fontId="0" fillId="5" borderId="48" xfId="0" applyFill="1" applyBorder="1"/>
    <xf numFmtId="0" fontId="0" fillId="8" borderId="36" xfId="0" applyFill="1" applyBorder="1" applyAlignment="1">
      <alignment horizontal="right"/>
    </xf>
    <xf numFmtId="0" fontId="0" fillId="8" borderId="38" xfId="0" applyFill="1" applyBorder="1"/>
    <xf numFmtId="0" fontId="0" fillId="8" borderId="26" xfId="0" applyFill="1" applyBorder="1" applyAlignment="1">
      <alignment horizontal="right"/>
    </xf>
    <xf numFmtId="0" fontId="0" fillId="8" borderId="28" xfId="0" applyFill="1" applyBorder="1"/>
    <xf numFmtId="0" fontId="0" fillId="5" borderId="35" xfId="0" applyFill="1" applyBorder="1"/>
    <xf numFmtId="0" fontId="0" fillId="8" borderId="36" xfId="0" applyFont="1" applyFill="1" applyBorder="1" applyAlignment="1">
      <alignment horizontal="right"/>
    </xf>
    <xf numFmtId="0" fontId="0" fillId="8" borderId="29" xfId="0" applyFont="1" applyFill="1" applyBorder="1" applyAlignment="1">
      <alignment horizontal="right"/>
    </xf>
    <xf numFmtId="0" fontId="2" fillId="8" borderId="29" xfId="0" applyFont="1" applyFill="1" applyBorder="1" applyAlignment="1">
      <alignment horizontal="right"/>
    </xf>
    <xf numFmtId="0" fontId="2" fillId="8" borderId="26" xfId="0" applyFont="1" applyFill="1" applyBorder="1" applyAlignment="1">
      <alignment horizontal="right"/>
    </xf>
    <xf numFmtId="0" fontId="0" fillId="8" borderId="26" xfId="0" applyFont="1" applyFill="1" applyBorder="1" applyAlignment="1">
      <alignment horizontal="right"/>
    </xf>
    <xf numFmtId="0" fontId="0" fillId="8" borderId="36" xfId="0" applyFill="1" applyBorder="1"/>
    <xf numFmtId="0" fontId="0" fillId="8" borderId="29" xfId="0" applyFill="1" applyBorder="1"/>
    <xf numFmtId="0" fontId="0" fillId="8" borderId="29" xfId="0" applyFont="1" applyFill="1" applyBorder="1" applyAlignment="1">
      <alignment horizontal="left"/>
    </xf>
    <xf numFmtId="0" fontId="2" fillId="8" borderId="30" xfId="0" applyFont="1" applyFill="1" applyBorder="1"/>
    <xf numFmtId="0" fontId="2" fillId="8" borderId="28" xfId="0" applyFont="1" applyFill="1" applyBorder="1"/>
    <xf numFmtId="0" fontId="0" fillId="8" borderId="30" xfId="0" applyFill="1" applyBorder="1"/>
    <xf numFmtId="0" fontId="0" fillId="8" borderId="26" xfId="0" applyFill="1" applyBorder="1"/>
    <xf numFmtId="0" fontId="8" fillId="8" borderId="37" xfId="0" applyFont="1" applyFill="1" applyBorder="1" applyAlignment="1">
      <alignment horizontal="center"/>
    </xf>
    <xf numFmtId="0" fontId="8" fillId="8" borderId="38" xfId="0" applyFont="1" applyFill="1" applyBorder="1" applyAlignment="1">
      <alignment horizontal="center"/>
    </xf>
    <xf numFmtId="0" fontId="8" fillId="8" borderId="39" xfId="0" applyFont="1" applyFill="1" applyBorder="1" applyAlignment="1">
      <alignment horizontal="center"/>
    </xf>
    <xf numFmtId="0" fontId="8" fillId="8" borderId="30" xfId="0" applyFont="1" applyFill="1" applyBorder="1" applyAlignment="1">
      <alignment horizontal="center"/>
    </xf>
    <xf numFmtId="0" fontId="8" fillId="8" borderId="27" xfId="0" applyFont="1" applyFill="1" applyBorder="1" applyAlignment="1">
      <alignment horizontal="center"/>
    </xf>
    <xf numFmtId="0" fontId="8" fillId="8" borderId="28" xfId="0" applyFont="1" applyFill="1" applyBorder="1" applyAlignment="1">
      <alignment horizontal="center"/>
    </xf>
    <xf numFmtId="0" fontId="8" fillId="9" borderId="37" xfId="0" applyFont="1" applyFill="1" applyBorder="1"/>
    <xf numFmtId="0" fontId="8" fillId="9" borderId="39" xfId="0" applyFont="1" applyFill="1" applyBorder="1"/>
    <xf numFmtId="0" fontId="8" fillId="8" borderId="27" xfId="0" applyFont="1" applyFill="1" applyBorder="1"/>
    <xf numFmtId="2" fontId="8" fillId="8" borderId="38" xfId="0" applyNumberFormat="1" applyFont="1" applyFill="1" applyBorder="1" applyAlignment="1">
      <alignment horizontal="left"/>
    </xf>
    <xf numFmtId="0" fontId="8" fillId="8" borderId="30" xfId="0" applyFont="1" applyFill="1" applyBorder="1" applyAlignment="1">
      <alignment horizontal="left"/>
    </xf>
    <xf numFmtId="2" fontId="8" fillId="8" borderId="30" xfId="0" applyNumberFormat="1" applyFont="1" applyFill="1" applyBorder="1" applyAlignment="1">
      <alignment horizontal="left"/>
    </xf>
    <xf numFmtId="0" fontId="8" fillId="8" borderId="29" xfId="0" applyFont="1" applyFill="1" applyBorder="1" applyAlignment="1">
      <alignment horizontal="center"/>
    </xf>
    <xf numFmtId="0" fontId="8" fillId="8" borderId="29" xfId="0" applyFont="1" applyFill="1" applyBorder="1" applyAlignment="1">
      <alignment horizontal="center"/>
    </xf>
    <xf numFmtId="0" fontId="8" fillId="8" borderId="30" xfId="0" applyFont="1" applyFill="1" applyBorder="1"/>
    <xf numFmtId="0" fontId="0" fillId="5" borderId="4" xfId="0" applyFont="1" applyFill="1" applyBorder="1" applyAlignment="1">
      <alignment horizontal="right"/>
    </xf>
    <xf numFmtId="0" fontId="0" fillId="5" borderId="49" xfId="0" applyFont="1" applyFill="1" applyBorder="1"/>
    <xf numFmtId="0" fontId="0" fillId="5" borderId="50" xfId="0" applyFill="1" applyBorder="1"/>
    <xf numFmtId="0" fontId="0" fillId="5" borderId="44" xfId="0" applyFont="1" applyFill="1" applyBorder="1"/>
    <xf numFmtId="0" fontId="0" fillId="5" borderId="21" xfId="0" applyFont="1" applyFill="1" applyBorder="1" applyAlignment="1">
      <alignment horizontal="center"/>
    </xf>
    <xf numFmtId="0" fontId="0" fillId="5" borderId="0" xfId="0" applyFont="1" applyFill="1" applyBorder="1" applyAlignment="1">
      <alignment horizontal="center"/>
    </xf>
    <xf numFmtId="0" fontId="0" fillId="5" borderId="22" xfId="0" applyFont="1" applyFill="1" applyBorder="1" applyAlignment="1">
      <alignment horizontal="center"/>
    </xf>
    <xf numFmtId="0" fontId="0" fillId="5" borderId="14" xfId="0" applyFill="1" applyBorder="1"/>
  </cellXfs>
  <cellStyles count="2">
    <cellStyle name="Обычный" xfId="0" builtinId="0"/>
    <cellStyle name="Финансовый" xfId="1" builtinId="3"/>
  </cellStyles>
  <dxfs count="8"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</dxfs>
  <tableStyles count="0" defaultTableStyle="TableStyleMedium2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3D69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7DE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K69"/>
  <sheetViews>
    <sheetView zoomScaleNormal="100" workbookViewId="0">
      <selection activeCell="F8" sqref="F8"/>
    </sheetView>
  </sheetViews>
  <sheetFormatPr defaultRowHeight="15" x14ac:dyDescent="0.25"/>
  <cols>
    <col min="1" max="2" width="9.140625" style="15" customWidth="1"/>
    <col min="3" max="6" width="12.85546875" style="15" customWidth="1"/>
    <col min="7" max="8" width="12.7109375" style="15" customWidth="1"/>
    <col min="9" max="11" width="19" style="15" customWidth="1"/>
    <col min="12" max="12" width="12.42578125" style="15" customWidth="1"/>
    <col min="13" max="14" width="16.7109375" style="15" customWidth="1"/>
    <col min="15" max="15" width="13" style="15" customWidth="1"/>
    <col min="16" max="16" width="18.85546875" style="15" customWidth="1"/>
    <col min="17" max="17" width="18.7109375" style="15" customWidth="1"/>
    <col min="18" max="1025" width="9.140625" style="15" customWidth="1"/>
  </cols>
  <sheetData>
    <row r="1" spans="1:17" x14ac:dyDescent="0.25">
      <c r="A1" s="16"/>
      <c r="B1" s="17" t="s">
        <v>0</v>
      </c>
      <c r="C1" s="14" t="s">
        <v>1</v>
      </c>
      <c r="D1" s="14"/>
      <c r="E1" s="14"/>
      <c r="F1" s="14"/>
      <c r="G1" s="14" t="s">
        <v>2</v>
      </c>
      <c r="H1" s="14"/>
      <c r="I1" s="14"/>
      <c r="J1" s="14"/>
      <c r="K1" s="14"/>
      <c r="L1" s="13" t="s">
        <v>3</v>
      </c>
      <c r="M1" s="13"/>
      <c r="N1" s="13"/>
      <c r="O1" s="14" t="s">
        <v>4</v>
      </c>
      <c r="P1" s="14"/>
      <c r="Q1" s="14"/>
    </row>
    <row r="2" spans="1:17" x14ac:dyDescent="0.25">
      <c r="A2" s="20" t="s">
        <v>5</v>
      </c>
      <c r="B2" s="21"/>
      <c r="C2" s="18" t="s">
        <v>6</v>
      </c>
      <c r="D2" s="18" t="s">
        <v>7</v>
      </c>
      <c r="E2" s="18" t="s">
        <v>8</v>
      </c>
      <c r="F2" s="18" t="s">
        <v>9</v>
      </c>
      <c r="G2" s="18" t="s">
        <v>10</v>
      </c>
      <c r="H2" s="18" t="s">
        <v>11</v>
      </c>
      <c r="I2" s="18" t="s">
        <v>12</v>
      </c>
      <c r="J2" s="18" t="s">
        <v>13</v>
      </c>
      <c r="K2" s="18" t="s">
        <v>14</v>
      </c>
      <c r="L2" s="18"/>
      <c r="M2" s="18" t="s">
        <v>10</v>
      </c>
      <c r="N2" s="19" t="s">
        <v>15</v>
      </c>
      <c r="O2" s="18"/>
      <c r="P2" s="18" t="s">
        <v>10</v>
      </c>
      <c r="Q2" s="18" t="s">
        <v>15</v>
      </c>
    </row>
    <row r="3" spans="1:17" x14ac:dyDescent="0.25">
      <c r="A3" s="12">
        <v>0.05</v>
      </c>
      <c r="B3" s="12"/>
      <c r="C3" s="23" t="str">
        <f t="shared" ref="C3:F22" si="0">$C$1&amp;"-"&amp;$A3&amp;"-"&amp;C$2</f>
        <v>БВ-0,05-xx</v>
      </c>
      <c r="D3" s="24" t="str">
        <f t="shared" si="0"/>
        <v>БВ-0,05-РП</v>
      </c>
      <c r="E3" s="24" t="str">
        <f t="shared" si="0"/>
        <v>БВ-0,05-Рх</v>
      </c>
      <c r="F3" s="25" t="str">
        <f t="shared" si="0"/>
        <v>БВ-0,05-хП</v>
      </c>
      <c r="G3" s="22" t="str">
        <f t="shared" ref="G3:K12" si="1">$G$1&amp;"-"&amp;$A3&amp;"-"&amp;G$2</f>
        <v>БОВ-0,05-С</v>
      </c>
      <c r="H3" s="22" t="str">
        <f t="shared" si="1"/>
        <v>БОВ-0,05-Т</v>
      </c>
      <c r="I3" s="22" t="str">
        <f t="shared" si="1"/>
        <v>БОВ-0,05-Т-2(50%)</v>
      </c>
      <c r="J3" s="22" t="str">
        <f t="shared" si="1"/>
        <v>БОВ-0,05-Т-2(75%)</v>
      </c>
      <c r="K3" s="22" t="str">
        <f t="shared" si="1"/>
        <v>БОВ-0,05-Т-2(100%)</v>
      </c>
      <c r="L3" s="25" t="str">
        <f t="shared" ref="L3:L34" si="2">$L$1&amp;"-"&amp;$A3</f>
        <v>БГ-0,05</v>
      </c>
      <c r="M3" s="26" t="str">
        <f t="shared" ref="M3:N22" si="3">$L$1&amp;"-"&amp;M$2&amp;"-"&amp;$A3&amp;"/"&amp;$A3</f>
        <v>БГ-С-0,05/0,05</v>
      </c>
      <c r="N3" s="26" t="str">
        <f t="shared" si="3"/>
        <v>БГ-П-0,05/0,05</v>
      </c>
      <c r="O3" s="27" t="str">
        <f t="shared" ref="O3:O34" si="4">$O$1&amp;"-"&amp;$A3</f>
        <v>БОВГ-0,05</v>
      </c>
      <c r="P3" s="27" t="str">
        <f t="shared" ref="P3:Q22" si="5">$O$1&amp;"-"&amp;P$2&amp;"-"&amp;$A3&amp;"/"&amp;$A3</f>
        <v>БОВГ-С-0,05/0,05</v>
      </c>
      <c r="Q3" s="27" t="str">
        <f t="shared" si="5"/>
        <v>БОВГ-П-0,05/0,05</v>
      </c>
    </row>
    <row r="4" spans="1:17" x14ac:dyDescent="0.25">
      <c r="A4" s="11">
        <v>0.06</v>
      </c>
      <c r="B4" s="11"/>
      <c r="C4" s="23" t="str">
        <f t="shared" si="0"/>
        <v>БВ-0,06-xx</v>
      </c>
      <c r="D4" s="23" t="str">
        <f t="shared" si="0"/>
        <v>БВ-0,06-РП</v>
      </c>
      <c r="E4" s="23" t="str">
        <f t="shared" si="0"/>
        <v>БВ-0,06-Рх</v>
      </c>
      <c r="F4" s="26" t="str">
        <f t="shared" si="0"/>
        <v>БВ-0,06-хП</v>
      </c>
      <c r="G4" s="28" t="str">
        <f t="shared" si="1"/>
        <v>БОВ-0,06-С</v>
      </c>
      <c r="H4" s="26" t="str">
        <f t="shared" si="1"/>
        <v>БОВ-0,06-Т</v>
      </c>
      <c r="I4" s="26" t="str">
        <f t="shared" si="1"/>
        <v>БОВ-0,06-Т-2(50%)</v>
      </c>
      <c r="J4" s="26" t="str">
        <f t="shared" si="1"/>
        <v>БОВ-0,06-Т-2(75%)</v>
      </c>
      <c r="K4" s="26" t="str">
        <f t="shared" si="1"/>
        <v>БОВ-0,06-Т-2(100%)</v>
      </c>
      <c r="L4" s="26" t="str">
        <f t="shared" si="2"/>
        <v>БГ-0,06</v>
      </c>
      <c r="M4" s="26" t="str">
        <f t="shared" si="3"/>
        <v>БГ-С-0,06/0,06</v>
      </c>
      <c r="N4" s="26" t="str">
        <f t="shared" si="3"/>
        <v>БГ-П-0,06/0,06</v>
      </c>
      <c r="O4" s="26" t="str">
        <f t="shared" si="4"/>
        <v>БОВГ-0,06</v>
      </c>
      <c r="P4" s="26" t="str">
        <f t="shared" si="5"/>
        <v>БОВГ-С-0,06/0,06</v>
      </c>
      <c r="Q4" s="26" t="str">
        <f t="shared" si="5"/>
        <v>БОВГ-П-0,06/0,06</v>
      </c>
    </row>
    <row r="5" spans="1:17" x14ac:dyDescent="0.25">
      <c r="A5" s="11">
        <v>7.0000000000000007E-2</v>
      </c>
      <c r="B5" s="11"/>
      <c r="C5" s="23" t="str">
        <f t="shared" si="0"/>
        <v>БВ-0,07-xx</v>
      </c>
      <c r="D5" s="23" t="str">
        <f t="shared" si="0"/>
        <v>БВ-0,07-РП</v>
      </c>
      <c r="E5" s="23" t="str">
        <f t="shared" si="0"/>
        <v>БВ-0,07-Рх</v>
      </c>
      <c r="F5" s="27" t="str">
        <f t="shared" si="0"/>
        <v>БВ-0,07-хП</v>
      </c>
      <c r="G5" s="28" t="str">
        <f t="shared" si="1"/>
        <v>БОВ-0,07-С</v>
      </c>
      <c r="H5" s="26" t="str">
        <f t="shared" si="1"/>
        <v>БОВ-0,07-Т</v>
      </c>
      <c r="I5" s="26" t="str">
        <f t="shared" si="1"/>
        <v>БОВ-0,07-Т-2(50%)</v>
      </c>
      <c r="J5" s="26" t="str">
        <f t="shared" si="1"/>
        <v>БОВ-0,07-Т-2(75%)</v>
      </c>
      <c r="K5" s="26" t="str">
        <f t="shared" si="1"/>
        <v>БОВ-0,07-Т-2(100%)</v>
      </c>
      <c r="L5" s="26" t="str">
        <f t="shared" si="2"/>
        <v>БГ-0,07</v>
      </c>
      <c r="M5" s="26" t="str">
        <f t="shared" si="3"/>
        <v>БГ-С-0,07/0,07</v>
      </c>
      <c r="N5" s="26" t="str">
        <f t="shared" si="3"/>
        <v>БГ-П-0,07/0,07</v>
      </c>
      <c r="O5" s="26" t="str">
        <f t="shared" si="4"/>
        <v>БОВГ-0,07</v>
      </c>
      <c r="P5" s="26" t="str">
        <f t="shared" si="5"/>
        <v>БОВГ-С-0,07/0,07</v>
      </c>
      <c r="Q5" s="26" t="str">
        <f t="shared" si="5"/>
        <v>БОВГ-П-0,07/0,07</v>
      </c>
    </row>
    <row r="6" spans="1:17" x14ac:dyDescent="0.25">
      <c r="A6" s="11">
        <v>0.08</v>
      </c>
      <c r="B6" s="11"/>
      <c r="C6" s="23" t="str">
        <f t="shared" si="0"/>
        <v>БВ-0,08-xx</v>
      </c>
      <c r="D6" s="23" t="str">
        <f t="shared" si="0"/>
        <v>БВ-0,08-РП</v>
      </c>
      <c r="E6" s="23" t="str">
        <f t="shared" si="0"/>
        <v>БВ-0,08-Рх</v>
      </c>
      <c r="F6" s="27" t="str">
        <f t="shared" si="0"/>
        <v>БВ-0,08-хП</v>
      </c>
      <c r="G6" s="28" t="str">
        <f t="shared" si="1"/>
        <v>БОВ-0,08-С</v>
      </c>
      <c r="H6" s="26" t="str">
        <f t="shared" si="1"/>
        <v>БОВ-0,08-Т</v>
      </c>
      <c r="I6" s="26" t="str">
        <f t="shared" si="1"/>
        <v>БОВ-0,08-Т-2(50%)</v>
      </c>
      <c r="J6" s="26" t="str">
        <f t="shared" si="1"/>
        <v>БОВ-0,08-Т-2(75%)</v>
      </c>
      <c r="K6" s="26" t="str">
        <f t="shared" si="1"/>
        <v>БОВ-0,08-Т-2(100%)</v>
      </c>
      <c r="L6" s="26" t="str">
        <f t="shared" si="2"/>
        <v>БГ-0,08</v>
      </c>
      <c r="M6" s="26" t="str">
        <f t="shared" si="3"/>
        <v>БГ-С-0,08/0,08</v>
      </c>
      <c r="N6" s="26" t="str">
        <f t="shared" si="3"/>
        <v>БГ-П-0,08/0,08</v>
      </c>
      <c r="O6" s="26" t="str">
        <f t="shared" si="4"/>
        <v>БОВГ-0,08</v>
      </c>
      <c r="P6" s="26" t="str">
        <f t="shared" si="5"/>
        <v>БОВГ-С-0,08/0,08</v>
      </c>
      <c r="Q6" s="26" t="str">
        <f t="shared" si="5"/>
        <v>БОВГ-П-0,08/0,08</v>
      </c>
    </row>
    <row r="7" spans="1:17" x14ac:dyDescent="0.25">
      <c r="A7" s="11">
        <v>0.09</v>
      </c>
      <c r="B7" s="11"/>
      <c r="C7" s="23" t="str">
        <f t="shared" si="0"/>
        <v>БВ-0,09-xx</v>
      </c>
      <c r="D7" s="23" t="str">
        <f t="shared" si="0"/>
        <v>БВ-0,09-РП</v>
      </c>
      <c r="E7" s="23" t="str">
        <f t="shared" si="0"/>
        <v>БВ-0,09-Рх</v>
      </c>
      <c r="F7" s="27" t="str">
        <f t="shared" si="0"/>
        <v>БВ-0,09-хП</v>
      </c>
      <c r="G7" s="28" t="str">
        <f t="shared" si="1"/>
        <v>БОВ-0,09-С</v>
      </c>
      <c r="H7" s="26" t="str">
        <f t="shared" si="1"/>
        <v>БОВ-0,09-Т</v>
      </c>
      <c r="I7" s="26" t="str">
        <f t="shared" si="1"/>
        <v>БОВ-0,09-Т-2(50%)</v>
      </c>
      <c r="J7" s="26" t="str">
        <f t="shared" si="1"/>
        <v>БОВ-0,09-Т-2(75%)</v>
      </c>
      <c r="K7" s="26" t="str">
        <f t="shared" si="1"/>
        <v>БОВ-0,09-Т-2(100%)</v>
      </c>
      <c r="L7" s="26" t="str">
        <f t="shared" si="2"/>
        <v>БГ-0,09</v>
      </c>
      <c r="M7" s="26" t="str">
        <f t="shared" si="3"/>
        <v>БГ-С-0,09/0,09</v>
      </c>
      <c r="N7" s="26" t="str">
        <f t="shared" si="3"/>
        <v>БГ-П-0,09/0,09</v>
      </c>
      <c r="O7" s="26" t="str">
        <f t="shared" si="4"/>
        <v>БОВГ-0,09</v>
      </c>
      <c r="P7" s="26" t="str">
        <f t="shared" si="5"/>
        <v>БОВГ-С-0,09/0,09</v>
      </c>
      <c r="Q7" s="26" t="str">
        <f t="shared" si="5"/>
        <v>БОВГ-П-0,09/0,09</v>
      </c>
    </row>
    <row r="8" spans="1:17" x14ac:dyDescent="0.25">
      <c r="A8" s="10" t="s">
        <v>16</v>
      </c>
      <c r="B8" s="10"/>
      <c r="C8" s="23" t="str">
        <f t="shared" si="0"/>
        <v>БВ-0,10-xx</v>
      </c>
      <c r="D8" s="23" t="str">
        <f t="shared" si="0"/>
        <v>БВ-0,10-РП</v>
      </c>
      <c r="E8" s="23" t="str">
        <f t="shared" si="0"/>
        <v>БВ-0,10-Рх</v>
      </c>
      <c r="F8" s="27" t="str">
        <f t="shared" si="0"/>
        <v>БВ-0,10-хП</v>
      </c>
      <c r="G8" s="28" t="str">
        <f t="shared" si="1"/>
        <v>БОВ-0,10-С</v>
      </c>
      <c r="H8" s="26" t="str">
        <f t="shared" si="1"/>
        <v>БОВ-0,10-Т</v>
      </c>
      <c r="I8" s="26" t="str">
        <f t="shared" si="1"/>
        <v>БОВ-0,10-Т-2(50%)</v>
      </c>
      <c r="J8" s="26" t="str">
        <f t="shared" si="1"/>
        <v>БОВ-0,10-Т-2(75%)</v>
      </c>
      <c r="K8" s="26" t="str">
        <f t="shared" si="1"/>
        <v>БОВ-0,10-Т-2(100%)</v>
      </c>
      <c r="L8" s="26" t="str">
        <f t="shared" si="2"/>
        <v>БГ-0,10</v>
      </c>
      <c r="M8" s="26" t="str">
        <f t="shared" si="3"/>
        <v>БГ-С-0,10/0,10</v>
      </c>
      <c r="N8" s="26" t="str">
        <f t="shared" si="3"/>
        <v>БГ-П-0,10/0,10</v>
      </c>
      <c r="O8" s="26" t="str">
        <f t="shared" si="4"/>
        <v>БОВГ-0,10</v>
      </c>
      <c r="P8" s="26" t="str">
        <f t="shared" si="5"/>
        <v>БОВГ-С-0,10/0,10</v>
      </c>
      <c r="Q8" s="26" t="str">
        <f t="shared" si="5"/>
        <v>БОВГ-П-0,10/0,10</v>
      </c>
    </row>
    <row r="9" spans="1:17" x14ac:dyDescent="0.25">
      <c r="A9" s="10">
        <v>0.15</v>
      </c>
      <c r="B9" s="10"/>
      <c r="C9" s="23" t="str">
        <f t="shared" si="0"/>
        <v>БВ-0,15-xx</v>
      </c>
      <c r="D9" s="23" t="str">
        <f t="shared" si="0"/>
        <v>БВ-0,15-РП</v>
      </c>
      <c r="E9" s="23" t="str">
        <f t="shared" si="0"/>
        <v>БВ-0,15-Рх</v>
      </c>
      <c r="F9" s="27" t="str">
        <f t="shared" si="0"/>
        <v>БВ-0,15-хП</v>
      </c>
      <c r="G9" s="28" t="str">
        <f t="shared" si="1"/>
        <v>БОВ-0,15-С</v>
      </c>
      <c r="H9" s="26" t="str">
        <f t="shared" si="1"/>
        <v>БОВ-0,15-Т</v>
      </c>
      <c r="I9" s="26" t="str">
        <f t="shared" si="1"/>
        <v>БОВ-0,15-Т-2(50%)</v>
      </c>
      <c r="J9" s="26" t="str">
        <f t="shared" si="1"/>
        <v>БОВ-0,15-Т-2(75%)</v>
      </c>
      <c r="K9" s="26" t="str">
        <f t="shared" si="1"/>
        <v>БОВ-0,15-Т-2(100%)</v>
      </c>
      <c r="L9" s="26" t="str">
        <f t="shared" si="2"/>
        <v>БГ-0,15</v>
      </c>
      <c r="M9" s="26" t="str">
        <f t="shared" si="3"/>
        <v>БГ-С-0,15/0,15</v>
      </c>
      <c r="N9" s="26" t="str">
        <f t="shared" si="3"/>
        <v>БГ-П-0,15/0,15</v>
      </c>
      <c r="O9" s="26" t="str">
        <f t="shared" si="4"/>
        <v>БОВГ-0,15</v>
      </c>
      <c r="P9" s="26" t="str">
        <f t="shared" si="5"/>
        <v>БОВГ-С-0,15/0,15</v>
      </c>
      <c r="Q9" s="26" t="str">
        <f t="shared" si="5"/>
        <v>БОВГ-П-0,15/0,15</v>
      </c>
    </row>
    <row r="10" spans="1:17" x14ac:dyDescent="0.25">
      <c r="A10" s="10" t="s">
        <v>17</v>
      </c>
      <c r="B10" s="10"/>
      <c r="C10" s="23" t="str">
        <f t="shared" si="0"/>
        <v>БВ-0,20-xx</v>
      </c>
      <c r="D10" s="23" t="str">
        <f t="shared" si="0"/>
        <v>БВ-0,20-РП</v>
      </c>
      <c r="E10" s="23" t="str">
        <f t="shared" si="0"/>
        <v>БВ-0,20-Рх</v>
      </c>
      <c r="F10" s="27" t="str">
        <f t="shared" si="0"/>
        <v>БВ-0,20-хП</v>
      </c>
      <c r="G10" s="28" t="str">
        <f t="shared" si="1"/>
        <v>БОВ-0,20-С</v>
      </c>
      <c r="H10" s="26" t="str">
        <f t="shared" si="1"/>
        <v>БОВ-0,20-Т</v>
      </c>
      <c r="I10" s="26" t="str">
        <f t="shared" si="1"/>
        <v>БОВ-0,20-Т-2(50%)</v>
      </c>
      <c r="J10" s="26" t="str">
        <f t="shared" si="1"/>
        <v>БОВ-0,20-Т-2(75%)</v>
      </c>
      <c r="K10" s="26" t="str">
        <f t="shared" si="1"/>
        <v>БОВ-0,20-Т-2(100%)</v>
      </c>
      <c r="L10" s="26" t="str">
        <f t="shared" si="2"/>
        <v>БГ-0,20</v>
      </c>
      <c r="M10" s="26" t="str">
        <f t="shared" si="3"/>
        <v>БГ-С-0,20/0,20</v>
      </c>
      <c r="N10" s="26" t="str">
        <f t="shared" si="3"/>
        <v>БГ-П-0,20/0,20</v>
      </c>
      <c r="O10" s="26" t="str">
        <f t="shared" si="4"/>
        <v>БОВГ-0,20</v>
      </c>
      <c r="P10" s="26" t="str">
        <f t="shared" si="5"/>
        <v>БОВГ-С-0,20/0,20</v>
      </c>
      <c r="Q10" s="26" t="str">
        <f t="shared" si="5"/>
        <v>БОВГ-П-0,20/0,20</v>
      </c>
    </row>
    <row r="11" spans="1:17" x14ac:dyDescent="0.25">
      <c r="A11" s="10">
        <v>0.25</v>
      </c>
      <c r="B11" s="10"/>
      <c r="C11" s="23" t="str">
        <f t="shared" si="0"/>
        <v>БВ-0,25-xx</v>
      </c>
      <c r="D11" s="23" t="str">
        <f t="shared" si="0"/>
        <v>БВ-0,25-РП</v>
      </c>
      <c r="E11" s="23" t="str">
        <f t="shared" si="0"/>
        <v>БВ-0,25-Рх</v>
      </c>
      <c r="F11" s="27" t="str">
        <f t="shared" si="0"/>
        <v>БВ-0,25-хП</v>
      </c>
      <c r="G11" s="28" t="str">
        <f t="shared" si="1"/>
        <v>БОВ-0,25-С</v>
      </c>
      <c r="H11" s="26" t="str">
        <f t="shared" si="1"/>
        <v>БОВ-0,25-Т</v>
      </c>
      <c r="I11" s="26" t="str">
        <f t="shared" si="1"/>
        <v>БОВ-0,25-Т-2(50%)</v>
      </c>
      <c r="J11" s="26" t="str">
        <f t="shared" si="1"/>
        <v>БОВ-0,25-Т-2(75%)</v>
      </c>
      <c r="K11" s="26" t="str">
        <f t="shared" si="1"/>
        <v>БОВ-0,25-Т-2(100%)</v>
      </c>
      <c r="L11" s="26" t="str">
        <f t="shared" si="2"/>
        <v>БГ-0,25</v>
      </c>
      <c r="M11" s="26" t="str">
        <f t="shared" si="3"/>
        <v>БГ-С-0,25/0,25</v>
      </c>
      <c r="N11" s="26" t="str">
        <f t="shared" si="3"/>
        <v>БГ-П-0,25/0,25</v>
      </c>
      <c r="O11" s="26" t="str">
        <f t="shared" si="4"/>
        <v>БОВГ-0,25</v>
      </c>
      <c r="P11" s="26" t="str">
        <f t="shared" si="5"/>
        <v>БОВГ-С-0,25/0,25</v>
      </c>
      <c r="Q11" s="26" t="str">
        <f t="shared" si="5"/>
        <v>БОВГ-П-0,25/0,25</v>
      </c>
    </row>
    <row r="12" spans="1:17" x14ac:dyDescent="0.25">
      <c r="A12" s="10" t="s">
        <v>18</v>
      </c>
      <c r="B12" s="10"/>
      <c r="C12" s="23" t="str">
        <f t="shared" si="0"/>
        <v>БВ-0,30-xx</v>
      </c>
      <c r="D12" s="23" t="str">
        <f t="shared" si="0"/>
        <v>БВ-0,30-РП</v>
      </c>
      <c r="E12" s="23" t="str">
        <f t="shared" si="0"/>
        <v>БВ-0,30-Рх</v>
      </c>
      <c r="F12" s="27" t="str">
        <f t="shared" si="0"/>
        <v>БВ-0,30-хП</v>
      </c>
      <c r="G12" s="28" t="str">
        <f t="shared" si="1"/>
        <v>БОВ-0,30-С</v>
      </c>
      <c r="H12" s="26" t="str">
        <f t="shared" si="1"/>
        <v>БОВ-0,30-Т</v>
      </c>
      <c r="I12" s="26" t="str">
        <f t="shared" si="1"/>
        <v>БОВ-0,30-Т-2(50%)</v>
      </c>
      <c r="J12" s="26" t="str">
        <f t="shared" si="1"/>
        <v>БОВ-0,30-Т-2(75%)</v>
      </c>
      <c r="K12" s="26" t="str">
        <f t="shared" si="1"/>
        <v>БОВ-0,30-Т-2(100%)</v>
      </c>
      <c r="L12" s="26" t="str">
        <f t="shared" si="2"/>
        <v>БГ-0,30</v>
      </c>
      <c r="M12" s="26" t="str">
        <f t="shared" si="3"/>
        <v>БГ-С-0,30/0,30</v>
      </c>
      <c r="N12" s="26" t="str">
        <f t="shared" si="3"/>
        <v>БГ-П-0,30/0,30</v>
      </c>
      <c r="O12" s="26" t="str">
        <f t="shared" si="4"/>
        <v>БОВГ-0,30</v>
      </c>
      <c r="P12" s="26" t="str">
        <f t="shared" si="5"/>
        <v>БОВГ-С-0,30/0,30</v>
      </c>
      <c r="Q12" s="26" t="str">
        <f t="shared" si="5"/>
        <v>БОВГ-П-0,30/0,30</v>
      </c>
    </row>
    <row r="13" spans="1:17" x14ac:dyDescent="0.25">
      <c r="A13" s="10">
        <v>0.35</v>
      </c>
      <c r="B13" s="10"/>
      <c r="C13" s="23" t="str">
        <f t="shared" si="0"/>
        <v>БВ-0,35-xx</v>
      </c>
      <c r="D13" s="23" t="str">
        <f t="shared" si="0"/>
        <v>БВ-0,35-РП</v>
      </c>
      <c r="E13" s="23" t="str">
        <f t="shared" si="0"/>
        <v>БВ-0,35-Рх</v>
      </c>
      <c r="F13" s="27" t="str">
        <f t="shared" si="0"/>
        <v>БВ-0,35-хП</v>
      </c>
      <c r="G13" s="28" t="str">
        <f t="shared" ref="G13:K22" si="6">$G$1&amp;"-"&amp;$A13&amp;"-"&amp;G$2</f>
        <v>БОВ-0,35-С</v>
      </c>
      <c r="H13" s="26" t="str">
        <f t="shared" si="6"/>
        <v>БОВ-0,35-Т</v>
      </c>
      <c r="I13" s="26" t="str">
        <f t="shared" si="6"/>
        <v>БОВ-0,35-Т-2(50%)</v>
      </c>
      <c r="J13" s="26" t="str">
        <f t="shared" si="6"/>
        <v>БОВ-0,35-Т-2(75%)</v>
      </c>
      <c r="K13" s="26" t="str">
        <f t="shared" si="6"/>
        <v>БОВ-0,35-Т-2(100%)</v>
      </c>
      <c r="L13" s="26" t="str">
        <f t="shared" si="2"/>
        <v>БГ-0,35</v>
      </c>
      <c r="M13" s="26" t="str">
        <f t="shared" si="3"/>
        <v>БГ-С-0,35/0,35</v>
      </c>
      <c r="N13" s="26" t="str">
        <f t="shared" si="3"/>
        <v>БГ-П-0,35/0,35</v>
      </c>
      <c r="O13" s="26" t="str">
        <f t="shared" si="4"/>
        <v>БОВГ-0,35</v>
      </c>
      <c r="P13" s="26" t="str">
        <f t="shared" si="5"/>
        <v>БОВГ-С-0,35/0,35</v>
      </c>
      <c r="Q13" s="26" t="str">
        <f t="shared" si="5"/>
        <v>БОВГ-П-0,35/0,35</v>
      </c>
    </row>
    <row r="14" spans="1:17" x14ac:dyDescent="0.25">
      <c r="A14" s="10" t="s">
        <v>19</v>
      </c>
      <c r="B14" s="10"/>
      <c r="C14" s="23" t="str">
        <f t="shared" si="0"/>
        <v>БВ-0,04-xx</v>
      </c>
      <c r="D14" s="23" t="str">
        <f t="shared" si="0"/>
        <v>БВ-0,04-РП</v>
      </c>
      <c r="E14" s="23" t="str">
        <f t="shared" si="0"/>
        <v>БВ-0,04-Рх</v>
      </c>
      <c r="F14" s="27" t="str">
        <f t="shared" si="0"/>
        <v>БВ-0,04-хП</v>
      </c>
      <c r="G14" s="28" t="str">
        <f t="shared" si="6"/>
        <v>БОВ-0,04-С</v>
      </c>
      <c r="H14" s="26" t="str">
        <f t="shared" si="6"/>
        <v>БОВ-0,04-Т</v>
      </c>
      <c r="I14" s="26" t="str">
        <f t="shared" si="6"/>
        <v>БОВ-0,04-Т-2(50%)</v>
      </c>
      <c r="J14" s="26" t="str">
        <f t="shared" si="6"/>
        <v>БОВ-0,04-Т-2(75%)</v>
      </c>
      <c r="K14" s="26" t="str">
        <f t="shared" si="6"/>
        <v>БОВ-0,04-Т-2(100%)</v>
      </c>
      <c r="L14" s="26" t="str">
        <f t="shared" si="2"/>
        <v>БГ-0,04</v>
      </c>
      <c r="M14" s="26" t="str">
        <f t="shared" si="3"/>
        <v>БГ-С-0,04/0,04</v>
      </c>
      <c r="N14" s="26" t="str">
        <f t="shared" si="3"/>
        <v>БГ-П-0,04/0,04</v>
      </c>
      <c r="O14" s="26" t="str">
        <f t="shared" si="4"/>
        <v>БОВГ-0,04</v>
      </c>
      <c r="P14" s="26" t="str">
        <f t="shared" si="5"/>
        <v>БОВГ-С-0,04/0,04</v>
      </c>
      <c r="Q14" s="26" t="str">
        <f t="shared" si="5"/>
        <v>БОВГ-П-0,04/0,04</v>
      </c>
    </row>
    <row r="15" spans="1:17" x14ac:dyDescent="0.25">
      <c r="A15" s="10">
        <v>0.45</v>
      </c>
      <c r="B15" s="10"/>
      <c r="C15" s="23" t="str">
        <f t="shared" si="0"/>
        <v>БВ-0,45-xx</v>
      </c>
      <c r="D15" s="23" t="str">
        <f t="shared" si="0"/>
        <v>БВ-0,45-РП</v>
      </c>
      <c r="E15" s="23" t="str">
        <f t="shared" si="0"/>
        <v>БВ-0,45-Рх</v>
      </c>
      <c r="F15" s="27" t="str">
        <f t="shared" si="0"/>
        <v>БВ-0,45-хП</v>
      </c>
      <c r="G15" s="28" t="str">
        <f t="shared" si="6"/>
        <v>БОВ-0,45-С</v>
      </c>
      <c r="H15" s="26" t="str">
        <f t="shared" si="6"/>
        <v>БОВ-0,45-Т</v>
      </c>
      <c r="I15" s="26" t="str">
        <f t="shared" si="6"/>
        <v>БОВ-0,45-Т-2(50%)</v>
      </c>
      <c r="J15" s="26" t="str">
        <f t="shared" si="6"/>
        <v>БОВ-0,45-Т-2(75%)</v>
      </c>
      <c r="K15" s="26" t="str">
        <f t="shared" si="6"/>
        <v>БОВ-0,45-Т-2(100%)</v>
      </c>
      <c r="L15" s="26" t="str">
        <f t="shared" si="2"/>
        <v>БГ-0,45</v>
      </c>
      <c r="M15" s="26" t="str">
        <f t="shared" si="3"/>
        <v>БГ-С-0,45/0,45</v>
      </c>
      <c r="N15" s="26" t="str">
        <f t="shared" si="3"/>
        <v>БГ-П-0,45/0,45</v>
      </c>
      <c r="O15" s="26" t="str">
        <f t="shared" si="4"/>
        <v>БОВГ-0,45</v>
      </c>
      <c r="P15" s="26" t="str">
        <f t="shared" si="5"/>
        <v>БОВГ-С-0,45/0,45</v>
      </c>
      <c r="Q15" s="26" t="str">
        <f t="shared" si="5"/>
        <v>БОВГ-П-0,45/0,45</v>
      </c>
    </row>
    <row r="16" spans="1:17" x14ac:dyDescent="0.25">
      <c r="A16" s="10" t="s">
        <v>20</v>
      </c>
      <c r="B16" s="10"/>
      <c r="C16" s="23" t="str">
        <f t="shared" si="0"/>
        <v>БВ-0,05-xx</v>
      </c>
      <c r="D16" s="23" t="str">
        <f t="shared" si="0"/>
        <v>БВ-0,05-РП</v>
      </c>
      <c r="E16" s="23" t="str">
        <f t="shared" si="0"/>
        <v>БВ-0,05-Рх</v>
      </c>
      <c r="F16" s="27" t="str">
        <f t="shared" si="0"/>
        <v>БВ-0,05-хП</v>
      </c>
      <c r="G16" s="28" t="str">
        <f t="shared" si="6"/>
        <v>БОВ-0,05-С</v>
      </c>
      <c r="H16" s="26" t="str">
        <f t="shared" si="6"/>
        <v>БОВ-0,05-Т</v>
      </c>
      <c r="I16" s="26" t="str">
        <f t="shared" si="6"/>
        <v>БОВ-0,05-Т-2(50%)</v>
      </c>
      <c r="J16" s="26" t="str">
        <f t="shared" si="6"/>
        <v>БОВ-0,05-Т-2(75%)</v>
      </c>
      <c r="K16" s="26" t="str">
        <f t="shared" si="6"/>
        <v>БОВ-0,05-Т-2(100%)</v>
      </c>
      <c r="L16" s="26" t="str">
        <f t="shared" si="2"/>
        <v>БГ-0,05</v>
      </c>
      <c r="M16" s="26" t="str">
        <f t="shared" si="3"/>
        <v>БГ-С-0,05/0,05</v>
      </c>
      <c r="N16" s="26" t="str">
        <f t="shared" si="3"/>
        <v>БГ-П-0,05/0,05</v>
      </c>
      <c r="O16" s="26" t="str">
        <f t="shared" si="4"/>
        <v>БОВГ-0,05</v>
      </c>
      <c r="P16" s="26" t="str">
        <f t="shared" si="5"/>
        <v>БОВГ-С-0,05/0,05</v>
      </c>
      <c r="Q16" s="26" t="str">
        <f t="shared" si="5"/>
        <v>БОВГ-П-0,05/0,05</v>
      </c>
    </row>
    <row r="17" spans="1:17" x14ac:dyDescent="0.25">
      <c r="A17" s="10">
        <v>0.55000000000000004</v>
      </c>
      <c r="B17" s="10"/>
      <c r="C17" s="23" t="str">
        <f t="shared" si="0"/>
        <v>БВ-0,55-xx</v>
      </c>
      <c r="D17" s="23" t="str">
        <f t="shared" si="0"/>
        <v>БВ-0,55-РП</v>
      </c>
      <c r="E17" s="23" t="str">
        <f t="shared" si="0"/>
        <v>БВ-0,55-Рх</v>
      </c>
      <c r="F17" s="27" t="str">
        <f t="shared" si="0"/>
        <v>БВ-0,55-хП</v>
      </c>
      <c r="G17" s="28" t="str">
        <f t="shared" si="6"/>
        <v>БОВ-0,55-С</v>
      </c>
      <c r="H17" s="26" t="str">
        <f t="shared" si="6"/>
        <v>БОВ-0,55-Т</v>
      </c>
      <c r="I17" s="26" t="str">
        <f t="shared" si="6"/>
        <v>БОВ-0,55-Т-2(50%)</v>
      </c>
      <c r="J17" s="26" t="str">
        <f t="shared" si="6"/>
        <v>БОВ-0,55-Т-2(75%)</v>
      </c>
      <c r="K17" s="26" t="str">
        <f t="shared" si="6"/>
        <v>БОВ-0,55-Т-2(100%)</v>
      </c>
      <c r="L17" s="26" t="str">
        <f t="shared" si="2"/>
        <v>БГ-0,55</v>
      </c>
      <c r="M17" s="26" t="str">
        <f t="shared" si="3"/>
        <v>БГ-С-0,55/0,55</v>
      </c>
      <c r="N17" s="26" t="str">
        <f t="shared" si="3"/>
        <v>БГ-П-0,55/0,55</v>
      </c>
      <c r="O17" s="26" t="str">
        <f t="shared" si="4"/>
        <v>БОВГ-0,55</v>
      </c>
      <c r="P17" s="26" t="str">
        <f t="shared" si="5"/>
        <v>БОВГ-С-0,55/0,55</v>
      </c>
      <c r="Q17" s="26" t="str">
        <f t="shared" si="5"/>
        <v>БОВГ-П-0,55/0,55</v>
      </c>
    </row>
    <row r="18" spans="1:17" x14ac:dyDescent="0.25">
      <c r="A18" s="10" t="s">
        <v>21</v>
      </c>
      <c r="B18" s="10"/>
      <c r="C18" s="23" t="str">
        <f t="shared" si="0"/>
        <v>БВ-0,06-xx</v>
      </c>
      <c r="D18" s="23" t="str">
        <f t="shared" si="0"/>
        <v>БВ-0,06-РП</v>
      </c>
      <c r="E18" s="23" t="str">
        <f t="shared" si="0"/>
        <v>БВ-0,06-Рх</v>
      </c>
      <c r="F18" s="27" t="str">
        <f t="shared" si="0"/>
        <v>БВ-0,06-хП</v>
      </c>
      <c r="G18" s="28" t="str">
        <f t="shared" si="6"/>
        <v>БОВ-0,06-С</v>
      </c>
      <c r="H18" s="26" t="str">
        <f t="shared" si="6"/>
        <v>БОВ-0,06-Т</v>
      </c>
      <c r="I18" s="26" t="str">
        <f t="shared" si="6"/>
        <v>БОВ-0,06-Т-2(50%)</v>
      </c>
      <c r="J18" s="26" t="str">
        <f t="shared" si="6"/>
        <v>БОВ-0,06-Т-2(75%)</v>
      </c>
      <c r="K18" s="26" t="str">
        <f t="shared" si="6"/>
        <v>БОВ-0,06-Т-2(100%)</v>
      </c>
      <c r="L18" s="26" t="str">
        <f t="shared" si="2"/>
        <v>БГ-0,06</v>
      </c>
      <c r="M18" s="26" t="str">
        <f t="shared" si="3"/>
        <v>БГ-С-0,06/0,06</v>
      </c>
      <c r="N18" s="26" t="str">
        <f t="shared" si="3"/>
        <v>БГ-П-0,06/0,06</v>
      </c>
      <c r="O18" s="26" t="str">
        <f t="shared" si="4"/>
        <v>БОВГ-0,06</v>
      </c>
      <c r="P18" s="26" t="str">
        <f t="shared" si="5"/>
        <v>БОВГ-С-0,06/0,06</v>
      </c>
      <c r="Q18" s="26" t="str">
        <f t="shared" si="5"/>
        <v>БОВГ-П-0,06/0,06</v>
      </c>
    </row>
    <row r="19" spans="1:17" x14ac:dyDescent="0.25">
      <c r="A19" s="10">
        <v>0.65</v>
      </c>
      <c r="B19" s="10"/>
      <c r="C19" s="23" t="str">
        <f t="shared" si="0"/>
        <v>БВ-0,65-xx</v>
      </c>
      <c r="D19" s="23" t="str">
        <f t="shared" si="0"/>
        <v>БВ-0,65-РП</v>
      </c>
      <c r="E19" s="23" t="str">
        <f t="shared" si="0"/>
        <v>БВ-0,65-Рх</v>
      </c>
      <c r="F19" s="27" t="str">
        <f t="shared" si="0"/>
        <v>БВ-0,65-хП</v>
      </c>
      <c r="G19" s="28" t="str">
        <f t="shared" si="6"/>
        <v>БОВ-0,65-С</v>
      </c>
      <c r="H19" s="26" t="str">
        <f t="shared" si="6"/>
        <v>БОВ-0,65-Т</v>
      </c>
      <c r="I19" s="26" t="str">
        <f t="shared" si="6"/>
        <v>БОВ-0,65-Т-2(50%)</v>
      </c>
      <c r="J19" s="26" t="str">
        <f t="shared" si="6"/>
        <v>БОВ-0,65-Т-2(75%)</v>
      </c>
      <c r="K19" s="26" t="str">
        <f t="shared" si="6"/>
        <v>БОВ-0,65-Т-2(100%)</v>
      </c>
      <c r="L19" s="26" t="str">
        <f t="shared" si="2"/>
        <v>БГ-0,65</v>
      </c>
      <c r="M19" s="26" t="str">
        <f t="shared" si="3"/>
        <v>БГ-С-0,65/0,65</v>
      </c>
      <c r="N19" s="26" t="str">
        <f t="shared" si="3"/>
        <v>БГ-П-0,65/0,65</v>
      </c>
      <c r="O19" s="26" t="str">
        <f t="shared" si="4"/>
        <v>БОВГ-0,65</v>
      </c>
      <c r="P19" s="26" t="str">
        <f t="shared" si="5"/>
        <v>БОВГ-С-0,65/0,65</v>
      </c>
      <c r="Q19" s="26" t="str">
        <f t="shared" si="5"/>
        <v>БОВГ-П-0,65/0,65</v>
      </c>
    </row>
    <row r="20" spans="1:17" x14ac:dyDescent="0.25">
      <c r="A20" s="10" t="s">
        <v>22</v>
      </c>
      <c r="B20" s="10"/>
      <c r="C20" s="23" t="str">
        <f t="shared" si="0"/>
        <v>БВ-0,07-xx</v>
      </c>
      <c r="D20" s="23" t="str">
        <f t="shared" si="0"/>
        <v>БВ-0,07-РП</v>
      </c>
      <c r="E20" s="23" t="str">
        <f t="shared" si="0"/>
        <v>БВ-0,07-Рх</v>
      </c>
      <c r="F20" s="27" t="str">
        <f t="shared" si="0"/>
        <v>БВ-0,07-хП</v>
      </c>
      <c r="G20" s="28" t="str">
        <f t="shared" si="6"/>
        <v>БОВ-0,07-С</v>
      </c>
      <c r="H20" s="26" t="str">
        <f t="shared" si="6"/>
        <v>БОВ-0,07-Т</v>
      </c>
      <c r="I20" s="26" t="str">
        <f t="shared" si="6"/>
        <v>БОВ-0,07-Т-2(50%)</v>
      </c>
      <c r="J20" s="26" t="str">
        <f t="shared" si="6"/>
        <v>БОВ-0,07-Т-2(75%)</v>
      </c>
      <c r="K20" s="26" t="str">
        <f t="shared" si="6"/>
        <v>БОВ-0,07-Т-2(100%)</v>
      </c>
      <c r="L20" s="26" t="str">
        <f t="shared" si="2"/>
        <v>БГ-0,07</v>
      </c>
      <c r="M20" s="26" t="str">
        <f t="shared" si="3"/>
        <v>БГ-С-0,07/0,07</v>
      </c>
      <c r="N20" s="26" t="str">
        <f t="shared" si="3"/>
        <v>БГ-П-0,07/0,07</v>
      </c>
      <c r="O20" s="26" t="str">
        <f t="shared" si="4"/>
        <v>БОВГ-0,07</v>
      </c>
      <c r="P20" s="26" t="str">
        <f t="shared" si="5"/>
        <v>БОВГ-С-0,07/0,07</v>
      </c>
      <c r="Q20" s="26" t="str">
        <f t="shared" si="5"/>
        <v>БОВГ-П-0,07/0,07</v>
      </c>
    </row>
    <row r="21" spans="1:17" x14ac:dyDescent="0.25">
      <c r="A21" s="10">
        <v>0.75</v>
      </c>
      <c r="B21" s="10"/>
      <c r="C21" s="23" t="str">
        <f t="shared" si="0"/>
        <v>БВ-0,75-xx</v>
      </c>
      <c r="D21" s="23" t="str">
        <f t="shared" si="0"/>
        <v>БВ-0,75-РП</v>
      </c>
      <c r="E21" s="23" t="str">
        <f t="shared" si="0"/>
        <v>БВ-0,75-Рх</v>
      </c>
      <c r="F21" s="27" t="str">
        <f t="shared" si="0"/>
        <v>БВ-0,75-хП</v>
      </c>
      <c r="G21" s="28" t="str">
        <f t="shared" si="6"/>
        <v>БОВ-0,75-С</v>
      </c>
      <c r="H21" s="26" t="str">
        <f t="shared" si="6"/>
        <v>БОВ-0,75-Т</v>
      </c>
      <c r="I21" s="26" t="str">
        <f t="shared" si="6"/>
        <v>БОВ-0,75-Т-2(50%)</v>
      </c>
      <c r="J21" s="26" t="str">
        <f t="shared" si="6"/>
        <v>БОВ-0,75-Т-2(75%)</v>
      </c>
      <c r="K21" s="26" t="str">
        <f t="shared" si="6"/>
        <v>БОВ-0,75-Т-2(100%)</v>
      </c>
      <c r="L21" s="26" t="str">
        <f t="shared" si="2"/>
        <v>БГ-0,75</v>
      </c>
      <c r="M21" s="26" t="str">
        <f t="shared" si="3"/>
        <v>БГ-С-0,75/0,75</v>
      </c>
      <c r="N21" s="26" t="str">
        <f t="shared" si="3"/>
        <v>БГ-П-0,75/0,75</v>
      </c>
      <c r="O21" s="26" t="str">
        <f t="shared" si="4"/>
        <v>БОВГ-0,75</v>
      </c>
      <c r="P21" s="26" t="str">
        <f t="shared" si="5"/>
        <v>БОВГ-С-0,75/0,75</v>
      </c>
      <c r="Q21" s="26" t="str">
        <f t="shared" si="5"/>
        <v>БОВГ-П-0,75/0,75</v>
      </c>
    </row>
    <row r="22" spans="1:17" x14ac:dyDescent="0.25">
      <c r="A22" s="10" t="s">
        <v>23</v>
      </c>
      <c r="B22" s="10"/>
      <c r="C22" s="23" t="str">
        <f t="shared" si="0"/>
        <v>БВ-0,08-xx</v>
      </c>
      <c r="D22" s="23" t="str">
        <f t="shared" si="0"/>
        <v>БВ-0,08-РП</v>
      </c>
      <c r="E22" s="23" t="str">
        <f t="shared" si="0"/>
        <v>БВ-0,08-Рх</v>
      </c>
      <c r="F22" s="27" t="str">
        <f t="shared" si="0"/>
        <v>БВ-0,08-хП</v>
      </c>
      <c r="G22" s="28" t="str">
        <f t="shared" si="6"/>
        <v>БОВ-0,08-С</v>
      </c>
      <c r="H22" s="26" t="str">
        <f t="shared" si="6"/>
        <v>БОВ-0,08-Т</v>
      </c>
      <c r="I22" s="26" t="str">
        <f t="shared" si="6"/>
        <v>БОВ-0,08-Т-2(50%)</v>
      </c>
      <c r="J22" s="26" t="str">
        <f t="shared" si="6"/>
        <v>БОВ-0,08-Т-2(75%)</v>
      </c>
      <c r="K22" s="26" t="str">
        <f t="shared" si="6"/>
        <v>БОВ-0,08-Т-2(100%)</v>
      </c>
      <c r="L22" s="26" t="str">
        <f t="shared" si="2"/>
        <v>БГ-0,08</v>
      </c>
      <c r="M22" s="26" t="str">
        <f t="shared" si="3"/>
        <v>БГ-С-0,08/0,08</v>
      </c>
      <c r="N22" s="26" t="str">
        <f t="shared" si="3"/>
        <v>БГ-П-0,08/0,08</v>
      </c>
      <c r="O22" s="26" t="str">
        <f t="shared" si="4"/>
        <v>БОВГ-0,08</v>
      </c>
      <c r="P22" s="26" t="str">
        <f t="shared" si="5"/>
        <v>БОВГ-С-0,08/0,08</v>
      </c>
      <c r="Q22" s="26" t="str">
        <f t="shared" si="5"/>
        <v>БОВГ-П-0,08/0,08</v>
      </c>
    </row>
    <row r="23" spans="1:17" x14ac:dyDescent="0.25">
      <c r="A23" s="10">
        <v>0.85</v>
      </c>
      <c r="B23" s="10"/>
      <c r="C23" s="23" t="str">
        <f t="shared" ref="C23:F42" si="7">$C$1&amp;"-"&amp;$A23&amp;"-"&amp;C$2</f>
        <v>БВ-0,85-xx</v>
      </c>
      <c r="D23" s="23" t="str">
        <f t="shared" si="7"/>
        <v>БВ-0,85-РП</v>
      </c>
      <c r="E23" s="23" t="str">
        <f t="shared" si="7"/>
        <v>БВ-0,85-Рх</v>
      </c>
      <c r="F23" s="27" t="str">
        <f t="shared" si="7"/>
        <v>БВ-0,85-хП</v>
      </c>
      <c r="G23" s="28" t="str">
        <f t="shared" ref="G23:K32" si="8">$G$1&amp;"-"&amp;$A23&amp;"-"&amp;G$2</f>
        <v>БОВ-0,85-С</v>
      </c>
      <c r="H23" s="26" t="str">
        <f t="shared" si="8"/>
        <v>БОВ-0,85-Т</v>
      </c>
      <c r="I23" s="26" t="str">
        <f t="shared" si="8"/>
        <v>БОВ-0,85-Т-2(50%)</v>
      </c>
      <c r="J23" s="26" t="str">
        <f t="shared" si="8"/>
        <v>БОВ-0,85-Т-2(75%)</v>
      </c>
      <c r="K23" s="26" t="str">
        <f t="shared" si="8"/>
        <v>БОВ-0,85-Т-2(100%)</v>
      </c>
      <c r="L23" s="26" t="str">
        <f t="shared" si="2"/>
        <v>БГ-0,85</v>
      </c>
      <c r="M23" s="26" t="str">
        <f t="shared" ref="M23:N42" si="9">$L$1&amp;"-"&amp;M$2&amp;"-"&amp;$A23&amp;"/"&amp;$A23</f>
        <v>БГ-С-0,85/0,85</v>
      </c>
      <c r="N23" s="26" t="str">
        <f t="shared" si="9"/>
        <v>БГ-П-0,85/0,85</v>
      </c>
      <c r="O23" s="26" t="str">
        <f t="shared" si="4"/>
        <v>БОВГ-0,85</v>
      </c>
      <c r="P23" s="26" t="str">
        <f t="shared" ref="P23:Q42" si="10">$O$1&amp;"-"&amp;P$2&amp;"-"&amp;$A23&amp;"/"&amp;$A23</f>
        <v>БОВГ-С-0,85/0,85</v>
      </c>
      <c r="Q23" s="26" t="str">
        <f t="shared" si="10"/>
        <v>БОВГ-П-0,85/0,85</v>
      </c>
    </row>
    <row r="24" spans="1:17" x14ac:dyDescent="0.25">
      <c r="A24" s="10" t="s">
        <v>24</v>
      </c>
      <c r="B24" s="10"/>
      <c r="C24" s="23" t="str">
        <f t="shared" si="7"/>
        <v>БВ-0,09-xx</v>
      </c>
      <c r="D24" s="23" t="str">
        <f t="shared" si="7"/>
        <v>БВ-0,09-РП</v>
      </c>
      <c r="E24" s="23" t="str">
        <f t="shared" si="7"/>
        <v>БВ-0,09-Рх</v>
      </c>
      <c r="F24" s="27" t="str">
        <f t="shared" si="7"/>
        <v>БВ-0,09-хП</v>
      </c>
      <c r="G24" s="28" t="str">
        <f t="shared" si="8"/>
        <v>БОВ-0,09-С</v>
      </c>
      <c r="H24" s="26" t="str">
        <f t="shared" si="8"/>
        <v>БОВ-0,09-Т</v>
      </c>
      <c r="I24" s="26" t="str">
        <f t="shared" si="8"/>
        <v>БОВ-0,09-Т-2(50%)</v>
      </c>
      <c r="J24" s="26" t="str">
        <f t="shared" si="8"/>
        <v>БОВ-0,09-Т-2(75%)</v>
      </c>
      <c r="K24" s="26" t="str">
        <f t="shared" si="8"/>
        <v>БОВ-0,09-Т-2(100%)</v>
      </c>
      <c r="L24" s="26" t="str">
        <f t="shared" si="2"/>
        <v>БГ-0,09</v>
      </c>
      <c r="M24" s="26" t="str">
        <f t="shared" si="9"/>
        <v>БГ-С-0,09/0,09</v>
      </c>
      <c r="N24" s="26" t="str">
        <f t="shared" si="9"/>
        <v>БГ-П-0,09/0,09</v>
      </c>
      <c r="O24" s="26" t="str">
        <f t="shared" si="4"/>
        <v>БОВГ-0,09</v>
      </c>
      <c r="P24" s="26" t="str">
        <f t="shared" si="10"/>
        <v>БОВГ-С-0,09/0,09</v>
      </c>
      <c r="Q24" s="26" t="str">
        <f t="shared" si="10"/>
        <v>БОВГ-П-0,09/0,09</v>
      </c>
    </row>
    <row r="25" spans="1:17" x14ac:dyDescent="0.25">
      <c r="A25" s="10">
        <v>0.95</v>
      </c>
      <c r="B25" s="10"/>
      <c r="C25" s="23" t="str">
        <f t="shared" si="7"/>
        <v>БВ-0,95-xx</v>
      </c>
      <c r="D25" s="23" t="str">
        <f t="shared" si="7"/>
        <v>БВ-0,95-РП</v>
      </c>
      <c r="E25" s="23" t="str">
        <f t="shared" si="7"/>
        <v>БВ-0,95-Рх</v>
      </c>
      <c r="F25" s="27" t="str">
        <f t="shared" si="7"/>
        <v>БВ-0,95-хП</v>
      </c>
      <c r="G25" s="28" t="str">
        <f t="shared" si="8"/>
        <v>БОВ-0,95-С</v>
      </c>
      <c r="H25" s="26" t="str">
        <f t="shared" si="8"/>
        <v>БОВ-0,95-Т</v>
      </c>
      <c r="I25" s="26" t="str">
        <f t="shared" si="8"/>
        <v>БОВ-0,95-Т-2(50%)</v>
      </c>
      <c r="J25" s="26" t="str">
        <f t="shared" si="8"/>
        <v>БОВ-0,95-Т-2(75%)</v>
      </c>
      <c r="K25" s="26" t="str">
        <f t="shared" si="8"/>
        <v>БОВ-0,95-Т-2(100%)</v>
      </c>
      <c r="L25" s="26" t="str">
        <f t="shared" si="2"/>
        <v>БГ-0,95</v>
      </c>
      <c r="M25" s="26" t="str">
        <f t="shared" si="9"/>
        <v>БГ-С-0,95/0,95</v>
      </c>
      <c r="N25" s="26" t="str">
        <f t="shared" si="9"/>
        <v>БГ-П-0,95/0,95</v>
      </c>
      <c r="O25" s="26" t="str">
        <f t="shared" si="4"/>
        <v>БОВГ-0,95</v>
      </c>
      <c r="P25" s="26" t="str">
        <f t="shared" si="10"/>
        <v>БОВГ-С-0,95/0,95</v>
      </c>
      <c r="Q25" s="26" t="str">
        <f t="shared" si="10"/>
        <v>БОВГ-П-0,95/0,95</v>
      </c>
    </row>
    <row r="26" spans="1:17" x14ac:dyDescent="0.25">
      <c r="A26" s="9" t="s">
        <v>25</v>
      </c>
      <c r="B26" s="9"/>
      <c r="C26" s="23" t="str">
        <f t="shared" si="7"/>
        <v>БВ-1,0-xx</v>
      </c>
      <c r="D26" s="23" t="str">
        <f t="shared" si="7"/>
        <v>БВ-1,0-РП</v>
      </c>
      <c r="E26" s="23" t="str">
        <f t="shared" si="7"/>
        <v>БВ-1,0-Рх</v>
      </c>
      <c r="F26" s="27" t="str">
        <f t="shared" si="7"/>
        <v>БВ-1,0-хП</v>
      </c>
      <c r="G26" s="28" t="str">
        <f t="shared" si="8"/>
        <v>БОВ-1,0-С</v>
      </c>
      <c r="H26" s="26" t="str">
        <f t="shared" si="8"/>
        <v>БОВ-1,0-Т</v>
      </c>
      <c r="I26" s="26" t="str">
        <f t="shared" si="8"/>
        <v>БОВ-1,0-Т-2(50%)</v>
      </c>
      <c r="J26" s="26" t="str">
        <f t="shared" si="8"/>
        <v>БОВ-1,0-Т-2(75%)</v>
      </c>
      <c r="K26" s="26" t="str">
        <f t="shared" si="8"/>
        <v>БОВ-1,0-Т-2(100%)</v>
      </c>
      <c r="L26" s="26" t="str">
        <f t="shared" si="2"/>
        <v>БГ-1,0</v>
      </c>
      <c r="M26" s="26" t="str">
        <f t="shared" si="9"/>
        <v>БГ-С-1,0/1,0</v>
      </c>
      <c r="N26" s="26" t="str">
        <f t="shared" si="9"/>
        <v>БГ-П-1,0/1,0</v>
      </c>
      <c r="O26" s="26" t="str">
        <f t="shared" si="4"/>
        <v>БОВГ-1,0</v>
      </c>
      <c r="P26" s="26" t="str">
        <f t="shared" si="10"/>
        <v>БОВГ-С-1,0/1,0</v>
      </c>
      <c r="Q26" s="26" t="str">
        <f t="shared" si="10"/>
        <v>БОВГ-П-1,0/1,0</v>
      </c>
    </row>
    <row r="27" spans="1:17" x14ac:dyDescent="0.25">
      <c r="A27" s="9">
        <v>1.1000000000000001</v>
      </c>
      <c r="B27" s="9"/>
      <c r="C27" s="23" t="str">
        <f t="shared" si="7"/>
        <v>БВ-1,1-xx</v>
      </c>
      <c r="D27" s="23" t="str">
        <f t="shared" si="7"/>
        <v>БВ-1,1-РП</v>
      </c>
      <c r="E27" s="23" t="str">
        <f t="shared" si="7"/>
        <v>БВ-1,1-Рх</v>
      </c>
      <c r="F27" s="27" t="str">
        <f t="shared" si="7"/>
        <v>БВ-1,1-хП</v>
      </c>
      <c r="G27" s="28" t="str">
        <f t="shared" si="8"/>
        <v>БОВ-1,1-С</v>
      </c>
      <c r="H27" s="26" t="str">
        <f t="shared" si="8"/>
        <v>БОВ-1,1-Т</v>
      </c>
      <c r="I27" s="26" t="str">
        <f t="shared" si="8"/>
        <v>БОВ-1,1-Т-2(50%)</v>
      </c>
      <c r="J27" s="26" t="str">
        <f t="shared" si="8"/>
        <v>БОВ-1,1-Т-2(75%)</v>
      </c>
      <c r="K27" s="26" t="str">
        <f t="shared" si="8"/>
        <v>БОВ-1,1-Т-2(100%)</v>
      </c>
      <c r="L27" s="26" t="str">
        <f t="shared" si="2"/>
        <v>БГ-1,1</v>
      </c>
      <c r="M27" s="26" t="str">
        <f t="shared" si="9"/>
        <v>БГ-С-1,1/1,1</v>
      </c>
      <c r="N27" s="26" t="str">
        <f t="shared" si="9"/>
        <v>БГ-П-1,1/1,1</v>
      </c>
      <c r="O27" s="26" t="str">
        <f t="shared" si="4"/>
        <v>БОВГ-1,1</v>
      </c>
      <c r="P27" s="26" t="str">
        <f t="shared" si="10"/>
        <v>БОВГ-С-1,1/1,1</v>
      </c>
      <c r="Q27" s="26" t="str">
        <f t="shared" si="10"/>
        <v>БОВГ-П-1,1/1,1</v>
      </c>
    </row>
    <row r="28" spans="1:17" x14ac:dyDescent="0.25">
      <c r="A28" s="9">
        <v>1.2</v>
      </c>
      <c r="B28" s="9"/>
      <c r="C28" s="23" t="str">
        <f t="shared" si="7"/>
        <v>БВ-1,2-xx</v>
      </c>
      <c r="D28" s="23" t="str">
        <f t="shared" si="7"/>
        <v>БВ-1,2-РП</v>
      </c>
      <c r="E28" s="23" t="str">
        <f t="shared" si="7"/>
        <v>БВ-1,2-Рх</v>
      </c>
      <c r="F28" s="27" t="str">
        <f t="shared" si="7"/>
        <v>БВ-1,2-хП</v>
      </c>
      <c r="G28" s="28" t="str">
        <f t="shared" si="8"/>
        <v>БОВ-1,2-С</v>
      </c>
      <c r="H28" s="26" t="str">
        <f t="shared" si="8"/>
        <v>БОВ-1,2-Т</v>
      </c>
      <c r="I28" s="26" t="str">
        <f t="shared" si="8"/>
        <v>БОВ-1,2-Т-2(50%)</v>
      </c>
      <c r="J28" s="26" t="str">
        <f t="shared" si="8"/>
        <v>БОВ-1,2-Т-2(75%)</v>
      </c>
      <c r="K28" s="26" t="str">
        <f t="shared" si="8"/>
        <v>БОВ-1,2-Т-2(100%)</v>
      </c>
      <c r="L28" s="26" t="str">
        <f t="shared" si="2"/>
        <v>БГ-1,2</v>
      </c>
      <c r="M28" s="26" t="str">
        <f t="shared" si="9"/>
        <v>БГ-С-1,2/1,2</v>
      </c>
      <c r="N28" s="26" t="str">
        <f t="shared" si="9"/>
        <v>БГ-П-1,2/1,2</v>
      </c>
      <c r="O28" s="26" t="str">
        <f t="shared" si="4"/>
        <v>БОВГ-1,2</v>
      </c>
      <c r="P28" s="26" t="str">
        <f t="shared" si="10"/>
        <v>БОВГ-С-1,2/1,2</v>
      </c>
      <c r="Q28" s="26" t="str">
        <f t="shared" si="10"/>
        <v>БОВГ-П-1,2/1,2</v>
      </c>
    </row>
    <row r="29" spans="1:17" x14ac:dyDescent="0.25">
      <c r="A29" s="9">
        <v>1.3</v>
      </c>
      <c r="B29" s="9"/>
      <c r="C29" s="23" t="str">
        <f t="shared" si="7"/>
        <v>БВ-1,3-xx</v>
      </c>
      <c r="D29" s="23" t="str">
        <f t="shared" si="7"/>
        <v>БВ-1,3-РП</v>
      </c>
      <c r="E29" s="23" t="str">
        <f t="shared" si="7"/>
        <v>БВ-1,3-Рх</v>
      </c>
      <c r="F29" s="27" t="str">
        <f t="shared" si="7"/>
        <v>БВ-1,3-хП</v>
      </c>
      <c r="G29" s="28" t="str">
        <f t="shared" si="8"/>
        <v>БОВ-1,3-С</v>
      </c>
      <c r="H29" s="26" t="str">
        <f t="shared" si="8"/>
        <v>БОВ-1,3-Т</v>
      </c>
      <c r="I29" s="26" t="str">
        <f t="shared" si="8"/>
        <v>БОВ-1,3-Т-2(50%)</v>
      </c>
      <c r="J29" s="26" t="str">
        <f t="shared" si="8"/>
        <v>БОВ-1,3-Т-2(75%)</v>
      </c>
      <c r="K29" s="26" t="str">
        <f t="shared" si="8"/>
        <v>БОВ-1,3-Т-2(100%)</v>
      </c>
      <c r="L29" s="26" t="str">
        <f t="shared" si="2"/>
        <v>БГ-1,3</v>
      </c>
      <c r="M29" s="26" t="str">
        <f t="shared" si="9"/>
        <v>БГ-С-1,3/1,3</v>
      </c>
      <c r="N29" s="26" t="str">
        <f t="shared" si="9"/>
        <v>БГ-П-1,3/1,3</v>
      </c>
      <c r="O29" s="26" t="str">
        <f t="shared" si="4"/>
        <v>БОВГ-1,3</v>
      </c>
      <c r="P29" s="26" t="str">
        <f t="shared" si="10"/>
        <v>БОВГ-С-1,3/1,3</v>
      </c>
      <c r="Q29" s="26" t="str">
        <f t="shared" si="10"/>
        <v>БОВГ-П-1,3/1,3</v>
      </c>
    </row>
    <row r="30" spans="1:17" x14ac:dyDescent="0.25">
      <c r="A30" s="9">
        <v>1.4</v>
      </c>
      <c r="B30" s="9"/>
      <c r="C30" s="23" t="str">
        <f t="shared" si="7"/>
        <v>БВ-1,4-xx</v>
      </c>
      <c r="D30" s="23" t="str">
        <f t="shared" si="7"/>
        <v>БВ-1,4-РП</v>
      </c>
      <c r="E30" s="23" t="str">
        <f t="shared" si="7"/>
        <v>БВ-1,4-Рх</v>
      </c>
      <c r="F30" s="27" t="str">
        <f t="shared" si="7"/>
        <v>БВ-1,4-хП</v>
      </c>
      <c r="G30" s="28" t="str">
        <f t="shared" si="8"/>
        <v>БОВ-1,4-С</v>
      </c>
      <c r="H30" s="26" t="str">
        <f t="shared" si="8"/>
        <v>БОВ-1,4-Т</v>
      </c>
      <c r="I30" s="26" t="str">
        <f t="shared" si="8"/>
        <v>БОВ-1,4-Т-2(50%)</v>
      </c>
      <c r="J30" s="26" t="str">
        <f t="shared" si="8"/>
        <v>БОВ-1,4-Т-2(75%)</v>
      </c>
      <c r="K30" s="26" t="str">
        <f t="shared" si="8"/>
        <v>БОВ-1,4-Т-2(100%)</v>
      </c>
      <c r="L30" s="26" t="str">
        <f t="shared" si="2"/>
        <v>БГ-1,4</v>
      </c>
      <c r="M30" s="26" t="str">
        <f t="shared" si="9"/>
        <v>БГ-С-1,4/1,4</v>
      </c>
      <c r="N30" s="26" t="str">
        <f t="shared" si="9"/>
        <v>БГ-П-1,4/1,4</v>
      </c>
      <c r="O30" s="26" t="str">
        <f t="shared" si="4"/>
        <v>БОВГ-1,4</v>
      </c>
      <c r="P30" s="26" t="str">
        <f t="shared" si="10"/>
        <v>БОВГ-С-1,4/1,4</v>
      </c>
      <c r="Q30" s="26" t="str">
        <f t="shared" si="10"/>
        <v>БОВГ-П-1,4/1,4</v>
      </c>
    </row>
    <row r="31" spans="1:17" x14ac:dyDescent="0.25">
      <c r="A31" s="9">
        <v>1.5</v>
      </c>
      <c r="B31" s="9"/>
      <c r="C31" s="23" t="str">
        <f t="shared" si="7"/>
        <v>БВ-1,5-xx</v>
      </c>
      <c r="D31" s="23" t="str">
        <f t="shared" si="7"/>
        <v>БВ-1,5-РП</v>
      </c>
      <c r="E31" s="23" t="str">
        <f t="shared" si="7"/>
        <v>БВ-1,5-Рх</v>
      </c>
      <c r="F31" s="27" t="str">
        <f t="shared" si="7"/>
        <v>БВ-1,5-хП</v>
      </c>
      <c r="G31" s="28" t="str">
        <f t="shared" si="8"/>
        <v>БОВ-1,5-С</v>
      </c>
      <c r="H31" s="26" t="str">
        <f t="shared" si="8"/>
        <v>БОВ-1,5-Т</v>
      </c>
      <c r="I31" s="26" t="str">
        <f t="shared" si="8"/>
        <v>БОВ-1,5-Т-2(50%)</v>
      </c>
      <c r="J31" s="26" t="str">
        <f t="shared" si="8"/>
        <v>БОВ-1,5-Т-2(75%)</v>
      </c>
      <c r="K31" s="26" t="str">
        <f t="shared" si="8"/>
        <v>БОВ-1,5-Т-2(100%)</v>
      </c>
      <c r="L31" s="26" t="str">
        <f t="shared" si="2"/>
        <v>БГ-1,5</v>
      </c>
      <c r="M31" s="26" t="str">
        <f t="shared" si="9"/>
        <v>БГ-С-1,5/1,5</v>
      </c>
      <c r="N31" s="26" t="str">
        <f t="shared" si="9"/>
        <v>БГ-П-1,5/1,5</v>
      </c>
      <c r="O31" s="26" t="str">
        <f t="shared" si="4"/>
        <v>БОВГ-1,5</v>
      </c>
      <c r="P31" s="26" t="str">
        <f t="shared" si="10"/>
        <v>БОВГ-С-1,5/1,5</v>
      </c>
      <c r="Q31" s="26" t="str">
        <f t="shared" si="10"/>
        <v>БОВГ-П-1,5/1,5</v>
      </c>
    </row>
    <row r="32" spans="1:17" x14ac:dyDescent="0.25">
      <c r="A32" s="9">
        <v>1.6</v>
      </c>
      <c r="B32" s="9"/>
      <c r="C32" s="23" t="str">
        <f t="shared" si="7"/>
        <v>БВ-1,6-xx</v>
      </c>
      <c r="D32" s="23" t="str">
        <f t="shared" si="7"/>
        <v>БВ-1,6-РП</v>
      </c>
      <c r="E32" s="23" t="str">
        <f t="shared" si="7"/>
        <v>БВ-1,6-Рх</v>
      </c>
      <c r="F32" s="27" t="str">
        <f t="shared" si="7"/>
        <v>БВ-1,6-хП</v>
      </c>
      <c r="G32" s="28" t="str">
        <f t="shared" si="8"/>
        <v>БОВ-1,6-С</v>
      </c>
      <c r="H32" s="26" t="str">
        <f t="shared" si="8"/>
        <v>БОВ-1,6-Т</v>
      </c>
      <c r="I32" s="26" t="str">
        <f t="shared" si="8"/>
        <v>БОВ-1,6-Т-2(50%)</v>
      </c>
      <c r="J32" s="26" t="str">
        <f t="shared" si="8"/>
        <v>БОВ-1,6-Т-2(75%)</v>
      </c>
      <c r="K32" s="26" t="str">
        <f t="shared" si="8"/>
        <v>БОВ-1,6-Т-2(100%)</v>
      </c>
      <c r="L32" s="26" t="str">
        <f t="shared" si="2"/>
        <v>БГ-1,6</v>
      </c>
      <c r="M32" s="26" t="str">
        <f t="shared" si="9"/>
        <v>БГ-С-1,6/1,6</v>
      </c>
      <c r="N32" s="26" t="str">
        <f t="shared" si="9"/>
        <v>БГ-П-1,6/1,6</v>
      </c>
      <c r="O32" s="26" t="str">
        <f t="shared" si="4"/>
        <v>БОВГ-1,6</v>
      </c>
      <c r="P32" s="26" t="str">
        <f t="shared" si="10"/>
        <v>БОВГ-С-1,6/1,6</v>
      </c>
      <c r="Q32" s="26" t="str">
        <f t="shared" si="10"/>
        <v>БОВГ-П-1,6/1,6</v>
      </c>
    </row>
    <row r="33" spans="1:17" x14ac:dyDescent="0.25">
      <c r="A33" s="9">
        <v>1.7</v>
      </c>
      <c r="B33" s="9"/>
      <c r="C33" s="23" t="str">
        <f t="shared" si="7"/>
        <v>БВ-1,7-xx</v>
      </c>
      <c r="D33" s="23" t="str">
        <f t="shared" si="7"/>
        <v>БВ-1,7-РП</v>
      </c>
      <c r="E33" s="23" t="str">
        <f t="shared" si="7"/>
        <v>БВ-1,7-Рх</v>
      </c>
      <c r="F33" s="27" t="str">
        <f t="shared" si="7"/>
        <v>БВ-1,7-хП</v>
      </c>
      <c r="G33" s="28" t="str">
        <f t="shared" ref="G33:K42" si="11">$G$1&amp;"-"&amp;$A33&amp;"-"&amp;G$2</f>
        <v>БОВ-1,7-С</v>
      </c>
      <c r="H33" s="26" t="str">
        <f t="shared" si="11"/>
        <v>БОВ-1,7-Т</v>
      </c>
      <c r="I33" s="26" t="str">
        <f t="shared" si="11"/>
        <v>БОВ-1,7-Т-2(50%)</v>
      </c>
      <c r="J33" s="26" t="str">
        <f t="shared" si="11"/>
        <v>БОВ-1,7-Т-2(75%)</v>
      </c>
      <c r="K33" s="26" t="str">
        <f t="shared" si="11"/>
        <v>БОВ-1,7-Т-2(100%)</v>
      </c>
      <c r="L33" s="26" t="str">
        <f t="shared" si="2"/>
        <v>БГ-1,7</v>
      </c>
      <c r="M33" s="26" t="str">
        <f t="shared" si="9"/>
        <v>БГ-С-1,7/1,7</v>
      </c>
      <c r="N33" s="26" t="str">
        <f t="shared" si="9"/>
        <v>БГ-П-1,7/1,7</v>
      </c>
      <c r="O33" s="26" t="str">
        <f t="shared" si="4"/>
        <v>БОВГ-1,7</v>
      </c>
      <c r="P33" s="26" t="str">
        <f t="shared" si="10"/>
        <v>БОВГ-С-1,7/1,7</v>
      </c>
      <c r="Q33" s="26" t="str">
        <f t="shared" si="10"/>
        <v>БОВГ-П-1,7/1,7</v>
      </c>
    </row>
    <row r="34" spans="1:17" x14ac:dyDescent="0.25">
      <c r="A34" s="9">
        <v>1.8</v>
      </c>
      <c r="B34" s="9"/>
      <c r="C34" s="23" t="str">
        <f t="shared" si="7"/>
        <v>БВ-1,8-xx</v>
      </c>
      <c r="D34" s="23" t="str">
        <f t="shared" si="7"/>
        <v>БВ-1,8-РП</v>
      </c>
      <c r="E34" s="23" t="str">
        <f t="shared" si="7"/>
        <v>БВ-1,8-Рх</v>
      </c>
      <c r="F34" s="27" t="str">
        <f t="shared" si="7"/>
        <v>БВ-1,8-хП</v>
      </c>
      <c r="G34" s="28" t="str">
        <f t="shared" si="11"/>
        <v>БОВ-1,8-С</v>
      </c>
      <c r="H34" s="26" t="str">
        <f t="shared" si="11"/>
        <v>БОВ-1,8-Т</v>
      </c>
      <c r="I34" s="26" t="str">
        <f t="shared" si="11"/>
        <v>БОВ-1,8-Т-2(50%)</v>
      </c>
      <c r="J34" s="26" t="str">
        <f t="shared" si="11"/>
        <v>БОВ-1,8-Т-2(75%)</v>
      </c>
      <c r="K34" s="26" t="str">
        <f t="shared" si="11"/>
        <v>БОВ-1,8-Т-2(100%)</v>
      </c>
      <c r="L34" s="26" t="str">
        <f t="shared" si="2"/>
        <v>БГ-1,8</v>
      </c>
      <c r="M34" s="26" t="str">
        <f t="shared" si="9"/>
        <v>БГ-С-1,8/1,8</v>
      </c>
      <c r="N34" s="26" t="str">
        <f t="shared" si="9"/>
        <v>БГ-П-1,8/1,8</v>
      </c>
      <c r="O34" s="26" t="str">
        <f t="shared" si="4"/>
        <v>БОВГ-1,8</v>
      </c>
      <c r="P34" s="26" t="str">
        <f t="shared" si="10"/>
        <v>БОВГ-С-1,8/1,8</v>
      </c>
      <c r="Q34" s="26" t="str">
        <f t="shared" si="10"/>
        <v>БОВГ-П-1,8/1,8</v>
      </c>
    </row>
    <row r="35" spans="1:17" x14ac:dyDescent="0.25">
      <c r="A35" s="9">
        <v>1.9</v>
      </c>
      <c r="B35" s="9"/>
      <c r="C35" s="23" t="str">
        <f t="shared" si="7"/>
        <v>БВ-1,9-xx</v>
      </c>
      <c r="D35" s="23" t="str">
        <f t="shared" si="7"/>
        <v>БВ-1,9-РП</v>
      </c>
      <c r="E35" s="23" t="str">
        <f t="shared" si="7"/>
        <v>БВ-1,9-Рх</v>
      </c>
      <c r="F35" s="27" t="str">
        <f t="shared" si="7"/>
        <v>БВ-1,9-хП</v>
      </c>
      <c r="G35" s="28" t="str">
        <f t="shared" si="11"/>
        <v>БОВ-1,9-С</v>
      </c>
      <c r="H35" s="26" t="str">
        <f t="shared" si="11"/>
        <v>БОВ-1,9-Т</v>
      </c>
      <c r="I35" s="26" t="str">
        <f t="shared" si="11"/>
        <v>БОВ-1,9-Т-2(50%)</v>
      </c>
      <c r="J35" s="26" t="str">
        <f t="shared" si="11"/>
        <v>БОВ-1,9-Т-2(75%)</v>
      </c>
      <c r="K35" s="26" t="str">
        <f t="shared" si="11"/>
        <v>БОВ-1,9-Т-2(100%)</v>
      </c>
      <c r="L35" s="26" t="str">
        <f t="shared" ref="L35:L56" si="12">$L$1&amp;"-"&amp;$A35</f>
        <v>БГ-1,9</v>
      </c>
      <c r="M35" s="26" t="str">
        <f t="shared" si="9"/>
        <v>БГ-С-1,9/1,9</v>
      </c>
      <c r="N35" s="26" t="str">
        <f t="shared" si="9"/>
        <v>БГ-П-1,9/1,9</v>
      </c>
      <c r="O35" s="26" t="str">
        <f t="shared" ref="O35:O56" si="13">$O$1&amp;"-"&amp;$A35</f>
        <v>БОВГ-1,9</v>
      </c>
      <c r="P35" s="26" t="str">
        <f t="shared" si="10"/>
        <v>БОВГ-С-1,9/1,9</v>
      </c>
      <c r="Q35" s="26" t="str">
        <f t="shared" si="10"/>
        <v>БОВГ-П-1,9/1,9</v>
      </c>
    </row>
    <row r="36" spans="1:17" x14ac:dyDescent="0.25">
      <c r="A36" s="9" t="s">
        <v>26</v>
      </c>
      <c r="B36" s="9"/>
      <c r="C36" s="23" t="str">
        <f t="shared" si="7"/>
        <v>БВ-2,0-xx</v>
      </c>
      <c r="D36" s="23" t="str">
        <f t="shared" si="7"/>
        <v>БВ-2,0-РП</v>
      </c>
      <c r="E36" s="23" t="str">
        <f t="shared" si="7"/>
        <v>БВ-2,0-Рх</v>
      </c>
      <c r="F36" s="27" t="str">
        <f t="shared" si="7"/>
        <v>БВ-2,0-хП</v>
      </c>
      <c r="G36" s="28" t="str">
        <f t="shared" si="11"/>
        <v>БОВ-2,0-С</v>
      </c>
      <c r="H36" s="26" t="str">
        <f t="shared" si="11"/>
        <v>БОВ-2,0-Т</v>
      </c>
      <c r="I36" s="26" t="str">
        <f t="shared" si="11"/>
        <v>БОВ-2,0-Т-2(50%)</v>
      </c>
      <c r="J36" s="26" t="str">
        <f t="shared" si="11"/>
        <v>БОВ-2,0-Т-2(75%)</v>
      </c>
      <c r="K36" s="26" t="str">
        <f t="shared" si="11"/>
        <v>БОВ-2,0-Т-2(100%)</v>
      </c>
      <c r="L36" s="26" t="str">
        <f t="shared" si="12"/>
        <v>БГ-2,0</v>
      </c>
      <c r="M36" s="26" t="str">
        <f t="shared" si="9"/>
        <v>БГ-С-2,0/2,0</v>
      </c>
      <c r="N36" s="26" t="str">
        <f t="shared" si="9"/>
        <v>БГ-П-2,0/2,0</v>
      </c>
      <c r="O36" s="26" t="str">
        <f t="shared" si="13"/>
        <v>БОВГ-2,0</v>
      </c>
      <c r="P36" s="26" t="str">
        <f t="shared" si="10"/>
        <v>БОВГ-С-2,0/2,0</v>
      </c>
      <c r="Q36" s="26" t="str">
        <f t="shared" si="10"/>
        <v>БОВГ-П-2,0/2,0</v>
      </c>
    </row>
    <row r="37" spans="1:17" x14ac:dyDescent="0.25">
      <c r="A37" s="9">
        <v>2.1</v>
      </c>
      <c r="B37" s="9"/>
      <c r="C37" s="23" t="str">
        <f t="shared" si="7"/>
        <v>БВ-2,1-xx</v>
      </c>
      <c r="D37" s="23" t="str">
        <f t="shared" si="7"/>
        <v>БВ-2,1-РП</v>
      </c>
      <c r="E37" s="23" t="str">
        <f t="shared" si="7"/>
        <v>БВ-2,1-Рх</v>
      </c>
      <c r="F37" s="27" t="str">
        <f t="shared" si="7"/>
        <v>БВ-2,1-хП</v>
      </c>
      <c r="G37" s="28" t="str">
        <f t="shared" si="11"/>
        <v>БОВ-2,1-С</v>
      </c>
      <c r="H37" s="26" t="str">
        <f t="shared" si="11"/>
        <v>БОВ-2,1-Т</v>
      </c>
      <c r="I37" s="26" t="str">
        <f t="shared" si="11"/>
        <v>БОВ-2,1-Т-2(50%)</v>
      </c>
      <c r="J37" s="26" t="str">
        <f t="shared" si="11"/>
        <v>БОВ-2,1-Т-2(75%)</v>
      </c>
      <c r="K37" s="26" t="str">
        <f t="shared" si="11"/>
        <v>БОВ-2,1-Т-2(100%)</v>
      </c>
      <c r="L37" s="26" t="str">
        <f t="shared" si="12"/>
        <v>БГ-2,1</v>
      </c>
      <c r="M37" s="26" t="str">
        <f t="shared" si="9"/>
        <v>БГ-С-2,1/2,1</v>
      </c>
      <c r="N37" s="26" t="str">
        <f t="shared" si="9"/>
        <v>БГ-П-2,1/2,1</v>
      </c>
      <c r="O37" s="26" t="str">
        <f t="shared" si="13"/>
        <v>БОВГ-2,1</v>
      </c>
      <c r="P37" s="26" t="str">
        <f t="shared" si="10"/>
        <v>БОВГ-С-2,1/2,1</v>
      </c>
      <c r="Q37" s="26" t="str">
        <f t="shared" si="10"/>
        <v>БОВГ-П-2,1/2,1</v>
      </c>
    </row>
    <row r="38" spans="1:17" x14ac:dyDescent="0.25">
      <c r="A38" s="9">
        <v>2.2000000000000002</v>
      </c>
      <c r="B38" s="9"/>
      <c r="C38" s="23" t="str">
        <f t="shared" si="7"/>
        <v>БВ-2,2-xx</v>
      </c>
      <c r="D38" s="23" t="str">
        <f t="shared" si="7"/>
        <v>БВ-2,2-РП</v>
      </c>
      <c r="E38" s="23" t="str">
        <f t="shared" si="7"/>
        <v>БВ-2,2-Рх</v>
      </c>
      <c r="F38" s="27" t="str">
        <f t="shared" si="7"/>
        <v>БВ-2,2-хП</v>
      </c>
      <c r="G38" s="28" t="str">
        <f t="shared" si="11"/>
        <v>БОВ-2,2-С</v>
      </c>
      <c r="H38" s="26" t="str">
        <f t="shared" si="11"/>
        <v>БОВ-2,2-Т</v>
      </c>
      <c r="I38" s="26" t="str">
        <f t="shared" si="11"/>
        <v>БОВ-2,2-Т-2(50%)</v>
      </c>
      <c r="J38" s="26" t="str">
        <f t="shared" si="11"/>
        <v>БОВ-2,2-Т-2(75%)</v>
      </c>
      <c r="K38" s="26" t="str">
        <f t="shared" si="11"/>
        <v>БОВ-2,2-Т-2(100%)</v>
      </c>
      <c r="L38" s="26" t="str">
        <f t="shared" si="12"/>
        <v>БГ-2,2</v>
      </c>
      <c r="M38" s="26" t="str">
        <f t="shared" si="9"/>
        <v>БГ-С-2,2/2,2</v>
      </c>
      <c r="N38" s="26" t="str">
        <f t="shared" si="9"/>
        <v>БГ-П-2,2/2,2</v>
      </c>
      <c r="O38" s="26" t="str">
        <f t="shared" si="13"/>
        <v>БОВГ-2,2</v>
      </c>
      <c r="P38" s="26" t="str">
        <f t="shared" si="10"/>
        <v>БОВГ-С-2,2/2,2</v>
      </c>
      <c r="Q38" s="26" t="str">
        <f t="shared" si="10"/>
        <v>БОВГ-П-2,2/2,2</v>
      </c>
    </row>
    <row r="39" spans="1:17" x14ac:dyDescent="0.25">
      <c r="A39" s="9">
        <v>2.2999999999999998</v>
      </c>
      <c r="B39" s="9"/>
      <c r="C39" s="23" t="str">
        <f t="shared" si="7"/>
        <v>БВ-2,3-xx</v>
      </c>
      <c r="D39" s="23" t="str">
        <f t="shared" si="7"/>
        <v>БВ-2,3-РП</v>
      </c>
      <c r="E39" s="23" t="str">
        <f t="shared" si="7"/>
        <v>БВ-2,3-Рх</v>
      </c>
      <c r="F39" s="27" t="str">
        <f t="shared" si="7"/>
        <v>БВ-2,3-хП</v>
      </c>
      <c r="G39" s="28" t="str">
        <f t="shared" si="11"/>
        <v>БОВ-2,3-С</v>
      </c>
      <c r="H39" s="26" t="str">
        <f t="shared" si="11"/>
        <v>БОВ-2,3-Т</v>
      </c>
      <c r="I39" s="26" t="str">
        <f t="shared" si="11"/>
        <v>БОВ-2,3-Т-2(50%)</v>
      </c>
      <c r="J39" s="26" t="str">
        <f t="shared" si="11"/>
        <v>БОВ-2,3-Т-2(75%)</v>
      </c>
      <c r="K39" s="26" t="str">
        <f t="shared" si="11"/>
        <v>БОВ-2,3-Т-2(100%)</v>
      </c>
      <c r="L39" s="26" t="str">
        <f t="shared" si="12"/>
        <v>БГ-2,3</v>
      </c>
      <c r="M39" s="26" t="str">
        <f t="shared" si="9"/>
        <v>БГ-С-2,3/2,3</v>
      </c>
      <c r="N39" s="26" t="str">
        <f t="shared" si="9"/>
        <v>БГ-П-2,3/2,3</v>
      </c>
      <c r="O39" s="26" t="str">
        <f t="shared" si="13"/>
        <v>БОВГ-2,3</v>
      </c>
      <c r="P39" s="26" t="str">
        <f t="shared" si="10"/>
        <v>БОВГ-С-2,3/2,3</v>
      </c>
      <c r="Q39" s="26" t="str">
        <f t="shared" si="10"/>
        <v>БОВГ-П-2,3/2,3</v>
      </c>
    </row>
    <row r="40" spans="1:17" x14ac:dyDescent="0.25">
      <c r="A40" s="9">
        <v>2.4</v>
      </c>
      <c r="B40" s="9"/>
      <c r="C40" s="23" t="str">
        <f t="shared" si="7"/>
        <v>БВ-2,4-xx</v>
      </c>
      <c r="D40" s="23" t="str">
        <f t="shared" si="7"/>
        <v>БВ-2,4-РП</v>
      </c>
      <c r="E40" s="23" t="str">
        <f t="shared" si="7"/>
        <v>БВ-2,4-Рх</v>
      </c>
      <c r="F40" s="27" t="str">
        <f t="shared" si="7"/>
        <v>БВ-2,4-хП</v>
      </c>
      <c r="G40" s="28" t="str">
        <f t="shared" si="11"/>
        <v>БОВ-2,4-С</v>
      </c>
      <c r="H40" s="26" t="str">
        <f t="shared" si="11"/>
        <v>БОВ-2,4-Т</v>
      </c>
      <c r="I40" s="26" t="str">
        <f t="shared" si="11"/>
        <v>БОВ-2,4-Т-2(50%)</v>
      </c>
      <c r="J40" s="26" t="str">
        <f t="shared" si="11"/>
        <v>БОВ-2,4-Т-2(75%)</v>
      </c>
      <c r="K40" s="26" t="str">
        <f t="shared" si="11"/>
        <v>БОВ-2,4-Т-2(100%)</v>
      </c>
      <c r="L40" s="26" t="str">
        <f t="shared" si="12"/>
        <v>БГ-2,4</v>
      </c>
      <c r="M40" s="26" t="str">
        <f t="shared" si="9"/>
        <v>БГ-С-2,4/2,4</v>
      </c>
      <c r="N40" s="26" t="str">
        <f t="shared" si="9"/>
        <v>БГ-П-2,4/2,4</v>
      </c>
      <c r="O40" s="26" t="str">
        <f t="shared" si="13"/>
        <v>БОВГ-2,4</v>
      </c>
      <c r="P40" s="26" t="str">
        <f t="shared" si="10"/>
        <v>БОВГ-С-2,4/2,4</v>
      </c>
      <c r="Q40" s="26" t="str">
        <f t="shared" si="10"/>
        <v>БОВГ-П-2,4/2,4</v>
      </c>
    </row>
    <row r="41" spans="1:17" x14ac:dyDescent="0.25">
      <c r="A41" s="9">
        <v>2.5</v>
      </c>
      <c r="B41" s="9"/>
      <c r="C41" s="23" t="str">
        <f t="shared" si="7"/>
        <v>БВ-2,5-xx</v>
      </c>
      <c r="D41" s="23" t="str">
        <f t="shared" si="7"/>
        <v>БВ-2,5-РП</v>
      </c>
      <c r="E41" s="23" t="str">
        <f t="shared" si="7"/>
        <v>БВ-2,5-Рх</v>
      </c>
      <c r="F41" s="27" t="str">
        <f t="shared" si="7"/>
        <v>БВ-2,5-хП</v>
      </c>
      <c r="G41" s="28" t="str">
        <f t="shared" si="11"/>
        <v>БОВ-2,5-С</v>
      </c>
      <c r="H41" s="26" t="str">
        <f t="shared" si="11"/>
        <v>БОВ-2,5-Т</v>
      </c>
      <c r="I41" s="26" t="str">
        <f t="shared" si="11"/>
        <v>БОВ-2,5-Т-2(50%)</v>
      </c>
      <c r="J41" s="26" t="str">
        <f t="shared" si="11"/>
        <v>БОВ-2,5-Т-2(75%)</v>
      </c>
      <c r="K41" s="26" t="str">
        <f t="shared" si="11"/>
        <v>БОВ-2,5-Т-2(100%)</v>
      </c>
      <c r="L41" s="26" t="str">
        <f t="shared" si="12"/>
        <v>БГ-2,5</v>
      </c>
      <c r="M41" s="26" t="str">
        <f t="shared" si="9"/>
        <v>БГ-С-2,5/2,5</v>
      </c>
      <c r="N41" s="26" t="str">
        <f t="shared" si="9"/>
        <v>БГ-П-2,5/2,5</v>
      </c>
      <c r="O41" s="26" t="str">
        <f t="shared" si="13"/>
        <v>БОВГ-2,5</v>
      </c>
      <c r="P41" s="26" t="str">
        <f t="shared" si="10"/>
        <v>БОВГ-С-2,5/2,5</v>
      </c>
      <c r="Q41" s="26" t="str">
        <f t="shared" si="10"/>
        <v>БОВГ-П-2,5/2,5</v>
      </c>
    </row>
    <row r="42" spans="1:17" x14ac:dyDescent="0.25">
      <c r="A42" s="9">
        <v>2.6</v>
      </c>
      <c r="B42" s="9"/>
      <c r="C42" s="23" t="str">
        <f t="shared" si="7"/>
        <v>БВ-2,6-xx</v>
      </c>
      <c r="D42" s="23" t="str">
        <f t="shared" si="7"/>
        <v>БВ-2,6-РП</v>
      </c>
      <c r="E42" s="23" t="str">
        <f t="shared" si="7"/>
        <v>БВ-2,6-Рх</v>
      </c>
      <c r="F42" s="27" t="str">
        <f t="shared" si="7"/>
        <v>БВ-2,6-хП</v>
      </c>
      <c r="G42" s="28" t="str">
        <f t="shared" si="11"/>
        <v>БОВ-2,6-С</v>
      </c>
      <c r="H42" s="26" t="str">
        <f t="shared" si="11"/>
        <v>БОВ-2,6-Т</v>
      </c>
      <c r="I42" s="26" t="str">
        <f t="shared" si="11"/>
        <v>БОВ-2,6-Т-2(50%)</v>
      </c>
      <c r="J42" s="26" t="str">
        <f t="shared" si="11"/>
        <v>БОВ-2,6-Т-2(75%)</v>
      </c>
      <c r="K42" s="26" t="str">
        <f t="shared" si="11"/>
        <v>БОВ-2,6-Т-2(100%)</v>
      </c>
      <c r="L42" s="26" t="str">
        <f t="shared" si="12"/>
        <v>БГ-2,6</v>
      </c>
      <c r="M42" s="26" t="str">
        <f t="shared" si="9"/>
        <v>БГ-С-2,6/2,6</v>
      </c>
      <c r="N42" s="26" t="str">
        <f t="shared" si="9"/>
        <v>БГ-П-2,6/2,6</v>
      </c>
      <c r="O42" s="26" t="str">
        <f t="shared" si="13"/>
        <v>БОВГ-2,6</v>
      </c>
      <c r="P42" s="26" t="str">
        <f t="shared" si="10"/>
        <v>БОВГ-С-2,6/2,6</v>
      </c>
      <c r="Q42" s="26" t="str">
        <f t="shared" si="10"/>
        <v>БОВГ-П-2,6/2,6</v>
      </c>
    </row>
    <row r="43" spans="1:17" x14ac:dyDescent="0.25">
      <c r="A43" s="9">
        <v>2.7</v>
      </c>
      <c r="B43" s="9"/>
      <c r="C43" s="23" t="str">
        <f t="shared" ref="C43:F56" si="14">$C$1&amp;"-"&amp;$A43&amp;"-"&amp;C$2</f>
        <v>БВ-2,7-xx</v>
      </c>
      <c r="D43" s="23" t="str">
        <f t="shared" si="14"/>
        <v>БВ-2,7-РП</v>
      </c>
      <c r="E43" s="23" t="str">
        <f t="shared" si="14"/>
        <v>БВ-2,7-Рх</v>
      </c>
      <c r="F43" s="27" t="str">
        <f t="shared" si="14"/>
        <v>БВ-2,7-хП</v>
      </c>
      <c r="G43" s="28" t="str">
        <f t="shared" ref="G43:K56" si="15">$G$1&amp;"-"&amp;$A43&amp;"-"&amp;G$2</f>
        <v>БОВ-2,7-С</v>
      </c>
      <c r="H43" s="26" t="str">
        <f t="shared" si="15"/>
        <v>БОВ-2,7-Т</v>
      </c>
      <c r="I43" s="26" t="str">
        <f t="shared" si="15"/>
        <v>БОВ-2,7-Т-2(50%)</v>
      </c>
      <c r="J43" s="26" t="str">
        <f t="shared" si="15"/>
        <v>БОВ-2,7-Т-2(75%)</v>
      </c>
      <c r="K43" s="26" t="str">
        <f t="shared" si="15"/>
        <v>БОВ-2,7-Т-2(100%)</v>
      </c>
      <c r="L43" s="26" t="str">
        <f t="shared" si="12"/>
        <v>БГ-2,7</v>
      </c>
      <c r="M43" s="26" t="str">
        <f t="shared" ref="M43:N56" si="16">$L$1&amp;"-"&amp;M$2&amp;"-"&amp;$A43&amp;"/"&amp;$A43</f>
        <v>БГ-С-2,7/2,7</v>
      </c>
      <c r="N43" s="26" t="str">
        <f t="shared" si="16"/>
        <v>БГ-П-2,7/2,7</v>
      </c>
      <c r="O43" s="26" t="str">
        <f t="shared" si="13"/>
        <v>БОВГ-2,7</v>
      </c>
      <c r="P43" s="26" t="str">
        <f t="shared" ref="P43:Q56" si="17">$O$1&amp;"-"&amp;P$2&amp;"-"&amp;$A43&amp;"/"&amp;$A43</f>
        <v>БОВГ-С-2,7/2,7</v>
      </c>
      <c r="Q43" s="26" t="str">
        <f t="shared" si="17"/>
        <v>БОВГ-П-2,7/2,7</v>
      </c>
    </row>
    <row r="44" spans="1:17" x14ac:dyDescent="0.25">
      <c r="A44" s="9">
        <v>2.8</v>
      </c>
      <c r="B44" s="9"/>
      <c r="C44" s="23" t="str">
        <f t="shared" si="14"/>
        <v>БВ-2,8-xx</v>
      </c>
      <c r="D44" s="23" t="str">
        <f t="shared" si="14"/>
        <v>БВ-2,8-РП</v>
      </c>
      <c r="E44" s="23" t="str">
        <f t="shared" si="14"/>
        <v>БВ-2,8-Рх</v>
      </c>
      <c r="F44" s="27" t="str">
        <f t="shared" si="14"/>
        <v>БВ-2,8-хП</v>
      </c>
      <c r="G44" s="28" t="str">
        <f t="shared" si="15"/>
        <v>БОВ-2,8-С</v>
      </c>
      <c r="H44" s="26" t="str">
        <f t="shared" si="15"/>
        <v>БОВ-2,8-Т</v>
      </c>
      <c r="I44" s="26" t="str">
        <f t="shared" si="15"/>
        <v>БОВ-2,8-Т-2(50%)</v>
      </c>
      <c r="J44" s="26" t="str">
        <f t="shared" si="15"/>
        <v>БОВ-2,8-Т-2(75%)</v>
      </c>
      <c r="K44" s="26" t="str">
        <f t="shared" si="15"/>
        <v>БОВ-2,8-Т-2(100%)</v>
      </c>
      <c r="L44" s="26" t="str">
        <f t="shared" si="12"/>
        <v>БГ-2,8</v>
      </c>
      <c r="M44" s="26" t="str">
        <f t="shared" si="16"/>
        <v>БГ-С-2,8/2,8</v>
      </c>
      <c r="N44" s="26" t="str">
        <f t="shared" si="16"/>
        <v>БГ-П-2,8/2,8</v>
      </c>
      <c r="O44" s="26" t="str">
        <f t="shared" si="13"/>
        <v>БОВГ-2,8</v>
      </c>
      <c r="P44" s="26" t="str">
        <f t="shared" si="17"/>
        <v>БОВГ-С-2,8/2,8</v>
      </c>
      <c r="Q44" s="26" t="str">
        <f t="shared" si="17"/>
        <v>БОВГ-П-2,8/2,8</v>
      </c>
    </row>
    <row r="45" spans="1:17" x14ac:dyDescent="0.25">
      <c r="A45" s="9">
        <v>2.9</v>
      </c>
      <c r="B45" s="9"/>
      <c r="C45" s="23" t="str">
        <f t="shared" si="14"/>
        <v>БВ-2,9-xx</v>
      </c>
      <c r="D45" s="23" t="str">
        <f t="shared" si="14"/>
        <v>БВ-2,9-РП</v>
      </c>
      <c r="E45" s="23" t="str">
        <f t="shared" si="14"/>
        <v>БВ-2,9-Рх</v>
      </c>
      <c r="F45" s="27" t="str">
        <f t="shared" si="14"/>
        <v>БВ-2,9-хП</v>
      </c>
      <c r="G45" s="28" t="str">
        <f t="shared" si="15"/>
        <v>БОВ-2,9-С</v>
      </c>
      <c r="H45" s="26" t="str">
        <f t="shared" si="15"/>
        <v>БОВ-2,9-Т</v>
      </c>
      <c r="I45" s="26" t="str">
        <f t="shared" si="15"/>
        <v>БОВ-2,9-Т-2(50%)</v>
      </c>
      <c r="J45" s="26" t="str">
        <f t="shared" si="15"/>
        <v>БОВ-2,9-Т-2(75%)</v>
      </c>
      <c r="K45" s="26" t="str">
        <f t="shared" si="15"/>
        <v>БОВ-2,9-Т-2(100%)</v>
      </c>
      <c r="L45" s="26" t="str">
        <f t="shared" si="12"/>
        <v>БГ-2,9</v>
      </c>
      <c r="M45" s="26" t="str">
        <f t="shared" si="16"/>
        <v>БГ-С-2,9/2,9</v>
      </c>
      <c r="N45" s="26" t="str">
        <f t="shared" si="16"/>
        <v>БГ-П-2,9/2,9</v>
      </c>
      <c r="O45" s="26" t="str">
        <f t="shared" si="13"/>
        <v>БОВГ-2,9</v>
      </c>
      <c r="P45" s="26" t="str">
        <f t="shared" si="17"/>
        <v>БОВГ-С-2,9/2,9</v>
      </c>
      <c r="Q45" s="26" t="str">
        <f t="shared" si="17"/>
        <v>БОВГ-П-2,9/2,9</v>
      </c>
    </row>
    <row r="46" spans="1:17" x14ac:dyDescent="0.25">
      <c r="A46" s="9" t="s">
        <v>27</v>
      </c>
      <c r="B46" s="9"/>
      <c r="C46" s="23" t="str">
        <f t="shared" si="14"/>
        <v>БВ-3,0-xx</v>
      </c>
      <c r="D46" s="23" t="str">
        <f t="shared" si="14"/>
        <v>БВ-3,0-РП</v>
      </c>
      <c r="E46" s="23" t="str">
        <f t="shared" si="14"/>
        <v>БВ-3,0-Рх</v>
      </c>
      <c r="F46" s="27" t="str">
        <f t="shared" si="14"/>
        <v>БВ-3,0-хП</v>
      </c>
      <c r="G46" s="28" t="str">
        <f t="shared" si="15"/>
        <v>БОВ-3,0-С</v>
      </c>
      <c r="H46" s="26" t="str">
        <f t="shared" si="15"/>
        <v>БОВ-3,0-Т</v>
      </c>
      <c r="I46" s="26" t="str">
        <f t="shared" si="15"/>
        <v>БОВ-3,0-Т-2(50%)</v>
      </c>
      <c r="J46" s="26" t="str">
        <f t="shared" si="15"/>
        <v>БОВ-3,0-Т-2(75%)</v>
      </c>
      <c r="K46" s="26" t="str">
        <f t="shared" si="15"/>
        <v>БОВ-3,0-Т-2(100%)</v>
      </c>
      <c r="L46" s="26" t="str">
        <f t="shared" si="12"/>
        <v>БГ-3,0</v>
      </c>
      <c r="M46" s="26" t="str">
        <f t="shared" si="16"/>
        <v>БГ-С-3,0/3,0</v>
      </c>
      <c r="N46" s="26" t="str">
        <f t="shared" si="16"/>
        <v>БГ-П-3,0/3,0</v>
      </c>
      <c r="O46" s="26" t="str">
        <f t="shared" si="13"/>
        <v>БОВГ-3,0</v>
      </c>
      <c r="P46" s="26" t="str">
        <f t="shared" si="17"/>
        <v>БОВГ-С-3,0/3,0</v>
      </c>
      <c r="Q46" s="26" t="str">
        <f t="shared" si="17"/>
        <v>БОВГ-П-3,0/3,0</v>
      </c>
    </row>
    <row r="47" spans="1:17" x14ac:dyDescent="0.25">
      <c r="A47" s="9">
        <v>3.1</v>
      </c>
      <c r="B47" s="9"/>
      <c r="C47" s="23" t="str">
        <f t="shared" si="14"/>
        <v>БВ-3,1-xx</v>
      </c>
      <c r="D47" s="23" t="str">
        <f t="shared" si="14"/>
        <v>БВ-3,1-РП</v>
      </c>
      <c r="E47" s="23" t="str">
        <f t="shared" si="14"/>
        <v>БВ-3,1-Рх</v>
      </c>
      <c r="F47" s="27" t="str">
        <f t="shared" si="14"/>
        <v>БВ-3,1-хП</v>
      </c>
      <c r="G47" s="28" t="str">
        <f t="shared" si="15"/>
        <v>БОВ-3,1-С</v>
      </c>
      <c r="H47" s="26" t="str">
        <f t="shared" si="15"/>
        <v>БОВ-3,1-Т</v>
      </c>
      <c r="I47" s="26" t="str">
        <f t="shared" si="15"/>
        <v>БОВ-3,1-Т-2(50%)</v>
      </c>
      <c r="J47" s="26" t="str">
        <f t="shared" si="15"/>
        <v>БОВ-3,1-Т-2(75%)</v>
      </c>
      <c r="K47" s="26" t="str">
        <f t="shared" si="15"/>
        <v>БОВ-3,1-Т-2(100%)</v>
      </c>
      <c r="L47" s="26" t="str">
        <f t="shared" si="12"/>
        <v>БГ-3,1</v>
      </c>
      <c r="M47" s="26" t="str">
        <f t="shared" si="16"/>
        <v>БГ-С-3,1/3,1</v>
      </c>
      <c r="N47" s="26" t="str">
        <f t="shared" si="16"/>
        <v>БГ-П-3,1/3,1</v>
      </c>
      <c r="O47" s="26" t="str">
        <f t="shared" si="13"/>
        <v>БОВГ-3,1</v>
      </c>
      <c r="P47" s="26" t="str">
        <f t="shared" si="17"/>
        <v>БОВГ-С-3,1/3,1</v>
      </c>
      <c r="Q47" s="26" t="str">
        <f t="shared" si="17"/>
        <v>БОВГ-П-3,1/3,1</v>
      </c>
    </row>
    <row r="48" spans="1:17" x14ac:dyDescent="0.25">
      <c r="A48" s="9">
        <v>3.2</v>
      </c>
      <c r="B48" s="9"/>
      <c r="C48" s="23" t="str">
        <f t="shared" si="14"/>
        <v>БВ-3,2-xx</v>
      </c>
      <c r="D48" s="23" t="str">
        <f t="shared" si="14"/>
        <v>БВ-3,2-РП</v>
      </c>
      <c r="E48" s="23" t="str">
        <f t="shared" si="14"/>
        <v>БВ-3,2-Рх</v>
      </c>
      <c r="F48" s="27" t="str">
        <f t="shared" si="14"/>
        <v>БВ-3,2-хП</v>
      </c>
      <c r="G48" s="28" t="str">
        <f t="shared" si="15"/>
        <v>БОВ-3,2-С</v>
      </c>
      <c r="H48" s="26" t="str">
        <f t="shared" si="15"/>
        <v>БОВ-3,2-Т</v>
      </c>
      <c r="I48" s="26" t="str">
        <f t="shared" si="15"/>
        <v>БОВ-3,2-Т-2(50%)</v>
      </c>
      <c r="J48" s="26" t="str">
        <f t="shared" si="15"/>
        <v>БОВ-3,2-Т-2(75%)</v>
      </c>
      <c r="K48" s="26" t="str">
        <f t="shared" si="15"/>
        <v>БОВ-3,2-Т-2(100%)</v>
      </c>
      <c r="L48" s="26" t="str">
        <f t="shared" si="12"/>
        <v>БГ-3,2</v>
      </c>
      <c r="M48" s="26" t="str">
        <f t="shared" si="16"/>
        <v>БГ-С-3,2/3,2</v>
      </c>
      <c r="N48" s="26" t="str">
        <f t="shared" si="16"/>
        <v>БГ-П-3,2/3,2</v>
      </c>
      <c r="O48" s="26" t="str">
        <f t="shared" si="13"/>
        <v>БОВГ-3,2</v>
      </c>
      <c r="P48" s="26" t="str">
        <f t="shared" si="17"/>
        <v>БОВГ-С-3,2/3,2</v>
      </c>
      <c r="Q48" s="26" t="str">
        <f t="shared" si="17"/>
        <v>БОВГ-П-3,2/3,2</v>
      </c>
    </row>
    <row r="49" spans="1:17" x14ac:dyDescent="0.25">
      <c r="A49" s="9">
        <v>3.3</v>
      </c>
      <c r="B49" s="9"/>
      <c r="C49" s="23" t="str">
        <f t="shared" si="14"/>
        <v>БВ-3,3-xx</v>
      </c>
      <c r="D49" s="23" t="str">
        <f t="shared" si="14"/>
        <v>БВ-3,3-РП</v>
      </c>
      <c r="E49" s="23" t="str">
        <f t="shared" si="14"/>
        <v>БВ-3,3-Рх</v>
      </c>
      <c r="F49" s="27" t="str">
        <f t="shared" si="14"/>
        <v>БВ-3,3-хП</v>
      </c>
      <c r="G49" s="28" t="str">
        <f t="shared" si="15"/>
        <v>БОВ-3,3-С</v>
      </c>
      <c r="H49" s="26" t="str">
        <f t="shared" si="15"/>
        <v>БОВ-3,3-Т</v>
      </c>
      <c r="I49" s="26" t="str">
        <f t="shared" si="15"/>
        <v>БОВ-3,3-Т-2(50%)</v>
      </c>
      <c r="J49" s="26" t="str">
        <f t="shared" si="15"/>
        <v>БОВ-3,3-Т-2(75%)</v>
      </c>
      <c r="K49" s="26" t="str">
        <f t="shared" si="15"/>
        <v>БОВ-3,3-Т-2(100%)</v>
      </c>
      <c r="L49" s="26" t="str">
        <f t="shared" si="12"/>
        <v>БГ-3,3</v>
      </c>
      <c r="M49" s="26" t="str">
        <f t="shared" si="16"/>
        <v>БГ-С-3,3/3,3</v>
      </c>
      <c r="N49" s="26" t="str">
        <f t="shared" si="16"/>
        <v>БГ-П-3,3/3,3</v>
      </c>
      <c r="O49" s="26" t="str">
        <f t="shared" si="13"/>
        <v>БОВГ-3,3</v>
      </c>
      <c r="P49" s="26" t="str">
        <f t="shared" si="17"/>
        <v>БОВГ-С-3,3/3,3</v>
      </c>
      <c r="Q49" s="26" t="str">
        <f t="shared" si="17"/>
        <v>БОВГ-П-3,3/3,3</v>
      </c>
    </row>
    <row r="50" spans="1:17" x14ac:dyDescent="0.25">
      <c r="A50" s="9">
        <v>3.4</v>
      </c>
      <c r="B50" s="9"/>
      <c r="C50" s="23" t="str">
        <f t="shared" si="14"/>
        <v>БВ-3,4-xx</v>
      </c>
      <c r="D50" s="23" t="str">
        <f t="shared" si="14"/>
        <v>БВ-3,4-РП</v>
      </c>
      <c r="E50" s="23" t="str">
        <f t="shared" si="14"/>
        <v>БВ-3,4-Рх</v>
      </c>
      <c r="F50" s="27" t="str">
        <f t="shared" si="14"/>
        <v>БВ-3,4-хП</v>
      </c>
      <c r="G50" s="28" t="str">
        <f t="shared" si="15"/>
        <v>БОВ-3,4-С</v>
      </c>
      <c r="H50" s="26" t="str">
        <f t="shared" si="15"/>
        <v>БОВ-3,4-Т</v>
      </c>
      <c r="I50" s="26" t="str">
        <f t="shared" si="15"/>
        <v>БОВ-3,4-Т-2(50%)</v>
      </c>
      <c r="J50" s="26" t="str">
        <f t="shared" si="15"/>
        <v>БОВ-3,4-Т-2(75%)</v>
      </c>
      <c r="K50" s="26" t="str">
        <f t="shared" si="15"/>
        <v>БОВ-3,4-Т-2(100%)</v>
      </c>
      <c r="L50" s="26" t="str">
        <f t="shared" si="12"/>
        <v>БГ-3,4</v>
      </c>
      <c r="M50" s="26" t="str">
        <f t="shared" si="16"/>
        <v>БГ-С-3,4/3,4</v>
      </c>
      <c r="N50" s="26" t="str">
        <f t="shared" si="16"/>
        <v>БГ-П-3,4/3,4</v>
      </c>
      <c r="O50" s="26" t="str">
        <f t="shared" si="13"/>
        <v>БОВГ-3,4</v>
      </c>
      <c r="P50" s="26" t="str">
        <f t="shared" si="17"/>
        <v>БОВГ-С-3,4/3,4</v>
      </c>
      <c r="Q50" s="26" t="str">
        <f t="shared" si="17"/>
        <v>БОВГ-П-3,4/3,4</v>
      </c>
    </row>
    <row r="51" spans="1:17" x14ac:dyDescent="0.25">
      <c r="A51" s="9">
        <v>3.5</v>
      </c>
      <c r="B51" s="9"/>
      <c r="C51" s="23" t="str">
        <f t="shared" si="14"/>
        <v>БВ-3,5-xx</v>
      </c>
      <c r="D51" s="23" t="str">
        <f t="shared" si="14"/>
        <v>БВ-3,5-РП</v>
      </c>
      <c r="E51" s="23" t="str">
        <f t="shared" si="14"/>
        <v>БВ-3,5-Рх</v>
      </c>
      <c r="F51" s="27" t="str">
        <f t="shared" si="14"/>
        <v>БВ-3,5-хП</v>
      </c>
      <c r="G51" s="28" t="str">
        <f t="shared" si="15"/>
        <v>БОВ-3,5-С</v>
      </c>
      <c r="H51" s="26" t="str">
        <f t="shared" si="15"/>
        <v>БОВ-3,5-Т</v>
      </c>
      <c r="I51" s="26" t="str">
        <f t="shared" si="15"/>
        <v>БОВ-3,5-Т-2(50%)</v>
      </c>
      <c r="J51" s="26" t="str">
        <f t="shared" si="15"/>
        <v>БОВ-3,5-Т-2(75%)</v>
      </c>
      <c r="K51" s="26" t="str">
        <f t="shared" si="15"/>
        <v>БОВ-3,5-Т-2(100%)</v>
      </c>
      <c r="L51" s="26" t="str">
        <f t="shared" si="12"/>
        <v>БГ-3,5</v>
      </c>
      <c r="M51" s="26" t="str">
        <f t="shared" si="16"/>
        <v>БГ-С-3,5/3,5</v>
      </c>
      <c r="N51" s="26" t="str">
        <f t="shared" si="16"/>
        <v>БГ-П-3,5/3,5</v>
      </c>
      <c r="O51" s="26" t="str">
        <f t="shared" si="13"/>
        <v>БОВГ-3,5</v>
      </c>
      <c r="P51" s="26" t="str">
        <f t="shared" si="17"/>
        <v>БОВГ-С-3,5/3,5</v>
      </c>
      <c r="Q51" s="26" t="str">
        <f t="shared" si="17"/>
        <v>БОВГ-П-3,5/3,5</v>
      </c>
    </row>
    <row r="52" spans="1:17" x14ac:dyDescent="0.25">
      <c r="A52" s="9">
        <v>3.6</v>
      </c>
      <c r="B52" s="9"/>
      <c r="C52" s="23" t="str">
        <f t="shared" si="14"/>
        <v>БВ-3,6-xx</v>
      </c>
      <c r="D52" s="23" t="str">
        <f t="shared" si="14"/>
        <v>БВ-3,6-РП</v>
      </c>
      <c r="E52" s="23" t="str">
        <f t="shared" si="14"/>
        <v>БВ-3,6-Рх</v>
      </c>
      <c r="F52" s="27" t="str">
        <f t="shared" si="14"/>
        <v>БВ-3,6-хП</v>
      </c>
      <c r="G52" s="28" t="str">
        <f t="shared" si="15"/>
        <v>БОВ-3,6-С</v>
      </c>
      <c r="H52" s="26" t="str">
        <f t="shared" si="15"/>
        <v>БОВ-3,6-Т</v>
      </c>
      <c r="I52" s="26" t="str">
        <f t="shared" si="15"/>
        <v>БОВ-3,6-Т-2(50%)</v>
      </c>
      <c r="J52" s="26" t="str">
        <f t="shared" si="15"/>
        <v>БОВ-3,6-Т-2(75%)</v>
      </c>
      <c r="K52" s="26" t="str">
        <f t="shared" si="15"/>
        <v>БОВ-3,6-Т-2(100%)</v>
      </c>
      <c r="L52" s="26" t="str">
        <f t="shared" si="12"/>
        <v>БГ-3,6</v>
      </c>
      <c r="M52" s="26" t="str">
        <f t="shared" si="16"/>
        <v>БГ-С-3,6/3,6</v>
      </c>
      <c r="N52" s="26" t="str">
        <f t="shared" si="16"/>
        <v>БГ-П-3,6/3,6</v>
      </c>
      <c r="O52" s="26" t="str">
        <f t="shared" si="13"/>
        <v>БОВГ-3,6</v>
      </c>
      <c r="P52" s="26" t="str">
        <f t="shared" si="17"/>
        <v>БОВГ-С-3,6/3,6</v>
      </c>
      <c r="Q52" s="26" t="str">
        <f t="shared" si="17"/>
        <v>БОВГ-П-3,6/3,6</v>
      </c>
    </row>
    <row r="53" spans="1:17" x14ac:dyDescent="0.25">
      <c r="A53" s="9">
        <v>3.7</v>
      </c>
      <c r="B53" s="9"/>
      <c r="C53" s="23" t="str">
        <f t="shared" si="14"/>
        <v>БВ-3,7-xx</v>
      </c>
      <c r="D53" s="23" t="str">
        <f t="shared" si="14"/>
        <v>БВ-3,7-РП</v>
      </c>
      <c r="E53" s="23" t="str">
        <f t="shared" si="14"/>
        <v>БВ-3,7-Рх</v>
      </c>
      <c r="F53" s="27" t="str">
        <f t="shared" si="14"/>
        <v>БВ-3,7-хП</v>
      </c>
      <c r="G53" s="28" t="str">
        <f t="shared" si="15"/>
        <v>БОВ-3,7-С</v>
      </c>
      <c r="H53" s="26" t="str">
        <f t="shared" si="15"/>
        <v>БОВ-3,7-Т</v>
      </c>
      <c r="I53" s="26" t="str">
        <f t="shared" si="15"/>
        <v>БОВ-3,7-Т-2(50%)</v>
      </c>
      <c r="J53" s="26" t="str">
        <f t="shared" si="15"/>
        <v>БОВ-3,7-Т-2(75%)</v>
      </c>
      <c r="K53" s="26" t="str">
        <f t="shared" si="15"/>
        <v>БОВ-3,7-Т-2(100%)</v>
      </c>
      <c r="L53" s="26" t="str">
        <f t="shared" si="12"/>
        <v>БГ-3,7</v>
      </c>
      <c r="M53" s="26" t="str">
        <f t="shared" si="16"/>
        <v>БГ-С-3,7/3,7</v>
      </c>
      <c r="N53" s="26" t="str">
        <f t="shared" si="16"/>
        <v>БГ-П-3,7/3,7</v>
      </c>
      <c r="O53" s="26" t="str">
        <f t="shared" si="13"/>
        <v>БОВГ-3,7</v>
      </c>
      <c r="P53" s="26" t="str">
        <f t="shared" si="17"/>
        <v>БОВГ-С-3,7/3,7</v>
      </c>
      <c r="Q53" s="26" t="str">
        <f t="shared" si="17"/>
        <v>БОВГ-П-3,7/3,7</v>
      </c>
    </row>
    <row r="54" spans="1:17" x14ac:dyDescent="0.25">
      <c r="A54" s="9">
        <v>3.8</v>
      </c>
      <c r="B54" s="9"/>
      <c r="C54" s="23" t="str">
        <f t="shared" si="14"/>
        <v>БВ-3,8-xx</v>
      </c>
      <c r="D54" s="23" t="str">
        <f t="shared" si="14"/>
        <v>БВ-3,8-РП</v>
      </c>
      <c r="E54" s="23" t="str">
        <f t="shared" si="14"/>
        <v>БВ-3,8-Рх</v>
      </c>
      <c r="F54" s="27" t="str">
        <f t="shared" si="14"/>
        <v>БВ-3,8-хП</v>
      </c>
      <c r="G54" s="28" t="str">
        <f t="shared" si="15"/>
        <v>БОВ-3,8-С</v>
      </c>
      <c r="H54" s="26" t="str">
        <f t="shared" si="15"/>
        <v>БОВ-3,8-Т</v>
      </c>
      <c r="I54" s="26" t="str">
        <f t="shared" si="15"/>
        <v>БОВ-3,8-Т-2(50%)</v>
      </c>
      <c r="J54" s="26" t="str">
        <f t="shared" si="15"/>
        <v>БОВ-3,8-Т-2(75%)</v>
      </c>
      <c r="K54" s="26" t="str">
        <f t="shared" si="15"/>
        <v>БОВ-3,8-Т-2(100%)</v>
      </c>
      <c r="L54" s="26" t="str">
        <f t="shared" si="12"/>
        <v>БГ-3,8</v>
      </c>
      <c r="M54" s="26" t="str">
        <f t="shared" si="16"/>
        <v>БГ-С-3,8/3,8</v>
      </c>
      <c r="N54" s="26" t="str">
        <f t="shared" si="16"/>
        <v>БГ-П-3,8/3,8</v>
      </c>
      <c r="O54" s="26" t="str">
        <f t="shared" si="13"/>
        <v>БОВГ-3,8</v>
      </c>
      <c r="P54" s="26" t="str">
        <f t="shared" si="17"/>
        <v>БОВГ-С-3,8/3,8</v>
      </c>
      <c r="Q54" s="26" t="str">
        <f t="shared" si="17"/>
        <v>БОВГ-П-3,8/3,8</v>
      </c>
    </row>
    <row r="55" spans="1:17" x14ac:dyDescent="0.25">
      <c r="A55" s="9">
        <v>3.9</v>
      </c>
      <c r="B55" s="9"/>
      <c r="C55" s="23" t="str">
        <f t="shared" si="14"/>
        <v>БВ-3,9-xx</v>
      </c>
      <c r="D55" s="23" t="str">
        <f t="shared" si="14"/>
        <v>БВ-3,9-РП</v>
      </c>
      <c r="E55" s="23" t="str">
        <f t="shared" si="14"/>
        <v>БВ-3,9-Рх</v>
      </c>
      <c r="F55" s="27" t="str">
        <f t="shared" si="14"/>
        <v>БВ-3,9-хП</v>
      </c>
      <c r="G55" s="28" t="str">
        <f t="shared" si="15"/>
        <v>БОВ-3,9-С</v>
      </c>
      <c r="H55" s="26" t="str">
        <f t="shared" si="15"/>
        <v>БОВ-3,9-Т</v>
      </c>
      <c r="I55" s="26" t="str">
        <f t="shared" si="15"/>
        <v>БОВ-3,9-Т-2(50%)</v>
      </c>
      <c r="J55" s="26" t="str">
        <f t="shared" si="15"/>
        <v>БОВ-3,9-Т-2(75%)</v>
      </c>
      <c r="K55" s="26" t="str">
        <f t="shared" si="15"/>
        <v>БОВ-3,9-Т-2(100%)</v>
      </c>
      <c r="L55" s="26" t="str">
        <f t="shared" si="12"/>
        <v>БГ-3,9</v>
      </c>
      <c r="M55" s="26" t="str">
        <f t="shared" si="16"/>
        <v>БГ-С-3,9/3,9</v>
      </c>
      <c r="N55" s="26" t="str">
        <f t="shared" si="16"/>
        <v>БГ-П-3,9/3,9</v>
      </c>
      <c r="O55" s="26" t="str">
        <f t="shared" si="13"/>
        <v>БОВГ-3,9</v>
      </c>
      <c r="P55" s="26" t="str">
        <f t="shared" si="17"/>
        <v>БОВГ-С-3,9/3,9</v>
      </c>
      <c r="Q55" s="26" t="str">
        <f t="shared" si="17"/>
        <v>БОВГ-П-3,9/3,9</v>
      </c>
    </row>
    <row r="56" spans="1:17" x14ac:dyDescent="0.25">
      <c r="A56" s="9" t="s">
        <v>28</v>
      </c>
      <c r="B56" s="9"/>
      <c r="C56" s="23" t="str">
        <f t="shared" si="14"/>
        <v>БВ-4,0-xx</v>
      </c>
      <c r="D56" s="23" t="str">
        <f t="shared" si="14"/>
        <v>БВ-4,0-РП</v>
      </c>
      <c r="E56" s="23" t="str">
        <f t="shared" si="14"/>
        <v>БВ-4,0-Рх</v>
      </c>
      <c r="F56" s="27" t="str">
        <f t="shared" si="14"/>
        <v>БВ-4,0-хП</v>
      </c>
      <c r="G56" s="28" t="str">
        <f t="shared" si="15"/>
        <v>БОВ-4,0-С</v>
      </c>
      <c r="H56" s="26" t="str">
        <f t="shared" si="15"/>
        <v>БОВ-4,0-Т</v>
      </c>
      <c r="I56" s="26" t="str">
        <f t="shared" si="15"/>
        <v>БОВ-4,0-Т-2(50%)</v>
      </c>
      <c r="J56" s="26" t="str">
        <f t="shared" si="15"/>
        <v>БОВ-4,0-Т-2(75%)</v>
      </c>
      <c r="K56" s="26" t="str">
        <f t="shared" si="15"/>
        <v>БОВ-4,0-Т-2(100%)</v>
      </c>
      <c r="L56" s="26" t="str">
        <f t="shared" si="12"/>
        <v>БГ-4,0</v>
      </c>
      <c r="M56" s="26" t="str">
        <f t="shared" si="16"/>
        <v>БГ-С-4,0/4,0</v>
      </c>
      <c r="N56" s="26" t="str">
        <f t="shared" si="16"/>
        <v>БГ-П-4,0/4,0</v>
      </c>
      <c r="O56" s="26" t="str">
        <f t="shared" si="13"/>
        <v>БОВГ-4,0</v>
      </c>
      <c r="P56" s="26" t="str">
        <f t="shared" si="17"/>
        <v>БОВГ-С-4,0/4,0</v>
      </c>
      <c r="Q56" s="26" t="str">
        <f t="shared" si="17"/>
        <v>БОВГ-П-4,0/4,0</v>
      </c>
    </row>
    <row r="57" spans="1:17" x14ac:dyDescent="0.25">
      <c r="A57" s="29"/>
      <c r="B57" s="30"/>
      <c r="C57" s="31"/>
      <c r="D57" s="31"/>
    </row>
    <row r="58" spans="1:17" x14ac:dyDescent="0.25">
      <c r="A58" s="29"/>
      <c r="B58" s="30"/>
      <c r="C58" s="31"/>
      <c r="D58" s="31"/>
    </row>
    <row r="59" spans="1:17" x14ac:dyDescent="0.25">
      <c r="A59" s="29"/>
      <c r="B59" s="30"/>
      <c r="C59" s="31"/>
      <c r="D59" s="31"/>
    </row>
    <row r="60" spans="1:17" x14ac:dyDescent="0.25">
      <c r="A60" s="11"/>
      <c r="B60" s="11"/>
      <c r="C60" s="31"/>
      <c r="D60" s="31"/>
    </row>
    <row r="61" spans="1:17" x14ac:dyDescent="0.25">
      <c r="A61" s="11"/>
      <c r="B61" s="11"/>
      <c r="C61" s="31"/>
      <c r="D61" s="31"/>
    </row>
    <row r="62" spans="1:17" x14ac:dyDescent="0.25">
      <c r="A62" s="11"/>
      <c r="B62" s="11"/>
      <c r="C62" s="31"/>
      <c r="D62" s="31"/>
    </row>
    <row r="63" spans="1:17" x14ac:dyDescent="0.25">
      <c r="A63" s="11"/>
      <c r="B63" s="11"/>
      <c r="C63" s="31"/>
      <c r="D63" s="31"/>
    </row>
    <row r="64" spans="1:17" x14ac:dyDescent="0.25">
      <c r="A64" s="11"/>
      <c r="B64" s="11"/>
      <c r="C64" s="31"/>
      <c r="D64" s="31"/>
    </row>
    <row r="65" spans="1:4" x14ac:dyDescent="0.25">
      <c r="A65" s="11"/>
      <c r="B65" s="11"/>
      <c r="C65" s="31"/>
      <c r="D65" s="31"/>
    </row>
    <row r="66" spans="1:4" x14ac:dyDescent="0.25">
      <c r="A66" s="11"/>
      <c r="B66" s="11"/>
      <c r="C66" s="31"/>
      <c r="D66" s="31"/>
    </row>
    <row r="67" spans="1:4" x14ac:dyDescent="0.25">
      <c r="A67" s="11"/>
      <c r="B67" s="11"/>
      <c r="C67" s="31"/>
      <c r="D67" s="31"/>
    </row>
    <row r="68" spans="1:4" x14ac:dyDescent="0.25">
      <c r="A68" s="11"/>
      <c r="B68" s="11"/>
      <c r="C68" s="31"/>
      <c r="D68" s="31"/>
    </row>
    <row r="69" spans="1:4" x14ac:dyDescent="0.25">
      <c r="A69" s="8"/>
      <c r="B69" s="8"/>
      <c r="C69" s="31"/>
      <c r="D69" s="31"/>
    </row>
  </sheetData>
  <mergeCells count="68">
    <mergeCell ref="A67:B67"/>
    <mergeCell ref="A68:B68"/>
    <mergeCell ref="A69:B69"/>
    <mergeCell ref="A62:B62"/>
    <mergeCell ref="A63:B63"/>
    <mergeCell ref="A64:B64"/>
    <mergeCell ref="A65:B65"/>
    <mergeCell ref="A66:B66"/>
    <mergeCell ref="A54:B54"/>
    <mergeCell ref="A55:B55"/>
    <mergeCell ref="A56:B56"/>
    <mergeCell ref="A60:B60"/>
    <mergeCell ref="A61:B61"/>
    <mergeCell ref="A49:B49"/>
    <mergeCell ref="A50:B50"/>
    <mergeCell ref="A51:B51"/>
    <mergeCell ref="A52:B52"/>
    <mergeCell ref="A53:B53"/>
    <mergeCell ref="A44:B44"/>
    <mergeCell ref="A45:B45"/>
    <mergeCell ref="A46:B46"/>
    <mergeCell ref="A47:B47"/>
    <mergeCell ref="A48:B48"/>
    <mergeCell ref="A39:B39"/>
    <mergeCell ref="A40:B40"/>
    <mergeCell ref="A41:B41"/>
    <mergeCell ref="A42:B42"/>
    <mergeCell ref="A43:B43"/>
    <mergeCell ref="A34:B34"/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24:B24"/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14:B14"/>
    <mergeCell ref="A15:B15"/>
    <mergeCell ref="A16:B16"/>
    <mergeCell ref="A17:B17"/>
    <mergeCell ref="A18:B18"/>
    <mergeCell ref="A9:B9"/>
    <mergeCell ref="A10:B10"/>
    <mergeCell ref="A11:B11"/>
    <mergeCell ref="A12:B12"/>
    <mergeCell ref="A13:B13"/>
    <mergeCell ref="A4:B4"/>
    <mergeCell ref="A5:B5"/>
    <mergeCell ref="A6:B6"/>
    <mergeCell ref="A7:B7"/>
    <mergeCell ref="A8:B8"/>
    <mergeCell ref="C1:F1"/>
    <mergeCell ref="G1:K1"/>
    <mergeCell ref="L1:N1"/>
    <mergeCell ref="O1:Q1"/>
    <mergeCell ref="A3:B3"/>
  </mergeCells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K35"/>
  <sheetViews>
    <sheetView zoomScaleNormal="100" workbookViewId="0">
      <selection activeCell="U8" sqref="U8"/>
    </sheetView>
  </sheetViews>
  <sheetFormatPr defaultRowHeight="15" x14ac:dyDescent="0.25"/>
  <cols>
    <col min="1" max="1025" width="9.140625" style="32" customWidth="1"/>
  </cols>
  <sheetData>
    <row r="1" spans="2:36" x14ac:dyDescent="0.25">
      <c r="C1" s="32">
        <v>0.05</v>
      </c>
      <c r="D1" s="32">
        <v>0.06</v>
      </c>
      <c r="E1" s="32">
        <v>7.0000000000000007E-2</v>
      </c>
      <c r="F1" s="32">
        <v>0.08</v>
      </c>
      <c r="G1" s="32">
        <v>0.09</v>
      </c>
      <c r="H1" s="32">
        <v>0.1</v>
      </c>
      <c r="I1" s="32">
        <v>0.15</v>
      </c>
      <c r="J1" s="32">
        <v>0.2</v>
      </c>
      <c r="K1" s="32">
        <v>0.25</v>
      </c>
      <c r="L1" s="32">
        <v>0.3</v>
      </c>
      <c r="M1" s="32">
        <v>0.35</v>
      </c>
      <c r="N1" s="32">
        <v>0.4</v>
      </c>
      <c r="O1" s="32">
        <v>0.45</v>
      </c>
      <c r="P1" s="32">
        <v>0.5</v>
      </c>
      <c r="Q1" s="32">
        <v>0.55000000000000004</v>
      </c>
      <c r="R1" s="32">
        <v>0.6</v>
      </c>
      <c r="S1" s="32">
        <v>0.65</v>
      </c>
      <c r="T1" s="32">
        <v>0.7</v>
      </c>
      <c r="U1" s="32">
        <v>0.75</v>
      </c>
      <c r="V1" s="32">
        <v>0.8</v>
      </c>
      <c r="W1" s="32">
        <v>0.85</v>
      </c>
      <c r="X1" s="32">
        <v>0.9</v>
      </c>
      <c r="Y1" s="32">
        <v>0.95</v>
      </c>
      <c r="Z1" s="32">
        <v>1</v>
      </c>
      <c r="AA1" s="32">
        <v>1.1000000000000001</v>
      </c>
      <c r="AB1" s="32">
        <v>1.2</v>
      </c>
      <c r="AC1" s="32">
        <v>1.3</v>
      </c>
      <c r="AD1" s="32">
        <v>1.4</v>
      </c>
      <c r="AE1" s="32">
        <v>1.5</v>
      </c>
      <c r="AF1" s="32">
        <v>1.6</v>
      </c>
      <c r="AG1" s="32">
        <v>1.7</v>
      </c>
      <c r="AH1" s="32">
        <v>1.8</v>
      </c>
      <c r="AI1" s="32">
        <v>1.9</v>
      </c>
      <c r="AJ1" s="32">
        <v>2</v>
      </c>
    </row>
    <row r="2" spans="2:36" x14ac:dyDescent="0.25">
      <c r="B2" s="32">
        <v>0.05</v>
      </c>
      <c r="C2" s="33">
        <f t="shared" ref="C2:K2" si="0">$B2/C$1</f>
        <v>1</v>
      </c>
      <c r="D2" s="33">
        <f t="shared" si="0"/>
        <v>0.83333333333333337</v>
      </c>
      <c r="E2" s="33">
        <f t="shared" si="0"/>
        <v>0.7142857142857143</v>
      </c>
      <c r="F2" s="33">
        <f t="shared" si="0"/>
        <v>0.625</v>
      </c>
      <c r="G2" s="33">
        <f t="shared" si="0"/>
        <v>0.55555555555555558</v>
      </c>
      <c r="H2" s="33">
        <f t="shared" si="0"/>
        <v>0.5</v>
      </c>
      <c r="I2" s="33">
        <f t="shared" si="0"/>
        <v>0.33333333333333337</v>
      </c>
      <c r="J2" s="33">
        <f t="shared" si="0"/>
        <v>0.25</v>
      </c>
      <c r="K2" s="33">
        <f t="shared" si="0"/>
        <v>0.2</v>
      </c>
    </row>
    <row r="3" spans="2:36" x14ac:dyDescent="0.25">
      <c r="B3" s="32">
        <v>0.06</v>
      </c>
      <c r="D3" s="33">
        <f t="shared" ref="D3:L3" si="1">$B3/D$1</f>
        <v>1</v>
      </c>
      <c r="E3" s="33">
        <f t="shared" si="1"/>
        <v>0.85714285714285698</v>
      </c>
      <c r="F3" s="33">
        <f t="shared" si="1"/>
        <v>0.75</v>
      </c>
      <c r="G3" s="33">
        <f t="shared" si="1"/>
        <v>0.66666666666666663</v>
      </c>
      <c r="H3" s="33">
        <f t="shared" si="1"/>
        <v>0.6</v>
      </c>
      <c r="I3" s="33">
        <f t="shared" si="1"/>
        <v>0.4</v>
      </c>
      <c r="J3" s="33">
        <f t="shared" si="1"/>
        <v>0.3</v>
      </c>
      <c r="K3" s="33">
        <f t="shared" si="1"/>
        <v>0.24</v>
      </c>
      <c r="L3" s="33">
        <f t="shared" si="1"/>
        <v>0.2</v>
      </c>
    </row>
    <row r="4" spans="2:36" x14ac:dyDescent="0.25">
      <c r="B4" s="32">
        <v>7.0000000000000007E-2</v>
      </c>
      <c r="E4" s="33">
        <f t="shared" ref="E4:M4" si="2">$B4/E$1</f>
        <v>1</v>
      </c>
      <c r="F4" s="33">
        <f t="shared" si="2"/>
        <v>0.87500000000000011</v>
      </c>
      <c r="G4" s="33">
        <f t="shared" si="2"/>
        <v>0.7777777777777779</v>
      </c>
      <c r="H4" s="33">
        <f t="shared" si="2"/>
        <v>0.70000000000000007</v>
      </c>
      <c r="I4" s="33">
        <f t="shared" si="2"/>
        <v>0.46666666666666673</v>
      </c>
      <c r="J4" s="33">
        <f t="shared" si="2"/>
        <v>0.35000000000000003</v>
      </c>
      <c r="K4" s="33">
        <f t="shared" si="2"/>
        <v>0.28000000000000003</v>
      </c>
      <c r="L4" s="33">
        <f t="shared" si="2"/>
        <v>0.23333333333333336</v>
      </c>
      <c r="M4" s="33">
        <f t="shared" si="2"/>
        <v>0.20000000000000004</v>
      </c>
    </row>
    <row r="5" spans="2:36" x14ac:dyDescent="0.25">
      <c r="B5" s="32">
        <v>0.08</v>
      </c>
      <c r="F5" s="33">
        <f t="shared" ref="F5:N5" si="3">$B5/F$1</f>
        <v>1</v>
      </c>
      <c r="G5" s="33">
        <f t="shared" si="3"/>
        <v>0.88888888888888895</v>
      </c>
      <c r="H5" s="33">
        <f t="shared" si="3"/>
        <v>0.79999999999999993</v>
      </c>
      <c r="I5" s="33">
        <f t="shared" si="3"/>
        <v>0.53333333333333333</v>
      </c>
      <c r="J5" s="33">
        <f t="shared" si="3"/>
        <v>0.39999999999999997</v>
      </c>
      <c r="K5" s="33">
        <f t="shared" si="3"/>
        <v>0.32</v>
      </c>
      <c r="L5" s="33">
        <f t="shared" si="3"/>
        <v>0.26666666666666666</v>
      </c>
      <c r="M5" s="33">
        <f t="shared" si="3"/>
        <v>0.22857142857142859</v>
      </c>
      <c r="N5" s="33">
        <f t="shared" si="3"/>
        <v>0.19999999999999998</v>
      </c>
    </row>
    <row r="6" spans="2:36" x14ac:dyDescent="0.25">
      <c r="B6" s="32">
        <v>0.09</v>
      </c>
      <c r="G6" s="33">
        <f t="shared" ref="G6:O6" si="4">$B6/G$1</f>
        <v>1</v>
      </c>
      <c r="H6" s="33">
        <f t="shared" si="4"/>
        <v>0.89999999999999991</v>
      </c>
      <c r="I6" s="33">
        <f t="shared" si="4"/>
        <v>0.6</v>
      </c>
      <c r="J6" s="33">
        <f t="shared" si="4"/>
        <v>0.44999999999999996</v>
      </c>
      <c r="K6" s="33">
        <f t="shared" si="4"/>
        <v>0.36</v>
      </c>
      <c r="L6" s="33">
        <f t="shared" si="4"/>
        <v>0.3</v>
      </c>
      <c r="M6" s="33">
        <f t="shared" si="4"/>
        <v>0.25714285714285717</v>
      </c>
      <c r="N6" s="33">
        <f t="shared" si="4"/>
        <v>0.22499999999999998</v>
      </c>
      <c r="O6" s="33">
        <f t="shared" si="4"/>
        <v>0.19999999999999998</v>
      </c>
    </row>
    <row r="7" spans="2:36" x14ac:dyDescent="0.25">
      <c r="B7" s="32">
        <v>0.1</v>
      </c>
      <c r="H7" s="33">
        <f t="shared" ref="H7:P7" si="5">$B7/H$1</f>
        <v>1</v>
      </c>
      <c r="I7" s="33">
        <f t="shared" si="5"/>
        <v>0.66666666666666674</v>
      </c>
      <c r="J7" s="33">
        <f t="shared" si="5"/>
        <v>0.5</v>
      </c>
      <c r="K7" s="33">
        <f t="shared" si="5"/>
        <v>0.4</v>
      </c>
      <c r="L7" s="33">
        <f t="shared" si="5"/>
        <v>0.33333333333333337</v>
      </c>
      <c r="M7" s="33">
        <f t="shared" si="5"/>
        <v>0.28571428571428575</v>
      </c>
      <c r="N7" s="33">
        <f t="shared" si="5"/>
        <v>0.25</v>
      </c>
      <c r="O7" s="33">
        <f t="shared" si="5"/>
        <v>0.22222222222222224</v>
      </c>
      <c r="P7" s="33">
        <f t="shared" si="5"/>
        <v>0.2</v>
      </c>
    </row>
    <row r="8" spans="2:36" x14ac:dyDescent="0.25">
      <c r="B8" s="32">
        <v>0.15</v>
      </c>
      <c r="I8" s="33">
        <f t="shared" ref="I8:U8" si="6">$B8/I$1</f>
        <v>1</v>
      </c>
      <c r="J8" s="33">
        <f t="shared" si="6"/>
        <v>0.74999999999999989</v>
      </c>
      <c r="K8" s="33">
        <f t="shared" si="6"/>
        <v>0.6</v>
      </c>
      <c r="L8" s="33">
        <f t="shared" si="6"/>
        <v>0.5</v>
      </c>
      <c r="M8" s="33">
        <f t="shared" si="6"/>
        <v>0.4285714285714286</v>
      </c>
      <c r="N8" s="33">
        <f t="shared" si="6"/>
        <v>0.37499999999999994</v>
      </c>
      <c r="O8" s="33">
        <f t="shared" si="6"/>
        <v>0.33333333333333331</v>
      </c>
      <c r="P8" s="33">
        <f t="shared" si="6"/>
        <v>0.3</v>
      </c>
      <c r="Q8" s="33">
        <f t="shared" si="6"/>
        <v>0.27272727272727271</v>
      </c>
      <c r="R8" s="33">
        <f t="shared" si="6"/>
        <v>0.25</v>
      </c>
      <c r="S8" s="33">
        <f t="shared" si="6"/>
        <v>0.23076923076923075</v>
      </c>
      <c r="T8" s="33">
        <f t="shared" si="6"/>
        <v>0.2142857142857143</v>
      </c>
      <c r="U8" s="33">
        <f t="shared" si="6"/>
        <v>0.19999999999999998</v>
      </c>
    </row>
    <row r="9" spans="2:36" x14ac:dyDescent="0.25">
      <c r="B9" s="32">
        <v>0.2</v>
      </c>
      <c r="J9" s="33">
        <f t="shared" ref="J9:Z9" si="7">$B9/J$1</f>
        <v>1</v>
      </c>
      <c r="K9" s="33">
        <f t="shared" si="7"/>
        <v>0.8</v>
      </c>
      <c r="L9" s="33">
        <f t="shared" si="7"/>
        <v>0.66666666666666674</v>
      </c>
      <c r="M9" s="33">
        <f t="shared" si="7"/>
        <v>0.57142857142857151</v>
      </c>
      <c r="N9" s="33">
        <f t="shared" si="7"/>
        <v>0.5</v>
      </c>
      <c r="O9" s="33">
        <f t="shared" si="7"/>
        <v>0.44444444444444448</v>
      </c>
      <c r="P9" s="33">
        <f t="shared" si="7"/>
        <v>0.4</v>
      </c>
      <c r="Q9" s="33">
        <f t="shared" si="7"/>
        <v>0.36363636363636365</v>
      </c>
      <c r="R9" s="33">
        <f t="shared" si="7"/>
        <v>0.33333333333333337</v>
      </c>
      <c r="S9" s="33">
        <f t="shared" si="7"/>
        <v>0.30769230769230771</v>
      </c>
      <c r="T9" s="33">
        <f t="shared" si="7"/>
        <v>0.28571428571428575</v>
      </c>
      <c r="U9" s="33">
        <f t="shared" si="7"/>
        <v>0.26666666666666666</v>
      </c>
      <c r="V9" s="33">
        <f t="shared" si="7"/>
        <v>0.25</v>
      </c>
      <c r="W9" s="33">
        <f t="shared" si="7"/>
        <v>0.23529411764705885</v>
      </c>
      <c r="X9" s="33">
        <f t="shared" si="7"/>
        <v>0.22222222222222224</v>
      </c>
      <c r="Y9" s="33">
        <f t="shared" si="7"/>
        <v>0.2105263157894737</v>
      </c>
      <c r="Z9" s="33">
        <f t="shared" si="7"/>
        <v>0.2</v>
      </c>
    </row>
    <row r="10" spans="2:36" x14ac:dyDescent="0.25">
      <c r="B10" s="32">
        <v>0.25</v>
      </c>
      <c r="K10" s="33">
        <f t="shared" ref="K10:AB10" si="8">$B10/K$1</f>
        <v>1</v>
      </c>
      <c r="L10" s="33">
        <f t="shared" si="8"/>
        <v>0.83333333333333337</v>
      </c>
      <c r="M10" s="33">
        <f t="shared" si="8"/>
        <v>0.7142857142857143</v>
      </c>
      <c r="N10" s="33">
        <f t="shared" si="8"/>
        <v>0.625</v>
      </c>
      <c r="O10" s="33">
        <f t="shared" si="8"/>
        <v>0.55555555555555558</v>
      </c>
      <c r="P10" s="33">
        <f t="shared" si="8"/>
        <v>0.5</v>
      </c>
      <c r="Q10" s="33">
        <f t="shared" si="8"/>
        <v>0.45454545454545453</v>
      </c>
      <c r="R10" s="33">
        <f t="shared" si="8"/>
        <v>0.41666666666666669</v>
      </c>
      <c r="S10" s="33">
        <f t="shared" si="8"/>
        <v>0.38461538461538458</v>
      </c>
      <c r="T10" s="33">
        <f t="shared" si="8"/>
        <v>0.35714285714285715</v>
      </c>
      <c r="U10" s="33">
        <f t="shared" si="8"/>
        <v>0.33333333333333331</v>
      </c>
      <c r="V10" s="33">
        <f t="shared" si="8"/>
        <v>0.3125</v>
      </c>
      <c r="W10" s="33">
        <f t="shared" si="8"/>
        <v>0.29411764705882354</v>
      </c>
      <c r="X10" s="33">
        <f t="shared" si="8"/>
        <v>0.27777777777777779</v>
      </c>
      <c r="Y10" s="33">
        <f t="shared" si="8"/>
        <v>0.26315789473684209</v>
      </c>
      <c r="Z10" s="33">
        <f t="shared" si="8"/>
        <v>0.25</v>
      </c>
      <c r="AA10" s="33">
        <f t="shared" si="8"/>
        <v>0.22727272727272727</v>
      </c>
      <c r="AB10" s="33">
        <f t="shared" si="8"/>
        <v>0.20833333333333334</v>
      </c>
    </row>
    <row r="11" spans="2:36" x14ac:dyDescent="0.25">
      <c r="B11" s="32">
        <v>0.3</v>
      </c>
      <c r="L11" s="33">
        <f t="shared" ref="L11:AE11" si="9">$B11/L$1</f>
        <v>1</v>
      </c>
      <c r="M11" s="33">
        <f t="shared" si="9"/>
        <v>0.85714285714285721</v>
      </c>
      <c r="N11" s="33">
        <f t="shared" si="9"/>
        <v>0.74999999999999989</v>
      </c>
      <c r="O11" s="33">
        <f t="shared" si="9"/>
        <v>0.66666666666666663</v>
      </c>
      <c r="P11" s="33">
        <f t="shared" si="9"/>
        <v>0.6</v>
      </c>
      <c r="Q11" s="33">
        <f t="shared" si="9"/>
        <v>0.54545454545454541</v>
      </c>
      <c r="R11" s="33">
        <f t="shared" si="9"/>
        <v>0.5</v>
      </c>
      <c r="S11" s="33">
        <f t="shared" si="9"/>
        <v>0.46153846153846151</v>
      </c>
      <c r="T11" s="33">
        <f t="shared" si="9"/>
        <v>0.4285714285714286</v>
      </c>
      <c r="U11" s="33">
        <f t="shared" si="9"/>
        <v>0.39999999999999997</v>
      </c>
      <c r="V11" s="33">
        <f t="shared" si="9"/>
        <v>0.37499999999999994</v>
      </c>
      <c r="W11" s="33">
        <f t="shared" si="9"/>
        <v>0.35294117647058826</v>
      </c>
      <c r="X11" s="33">
        <f t="shared" si="9"/>
        <v>0.33333333333333331</v>
      </c>
      <c r="Y11" s="33">
        <f t="shared" si="9"/>
        <v>0.31578947368421051</v>
      </c>
      <c r="Z11" s="33">
        <f t="shared" si="9"/>
        <v>0.3</v>
      </c>
      <c r="AA11" s="33">
        <f t="shared" si="9"/>
        <v>0.27272727272727271</v>
      </c>
      <c r="AB11" s="33">
        <f t="shared" si="9"/>
        <v>0.25</v>
      </c>
      <c r="AC11" s="33">
        <f t="shared" si="9"/>
        <v>0.23076923076923075</v>
      </c>
      <c r="AD11" s="33">
        <f t="shared" si="9"/>
        <v>0.2142857142857143</v>
      </c>
      <c r="AE11" s="33">
        <f t="shared" si="9"/>
        <v>0.19999999999999998</v>
      </c>
    </row>
    <row r="12" spans="2:36" x14ac:dyDescent="0.25">
      <c r="B12" s="32">
        <v>0.35</v>
      </c>
      <c r="M12" s="33">
        <f t="shared" ref="M12:AG12" si="10">$B12/M$1</f>
        <v>1</v>
      </c>
      <c r="N12" s="33">
        <f t="shared" si="10"/>
        <v>0.87499999999999989</v>
      </c>
      <c r="O12" s="33">
        <f t="shared" si="10"/>
        <v>0.77777777777777768</v>
      </c>
      <c r="P12" s="33">
        <f t="shared" si="10"/>
        <v>0.7</v>
      </c>
      <c r="Q12" s="33">
        <f t="shared" si="10"/>
        <v>0.63636363636363624</v>
      </c>
      <c r="R12" s="33">
        <f t="shared" si="10"/>
        <v>0.58333333333333337</v>
      </c>
      <c r="S12" s="33">
        <f t="shared" si="10"/>
        <v>0.53846153846153844</v>
      </c>
      <c r="T12" s="33">
        <f t="shared" si="10"/>
        <v>0.5</v>
      </c>
      <c r="U12" s="33">
        <f t="shared" si="10"/>
        <v>0.46666666666666662</v>
      </c>
      <c r="V12" s="33">
        <f t="shared" si="10"/>
        <v>0.43749999999999994</v>
      </c>
      <c r="W12" s="33">
        <f t="shared" si="10"/>
        <v>0.41176470588235292</v>
      </c>
      <c r="X12" s="33">
        <f t="shared" si="10"/>
        <v>0.38888888888888884</v>
      </c>
      <c r="Y12" s="33">
        <f t="shared" si="10"/>
        <v>0.36842105263157893</v>
      </c>
      <c r="Z12" s="33">
        <f t="shared" si="10"/>
        <v>0.35</v>
      </c>
      <c r="AA12" s="33">
        <f t="shared" si="10"/>
        <v>0.31818181818181812</v>
      </c>
      <c r="AB12" s="33">
        <f t="shared" si="10"/>
        <v>0.29166666666666669</v>
      </c>
      <c r="AC12" s="33">
        <f t="shared" si="10"/>
        <v>0.26923076923076922</v>
      </c>
      <c r="AD12" s="33">
        <f t="shared" si="10"/>
        <v>0.25</v>
      </c>
      <c r="AE12" s="33">
        <f t="shared" si="10"/>
        <v>0.23333333333333331</v>
      </c>
      <c r="AF12" s="33">
        <f t="shared" si="10"/>
        <v>0.21874999999999997</v>
      </c>
      <c r="AG12" s="33">
        <f t="shared" si="10"/>
        <v>0.20588235294117646</v>
      </c>
    </row>
    <row r="13" spans="2:36" x14ac:dyDescent="0.25">
      <c r="B13" s="32">
        <v>0.4</v>
      </c>
      <c r="N13" s="33">
        <f t="shared" ref="N13:AJ13" si="11">$B13/N$1</f>
        <v>1</v>
      </c>
      <c r="O13" s="33">
        <f t="shared" si="11"/>
        <v>0.88888888888888895</v>
      </c>
      <c r="P13" s="33">
        <f t="shared" si="11"/>
        <v>0.8</v>
      </c>
      <c r="Q13" s="33">
        <f t="shared" si="11"/>
        <v>0.72727272727272729</v>
      </c>
      <c r="R13" s="33">
        <f t="shared" si="11"/>
        <v>0.66666666666666674</v>
      </c>
      <c r="S13" s="33">
        <f t="shared" si="11"/>
        <v>0.61538461538461542</v>
      </c>
      <c r="T13" s="33">
        <f t="shared" si="11"/>
        <v>0.57142857142857151</v>
      </c>
      <c r="U13" s="33">
        <f t="shared" si="11"/>
        <v>0.53333333333333333</v>
      </c>
      <c r="V13" s="33">
        <f t="shared" si="11"/>
        <v>0.5</v>
      </c>
      <c r="W13" s="33">
        <f t="shared" si="11"/>
        <v>0.4705882352941177</v>
      </c>
      <c r="X13" s="33">
        <f t="shared" si="11"/>
        <v>0.44444444444444448</v>
      </c>
      <c r="Y13" s="33">
        <f t="shared" si="11"/>
        <v>0.4210526315789474</v>
      </c>
      <c r="Z13" s="33">
        <f t="shared" si="11"/>
        <v>0.4</v>
      </c>
      <c r="AA13" s="33">
        <f t="shared" si="11"/>
        <v>0.36363636363636365</v>
      </c>
      <c r="AB13" s="33">
        <f t="shared" si="11"/>
        <v>0.33333333333333337</v>
      </c>
      <c r="AC13" s="33">
        <f t="shared" si="11"/>
        <v>0.30769230769230771</v>
      </c>
      <c r="AD13" s="33">
        <f t="shared" si="11"/>
        <v>0.28571428571428575</v>
      </c>
      <c r="AE13" s="33">
        <f t="shared" si="11"/>
        <v>0.26666666666666666</v>
      </c>
      <c r="AF13" s="33">
        <f t="shared" si="11"/>
        <v>0.25</v>
      </c>
      <c r="AG13" s="33">
        <f t="shared" si="11"/>
        <v>0.23529411764705885</v>
      </c>
      <c r="AH13" s="33">
        <f t="shared" si="11"/>
        <v>0.22222222222222224</v>
      </c>
      <c r="AI13" s="33">
        <f t="shared" si="11"/>
        <v>0.2105263157894737</v>
      </c>
      <c r="AJ13" s="33">
        <f t="shared" si="11"/>
        <v>0.2</v>
      </c>
    </row>
    <row r="14" spans="2:36" x14ac:dyDescent="0.25">
      <c r="B14" s="32">
        <v>0.45</v>
      </c>
      <c r="O14" s="33">
        <f t="shared" ref="O14:AJ14" si="12">$B14/O$1</f>
        <v>1</v>
      </c>
      <c r="P14" s="33">
        <f t="shared" si="12"/>
        <v>0.9</v>
      </c>
      <c r="Q14" s="33">
        <f t="shared" si="12"/>
        <v>0.81818181818181812</v>
      </c>
      <c r="R14" s="33">
        <f t="shared" si="12"/>
        <v>0.75</v>
      </c>
      <c r="S14" s="33">
        <f t="shared" si="12"/>
        <v>0.69230769230769229</v>
      </c>
      <c r="T14" s="33">
        <f t="shared" si="12"/>
        <v>0.6428571428571429</v>
      </c>
      <c r="U14" s="33">
        <f t="shared" si="12"/>
        <v>0.6</v>
      </c>
      <c r="V14" s="33">
        <f t="shared" si="12"/>
        <v>0.5625</v>
      </c>
      <c r="W14" s="33">
        <f t="shared" si="12"/>
        <v>0.52941176470588236</v>
      </c>
      <c r="X14" s="33">
        <f t="shared" si="12"/>
        <v>0.5</v>
      </c>
      <c r="Y14" s="33">
        <f t="shared" si="12"/>
        <v>0.47368421052631582</v>
      </c>
      <c r="Z14" s="33">
        <f t="shared" si="12"/>
        <v>0.45</v>
      </c>
      <c r="AA14" s="33">
        <f t="shared" si="12"/>
        <v>0.40909090909090906</v>
      </c>
      <c r="AB14" s="33">
        <f t="shared" si="12"/>
        <v>0.375</v>
      </c>
      <c r="AC14" s="33">
        <f t="shared" si="12"/>
        <v>0.34615384615384615</v>
      </c>
      <c r="AD14" s="33">
        <f t="shared" si="12"/>
        <v>0.32142857142857145</v>
      </c>
      <c r="AE14" s="33">
        <f t="shared" si="12"/>
        <v>0.3</v>
      </c>
      <c r="AF14" s="33">
        <f t="shared" si="12"/>
        <v>0.28125</v>
      </c>
      <c r="AG14" s="33">
        <f t="shared" si="12"/>
        <v>0.26470588235294118</v>
      </c>
      <c r="AH14" s="33">
        <f t="shared" si="12"/>
        <v>0.25</v>
      </c>
      <c r="AI14" s="33">
        <f t="shared" si="12"/>
        <v>0.23684210526315791</v>
      </c>
      <c r="AJ14" s="33">
        <f t="shared" si="12"/>
        <v>0.22500000000000001</v>
      </c>
    </row>
    <row r="15" spans="2:36" x14ac:dyDescent="0.25">
      <c r="B15" s="32">
        <v>0.5</v>
      </c>
      <c r="P15" s="33">
        <f t="shared" ref="P15:AJ15" si="13">$B15/P$1</f>
        <v>1</v>
      </c>
      <c r="Q15" s="33">
        <f t="shared" si="13"/>
        <v>0.90909090909090906</v>
      </c>
      <c r="R15" s="33">
        <f t="shared" si="13"/>
        <v>0.83333333333333337</v>
      </c>
      <c r="S15" s="33">
        <f t="shared" si="13"/>
        <v>0.76923076923076916</v>
      </c>
      <c r="T15" s="33">
        <f t="shared" si="13"/>
        <v>0.7142857142857143</v>
      </c>
      <c r="U15" s="33">
        <f t="shared" si="13"/>
        <v>0.66666666666666663</v>
      </c>
      <c r="V15" s="33">
        <f t="shared" si="13"/>
        <v>0.625</v>
      </c>
      <c r="W15" s="33">
        <f t="shared" si="13"/>
        <v>0.58823529411764708</v>
      </c>
      <c r="X15" s="33">
        <f t="shared" si="13"/>
        <v>0.55555555555555558</v>
      </c>
      <c r="Y15" s="33">
        <f t="shared" si="13"/>
        <v>0.52631578947368418</v>
      </c>
      <c r="Z15" s="33">
        <f t="shared" si="13"/>
        <v>0.5</v>
      </c>
      <c r="AA15" s="33">
        <f t="shared" si="13"/>
        <v>0.45454545454545453</v>
      </c>
      <c r="AB15" s="33">
        <f t="shared" si="13"/>
        <v>0.41666666666666669</v>
      </c>
      <c r="AC15" s="33">
        <f t="shared" si="13"/>
        <v>0.38461538461538458</v>
      </c>
      <c r="AD15" s="33">
        <f t="shared" si="13"/>
        <v>0.35714285714285715</v>
      </c>
      <c r="AE15" s="33">
        <f t="shared" si="13"/>
        <v>0.33333333333333331</v>
      </c>
      <c r="AF15" s="33">
        <f t="shared" si="13"/>
        <v>0.3125</v>
      </c>
      <c r="AG15" s="33">
        <f t="shared" si="13"/>
        <v>0.29411764705882354</v>
      </c>
      <c r="AH15" s="33">
        <f t="shared" si="13"/>
        <v>0.27777777777777779</v>
      </c>
      <c r="AI15" s="33">
        <f t="shared" si="13"/>
        <v>0.26315789473684209</v>
      </c>
      <c r="AJ15" s="33">
        <f t="shared" si="13"/>
        <v>0.25</v>
      </c>
    </row>
    <row r="16" spans="2:36" x14ac:dyDescent="0.25">
      <c r="B16" s="32">
        <v>0.55000000000000004</v>
      </c>
      <c r="Q16" s="33">
        <f t="shared" ref="Q16:AJ16" si="14">$B16/Q$1</f>
        <v>1</v>
      </c>
      <c r="R16" s="33">
        <f t="shared" si="14"/>
        <v>0.91666666666666674</v>
      </c>
      <c r="S16" s="33">
        <f t="shared" si="14"/>
        <v>0.84615384615384615</v>
      </c>
      <c r="T16" s="33">
        <f t="shared" si="14"/>
        <v>0.78571428571428581</v>
      </c>
      <c r="U16" s="33">
        <f t="shared" si="14"/>
        <v>0.73333333333333339</v>
      </c>
      <c r="V16" s="33">
        <f t="shared" si="14"/>
        <v>0.6875</v>
      </c>
      <c r="W16" s="33">
        <f t="shared" si="14"/>
        <v>0.6470588235294118</v>
      </c>
      <c r="X16" s="33">
        <f t="shared" si="14"/>
        <v>0.61111111111111116</v>
      </c>
      <c r="Y16" s="33">
        <f t="shared" si="14"/>
        <v>0.57894736842105265</v>
      </c>
      <c r="Z16" s="33">
        <f t="shared" si="14"/>
        <v>0.55000000000000004</v>
      </c>
      <c r="AA16" s="33">
        <f t="shared" si="14"/>
        <v>0.5</v>
      </c>
      <c r="AB16" s="33">
        <f t="shared" si="14"/>
        <v>0.45833333333333337</v>
      </c>
      <c r="AC16" s="33">
        <f t="shared" si="14"/>
        <v>0.42307692307692307</v>
      </c>
      <c r="AD16" s="33">
        <f t="shared" si="14"/>
        <v>0.3928571428571429</v>
      </c>
      <c r="AE16" s="33">
        <f t="shared" si="14"/>
        <v>0.3666666666666667</v>
      </c>
      <c r="AF16" s="33">
        <f t="shared" si="14"/>
        <v>0.34375</v>
      </c>
      <c r="AG16" s="33">
        <f t="shared" si="14"/>
        <v>0.3235294117647059</v>
      </c>
      <c r="AH16" s="33">
        <f t="shared" si="14"/>
        <v>0.30555555555555558</v>
      </c>
      <c r="AI16" s="33">
        <f t="shared" si="14"/>
        <v>0.28947368421052633</v>
      </c>
      <c r="AJ16" s="33">
        <f t="shared" si="14"/>
        <v>0.27500000000000002</v>
      </c>
    </row>
    <row r="17" spans="2:36" x14ac:dyDescent="0.25">
      <c r="B17" s="32">
        <v>0.6</v>
      </c>
      <c r="R17" s="33">
        <f t="shared" ref="R17:AJ17" si="15">$B17/R$1</f>
        <v>1</v>
      </c>
      <c r="S17" s="33">
        <f t="shared" si="15"/>
        <v>0.92307692307692302</v>
      </c>
      <c r="T17" s="33">
        <f t="shared" si="15"/>
        <v>0.85714285714285721</v>
      </c>
      <c r="U17" s="33">
        <f t="shared" si="15"/>
        <v>0.79999999999999993</v>
      </c>
      <c r="V17" s="33">
        <f t="shared" si="15"/>
        <v>0.74999999999999989</v>
      </c>
      <c r="W17" s="33">
        <f t="shared" si="15"/>
        <v>0.70588235294117652</v>
      </c>
      <c r="X17" s="33">
        <f t="shared" si="15"/>
        <v>0.66666666666666663</v>
      </c>
      <c r="Y17" s="33">
        <f t="shared" si="15"/>
        <v>0.63157894736842102</v>
      </c>
      <c r="Z17" s="33">
        <f t="shared" si="15"/>
        <v>0.6</v>
      </c>
      <c r="AA17" s="33">
        <f t="shared" si="15"/>
        <v>0.54545454545454541</v>
      </c>
      <c r="AB17" s="33">
        <f t="shared" si="15"/>
        <v>0.5</v>
      </c>
      <c r="AC17" s="33">
        <f t="shared" si="15"/>
        <v>0.46153846153846151</v>
      </c>
      <c r="AD17" s="33">
        <f t="shared" si="15"/>
        <v>0.4285714285714286</v>
      </c>
      <c r="AE17" s="33">
        <f t="shared" si="15"/>
        <v>0.39999999999999997</v>
      </c>
      <c r="AF17" s="33">
        <f t="shared" si="15"/>
        <v>0.37499999999999994</v>
      </c>
      <c r="AG17" s="33">
        <f t="shared" si="15"/>
        <v>0.35294117647058826</v>
      </c>
      <c r="AH17" s="33">
        <f t="shared" si="15"/>
        <v>0.33333333333333331</v>
      </c>
      <c r="AI17" s="33">
        <f t="shared" si="15"/>
        <v>0.31578947368421051</v>
      </c>
      <c r="AJ17" s="33">
        <f t="shared" si="15"/>
        <v>0.3</v>
      </c>
    </row>
    <row r="18" spans="2:36" x14ac:dyDescent="0.25">
      <c r="B18" s="32">
        <v>0.65</v>
      </c>
      <c r="S18" s="33">
        <f t="shared" ref="S18:AJ18" si="16">$B18/S$1</f>
        <v>1</v>
      </c>
      <c r="T18" s="33">
        <f t="shared" si="16"/>
        <v>0.92857142857142871</v>
      </c>
      <c r="U18" s="33">
        <f t="shared" si="16"/>
        <v>0.8666666666666667</v>
      </c>
      <c r="V18" s="33">
        <f t="shared" si="16"/>
        <v>0.8125</v>
      </c>
      <c r="W18" s="33">
        <f t="shared" si="16"/>
        <v>0.76470588235294124</v>
      </c>
      <c r="X18" s="33">
        <f t="shared" si="16"/>
        <v>0.72222222222222221</v>
      </c>
      <c r="Y18" s="33">
        <f t="shared" si="16"/>
        <v>0.68421052631578949</v>
      </c>
      <c r="Z18" s="33">
        <f t="shared" si="16"/>
        <v>0.65</v>
      </c>
      <c r="AA18" s="33">
        <f t="shared" si="16"/>
        <v>0.59090909090909083</v>
      </c>
      <c r="AB18" s="33">
        <f t="shared" si="16"/>
        <v>0.54166666666666674</v>
      </c>
      <c r="AC18" s="33">
        <f t="shared" si="16"/>
        <v>0.5</v>
      </c>
      <c r="AD18" s="33">
        <f t="shared" si="16"/>
        <v>0.46428571428571436</v>
      </c>
      <c r="AE18" s="33">
        <f t="shared" si="16"/>
        <v>0.43333333333333335</v>
      </c>
      <c r="AF18" s="33">
        <f t="shared" si="16"/>
        <v>0.40625</v>
      </c>
      <c r="AG18" s="33">
        <f t="shared" si="16"/>
        <v>0.38235294117647062</v>
      </c>
      <c r="AH18" s="33">
        <f t="shared" si="16"/>
        <v>0.3611111111111111</v>
      </c>
      <c r="AI18" s="33">
        <f t="shared" si="16"/>
        <v>0.34210526315789475</v>
      </c>
      <c r="AJ18" s="33">
        <f t="shared" si="16"/>
        <v>0.32500000000000001</v>
      </c>
    </row>
    <row r="19" spans="2:36" x14ac:dyDescent="0.25">
      <c r="B19" s="32">
        <v>0.7</v>
      </c>
      <c r="T19" s="33">
        <f t="shared" ref="T19:AJ19" si="17">$B19/T$1</f>
        <v>1</v>
      </c>
      <c r="U19" s="33">
        <f t="shared" si="17"/>
        <v>0.93333333333333324</v>
      </c>
      <c r="V19" s="33">
        <f t="shared" si="17"/>
        <v>0.87499999999999989</v>
      </c>
      <c r="W19" s="33">
        <f t="shared" si="17"/>
        <v>0.82352941176470584</v>
      </c>
      <c r="X19" s="33">
        <f t="shared" si="17"/>
        <v>0.77777777777777768</v>
      </c>
      <c r="Y19" s="33">
        <f t="shared" si="17"/>
        <v>0.73684210526315785</v>
      </c>
      <c r="Z19" s="33">
        <f t="shared" si="17"/>
        <v>0.7</v>
      </c>
      <c r="AA19" s="33">
        <f t="shared" si="17"/>
        <v>0.63636363636363624</v>
      </c>
      <c r="AB19" s="33">
        <f t="shared" si="17"/>
        <v>0.58333333333333337</v>
      </c>
      <c r="AC19" s="33">
        <f t="shared" si="17"/>
        <v>0.53846153846153844</v>
      </c>
      <c r="AD19" s="33">
        <f t="shared" si="17"/>
        <v>0.5</v>
      </c>
      <c r="AE19" s="33">
        <f t="shared" si="17"/>
        <v>0.46666666666666662</v>
      </c>
      <c r="AF19" s="33">
        <f t="shared" si="17"/>
        <v>0.43749999999999994</v>
      </c>
      <c r="AG19" s="33">
        <f t="shared" si="17"/>
        <v>0.41176470588235292</v>
      </c>
      <c r="AH19" s="33">
        <f t="shared" si="17"/>
        <v>0.38888888888888884</v>
      </c>
      <c r="AI19" s="33">
        <f t="shared" si="17"/>
        <v>0.36842105263157893</v>
      </c>
      <c r="AJ19" s="33">
        <f t="shared" si="17"/>
        <v>0.35</v>
      </c>
    </row>
    <row r="20" spans="2:36" x14ac:dyDescent="0.25">
      <c r="B20" s="32">
        <v>0.75</v>
      </c>
      <c r="U20" s="33">
        <f t="shared" ref="U20:AJ20" si="18">$B20/U$1</f>
        <v>1</v>
      </c>
      <c r="V20" s="33">
        <f t="shared" si="18"/>
        <v>0.9375</v>
      </c>
      <c r="W20" s="33">
        <f t="shared" si="18"/>
        <v>0.88235294117647056</v>
      </c>
      <c r="X20" s="33">
        <f t="shared" si="18"/>
        <v>0.83333333333333326</v>
      </c>
      <c r="Y20" s="33">
        <f t="shared" si="18"/>
        <v>0.78947368421052633</v>
      </c>
      <c r="Z20" s="33">
        <f t="shared" si="18"/>
        <v>0.75</v>
      </c>
      <c r="AA20" s="33">
        <f t="shared" si="18"/>
        <v>0.68181818181818177</v>
      </c>
      <c r="AB20" s="33">
        <f t="shared" si="18"/>
        <v>0.625</v>
      </c>
      <c r="AC20" s="33">
        <f t="shared" si="18"/>
        <v>0.57692307692307687</v>
      </c>
      <c r="AD20" s="33">
        <f t="shared" si="18"/>
        <v>0.5357142857142857</v>
      </c>
      <c r="AE20" s="33">
        <f t="shared" si="18"/>
        <v>0.5</v>
      </c>
      <c r="AF20" s="33">
        <f t="shared" si="18"/>
        <v>0.46875</v>
      </c>
      <c r="AG20" s="33">
        <f t="shared" si="18"/>
        <v>0.44117647058823528</v>
      </c>
      <c r="AH20" s="33">
        <f t="shared" si="18"/>
        <v>0.41666666666666663</v>
      </c>
      <c r="AI20" s="33">
        <f t="shared" si="18"/>
        <v>0.39473684210526316</v>
      </c>
      <c r="AJ20" s="33">
        <f t="shared" si="18"/>
        <v>0.375</v>
      </c>
    </row>
    <row r="21" spans="2:36" x14ac:dyDescent="0.25">
      <c r="B21" s="32">
        <v>0.8</v>
      </c>
      <c r="V21" s="33">
        <f t="shared" ref="V21:AJ21" si="19">$B21/V$1</f>
        <v>1</v>
      </c>
      <c r="W21" s="33">
        <f t="shared" si="19"/>
        <v>0.94117647058823539</v>
      </c>
      <c r="X21" s="33">
        <f t="shared" si="19"/>
        <v>0.88888888888888895</v>
      </c>
      <c r="Y21" s="33">
        <f t="shared" si="19"/>
        <v>0.8421052631578948</v>
      </c>
      <c r="Z21" s="33">
        <f t="shared" si="19"/>
        <v>0.8</v>
      </c>
      <c r="AA21" s="33">
        <f t="shared" si="19"/>
        <v>0.72727272727272729</v>
      </c>
      <c r="AB21" s="33">
        <f t="shared" si="19"/>
        <v>0.66666666666666674</v>
      </c>
      <c r="AC21" s="33">
        <f t="shared" si="19"/>
        <v>0.61538461538461542</v>
      </c>
      <c r="AD21" s="33">
        <f t="shared" si="19"/>
        <v>0.57142857142857151</v>
      </c>
      <c r="AE21" s="33">
        <f t="shared" si="19"/>
        <v>0.53333333333333333</v>
      </c>
      <c r="AF21" s="33">
        <f t="shared" si="19"/>
        <v>0.5</v>
      </c>
      <c r="AG21" s="33">
        <f t="shared" si="19"/>
        <v>0.4705882352941177</v>
      </c>
      <c r="AH21" s="33">
        <f t="shared" si="19"/>
        <v>0.44444444444444448</v>
      </c>
      <c r="AI21" s="33">
        <f t="shared" si="19"/>
        <v>0.4210526315789474</v>
      </c>
      <c r="AJ21" s="33">
        <f t="shared" si="19"/>
        <v>0.4</v>
      </c>
    </row>
    <row r="22" spans="2:36" x14ac:dyDescent="0.25">
      <c r="B22" s="32">
        <v>0.85</v>
      </c>
      <c r="W22" s="33">
        <f t="shared" ref="W22:AJ22" si="20">$B22/W$1</f>
        <v>1</v>
      </c>
      <c r="X22" s="33">
        <f t="shared" si="20"/>
        <v>0.94444444444444442</v>
      </c>
      <c r="Y22" s="33">
        <f t="shared" si="20"/>
        <v>0.89473684210526316</v>
      </c>
      <c r="Z22" s="33">
        <f t="shared" si="20"/>
        <v>0.85</v>
      </c>
      <c r="AA22" s="33">
        <f t="shared" si="20"/>
        <v>0.7727272727272726</v>
      </c>
      <c r="AB22" s="33">
        <f t="shared" si="20"/>
        <v>0.70833333333333337</v>
      </c>
      <c r="AC22" s="33">
        <f t="shared" si="20"/>
        <v>0.65384615384615385</v>
      </c>
      <c r="AD22" s="33">
        <f t="shared" si="20"/>
        <v>0.60714285714285721</v>
      </c>
      <c r="AE22" s="33">
        <f t="shared" si="20"/>
        <v>0.56666666666666665</v>
      </c>
      <c r="AF22" s="33">
        <f t="shared" si="20"/>
        <v>0.53125</v>
      </c>
      <c r="AG22" s="33">
        <f t="shared" si="20"/>
        <v>0.5</v>
      </c>
      <c r="AH22" s="33">
        <f t="shared" si="20"/>
        <v>0.47222222222222221</v>
      </c>
      <c r="AI22" s="33">
        <f t="shared" si="20"/>
        <v>0.44736842105263158</v>
      </c>
      <c r="AJ22" s="33">
        <f t="shared" si="20"/>
        <v>0.42499999999999999</v>
      </c>
    </row>
    <row r="23" spans="2:36" x14ac:dyDescent="0.25">
      <c r="B23" s="32">
        <v>0.9</v>
      </c>
      <c r="X23" s="33">
        <f t="shared" ref="X23:AJ23" si="21">$B23/X$1</f>
        <v>1</v>
      </c>
      <c r="Y23" s="33">
        <f t="shared" si="21"/>
        <v>0.94736842105263164</v>
      </c>
      <c r="Z23" s="33">
        <f t="shared" si="21"/>
        <v>0.9</v>
      </c>
      <c r="AA23" s="33">
        <f t="shared" si="21"/>
        <v>0.81818181818181812</v>
      </c>
      <c r="AB23" s="33">
        <f t="shared" si="21"/>
        <v>0.75</v>
      </c>
      <c r="AC23" s="33">
        <f t="shared" si="21"/>
        <v>0.69230769230769229</v>
      </c>
      <c r="AD23" s="33">
        <f t="shared" si="21"/>
        <v>0.6428571428571429</v>
      </c>
      <c r="AE23" s="33">
        <f t="shared" si="21"/>
        <v>0.6</v>
      </c>
      <c r="AF23" s="33">
        <f t="shared" si="21"/>
        <v>0.5625</v>
      </c>
      <c r="AG23" s="33">
        <f t="shared" si="21"/>
        <v>0.52941176470588236</v>
      </c>
      <c r="AH23" s="33">
        <f t="shared" si="21"/>
        <v>0.5</v>
      </c>
      <c r="AI23" s="33">
        <f t="shared" si="21"/>
        <v>0.47368421052631582</v>
      </c>
      <c r="AJ23" s="33">
        <f t="shared" si="21"/>
        <v>0.45</v>
      </c>
    </row>
    <row r="24" spans="2:36" x14ac:dyDescent="0.25">
      <c r="B24" s="32">
        <v>0.95</v>
      </c>
      <c r="Y24" s="33">
        <f t="shared" ref="Y24:AJ24" si="22">$B24/Y$1</f>
        <v>1</v>
      </c>
      <c r="Z24" s="33">
        <f t="shared" si="22"/>
        <v>0.95</v>
      </c>
      <c r="AA24" s="33">
        <f t="shared" si="22"/>
        <v>0.86363636363636354</v>
      </c>
      <c r="AB24" s="33">
        <f t="shared" si="22"/>
        <v>0.79166666666666663</v>
      </c>
      <c r="AC24" s="33">
        <f t="shared" si="22"/>
        <v>0.73076923076923073</v>
      </c>
      <c r="AD24" s="33">
        <f t="shared" si="22"/>
        <v>0.6785714285714286</v>
      </c>
      <c r="AE24" s="33">
        <f t="shared" si="22"/>
        <v>0.6333333333333333</v>
      </c>
      <c r="AF24" s="33">
        <f t="shared" si="22"/>
        <v>0.59374999999999989</v>
      </c>
      <c r="AG24" s="33">
        <f t="shared" si="22"/>
        <v>0.55882352941176472</v>
      </c>
      <c r="AH24" s="33">
        <f t="shared" si="22"/>
        <v>0.52777777777777779</v>
      </c>
      <c r="AI24" s="33">
        <f t="shared" si="22"/>
        <v>0.5</v>
      </c>
      <c r="AJ24" s="33">
        <f t="shared" si="22"/>
        <v>0.47499999999999998</v>
      </c>
    </row>
    <row r="25" spans="2:36" x14ac:dyDescent="0.25">
      <c r="B25" s="32">
        <v>1</v>
      </c>
      <c r="Z25" s="33">
        <f t="shared" ref="Z25:AJ25" si="23">$B25/Z$1</f>
        <v>1</v>
      </c>
      <c r="AA25" s="33">
        <f t="shared" si="23"/>
        <v>0.90909090909090906</v>
      </c>
      <c r="AB25" s="33">
        <f t="shared" si="23"/>
        <v>0.83333333333333337</v>
      </c>
      <c r="AC25" s="33">
        <f t="shared" si="23"/>
        <v>0.76923076923076916</v>
      </c>
      <c r="AD25" s="33">
        <f t="shared" si="23"/>
        <v>0.7142857142857143</v>
      </c>
      <c r="AE25" s="33">
        <f t="shared" si="23"/>
        <v>0.66666666666666663</v>
      </c>
      <c r="AF25" s="33">
        <f t="shared" si="23"/>
        <v>0.625</v>
      </c>
      <c r="AG25" s="33">
        <f t="shared" si="23"/>
        <v>0.58823529411764708</v>
      </c>
      <c r="AH25" s="33">
        <f t="shared" si="23"/>
        <v>0.55555555555555558</v>
      </c>
      <c r="AI25" s="33">
        <f t="shared" si="23"/>
        <v>0.52631578947368418</v>
      </c>
      <c r="AJ25" s="33">
        <f t="shared" si="23"/>
        <v>0.5</v>
      </c>
    </row>
    <row r="26" spans="2:36" x14ac:dyDescent="0.25">
      <c r="B26" s="32">
        <v>1.1000000000000001</v>
      </c>
      <c r="AA26" s="33">
        <f t="shared" ref="AA26:AJ26" si="24">$B26/AA$1</f>
        <v>1</v>
      </c>
      <c r="AB26" s="33">
        <f t="shared" si="24"/>
        <v>0.91666666666666674</v>
      </c>
      <c r="AC26" s="33">
        <f t="shared" si="24"/>
        <v>0.84615384615384615</v>
      </c>
      <c r="AD26" s="33">
        <f t="shared" si="24"/>
        <v>0.78571428571428581</v>
      </c>
      <c r="AE26" s="33">
        <f t="shared" si="24"/>
        <v>0.73333333333333339</v>
      </c>
      <c r="AF26" s="33">
        <f t="shared" si="24"/>
        <v>0.6875</v>
      </c>
      <c r="AG26" s="33">
        <f t="shared" si="24"/>
        <v>0.6470588235294118</v>
      </c>
      <c r="AH26" s="33">
        <f t="shared" si="24"/>
        <v>0.61111111111111116</v>
      </c>
      <c r="AI26" s="33">
        <f t="shared" si="24"/>
        <v>0.57894736842105265</v>
      </c>
      <c r="AJ26" s="33">
        <f t="shared" si="24"/>
        <v>0.55000000000000004</v>
      </c>
    </row>
    <row r="27" spans="2:36" x14ac:dyDescent="0.25">
      <c r="B27" s="32">
        <v>1.2</v>
      </c>
      <c r="AB27" s="33">
        <f t="shared" ref="AB27:AJ27" si="25">$B27/AB$1</f>
        <v>1</v>
      </c>
      <c r="AC27" s="33">
        <f t="shared" si="25"/>
        <v>0.92307692307692302</v>
      </c>
      <c r="AD27" s="33">
        <f t="shared" si="25"/>
        <v>0.85714285714285721</v>
      </c>
      <c r="AE27" s="33">
        <f t="shared" si="25"/>
        <v>0.79999999999999993</v>
      </c>
      <c r="AF27" s="33">
        <f t="shared" si="25"/>
        <v>0.74999999999999989</v>
      </c>
      <c r="AG27" s="33">
        <f t="shared" si="25"/>
        <v>0.70588235294117652</v>
      </c>
      <c r="AH27" s="33">
        <f t="shared" si="25"/>
        <v>0.66666666666666663</v>
      </c>
      <c r="AI27" s="33">
        <f t="shared" si="25"/>
        <v>0.63157894736842102</v>
      </c>
      <c r="AJ27" s="33">
        <f t="shared" si="25"/>
        <v>0.6</v>
      </c>
    </row>
    <row r="28" spans="2:36" x14ac:dyDescent="0.25">
      <c r="B28" s="32">
        <v>1.3</v>
      </c>
      <c r="AC28" s="33">
        <f t="shared" ref="AC28:AJ28" si="26">$B28/AC$1</f>
        <v>1</v>
      </c>
      <c r="AD28" s="33">
        <f t="shared" si="26"/>
        <v>0.92857142857142871</v>
      </c>
      <c r="AE28" s="33">
        <f t="shared" si="26"/>
        <v>0.8666666666666667</v>
      </c>
      <c r="AF28" s="33">
        <f t="shared" si="26"/>
        <v>0.8125</v>
      </c>
      <c r="AG28" s="33">
        <f t="shared" si="26"/>
        <v>0.76470588235294124</v>
      </c>
      <c r="AH28" s="33">
        <f t="shared" si="26"/>
        <v>0.72222222222222221</v>
      </c>
      <c r="AI28" s="33">
        <f t="shared" si="26"/>
        <v>0.68421052631578949</v>
      </c>
      <c r="AJ28" s="33">
        <f t="shared" si="26"/>
        <v>0.65</v>
      </c>
    </row>
    <row r="29" spans="2:36" x14ac:dyDescent="0.25">
      <c r="B29" s="32">
        <v>1.4</v>
      </c>
      <c r="AD29" s="33">
        <f t="shared" ref="AD29:AJ29" si="27">$B29/AD$1</f>
        <v>1</v>
      </c>
      <c r="AE29" s="33">
        <f t="shared" si="27"/>
        <v>0.93333333333333324</v>
      </c>
      <c r="AF29" s="33">
        <f t="shared" si="27"/>
        <v>0.87499999999999989</v>
      </c>
      <c r="AG29" s="33">
        <f t="shared" si="27"/>
        <v>0.82352941176470584</v>
      </c>
      <c r="AH29" s="33">
        <f t="shared" si="27"/>
        <v>0.77777777777777768</v>
      </c>
      <c r="AI29" s="33">
        <f t="shared" si="27"/>
        <v>0.73684210526315785</v>
      </c>
      <c r="AJ29" s="33">
        <f t="shared" si="27"/>
        <v>0.7</v>
      </c>
    </row>
    <row r="30" spans="2:36" x14ac:dyDescent="0.25">
      <c r="B30" s="32">
        <v>1.5</v>
      </c>
      <c r="AE30" s="33">
        <f t="shared" ref="AE30:AJ30" si="28">$B30/AE$1</f>
        <v>1</v>
      </c>
      <c r="AF30" s="33">
        <f t="shared" si="28"/>
        <v>0.9375</v>
      </c>
      <c r="AG30" s="33">
        <f t="shared" si="28"/>
        <v>0.88235294117647056</v>
      </c>
      <c r="AH30" s="33">
        <f t="shared" si="28"/>
        <v>0.83333333333333326</v>
      </c>
      <c r="AI30" s="33">
        <f t="shared" si="28"/>
        <v>0.78947368421052633</v>
      </c>
      <c r="AJ30" s="33">
        <f t="shared" si="28"/>
        <v>0.75</v>
      </c>
    </row>
    <row r="31" spans="2:36" x14ac:dyDescent="0.25">
      <c r="B31" s="32">
        <v>1.6</v>
      </c>
      <c r="AF31" s="33">
        <f>$B31/AF$1</f>
        <v>1</v>
      </c>
      <c r="AG31" s="33">
        <f>$B31/AG$1</f>
        <v>0.94117647058823539</v>
      </c>
      <c r="AH31" s="33">
        <f>$B31/AH$1</f>
        <v>0.88888888888888895</v>
      </c>
      <c r="AI31" s="33">
        <f>$B31/AI$1</f>
        <v>0.8421052631578948</v>
      </c>
      <c r="AJ31" s="33">
        <f>$B31/AJ$1</f>
        <v>0.8</v>
      </c>
    </row>
    <row r="32" spans="2:36" x14ac:dyDescent="0.25">
      <c r="B32" s="32">
        <v>1.7</v>
      </c>
      <c r="AG32" s="33">
        <f>$B32/AG$1</f>
        <v>1</v>
      </c>
      <c r="AH32" s="33">
        <f>$B32/AH$1</f>
        <v>0.94444444444444442</v>
      </c>
      <c r="AI32" s="33">
        <f>$B32/AI$1</f>
        <v>0.89473684210526316</v>
      </c>
      <c r="AJ32" s="33">
        <f>$B32/AJ$1</f>
        <v>0.85</v>
      </c>
    </row>
    <row r="33" spans="2:36" x14ac:dyDescent="0.25">
      <c r="B33" s="32">
        <v>1.8</v>
      </c>
      <c r="AH33" s="33">
        <f>$B33/AH$1</f>
        <v>1</v>
      </c>
      <c r="AI33" s="33">
        <f>$B33/AI$1</f>
        <v>0.94736842105263164</v>
      </c>
      <c r="AJ33" s="33">
        <f>$B33/AJ$1</f>
        <v>0.9</v>
      </c>
    </row>
    <row r="34" spans="2:36" x14ac:dyDescent="0.25">
      <c r="B34" s="32">
        <v>1.9</v>
      </c>
      <c r="AI34" s="33">
        <f>$B34/AI$1</f>
        <v>1</v>
      </c>
      <c r="AJ34" s="33">
        <f>$B34/AJ$1</f>
        <v>0.95</v>
      </c>
    </row>
    <row r="35" spans="2:36" x14ac:dyDescent="0.25">
      <c r="B35" s="32">
        <v>2</v>
      </c>
      <c r="AJ35" s="33">
        <f>$B35/AJ$1</f>
        <v>1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C2:BI26"/>
  <sheetViews>
    <sheetView topLeftCell="AA1" zoomScaleNormal="100" workbookViewId="0">
      <selection activeCell="AJ33" sqref="AJ33"/>
    </sheetView>
  </sheetViews>
  <sheetFormatPr defaultRowHeight="15" x14ac:dyDescent="0.25"/>
  <cols>
    <col min="1" max="1" width="8.7109375" customWidth="1"/>
    <col min="2" max="2" width="4.140625" customWidth="1"/>
    <col min="3" max="3" width="4.7109375" customWidth="1"/>
    <col min="4" max="4" width="1.7109375" customWidth="1"/>
    <col min="5" max="5" width="3.140625" customWidth="1"/>
    <col min="6" max="6" width="1.7109375" customWidth="1"/>
    <col min="7" max="7" width="3.140625" customWidth="1"/>
    <col min="8" max="8" width="1.7109375" customWidth="1"/>
    <col min="9" max="9" width="3.140625" customWidth="1"/>
    <col min="10" max="10" width="1.5703125" customWidth="1"/>
    <col min="11" max="11" width="3.140625" customWidth="1"/>
    <col min="12" max="12" width="1.7109375" customWidth="1"/>
    <col min="13" max="13" width="3.140625" customWidth="1"/>
    <col min="14" max="14" width="1.7109375" customWidth="1"/>
    <col min="15" max="15" width="3.140625" customWidth="1"/>
    <col min="16" max="16" width="1.5703125" customWidth="1"/>
    <col min="17" max="17" width="3.140625" customWidth="1"/>
    <col min="18" max="18" width="1.7109375" customWidth="1"/>
    <col min="19" max="19" width="3.140625" customWidth="1"/>
    <col min="20" max="20" width="1.7109375" customWidth="1"/>
    <col min="21" max="21" width="3.140625" customWidth="1"/>
    <col min="22" max="22" width="1.7109375" customWidth="1"/>
    <col min="23" max="23" width="3.7109375" customWidth="1"/>
    <col min="24" max="24" width="8.7109375" customWidth="1"/>
    <col min="25" max="25" width="4.85546875" style="97" customWidth="1"/>
    <col min="26" max="26" width="12.85546875" style="79" customWidth="1"/>
    <col min="27" max="27" width="3.28515625" style="79" customWidth="1"/>
    <col min="28" max="28" width="6.28515625" style="97" customWidth="1"/>
    <col min="29" max="29" width="6.28515625" style="79" customWidth="1"/>
    <col min="30" max="30" width="3.5703125" customWidth="1"/>
    <col min="31" max="33" width="6.140625" style="79" customWidth="1"/>
    <col min="34" max="34" width="3.28515625" style="79" customWidth="1"/>
    <col min="35" max="35" width="6.140625" style="97" customWidth="1"/>
    <col min="36" max="36" width="15.28515625" style="79" customWidth="1"/>
    <col min="37" max="37" width="3.28515625" customWidth="1"/>
    <col min="38" max="39" width="6.28515625" customWidth="1"/>
    <col min="40" max="40" width="3.5703125" customWidth="1"/>
    <col min="41" max="41" width="5.85546875" customWidth="1"/>
    <col min="42" max="42" width="16.140625" customWidth="1"/>
    <col min="43" max="43" width="3.7109375" customWidth="1"/>
    <col min="44" max="44" width="6.140625" customWidth="1"/>
    <col min="45" max="45" width="16.85546875" customWidth="1"/>
    <col min="46" max="46" width="25.140625" customWidth="1"/>
    <col min="47" max="47" width="18.28515625" customWidth="1"/>
    <col min="48" max="48" width="3.28515625" customWidth="1"/>
    <col min="49" max="49" width="6.28515625" customWidth="1"/>
    <col min="50" max="50" width="11.42578125"/>
    <col min="51" max="51" width="3.5703125" customWidth="1"/>
    <col min="52" max="52" width="4.85546875" style="79" customWidth="1"/>
    <col min="53" max="53" width="8.42578125" style="79" customWidth="1"/>
    <col min="54" max="54" width="3.28515625" customWidth="1"/>
    <col min="55" max="55" width="6.28515625" customWidth="1"/>
    <col min="56" max="56" width="11.42578125"/>
    <col min="57" max="57" width="3.5703125" customWidth="1"/>
    <col min="58" max="58" width="3.28515625" customWidth="1"/>
    <col min="59" max="59" width="6.28515625" customWidth="1"/>
    <col min="60" max="60" width="11.42578125"/>
    <col min="61" max="61" width="3.5703125" customWidth="1"/>
    <col min="62" max="1025" width="8.7109375" customWidth="1"/>
  </cols>
  <sheetData>
    <row r="2" spans="3:61" x14ac:dyDescent="0.25">
      <c r="C2" t="s">
        <v>2</v>
      </c>
      <c r="D2" t="s">
        <v>164</v>
      </c>
      <c r="E2" t="s">
        <v>37</v>
      </c>
      <c r="F2" t="s">
        <v>164</v>
      </c>
      <c r="G2" t="s">
        <v>38</v>
      </c>
      <c r="H2" t="s">
        <v>164</v>
      </c>
      <c r="I2" t="s">
        <v>39</v>
      </c>
      <c r="J2" t="s">
        <v>165</v>
      </c>
      <c r="K2" t="s">
        <v>40</v>
      </c>
      <c r="L2" t="s">
        <v>164</v>
      </c>
      <c r="M2" t="s">
        <v>41</v>
      </c>
      <c r="N2" t="s">
        <v>164</v>
      </c>
      <c r="O2" t="s">
        <v>42</v>
      </c>
      <c r="P2" t="s">
        <v>165</v>
      </c>
      <c r="Q2" t="s">
        <v>43</v>
      </c>
      <c r="R2" t="s">
        <v>164</v>
      </c>
      <c r="S2" t="s">
        <v>44</v>
      </c>
      <c r="T2" t="s">
        <v>164</v>
      </c>
      <c r="U2" t="s">
        <v>45</v>
      </c>
      <c r="V2" t="s">
        <v>164</v>
      </c>
      <c r="W2" t="s">
        <v>46</v>
      </c>
      <c r="Y2" s="133" t="s">
        <v>37</v>
      </c>
      <c r="Z2" s="133"/>
      <c r="AA2" s="15"/>
      <c r="AB2" s="133" t="s">
        <v>38</v>
      </c>
      <c r="AC2" s="133"/>
      <c r="AD2" s="41"/>
      <c r="AE2" s="133" t="s">
        <v>39</v>
      </c>
      <c r="AF2" s="133"/>
      <c r="AG2" s="133"/>
      <c r="AH2" s="15"/>
      <c r="AI2" s="133" t="s">
        <v>40</v>
      </c>
      <c r="AJ2" s="133"/>
      <c r="AK2" s="15"/>
      <c r="AL2" s="133" t="s">
        <v>41</v>
      </c>
      <c r="AM2" s="133"/>
      <c r="AN2" s="41"/>
      <c r="AO2" s="133" t="s">
        <v>42</v>
      </c>
      <c r="AP2" s="133"/>
      <c r="AR2" s="134" t="s">
        <v>43</v>
      </c>
      <c r="AS2" s="134"/>
      <c r="AT2" s="134"/>
      <c r="AU2" s="134"/>
      <c r="AV2" s="15"/>
      <c r="AW2" s="133" t="s">
        <v>44</v>
      </c>
      <c r="AX2" s="133"/>
      <c r="AY2" s="41"/>
      <c r="AZ2" s="133" t="s">
        <v>45</v>
      </c>
      <c r="BA2" s="133"/>
      <c r="BB2" s="15"/>
      <c r="BC2" s="133" t="s">
        <v>46</v>
      </c>
      <c r="BD2" s="133"/>
      <c r="BE2" s="41"/>
      <c r="BF2" s="15"/>
      <c r="BG2" s="133" t="s">
        <v>47</v>
      </c>
      <c r="BH2" s="133"/>
      <c r="BI2" s="41"/>
    </row>
    <row r="3" spans="3:61" x14ac:dyDescent="0.25">
      <c r="Y3" s="97" t="s">
        <v>61</v>
      </c>
      <c r="Z3" s="79" t="s">
        <v>62</v>
      </c>
      <c r="AB3" s="98" t="s">
        <v>61</v>
      </c>
      <c r="AC3" s="15" t="s">
        <v>63</v>
      </c>
      <c r="AE3" s="98" t="s">
        <v>61</v>
      </c>
      <c r="AF3" s="15" t="s">
        <v>63</v>
      </c>
      <c r="AG3" s="79" t="s">
        <v>64</v>
      </c>
      <c r="AI3" s="97" t="s">
        <v>61</v>
      </c>
      <c r="AJ3" s="79" t="s">
        <v>65</v>
      </c>
      <c r="AK3" s="79"/>
      <c r="AL3" s="98" t="s">
        <v>61</v>
      </c>
      <c r="AM3" s="15" t="s">
        <v>63</v>
      </c>
      <c r="AO3" s="97" t="s">
        <v>61</v>
      </c>
      <c r="AP3" s="79" t="s">
        <v>66</v>
      </c>
      <c r="AQ3" s="57"/>
      <c r="AR3" s="98" t="s">
        <v>61</v>
      </c>
      <c r="AS3" s="79" t="s">
        <v>66</v>
      </c>
      <c r="AT3" s="79" t="s">
        <v>66</v>
      </c>
      <c r="AU3" s="79" t="s">
        <v>66</v>
      </c>
      <c r="AV3" s="79"/>
      <c r="AW3" s="98" t="s">
        <v>61</v>
      </c>
      <c r="AX3" s="15" t="s">
        <v>67</v>
      </c>
      <c r="AZ3" s="79" t="s">
        <v>61</v>
      </c>
      <c r="BA3" s="79" t="s">
        <v>163</v>
      </c>
      <c r="BB3" s="79"/>
      <c r="BC3" s="98" t="s">
        <v>61</v>
      </c>
      <c r="BD3" s="15" t="s">
        <v>68</v>
      </c>
      <c r="BF3" s="79"/>
      <c r="BG3" s="98" t="s">
        <v>61</v>
      </c>
      <c r="BH3" s="15" t="s">
        <v>69</v>
      </c>
    </row>
    <row r="4" spans="3:61" x14ac:dyDescent="0.25">
      <c r="Y4" s="97" t="s">
        <v>78</v>
      </c>
      <c r="Z4" s="79" t="s">
        <v>79</v>
      </c>
      <c r="AB4" s="97" t="s">
        <v>80</v>
      </c>
      <c r="AC4" s="79">
        <v>15</v>
      </c>
      <c r="AE4" s="97" t="s">
        <v>80</v>
      </c>
      <c r="AF4" s="79">
        <v>15</v>
      </c>
      <c r="AG4" s="79">
        <v>0.63</v>
      </c>
      <c r="AI4" s="97" t="s">
        <v>78</v>
      </c>
      <c r="AJ4" s="79" t="s">
        <v>53</v>
      </c>
      <c r="AK4" s="79"/>
      <c r="AL4" s="97" t="s">
        <v>80</v>
      </c>
      <c r="AM4" s="79">
        <v>15</v>
      </c>
      <c r="AO4" s="31">
        <v>1</v>
      </c>
      <c r="AP4" s="31" t="s">
        <v>33</v>
      </c>
      <c r="AQ4" s="57"/>
      <c r="AR4" s="31">
        <v>1</v>
      </c>
      <c r="AS4" s="31" t="s">
        <v>74</v>
      </c>
      <c r="AT4" s="71" t="s">
        <v>75</v>
      </c>
      <c r="AU4" s="71" t="s">
        <v>76</v>
      </c>
      <c r="AV4" s="79"/>
      <c r="AW4" s="97" t="s">
        <v>81</v>
      </c>
      <c r="AX4" t="s">
        <v>82</v>
      </c>
      <c r="AZ4" s="79">
        <v>1</v>
      </c>
      <c r="BA4" s="79">
        <v>1</v>
      </c>
      <c r="BB4" s="79"/>
      <c r="BC4" s="97" t="s">
        <v>78</v>
      </c>
      <c r="BD4" s="79" t="s">
        <v>83</v>
      </c>
      <c r="BF4" s="79"/>
      <c r="BG4" s="97" t="s">
        <v>81</v>
      </c>
      <c r="BH4" t="s">
        <v>82</v>
      </c>
    </row>
    <row r="5" spans="3:61" x14ac:dyDescent="0.25">
      <c r="Y5" s="97" t="s">
        <v>94</v>
      </c>
      <c r="Z5" s="79" t="s">
        <v>95</v>
      </c>
      <c r="AB5" s="97" t="s">
        <v>96</v>
      </c>
      <c r="AC5" s="79">
        <v>20</v>
      </c>
      <c r="AE5" s="97" t="s">
        <v>96</v>
      </c>
      <c r="AF5" s="79">
        <v>15</v>
      </c>
      <c r="AG5" s="79">
        <v>1.25</v>
      </c>
      <c r="AI5" s="97" t="s">
        <v>94</v>
      </c>
      <c r="AJ5" s="79" t="s">
        <v>55</v>
      </c>
      <c r="AK5" s="79"/>
      <c r="AL5" s="97" t="s">
        <v>96</v>
      </c>
      <c r="AM5" s="79">
        <v>20</v>
      </c>
      <c r="AO5" s="31">
        <v>2</v>
      </c>
      <c r="AP5" s="31" t="s">
        <v>166</v>
      </c>
      <c r="AQ5" s="57"/>
      <c r="AR5" s="31">
        <v>2</v>
      </c>
      <c r="AS5" s="31" t="s">
        <v>88</v>
      </c>
      <c r="AT5" s="31" t="s">
        <v>89</v>
      </c>
      <c r="AU5" s="71" t="s">
        <v>90</v>
      </c>
      <c r="AV5" s="79"/>
      <c r="AW5" s="97" t="s">
        <v>78</v>
      </c>
      <c r="AX5" s="79" t="s">
        <v>77</v>
      </c>
      <c r="AZ5" s="79">
        <v>2</v>
      </c>
      <c r="BA5" s="79">
        <v>2</v>
      </c>
      <c r="BB5" s="79"/>
      <c r="BC5" s="97" t="s">
        <v>94</v>
      </c>
      <c r="BD5" s="79" t="s">
        <v>55</v>
      </c>
      <c r="BF5" s="79"/>
      <c r="BG5" s="97" t="s">
        <v>78</v>
      </c>
      <c r="BH5" s="79" t="s">
        <v>167</v>
      </c>
    </row>
    <row r="6" spans="3:61" x14ac:dyDescent="0.25">
      <c r="AB6" s="97" t="s">
        <v>103</v>
      </c>
      <c r="AC6" s="79">
        <v>25</v>
      </c>
      <c r="AE6" s="97" t="s">
        <v>103</v>
      </c>
      <c r="AF6" s="79">
        <v>15</v>
      </c>
      <c r="AG6" s="79">
        <v>1.6</v>
      </c>
      <c r="AI6" s="97" t="s">
        <v>104</v>
      </c>
      <c r="AJ6" s="79" t="s">
        <v>54</v>
      </c>
      <c r="AK6" s="79"/>
      <c r="AL6" s="97" t="s">
        <v>103</v>
      </c>
      <c r="AM6" s="79">
        <v>25</v>
      </c>
      <c r="AO6" s="31">
        <v>3</v>
      </c>
      <c r="AP6" s="76" t="s">
        <v>35</v>
      </c>
      <c r="AQ6" s="57"/>
      <c r="AR6" s="31">
        <v>3</v>
      </c>
      <c r="AS6" s="31" t="s">
        <v>100</v>
      </c>
      <c r="AT6" s="31" t="s">
        <v>101</v>
      </c>
      <c r="AU6" s="71" t="s">
        <v>102</v>
      </c>
      <c r="AV6" s="79"/>
      <c r="AW6" s="97" t="s">
        <v>94</v>
      </c>
      <c r="AX6" s="79" t="s">
        <v>91</v>
      </c>
      <c r="AZ6" s="79">
        <v>3</v>
      </c>
      <c r="BA6" s="79">
        <v>3</v>
      </c>
      <c r="BB6" s="79"/>
      <c r="BC6" s="97" t="s">
        <v>104</v>
      </c>
      <c r="BD6" s="76" t="s">
        <v>54</v>
      </c>
      <c r="BF6" s="79"/>
      <c r="BG6" s="97"/>
      <c r="BH6" s="79"/>
    </row>
    <row r="7" spans="3:61" x14ac:dyDescent="0.25">
      <c r="AB7" s="97" t="s">
        <v>110</v>
      </c>
      <c r="AC7" s="79">
        <v>32</v>
      </c>
      <c r="AE7" s="97" t="s">
        <v>110</v>
      </c>
      <c r="AF7" s="79">
        <v>15</v>
      </c>
      <c r="AG7" s="79">
        <v>2.5</v>
      </c>
      <c r="AK7" s="79"/>
      <c r="AL7" s="97" t="s">
        <v>110</v>
      </c>
      <c r="AM7" s="79">
        <v>32</v>
      </c>
      <c r="AO7" s="57"/>
      <c r="AP7" s="57"/>
      <c r="AQ7" s="57"/>
      <c r="AR7" s="76">
        <v>4</v>
      </c>
      <c r="AS7" s="31" t="s">
        <v>107</v>
      </c>
      <c r="AT7" s="31" t="s">
        <v>108</v>
      </c>
      <c r="AU7" s="31" t="s">
        <v>109</v>
      </c>
      <c r="AV7" s="79"/>
      <c r="AW7" s="97" t="s">
        <v>104</v>
      </c>
      <c r="AX7" s="76" t="s">
        <v>93</v>
      </c>
      <c r="AZ7" s="79">
        <v>4</v>
      </c>
      <c r="BA7" s="79">
        <v>4</v>
      </c>
      <c r="BB7" s="79"/>
      <c r="BF7" s="79"/>
      <c r="BG7" s="97"/>
      <c r="BH7" s="76"/>
    </row>
    <row r="8" spans="3:61" x14ac:dyDescent="0.25">
      <c r="AB8" s="97" t="s">
        <v>115</v>
      </c>
      <c r="AC8" s="79">
        <v>40</v>
      </c>
      <c r="AE8" s="97" t="s">
        <v>115</v>
      </c>
      <c r="AF8" s="79">
        <v>15</v>
      </c>
      <c r="AG8" s="79">
        <v>4</v>
      </c>
      <c r="AK8" s="79"/>
      <c r="AL8" s="97" t="s">
        <v>115</v>
      </c>
      <c r="AM8" s="79">
        <v>40</v>
      </c>
      <c r="AO8" s="57"/>
      <c r="AP8" s="57"/>
      <c r="AQ8" s="57"/>
      <c r="AR8" s="76">
        <v>5</v>
      </c>
      <c r="AS8" s="31" t="s">
        <v>112</v>
      </c>
      <c r="AT8" s="31" t="s">
        <v>113</v>
      </c>
      <c r="AU8" s="71" t="s">
        <v>114</v>
      </c>
      <c r="AV8" s="79"/>
      <c r="AW8" s="97" t="s">
        <v>116</v>
      </c>
      <c r="AX8" s="79" t="s">
        <v>92</v>
      </c>
      <c r="AZ8" s="79">
        <v>5</v>
      </c>
      <c r="BA8" s="79">
        <v>5</v>
      </c>
      <c r="BB8" s="79"/>
      <c r="BC8" s="97"/>
      <c r="BD8" s="79"/>
      <c r="BF8" s="79"/>
      <c r="BG8" s="97"/>
      <c r="BH8" s="79"/>
    </row>
    <row r="9" spans="3:61" x14ac:dyDescent="0.25">
      <c r="AB9" s="97" t="s">
        <v>123</v>
      </c>
      <c r="AC9" s="79">
        <v>50</v>
      </c>
      <c r="AE9" s="97" t="s">
        <v>123</v>
      </c>
      <c r="AF9" s="79">
        <v>20</v>
      </c>
      <c r="AG9" s="79">
        <v>5</v>
      </c>
      <c r="AK9" s="79"/>
      <c r="AL9" s="97" t="s">
        <v>123</v>
      </c>
      <c r="AM9" s="79">
        <v>50</v>
      </c>
      <c r="AO9" s="57"/>
      <c r="AP9" s="57"/>
      <c r="AQ9" s="57"/>
      <c r="AR9" s="76">
        <v>6</v>
      </c>
      <c r="AS9" s="31" t="s">
        <v>119</v>
      </c>
      <c r="AT9" s="31" t="s">
        <v>120</v>
      </c>
      <c r="AU9" s="71" t="s">
        <v>121</v>
      </c>
      <c r="AV9" s="79"/>
      <c r="AW9" s="97" t="s">
        <v>124</v>
      </c>
      <c r="AX9" s="79" t="s">
        <v>122</v>
      </c>
      <c r="BB9" s="79"/>
      <c r="BC9" s="97"/>
      <c r="BD9" s="79"/>
      <c r="BF9" s="79"/>
      <c r="BG9" s="97"/>
      <c r="BH9" s="79"/>
    </row>
    <row r="10" spans="3:61" x14ac:dyDescent="0.25">
      <c r="AB10" s="97" t="s">
        <v>130</v>
      </c>
      <c r="AC10" s="79">
        <v>65</v>
      </c>
      <c r="AE10" s="97" t="s">
        <v>130</v>
      </c>
      <c r="AF10" s="79">
        <v>20</v>
      </c>
      <c r="AG10" s="79">
        <v>6.3</v>
      </c>
      <c r="AK10" s="79"/>
      <c r="AL10" s="97" t="s">
        <v>130</v>
      </c>
      <c r="AM10" s="79">
        <v>65</v>
      </c>
      <c r="AO10" s="57"/>
      <c r="AP10" s="57"/>
      <c r="AQ10" s="57"/>
      <c r="AR10" s="76">
        <v>7</v>
      </c>
      <c r="AS10" s="31" t="s">
        <v>126</v>
      </c>
      <c r="AT10" s="31" t="s">
        <v>127</v>
      </c>
      <c r="AU10" s="71" t="s">
        <v>128</v>
      </c>
      <c r="AV10" s="79"/>
      <c r="AW10" s="97" t="s">
        <v>131</v>
      </c>
      <c r="AX10" s="79" t="s">
        <v>129</v>
      </c>
      <c r="BB10" s="79"/>
      <c r="BC10" s="97"/>
      <c r="BD10" s="79"/>
      <c r="BF10" s="79"/>
      <c r="BG10" s="97"/>
      <c r="BH10" s="79"/>
    </row>
    <row r="11" spans="3:61" x14ac:dyDescent="0.25">
      <c r="AB11" s="97" t="s">
        <v>136</v>
      </c>
      <c r="AC11" s="79">
        <v>80</v>
      </c>
      <c r="AE11" s="97" t="s">
        <v>136</v>
      </c>
      <c r="AF11" s="79">
        <v>25</v>
      </c>
      <c r="AG11" s="79">
        <v>8</v>
      </c>
      <c r="AK11" s="79"/>
      <c r="AL11" s="97" t="s">
        <v>136</v>
      </c>
      <c r="AM11" s="79">
        <v>80</v>
      </c>
      <c r="AO11" s="57"/>
      <c r="AP11" s="57"/>
      <c r="AQ11" s="57"/>
      <c r="AR11" s="76">
        <v>8</v>
      </c>
      <c r="AS11" s="31" t="s">
        <v>134</v>
      </c>
      <c r="AT11" s="31"/>
      <c r="AU11" s="31"/>
      <c r="AV11" s="79"/>
      <c r="AW11" s="97"/>
      <c r="AX11" s="79"/>
      <c r="BB11" s="79"/>
      <c r="BC11" s="97"/>
      <c r="BD11" s="79"/>
      <c r="BF11" s="79"/>
      <c r="BG11" s="97"/>
      <c r="BH11" s="79"/>
    </row>
    <row r="12" spans="3:61" x14ac:dyDescent="0.25">
      <c r="AB12" s="97" t="s">
        <v>138</v>
      </c>
      <c r="AC12" s="79">
        <v>100</v>
      </c>
      <c r="AE12" s="97" t="s">
        <v>138</v>
      </c>
      <c r="AF12" s="79">
        <v>25</v>
      </c>
      <c r="AG12" s="79">
        <v>10</v>
      </c>
      <c r="AK12" s="79"/>
      <c r="AL12" s="97" t="s">
        <v>138</v>
      </c>
      <c r="AM12" s="79">
        <v>100</v>
      </c>
      <c r="AO12" s="57"/>
      <c r="AP12" s="57"/>
      <c r="AQ12" s="57"/>
      <c r="AR12" s="31"/>
      <c r="AS12" s="57"/>
      <c r="AT12" s="57"/>
      <c r="AU12" s="57"/>
      <c r="AV12" s="79"/>
      <c r="AW12" s="97"/>
      <c r="AX12" s="79"/>
      <c r="BB12" s="79"/>
      <c r="BC12" s="97"/>
      <c r="BD12" s="79"/>
      <c r="BF12" s="79"/>
      <c r="BG12" s="97"/>
      <c r="BH12" s="79"/>
    </row>
    <row r="13" spans="3:61" x14ac:dyDescent="0.25">
      <c r="AB13" s="97" t="s">
        <v>140</v>
      </c>
      <c r="AC13" s="79">
        <v>125</v>
      </c>
      <c r="AE13" s="97" t="s">
        <v>140</v>
      </c>
      <c r="AF13" s="79">
        <v>32</v>
      </c>
      <c r="AG13" s="79">
        <v>12.5</v>
      </c>
      <c r="AK13" s="79"/>
      <c r="AL13" s="97" t="s">
        <v>140</v>
      </c>
      <c r="AM13" s="79">
        <v>125</v>
      </c>
      <c r="AR13" s="15"/>
      <c r="AV13" s="79"/>
      <c r="AW13" s="97"/>
      <c r="AX13" s="79"/>
      <c r="BB13" s="79"/>
      <c r="BC13" s="97"/>
      <c r="BD13" s="79"/>
      <c r="BF13" s="79"/>
      <c r="BG13" s="97"/>
      <c r="BH13" s="79"/>
    </row>
    <row r="14" spans="3:61" x14ac:dyDescent="0.25">
      <c r="AB14" s="97" t="s">
        <v>141</v>
      </c>
      <c r="AC14" s="79">
        <v>150</v>
      </c>
      <c r="AE14" s="97" t="s">
        <v>141</v>
      </c>
      <c r="AF14" s="79">
        <v>32</v>
      </c>
      <c r="AG14" s="79">
        <v>16</v>
      </c>
      <c r="AK14" s="79"/>
      <c r="AL14" s="97" t="s">
        <v>141</v>
      </c>
      <c r="AM14" s="79">
        <v>150</v>
      </c>
      <c r="AR14" s="15"/>
      <c r="AV14" s="79"/>
      <c r="AW14" s="97"/>
      <c r="AX14" s="79"/>
      <c r="BB14" s="79"/>
      <c r="BC14" s="97"/>
      <c r="BD14" s="79"/>
      <c r="BF14" s="79"/>
      <c r="BG14" s="97"/>
      <c r="BH14" s="79"/>
    </row>
    <row r="15" spans="3:61" x14ac:dyDescent="0.25">
      <c r="AB15" s="97" t="s">
        <v>142</v>
      </c>
      <c r="AC15" s="79">
        <v>200</v>
      </c>
      <c r="AE15" s="97" t="s">
        <v>142</v>
      </c>
      <c r="AF15" s="79">
        <v>40</v>
      </c>
      <c r="AG15" s="79">
        <v>20</v>
      </c>
      <c r="AK15" s="79"/>
      <c r="AL15" s="97" t="s">
        <v>142</v>
      </c>
      <c r="AM15" s="79">
        <v>200</v>
      </c>
      <c r="AR15" s="15"/>
      <c r="AV15" s="79"/>
      <c r="AW15" s="97"/>
      <c r="AX15" s="79"/>
      <c r="BB15" s="79"/>
      <c r="BC15" s="97"/>
      <c r="BD15" s="79"/>
      <c r="BF15" s="79"/>
      <c r="BG15" s="97"/>
      <c r="BH15" s="79"/>
    </row>
    <row r="16" spans="3:61" x14ac:dyDescent="0.25">
      <c r="AE16" s="97" t="s">
        <v>145</v>
      </c>
      <c r="AF16" s="79">
        <v>40</v>
      </c>
      <c r="AG16" s="79">
        <v>25</v>
      </c>
    </row>
    <row r="17" spans="31:33" x14ac:dyDescent="0.25">
      <c r="AE17" s="97" t="s">
        <v>146</v>
      </c>
      <c r="AF17" s="79">
        <v>50</v>
      </c>
      <c r="AG17" s="79">
        <v>31.5</v>
      </c>
    </row>
    <row r="18" spans="31:33" x14ac:dyDescent="0.25">
      <c r="AE18" s="97" t="s">
        <v>148</v>
      </c>
      <c r="AF18" s="79">
        <v>50</v>
      </c>
      <c r="AG18" s="79">
        <v>40</v>
      </c>
    </row>
    <row r="19" spans="31:33" x14ac:dyDescent="0.25">
      <c r="AE19" s="97" t="s">
        <v>149</v>
      </c>
      <c r="AF19" s="79">
        <v>65</v>
      </c>
      <c r="AG19" s="79">
        <v>50</v>
      </c>
    </row>
    <row r="20" spans="31:33" x14ac:dyDescent="0.25">
      <c r="AE20" s="97" t="s">
        <v>151</v>
      </c>
      <c r="AF20" s="79">
        <v>65</v>
      </c>
      <c r="AG20" s="79">
        <v>63</v>
      </c>
    </row>
    <row r="21" spans="31:33" x14ac:dyDescent="0.25">
      <c r="AE21" s="97" t="s">
        <v>153</v>
      </c>
      <c r="AF21" s="79">
        <v>80</v>
      </c>
      <c r="AG21" s="79">
        <v>80</v>
      </c>
    </row>
    <row r="22" spans="31:33" x14ac:dyDescent="0.25">
      <c r="AE22" s="97" t="s">
        <v>154</v>
      </c>
      <c r="AF22" s="79">
        <v>80</v>
      </c>
      <c r="AG22" s="79">
        <v>100</v>
      </c>
    </row>
    <row r="23" spans="31:33" x14ac:dyDescent="0.25">
      <c r="AE23" s="97" t="s">
        <v>155</v>
      </c>
      <c r="AF23" s="79">
        <v>100</v>
      </c>
      <c r="AG23" s="79">
        <v>125</v>
      </c>
    </row>
    <row r="24" spans="31:33" x14ac:dyDescent="0.25">
      <c r="AE24" s="97" t="s">
        <v>156</v>
      </c>
      <c r="AF24" s="79">
        <v>100</v>
      </c>
      <c r="AG24" s="79">
        <v>160</v>
      </c>
    </row>
    <row r="25" spans="31:33" x14ac:dyDescent="0.25">
      <c r="AE25" s="97" t="s">
        <v>157</v>
      </c>
      <c r="AF25" s="79">
        <v>125</v>
      </c>
      <c r="AG25" s="79">
        <v>250</v>
      </c>
    </row>
    <row r="26" spans="31:33" x14ac:dyDescent="0.25">
      <c r="AE26" s="97" t="s">
        <v>158</v>
      </c>
      <c r="AF26" s="79">
        <v>150</v>
      </c>
      <c r="AG26" s="79">
        <v>315</v>
      </c>
    </row>
  </sheetData>
  <mergeCells count="11">
    <mergeCell ref="BG2:BH2"/>
    <mergeCell ref="AO2:AP2"/>
    <mergeCell ref="AR2:AU2"/>
    <mergeCell ref="AW2:AX2"/>
    <mergeCell ref="AZ2:BA2"/>
    <mergeCell ref="BC2:BD2"/>
    <mergeCell ref="Y2:Z2"/>
    <mergeCell ref="AB2:AC2"/>
    <mergeCell ref="AE2:AG2"/>
    <mergeCell ref="AI2:AJ2"/>
    <mergeCell ref="AL2:AM2"/>
  </mergeCells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DL26"/>
  <sheetViews>
    <sheetView topLeftCell="A4" zoomScaleNormal="100" workbookViewId="0">
      <selection activeCell="E9" sqref="E9"/>
    </sheetView>
  </sheetViews>
  <sheetFormatPr defaultRowHeight="15" x14ac:dyDescent="0.25"/>
  <cols>
    <col min="1" max="1" width="7.7109375" customWidth="1"/>
    <col min="2" max="2" width="8" customWidth="1"/>
    <col min="3" max="4" width="8.7109375" customWidth="1"/>
    <col min="5" max="6" width="12.5703125" customWidth="1"/>
    <col min="7" max="8" width="8.7109375" customWidth="1"/>
    <col min="9" max="9" width="9.140625" customWidth="1"/>
    <col min="10" max="10" width="6" customWidth="1"/>
    <col min="11" max="12" width="8" customWidth="1"/>
    <col min="13" max="13" width="4.7109375" customWidth="1"/>
    <col min="14" max="14" width="8.42578125" bestFit="1" customWidth="1"/>
    <col min="15" max="17" width="9.140625" customWidth="1"/>
    <col min="18" max="18" width="6" customWidth="1"/>
    <col min="19" max="35" width="9.140625" customWidth="1"/>
    <col min="36" max="37" width="9.85546875" customWidth="1"/>
    <col min="38" max="38" width="15.7109375" customWidth="1"/>
    <col min="39" max="39" width="9.140625" customWidth="1"/>
    <col min="40" max="40" width="25.140625" customWidth="1"/>
    <col min="41" max="41" width="11" customWidth="1"/>
    <col min="42" max="42" width="18.28515625" customWidth="1"/>
    <col min="43" max="48" width="9.140625" customWidth="1"/>
    <col min="49" max="49" width="9.140625" style="15" customWidth="1"/>
    <col min="50" max="64" width="9.140625" customWidth="1"/>
    <col min="65" max="65" width="8.7109375" customWidth="1"/>
    <col min="66" max="66" width="4.85546875" customWidth="1"/>
    <col min="67" max="67" width="12.85546875" customWidth="1"/>
    <col min="68" max="68" width="3.28515625" customWidth="1"/>
    <col min="69" max="69" width="11.28515625" customWidth="1"/>
    <col min="70" max="71" width="6.28515625" customWidth="1"/>
    <col min="72" max="72" width="3.5703125" customWidth="1"/>
    <col min="73" max="73" width="8.28515625" customWidth="1"/>
    <col min="74" max="76" width="6.140625" customWidth="1"/>
    <col min="77" max="77" width="3.28515625" customWidth="1"/>
    <col min="78" max="78" width="9.5703125" customWidth="1"/>
    <col min="79" max="79" width="6.140625" customWidth="1"/>
    <col min="80" max="80" width="15.28515625" customWidth="1"/>
    <col min="81" max="81" width="3.28515625" customWidth="1"/>
    <col min="82" max="82" width="8.7109375" customWidth="1"/>
    <col min="83" max="84" width="6.28515625" customWidth="1"/>
    <col min="85" max="85" width="3.28515625" customWidth="1"/>
    <col min="86" max="86" width="9.5703125" customWidth="1"/>
    <col min="87" max="87" width="6.140625" customWidth="1"/>
    <col min="88" max="88" width="16.85546875" customWidth="1"/>
    <col min="89" max="89" width="8.5703125" customWidth="1"/>
    <col min="90" max="90" width="7" customWidth="1"/>
    <col min="91" max="91" width="25.140625" customWidth="1"/>
    <col min="92" max="92" width="8.5703125" customWidth="1"/>
    <col min="93" max="93" width="6.7109375" customWidth="1"/>
    <col min="94" max="94" width="18.28515625" customWidth="1"/>
    <col min="95" max="95" width="3.5703125" customWidth="1"/>
    <col min="96" max="96" width="8.5703125" customWidth="1"/>
    <col min="97" max="97" width="5.85546875" customWidth="1"/>
    <col min="98" max="98" width="16.140625" customWidth="1"/>
    <col min="99" max="99" width="3.7109375" customWidth="1"/>
    <col min="100" max="100" width="3.28515625" customWidth="1"/>
    <col min="101" max="101" width="8.5703125" customWidth="1"/>
    <col min="102" max="102" width="6.28515625" customWidth="1"/>
    <col min="103" max="103" width="11.42578125"/>
    <col min="104" max="104" width="3.5703125" customWidth="1"/>
    <col min="105" max="105" width="8.7109375" customWidth="1"/>
    <col min="106" max="106" width="6.28515625" customWidth="1"/>
    <col min="107" max="107" width="11.42578125"/>
    <col min="108" max="108" width="3.5703125" customWidth="1"/>
    <col min="109" max="109" width="8.7109375" customWidth="1"/>
    <col min="110" max="110" width="6.28515625" customWidth="1"/>
    <col min="111" max="111" width="11.42578125"/>
    <col min="112" max="112" width="3.5703125" customWidth="1"/>
    <col min="113" max="113" width="8.5703125" customWidth="1"/>
    <col min="114" max="114" width="6.28515625" customWidth="1"/>
    <col min="115" max="115" width="13.7109375" customWidth="1"/>
    <col min="116" max="116" width="3.5703125" customWidth="1"/>
    <col min="117" max="1025" width="8.7109375" customWidth="1"/>
  </cols>
  <sheetData>
    <row r="2" spans="1:116" x14ac:dyDescent="0.25">
      <c r="B2" t="s">
        <v>160</v>
      </c>
      <c r="I2" s="132" t="s">
        <v>30</v>
      </c>
      <c r="J2" s="132"/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32"/>
      <c r="W2" s="7" t="s">
        <v>31</v>
      </c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J2" s="7" t="s">
        <v>32</v>
      </c>
      <c r="AK2" s="7"/>
      <c r="AL2" s="7"/>
      <c r="AM2" s="7"/>
      <c r="AN2" s="35" t="s">
        <v>33</v>
      </c>
      <c r="AO2" s="35" t="s">
        <v>34</v>
      </c>
      <c r="AP2" s="36" t="s">
        <v>35</v>
      </c>
      <c r="AS2" s="6" t="s">
        <v>36</v>
      </c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N2" s="13" t="s">
        <v>37</v>
      </c>
      <c r="BO2" s="13"/>
      <c r="BP2" s="18"/>
      <c r="BQ2" s="37"/>
      <c r="BR2" s="5" t="s">
        <v>38</v>
      </c>
      <c r="BS2" s="5"/>
      <c r="BT2" s="38"/>
      <c r="BU2" s="39"/>
      <c r="BV2" s="4" t="s">
        <v>39</v>
      </c>
      <c r="BW2" s="4"/>
      <c r="BX2" s="4"/>
      <c r="BY2" s="18"/>
      <c r="BZ2" s="37"/>
      <c r="CA2" s="5" t="s">
        <v>40</v>
      </c>
      <c r="CB2" s="5"/>
      <c r="CC2" s="18"/>
      <c r="CD2" s="37"/>
      <c r="CE2" s="5" t="s">
        <v>41</v>
      </c>
      <c r="CF2" s="5"/>
      <c r="CG2" s="18"/>
      <c r="CH2" s="37"/>
      <c r="CI2" s="3" t="s">
        <v>42</v>
      </c>
      <c r="CJ2" s="3"/>
      <c r="CK2" s="3"/>
      <c r="CL2" s="3"/>
      <c r="CM2" s="3"/>
      <c r="CN2" s="3"/>
      <c r="CO2" s="3"/>
      <c r="CP2" s="3"/>
      <c r="CQ2" s="38"/>
      <c r="CR2" s="14" t="s">
        <v>43</v>
      </c>
      <c r="CS2" s="14"/>
      <c r="CT2" s="14"/>
      <c r="CU2" s="40"/>
      <c r="CV2" s="18"/>
      <c r="CW2" s="14" t="s">
        <v>44</v>
      </c>
      <c r="CX2" s="14"/>
      <c r="CY2" s="14"/>
      <c r="CZ2" s="38"/>
      <c r="DA2" s="14" t="s">
        <v>45</v>
      </c>
      <c r="DB2" s="14"/>
      <c r="DC2" s="14"/>
      <c r="DD2" s="38"/>
      <c r="DE2" s="14" t="s">
        <v>46</v>
      </c>
      <c r="DF2" s="14"/>
      <c r="DG2" s="14"/>
      <c r="DH2" s="38"/>
      <c r="DI2" s="14" t="s">
        <v>47</v>
      </c>
      <c r="DJ2" s="14"/>
      <c r="DK2" s="14"/>
      <c r="DL2" s="41"/>
    </row>
    <row r="3" spans="1:116" x14ac:dyDescent="0.25">
      <c r="I3" s="42"/>
      <c r="J3" s="43" t="s">
        <v>48</v>
      </c>
      <c r="K3" s="44" t="s">
        <v>49</v>
      </c>
      <c r="L3" s="43" t="s">
        <v>50</v>
      </c>
      <c r="M3" s="43"/>
      <c r="N3" s="43"/>
      <c r="O3" s="43" t="s">
        <v>51</v>
      </c>
      <c r="P3" s="44" t="s">
        <v>49</v>
      </c>
      <c r="Q3" s="45" t="s">
        <v>50</v>
      </c>
      <c r="R3" s="43"/>
      <c r="S3" s="43" t="s">
        <v>52</v>
      </c>
      <c r="T3" s="44" t="s">
        <v>49</v>
      </c>
      <c r="U3" s="45" t="s">
        <v>50</v>
      </c>
      <c r="W3" s="42" t="s">
        <v>53</v>
      </c>
      <c r="X3" s="43" t="s">
        <v>54</v>
      </c>
      <c r="Y3" s="45" t="s">
        <v>55</v>
      </c>
      <c r="Z3" s="7" t="s">
        <v>53</v>
      </c>
      <c r="AA3" s="7"/>
      <c r="AB3" s="7"/>
      <c r="AC3" s="7" t="s">
        <v>54</v>
      </c>
      <c r="AD3" s="7"/>
      <c r="AE3" s="7"/>
      <c r="AF3" s="7" t="s">
        <v>55</v>
      </c>
      <c r="AG3" s="7"/>
      <c r="AH3" s="7"/>
      <c r="AJ3" s="46" t="s">
        <v>56</v>
      </c>
      <c r="AK3" s="47"/>
      <c r="AL3" s="48"/>
      <c r="AM3" s="48"/>
      <c r="AN3" s="49"/>
      <c r="AO3" s="49"/>
      <c r="AP3" s="49"/>
      <c r="AS3" s="7" t="s">
        <v>57</v>
      </c>
      <c r="AT3" s="7"/>
      <c r="AU3" s="7"/>
      <c r="AV3" s="7"/>
      <c r="AW3" s="7"/>
      <c r="AX3" s="2" t="s">
        <v>58</v>
      </c>
      <c r="AY3" s="2"/>
      <c r="AZ3" s="2"/>
      <c r="BA3" s="2"/>
      <c r="BB3" s="2"/>
      <c r="BC3" s="7" t="s">
        <v>59</v>
      </c>
      <c r="BD3" s="7"/>
      <c r="BE3" s="7"/>
      <c r="BF3" s="7"/>
      <c r="BG3" s="7"/>
      <c r="BH3" s="7" t="s">
        <v>60</v>
      </c>
      <c r="BI3" s="7"/>
      <c r="BJ3" s="7"/>
      <c r="BK3" s="7"/>
      <c r="BL3" s="7"/>
      <c r="BN3" s="50" t="s">
        <v>61</v>
      </c>
      <c r="BO3" s="34" t="s">
        <v>62</v>
      </c>
      <c r="BP3" s="51"/>
      <c r="BQ3" s="34" t="s">
        <v>161</v>
      </c>
      <c r="BR3" s="52" t="s">
        <v>61</v>
      </c>
      <c r="BS3" s="31" t="s">
        <v>63</v>
      </c>
      <c r="BT3" s="53"/>
      <c r="BU3" s="54" t="s">
        <v>31</v>
      </c>
      <c r="BV3" s="52" t="s">
        <v>61</v>
      </c>
      <c r="BW3" s="31" t="s">
        <v>63</v>
      </c>
      <c r="BX3" s="55" t="s">
        <v>64</v>
      </c>
      <c r="BY3" s="51"/>
      <c r="BZ3" s="34" t="s">
        <v>31</v>
      </c>
      <c r="CA3" s="56" t="s">
        <v>61</v>
      </c>
      <c r="CB3" s="34" t="s">
        <v>65</v>
      </c>
      <c r="CC3" s="51"/>
      <c r="CD3" s="34" t="s">
        <v>162</v>
      </c>
      <c r="CE3" s="52" t="s">
        <v>61</v>
      </c>
      <c r="CF3" s="31" t="s">
        <v>63</v>
      </c>
      <c r="CG3" s="51"/>
      <c r="CH3" s="34"/>
      <c r="CI3" s="52" t="s">
        <v>61</v>
      </c>
      <c r="CJ3" s="34" t="s">
        <v>66</v>
      </c>
      <c r="CK3" s="34"/>
      <c r="CL3" s="34"/>
      <c r="CM3" s="34" t="s">
        <v>66</v>
      </c>
      <c r="CN3" s="34"/>
      <c r="CO3" s="34"/>
      <c r="CP3" s="34" t="s">
        <v>66</v>
      </c>
      <c r="CQ3" s="53"/>
      <c r="CR3" s="57"/>
      <c r="CS3" s="56" t="s">
        <v>61</v>
      </c>
      <c r="CT3" s="34" t="s">
        <v>66</v>
      </c>
      <c r="CU3" s="53"/>
      <c r="CV3" s="51"/>
      <c r="CW3" s="34"/>
      <c r="CX3" s="52" t="s">
        <v>61</v>
      </c>
      <c r="CY3" s="31" t="s">
        <v>67</v>
      </c>
      <c r="CZ3" s="53"/>
      <c r="DA3" s="34"/>
      <c r="DB3" s="52" t="s">
        <v>61</v>
      </c>
      <c r="DC3" s="31" t="s">
        <v>163</v>
      </c>
      <c r="DD3" s="53"/>
      <c r="DE3" s="34"/>
      <c r="DF3" s="52" t="s">
        <v>61</v>
      </c>
      <c r="DG3" s="31" t="s">
        <v>68</v>
      </c>
      <c r="DH3" s="53"/>
      <c r="DI3" s="34"/>
      <c r="DJ3" s="52" t="s">
        <v>61</v>
      </c>
      <c r="DK3" s="30" t="s">
        <v>69</v>
      </c>
    </row>
    <row r="4" spans="1:116" x14ac:dyDescent="0.25">
      <c r="A4" s="58" t="s">
        <v>70</v>
      </c>
      <c r="B4" s="59">
        <f>'ol4'!C16</f>
        <v>0</v>
      </c>
      <c r="C4" t="s">
        <v>71</v>
      </c>
      <c r="E4" t="s">
        <v>72</v>
      </c>
      <c r="F4" s="60">
        <f>B4*1000/(B5-B6)</f>
        <v>0</v>
      </c>
      <c r="I4" s="54">
        <f t="shared" ref="I4:I17" si="0">IF($B$12&lt;12,(IF((L4&gt;4)*AND(L4&lt;16),2,0)),IF((L4&gt;4)*AND(L4&lt;20),2,0))</f>
        <v>0</v>
      </c>
      <c r="J4" s="57">
        <v>15</v>
      </c>
      <c r="K4" s="57">
        <f>1/POWER(1.14+2*LOG10((J4/1000)/($K$21/1000)),2)</f>
        <v>5.9655827422120798E-2</v>
      </c>
      <c r="L4" s="57">
        <f>0.00638*K4*POWER($F$4,2)/(POWER(J4/1000,5)*$K$20)</f>
        <v>0</v>
      </c>
      <c r="M4" s="57"/>
      <c r="N4" s="57" t="e">
        <f t="shared" ref="N4:N17" si="1">IF((Q4&gt;4)*AND(Q4&lt;20),1,0)</f>
        <v>#DIV/0!</v>
      </c>
      <c r="O4" s="57">
        <v>15</v>
      </c>
      <c r="P4" s="57">
        <f t="shared" ref="P4:P17" si="2">1/POWER(1.14+2*LOG10((O4/1000)/($K$21/1000)),2)</f>
        <v>5.9655827422120798E-2</v>
      </c>
      <c r="Q4" s="61" t="e">
        <f t="shared" ref="Q4:Q17" si="3">0.00638*P4*POWER($F$11,2)/(POWER(O4/1000,5)*$K$20)</f>
        <v>#DIV/0!</v>
      </c>
      <c r="R4" s="57">
        <f t="shared" ref="R4:R17" si="4">IF((U4&gt;4)*AND(U4&lt;20),1,0)</f>
        <v>0</v>
      </c>
      <c r="S4" s="57">
        <v>15</v>
      </c>
      <c r="T4" s="57">
        <f>1/POWER(1.14+2*LOG10((S4/1000)/($K$21/1000)),2)</f>
        <v>5.9655827422120798E-2</v>
      </c>
      <c r="U4" s="61">
        <f>0.00638*T4*POWER($F$16,2)/(POWER(S4/1000,5)*$K$20)</f>
        <v>0</v>
      </c>
      <c r="W4" s="62" t="s">
        <v>73</v>
      </c>
      <c r="X4" s="57">
        <f>IF(B12=0,0,IF(B12&gt;12,3,1.8))</f>
        <v>3</v>
      </c>
      <c r="Y4" s="57"/>
      <c r="Z4" s="63">
        <f t="shared" ref="Z4:Z21" si="5">IF(AB4&gt;$X$5,1,0)</f>
        <v>1</v>
      </c>
      <c r="AA4" s="64">
        <v>15</v>
      </c>
      <c r="AB4" s="65">
        <v>1.6</v>
      </c>
      <c r="AC4" s="63">
        <f t="shared" ref="AC4:AC22" si="6">IF(AE4&gt;$X$5,1,0)</f>
        <v>1</v>
      </c>
      <c r="AD4" s="64">
        <v>15</v>
      </c>
      <c r="AE4" s="65">
        <v>1.6</v>
      </c>
      <c r="AF4" s="57">
        <f t="shared" ref="AF4:AF16" si="7">IF(AH4&gt;$X$5,1,0)</f>
        <v>1</v>
      </c>
      <c r="AG4" s="57">
        <v>15</v>
      </c>
      <c r="AH4" s="61">
        <v>1.6</v>
      </c>
      <c r="AJ4" s="66">
        <v>4</v>
      </c>
      <c r="AK4" s="63" t="e">
        <f t="shared" ref="AK4:AK13" si="8">IF($F$13&lt;AJ4,1,0)</f>
        <v>#DIV/0!</v>
      </c>
      <c r="AL4" s="65" t="s">
        <v>74</v>
      </c>
      <c r="AM4" s="67" t="e">
        <f t="shared" ref="AM4:AM13" si="9">IF($F$13&lt;AJ4,1,0)</f>
        <v>#DIV/0!</v>
      </c>
      <c r="AN4" s="68" t="s">
        <v>75</v>
      </c>
      <c r="AO4" s="63" t="e">
        <f t="shared" ref="AO4:AO13" si="10">IF($F$13&lt;AJ4,1,0)</f>
        <v>#DIV/0!</v>
      </c>
      <c r="AP4" s="69" t="s">
        <v>76</v>
      </c>
      <c r="AS4" s="63">
        <v>0.1</v>
      </c>
      <c r="AT4" s="64">
        <f t="shared" ref="AT4:AT11" si="11">IF($B$4&lt;AS4,1,0)</f>
        <v>1</v>
      </c>
      <c r="AU4" s="64" t="s">
        <v>77</v>
      </c>
      <c r="AV4" s="64">
        <f t="shared" ref="AV4:AV11" si="12">IF($B$4&lt;AS4,1,0)</f>
        <v>1</v>
      </c>
      <c r="AW4" s="17">
        <v>1</v>
      </c>
      <c r="AX4" s="63">
        <v>0.1</v>
      </c>
      <c r="AY4" s="64">
        <f t="shared" ref="AY4:AY11" si="13">IF($B$4&lt;AX4,1,0)</f>
        <v>1</v>
      </c>
      <c r="AZ4" s="64" t="s">
        <v>77</v>
      </c>
      <c r="BA4" s="64">
        <f t="shared" ref="BA4:BA11" si="14">IF($B$4&lt;AX4,1,0)</f>
        <v>1</v>
      </c>
      <c r="BB4" s="17">
        <v>1</v>
      </c>
      <c r="BC4" s="54">
        <v>0.14000000000000001</v>
      </c>
      <c r="BD4" s="57">
        <f t="shared" ref="BD4:BD10" si="15">IF($B$4&lt;BC4,1,0)</f>
        <v>1</v>
      </c>
      <c r="BE4" s="64" t="s">
        <v>77</v>
      </c>
      <c r="BF4" s="57">
        <f t="shared" ref="BF4:BF10" si="16">IF($B$4&lt;BC4,1,0)</f>
        <v>1</v>
      </c>
      <c r="BG4" s="55">
        <v>1</v>
      </c>
      <c r="BH4" s="57">
        <v>0.05</v>
      </c>
      <c r="BI4" s="57">
        <f t="shared" ref="BI4:BI13" si="17">IF($B$4&lt;BH4,1,0)</f>
        <v>1</v>
      </c>
      <c r="BJ4" s="57" t="s">
        <v>77</v>
      </c>
      <c r="BK4" s="57">
        <f t="shared" ref="BK4:BK13" si="18">IF($B$4&lt;BH4,1,0)</f>
        <v>1</v>
      </c>
      <c r="BL4" s="61">
        <v>1</v>
      </c>
      <c r="BN4" s="50" t="s">
        <v>78</v>
      </c>
      <c r="BO4" s="34" t="s">
        <v>79</v>
      </c>
      <c r="BP4" s="51"/>
      <c r="BQ4" s="34" t="e">
        <f>IF($F$5=BS4,1,0)</f>
        <v>#N/A</v>
      </c>
      <c r="BR4" s="56" t="s">
        <v>80</v>
      </c>
      <c r="BS4" s="34">
        <v>15</v>
      </c>
      <c r="BT4" s="53"/>
      <c r="BU4" s="70">
        <f t="shared" ref="BU4:BU26" si="19">IF($F$7=BX4,1,0)</f>
        <v>0</v>
      </c>
      <c r="BV4" s="56" t="s">
        <v>80</v>
      </c>
      <c r="BW4" s="34">
        <v>15</v>
      </c>
      <c r="BX4" s="55">
        <v>0.63</v>
      </c>
      <c r="BY4" s="51"/>
      <c r="BZ4" s="34">
        <f>IF($B$14=CB4,1,0)</f>
        <v>0</v>
      </c>
      <c r="CA4" s="56" t="s">
        <v>78</v>
      </c>
      <c r="CB4" s="34" t="s">
        <v>53</v>
      </c>
      <c r="CC4" s="51"/>
      <c r="CD4" s="34" t="e">
        <f>IF($F$12=CF4,1,0)</f>
        <v>#N/A</v>
      </c>
      <c r="CE4" s="56" t="s">
        <v>80</v>
      </c>
      <c r="CF4" s="34">
        <v>15</v>
      </c>
      <c r="CG4" s="51"/>
      <c r="CH4" s="34" t="e">
        <f t="shared" ref="CH4:CH14" si="20">IF($E$14=CJ4,1,0)</f>
        <v>#N/A</v>
      </c>
      <c r="CI4" s="31">
        <v>1</v>
      </c>
      <c r="CJ4" s="31" t="s">
        <v>74</v>
      </c>
      <c r="CK4" s="31" t="e">
        <f t="shared" ref="CK4:CK10" si="21">IF($E$14=CM4,1,0)</f>
        <v>#N/A</v>
      </c>
      <c r="CL4" s="31">
        <v>1</v>
      </c>
      <c r="CM4" s="71" t="s">
        <v>75</v>
      </c>
      <c r="CN4" s="71" t="e">
        <f t="shared" ref="CN4:CN10" si="22">IF($E$14=CP4,1,0)</f>
        <v>#N/A</v>
      </c>
      <c r="CO4" s="31">
        <v>1</v>
      </c>
      <c r="CP4" s="71" t="s">
        <v>76</v>
      </c>
      <c r="CQ4" s="53"/>
      <c r="CR4" t="e">
        <f>IF(OR(E14="DPL 80/115-2,2/2",E14="DPL 100/175-3/4"),1,0)</f>
        <v>#N/A</v>
      </c>
      <c r="CS4" s="15">
        <v>5</v>
      </c>
      <c r="CU4" s="53"/>
      <c r="CV4" s="51"/>
      <c r="CW4" s="34">
        <f t="shared" ref="CW4:CW10" si="23">IF($E$9=CY4,1,0)</f>
        <v>0</v>
      </c>
      <c r="CX4" s="56" t="s">
        <v>81</v>
      </c>
      <c r="CY4" s="57" t="s">
        <v>82</v>
      </c>
      <c r="CZ4" s="53"/>
      <c r="DA4" s="34">
        <f t="shared" ref="DA4:DA9" si="24">IF($F$9=DC4,1,0)</f>
        <v>0</v>
      </c>
      <c r="DB4" s="56" t="s">
        <v>81</v>
      </c>
      <c r="DC4" s="57" t="s">
        <v>82</v>
      </c>
      <c r="DD4" s="53"/>
      <c r="DE4" s="34">
        <f>IF($B$16=DG4,1,0)</f>
        <v>0</v>
      </c>
      <c r="DF4" s="56" t="s">
        <v>78</v>
      </c>
      <c r="DG4" s="34" t="s">
        <v>83</v>
      </c>
      <c r="DH4" s="53"/>
      <c r="DI4" s="34">
        <f>IF($B$17=DK4,1,0)</f>
        <v>0</v>
      </c>
      <c r="DJ4" s="56" t="s">
        <v>78</v>
      </c>
      <c r="DK4" s="61" t="s">
        <v>84</v>
      </c>
    </row>
    <row r="5" spans="1:116" x14ac:dyDescent="0.25">
      <c r="A5" s="58" t="s">
        <v>85</v>
      </c>
      <c r="B5" s="59">
        <f>'ol4'!N13</f>
        <v>130</v>
      </c>
      <c r="C5" s="72" t="s">
        <v>86</v>
      </c>
      <c r="E5" t="s">
        <v>48</v>
      </c>
      <c r="F5" s="73" t="e">
        <f>VLOOKUP(2,I4:L17,2,0)</f>
        <v>#N/A</v>
      </c>
      <c r="I5" s="54">
        <f t="shared" si="0"/>
        <v>0</v>
      </c>
      <c r="J5" s="57">
        <v>20</v>
      </c>
      <c r="K5" s="57">
        <f t="shared" ref="K4:K17" si="25">1/POWER(1.14+2*LOG10((J5/1000)/($K$21/1000)),2)</f>
        <v>5.2990299783484442E-2</v>
      </c>
      <c r="L5" s="57">
        <f t="shared" ref="L4:L17" si="26">0.00638*K5*POWER($F$4,2)/(POWER(J5/1000,5)*$K$20)</f>
        <v>0</v>
      </c>
      <c r="M5" s="57"/>
      <c r="N5" s="57" t="e">
        <f t="shared" si="1"/>
        <v>#DIV/0!</v>
      </c>
      <c r="O5" s="57">
        <v>20</v>
      </c>
      <c r="P5" s="57">
        <f t="shared" si="2"/>
        <v>5.2990299783484442E-2</v>
      </c>
      <c r="Q5" s="61" t="e">
        <f t="shared" si="3"/>
        <v>#DIV/0!</v>
      </c>
      <c r="R5" s="57">
        <f t="shared" si="4"/>
        <v>0</v>
      </c>
      <c r="S5" s="57">
        <v>20</v>
      </c>
      <c r="T5" s="57">
        <f t="shared" ref="T5:T17" si="27">1/POWER(1.14+2*LOG10((S5/1000)/($K$21/1000)),2)</f>
        <v>5.2990299783484442E-2</v>
      </c>
      <c r="U5" s="61">
        <f t="shared" ref="U4:U17" si="28">0.00638*T5*POWER($F$16,2)/(POWER(S5/1000,5)*$K$20)</f>
        <v>0</v>
      </c>
      <c r="W5" s="62" t="s">
        <v>87</v>
      </c>
      <c r="X5" s="74">
        <f>F4/SQRT(0.1*X4)</f>
        <v>0</v>
      </c>
      <c r="Y5" s="74"/>
      <c r="Z5" s="54">
        <f t="shared" si="5"/>
        <v>1</v>
      </c>
      <c r="AA5" s="57">
        <v>15</v>
      </c>
      <c r="AB5" s="61">
        <v>2.5</v>
      </c>
      <c r="AC5" s="54">
        <f t="shared" si="6"/>
        <v>1</v>
      </c>
      <c r="AD5" s="57">
        <v>15</v>
      </c>
      <c r="AE5" s="61">
        <v>2.5</v>
      </c>
      <c r="AF5" s="57">
        <f t="shared" si="7"/>
        <v>1</v>
      </c>
      <c r="AG5" s="57">
        <v>15</v>
      </c>
      <c r="AH5" s="61">
        <v>2.5</v>
      </c>
      <c r="AJ5" s="70">
        <v>6</v>
      </c>
      <c r="AK5" s="54" t="e">
        <f t="shared" si="8"/>
        <v>#DIV/0!</v>
      </c>
      <c r="AL5" s="61" t="s">
        <v>88</v>
      </c>
      <c r="AM5" s="53" t="e">
        <f t="shared" si="9"/>
        <v>#DIV/0!</v>
      </c>
      <c r="AN5" s="53" t="s">
        <v>89</v>
      </c>
      <c r="AO5" s="54" t="e">
        <f t="shared" si="10"/>
        <v>#DIV/0!</v>
      </c>
      <c r="AP5" s="75" t="s">
        <v>90</v>
      </c>
      <c r="AS5" s="54">
        <v>0.25</v>
      </c>
      <c r="AT5" s="57">
        <f t="shared" si="11"/>
        <v>1</v>
      </c>
      <c r="AU5" s="57" t="s">
        <v>91</v>
      </c>
      <c r="AV5" s="57">
        <f t="shared" si="12"/>
        <v>1</v>
      </c>
      <c r="AW5" s="30">
        <v>1</v>
      </c>
      <c r="AX5" s="54">
        <v>0.25</v>
      </c>
      <c r="AY5" s="57">
        <f t="shared" si="13"/>
        <v>1</v>
      </c>
      <c r="AZ5" s="57" t="s">
        <v>91</v>
      </c>
      <c r="BA5" s="57">
        <f t="shared" si="14"/>
        <v>1</v>
      </c>
      <c r="BB5" s="30">
        <v>1</v>
      </c>
      <c r="BC5" s="54">
        <v>0.45</v>
      </c>
      <c r="BD5" s="57">
        <f t="shared" si="15"/>
        <v>1</v>
      </c>
      <c r="BE5" s="57" t="s">
        <v>92</v>
      </c>
      <c r="BF5" s="57">
        <f t="shared" si="16"/>
        <v>1</v>
      </c>
      <c r="BG5" s="55">
        <v>1</v>
      </c>
      <c r="BH5" s="57">
        <v>0.09</v>
      </c>
      <c r="BI5" s="57">
        <f t="shared" si="17"/>
        <v>1</v>
      </c>
      <c r="BJ5" s="57" t="s">
        <v>93</v>
      </c>
      <c r="BK5" s="57">
        <f t="shared" si="18"/>
        <v>1</v>
      </c>
      <c r="BL5" s="61">
        <v>1</v>
      </c>
      <c r="BN5" s="50" t="s">
        <v>94</v>
      </c>
      <c r="BO5" s="34" t="s">
        <v>95</v>
      </c>
      <c r="BP5" s="51"/>
      <c r="BQ5" s="34" t="e">
        <f t="shared" ref="BQ4:BQ15" si="29">IF($F$5=BS5,1,0)</f>
        <v>#N/A</v>
      </c>
      <c r="BR5" s="56" t="s">
        <v>96</v>
      </c>
      <c r="BS5" s="34">
        <v>20</v>
      </c>
      <c r="BT5" s="53"/>
      <c r="BU5" s="70">
        <f>IF($F$7=BX5,1,0)</f>
        <v>0</v>
      </c>
      <c r="BV5" s="56" t="s">
        <v>96</v>
      </c>
      <c r="BW5" s="34">
        <v>15</v>
      </c>
      <c r="BX5" s="55">
        <v>1.25</v>
      </c>
      <c r="BY5" s="51"/>
      <c r="BZ5" s="34">
        <f>IF($B$14=CB5,1,0)</f>
        <v>0</v>
      </c>
      <c r="CA5" s="56" t="s">
        <v>94</v>
      </c>
      <c r="CB5" s="34" t="s">
        <v>55</v>
      </c>
      <c r="CC5" s="51"/>
      <c r="CD5" s="34" t="e">
        <f t="shared" ref="CD4:CD15" si="30">IF($F$12=CF5,1,0)</f>
        <v>#N/A</v>
      </c>
      <c r="CE5" s="56" t="s">
        <v>96</v>
      </c>
      <c r="CF5" s="34">
        <v>20</v>
      </c>
      <c r="CG5" s="51"/>
      <c r="CH5" s="34" t="e">
        <f t="shared" si="20"/>
        <v>#N/A</v>
      </c>
      <c r="CI5" s="31">
        <v>2</v>
      </c>
      <c r="CJ5" s="31" t="s">
        <v>88</v>
      </c>
      <c r="CK5" s="31" t="e">
        <f t="shared" si="21"/>
        <v>#N/A</v>
      </c>
      <c r="CL5" s="31">
        <v>2</v>
      </c>
      <c r="CM5" s="31" t="s">
        <v>89</v>
      </c>
      <c r="CN5" s="71" t="e">
        <f t="shared" si="22"/>
        <v>#N/A</v>
      </c>
      <c r="CO5" s="31">
        <v>2</v>
      </c>
      <c r="CP5" s="71" t="s">
        <v>90</v>
      </c>
      <c r="CQ5" s="53"/>
      <c r="CR5" s="57">
        <f>IF($B$15=CT5,1,0)</f>
        <v>0</v>
      </c>
      <c r="CS5" s="31">
        <v>1</v>
      </c>
      <c r="CT5" s="31" t="s">
        <v>33</v>
      </c>
      <c r="CU5" s="53"/>
      <c r="CV5" s="51"/>
      <c r="CW5" s="34">
        <f t="shared" si="23"/>
        <v>1</v>
      </c>
      <c r="CX5" s="56" t="s">
        <v>78</v>
      </c>
      <c r="CY5" s="34" t="s">
        <v>77</v>
      </c>
      <c r="CZ5" s="53"/>
      <c r="DA5" s="34">
        <f t="shared" si="24"/>
        <v>1</v>
      </c>
      <c r="DB5" s="56" t="s">
        <v>78</v>
      </c>
      <c r="DC5" s="34">
        <v>1</v>
      </c>
      <c r="DD5" s="53"/>
      <c r="DE5" s="34">
        <f>IF($B$16=DG5,1,0)</f>
        <v>0</v>
      </c>
      <c r="DF5" s="56" t="s">
        <v>94</v>
      </c>
      <c r="DG5" s="34" t="s">
        <v>55</v>
      </c>
      <c r="DH5" s="53"/>
      <c r="DI5" s="34">
        <f>IF($B$17=DK5,1,0)</f>
        <v>0</v>
      </c>
      <c r="DJ5" s="56" t="s">
        <v>81</v>
      </c>
      <c r="DK5" s="55" t="s">
        <v>97</v>
      </c>
    </row>
    <row r="6" spans="1:116" x14ac:dyDescent="0.25">
      <c r="A6" s="58" t="s">
        <v>98</v>
      </c>
      <c r="B6" s="59">
        <f>IF(OR('ol4'!C32="зависимая",'ol4'!C32=0),'ol4'!R13,IF(('ol4'!R13-B8)&lt;5,B8+5,'ol4'!R13))</f>
        <v>70</v>
      </c>
      <c r="C6" s="72" t="s">
        <v>86</v>
      </c>
      <c r="E6" t="s">
        <v>99</v>
      </c>
      <c r="F6" s="73">
        <f>VLOOKUP(1,IF(B14="IMI Hydronic",Z4:AB21,IF(B14="Siemens",AC4:AE22,AF4:AH16)),2,0)</f>
        <v>15</v>
      </c>
      <c r="I6" s="54">
        <f t="shared" si="0"/>
        <v>0</v>
      </c>
      <c r="J6" s="57">
        <v>25</v>
      </c>
      <c r="K6" s="57">
        <f t="shared" si="25"/>
        <v>4.8560427292756572E-2</v>
      </c>
      <c r="L6" s="57">
        <f t="shared" si="26"/>
        <v>0</v>
      </c>
      <c r="M6" s="57"/>
      <c r="N6" s="57" t="e">
        <f t="shared" si="1"/>
        <v>#DIV/0!</v>
      </c>
      <c r="O6" s="57">
        <v>25</v>
      </c>
      <c r="P6" s="57">
        <f t="shared" si="2"/>
        <v>4.8560427292756572E-2</v>
      </c>
      <c r="Q6" s="61" t="e">
        <f t="shared" si="3"/>
        <v>#DIV/0!</v>
      </c>
      <c r="R6" s="57">
        <f t="shared" si="4"/>
        <v>0</v>
      </c>
      <c r="S6" s="57">
        <v>25</v>
      </c>
      <c r="T6" s="57">
        <f t="shared" si="27"/>
        <v>4.8560427292756572E-2</v>
      </c>
      <c r="U6" s="61">
        <f t="shared" si="28"/>
        <v>0</v>
      </c>
      <c r="W6" s="54"/>
      <c r="X6" s="57"/>
      <c r="Y6" s="57"/>
      <c r="Z6" s="54">
        <f t="shared" si="5"/>
        <v>1</v>
      </c>
      <c r="AA6" s="57">
        <v>15</v>
      </c>
      <c r="AB6" s="61">
        <v>4</v>
      </c>
      <c r="AC6" s="54">
        <f t="shared" si="6"/>
        <v>1</v>
      </c>
      <c r="AD6" s="57">
        <v>15</v>
      </c>
      <c r="AE6" s="61">
        <v>4</v>
      </c>
      <c r="AF6" s="57">
        <f t="shared" si="7"/>
        <v>1</v>
      </c>
      <c r="AG6" s="57">
        <v>15</v>
      </c>
      <c r="AH6" s="61">
        <v>4</v>
      </c>
      <c r="AJ6" s="70">
        <v>10</v>
      </c>
      <c r="AK6" s="54" t="e">
        <f t="shared" si="8"/>
        <v>#DIV/0!</v>
      </c>
      <c r="AL6" s="61" t="s">
        <v>100</v>
      </c>
      <c r="AM6" s="53" t="e">
        <f t="shared" si="9"/>
        <v>#DIV/0!</v>
      </c>
      <c r="AN6" s="53" t="s">
        <v>101</v>
      </c>
      <c r="AO6" s="54" t="e">
        <f t="shared" si="10"/>
        <v>#DIV/0!</v>
      </c>
      <c r="AP6" s="75" t="s">
        <v>102</v>
      </c>
      <c r="AR6" s="57"/>
      <c r="AS6" s="54">
        <v>0.67</v>
      </c>
      <c r="AT6" s="57">
        <f t="shared" si="11"/>
        <v>1</v>
      </c>
      <c r="AU6" s="57" t="s">
        <v>92</v>
      </c>
      <c r="AV6" s="57">
        <f t="shared" si="12"/>
        <v>1</v>
      </c>
      <c r="AW6" s="30">
        <v>1</v>
      </c>
      <c r="AX6" s="54">
        <v>0.57499999999999996</v>
      </c>
      <c r="AY6" s="57">
        <f t="shared" si="13"/>
        <v>1</v>
      </c>
      <c r="AZ6" s="57" t="s">
        <v>92</v>
      </c>
      <c r="BA6" s="57">
        <f t="shared" si="14"/>
        <v>1</v>
      </c>
      <c r="BB6" s="30">
        <v>1</v>
      </c>
      <c r="BC6" s="54">
        <v>0.71</v>
      </c>
      <c r="BD6" s="57">
        <f t="shared" si="15"/>
        <v>1</v>
      </c>
      <c r="BE6" s="57" t="s">
        <v>92</v>
      </c>
      <c r="BF6" s="57">
        <f t="shared" si="16"/>
        <v>1</v>
      </c>
      <c r="BG6" s="55">
        <v>2</v>
      </c>
      <c r="BH6">
        <v>0.3</v>
      </c>
      <c r="BI6" s="57">
        <f t="shared" si="17"/>
        <v>1</v>
      </c>
      <c r="BJ6" s="57" t="s">
        <v>92</v>
      </c>
      <c r="BK6" s="57">
        <f t="shared" si="18"/>
        <v>1</v>
      </c>
      <c r="BL6" s="61">
        <v>1</v>
      </c>
      <c r="BN6" s="50"/>
      <c r="BO6" s="34"/>
      <c r="BP6" s="51"/>
      <c r="BQ6" s="34" t="e">
        <f t="shared" si="29"/>
        <v>#N/A</v>
      </c>
      <c r="BR6" s="56" t="s">
        <v>103</v>
      </c>
      <c r="BS6" s="34">
        <v>25</v>
      </c>
      <c r="BT6" s="53"/>
      <c r="BU6" s="70">
        <f t="shared" si="19"/>
        <v>1</v>
      </c>
      <c r="BV6" s="56" t="s">
        <v>103</v>
      </c>
      <c r="BW6" s="34">
        <v>15</v>
      </c>
      <c r="BX6" s="55">
        <v>1.6</v>
      </c>
      <c r="BY6" s="51"/>
      <c r="BZ6" s="34">
        <f>IF($B$14=CB6,1,0)</f>
        <v>0</v>
      </c>
      <c r="CA6" s="56" t="s">
        <v>104</v>
      </c>
      <c r="CB6" s="34" t="s">
        <v>54</v>
      </c>
      <c r="CC6" s="51"/>
      <c r="CD6" s="34" t="e">
        <f t="shared" si="30"/>
        <v>#N/A</v>
      </c>
      <c r="CE6" s="56" t="s">
        <v>103</v>
      </c>
      <c r="CF6" s="34">
        <v>25</v>
      </c>
      <c r="CG6" s="51"/>
      <c r="CH6" s="34" t="e">
        <f t="shared" si="20"/>
        <v>#N/A</v>
      </c>
      <c r="CI6" s="31">
        <v>3</v>
      </c>
      <c r="CJ6" s="31" t="s">
        <v>100</v>
      </c>
      <c r="CK6" s="31" t="e">
        <f t="shared" si="21"/>
        <v>#N/A</v>
      </c>
      <c r="CL6" s="31">
        <v>3</v>
      </c>
      <c r="CM6" s="31" t="s">
        <v>101</v>
      </c>
      <c r="CN6" s="71" t="e">
        <f t="shared" si="22"/>
        <v>#N/A</v>
      </c>
      <c r="CO6" s="31">
        <v>3</v>
      </c>
      <c r="CP6" s="71" t="s">
        <v>102</v>
      </c>
      <c r="CQ6" s="53"/>
      <c r="CR6" s="57">
        <f>IF($B$15=CT6,1,0)</f>
        <v>0</v>
      </c>
      <c r="CS6" s="31">
        <v>2</v>
      </c>
      <c r="CT6" s="31" t="s">
        <v>34</v>
      </c>
      <c r="CU6" s="53"/>
      <c r="CV6" s="51"/>
      <c r="CW6" s="34">
        <f t="shared" si="23"/>
        <v>0</v>
      </c>
      <c r="CX6" s="56" t="s">
        <v>94</v>
      </c>
      <c r="CY6" s="34" t="s">
        <v>91</v>
      </c>
      <c r="CZ6" s="53"/>
      <c r="DA6" s="34">
        <f t="shared" si="24"/>
        <v>0</v>
      </c>
      <c r="DB6" s="56" t="s">
        <v>94</v>
      </c>
      <c r="DC6" s="34">
        <v>2</v>
      </c>
      <c r="DD6" s="53"/>
      <c r="DE6" s="34">
        <f>IF($B$16=DG6,1,0)</f>
        <v>0</v>
      </c>
      <c r="DF6" s="56" t="s">
        <v>104</v>
      </c>
      <c r="DG6" s="76" t="s">
        <v>54</v>
      </c>
      <c r="DH6" s="53"/>
      <c r="DI6" s="34"/>
      <c r="DJ6" s="56"/>
      <c r="DK6" s="55"/>
    </row>
    <row r="7" spans="1:116" x14ac:dyDescent="0.25">
      <c r="A7" s="58" t="s">
        <v>105</v>
      </c>
      <c r="B7" s="59">
        <f>'ol4'!N16</f>
        <v>0</v>
      </c>
      <c r="C7" s="72" t="s">
        <v>86</v>
      </c>
      <c r="E7" t="s">
        <v>106</v>
      </c>
      <c r="F7" s="73">
        <f>VLOOKUP(1,IF(B14="IMI Hydronic",Z4:AB21,IF(B14="Siemens",AC4:AE22,AF4:AH16)),3,0)</f>
        <v>1.6</v>
      </c>
      <c r="I7" s="54">
        <f t="shared" si="0"/>
        <v>0</v>
      </c>
      <c r="J7" s="57">
        <v>32</v>
      </c>
      <c r="K7" s="57">
        <f t="shared" si="25"/>
        <v>4.4277322004702871E-2</v>
      </c>
      <c r="L7" s="57">
        <f t="shared" si="26"/>
        <v>0</v>
      </c>
      <c r="M7" s="57"/>
      <c r="N7" s="57" t="e">
        <f t="shared" si="1"/>
        <v>#DIV/0!</v>
      </c>
      <c r="O7" s="57">
        <v>32</v>
      </c>
      <c r="P7" s="57">
        <f t="shared" si="2"/>
        <v>4.4277322004702871E-2</v>
      </c>
      <c r="Q7" s="61" t="e">
        <f t="shared" si="3"/>
        <v>#DIV/0!</v>
      </c>
      <c r="R7" s="57">
        <f t="shared" si="4"/>
        <v>0</v>
      </c>
      <c r="S7" s="57">
        <v>32</v>
      </c>
      <c r="T7" s="57">
        <f t="shared" si="27"/>
        <v>4.4277322004702871E-2</v>
      </c>
      <c r="U7" s="61">
        <f t="shared" si="28"/>
        <v>0</v>
      </c>
      <c r="W7" s="54"/>
      <c r="X7" s="57"/>
      <c r="Y7" s="57"/>
      <c r="Z7" s="54">
        <f t="shared" si="5"/>
        <v>1</v>
      </c>
      <c r="AA7" s="57">
        <v>20</v>
      </c>
      <c r="AB7" s="61">
        <v>6.3</v>
      </c>
      <c r="AC7" s="54">
        <f t="shared" si="6"/>
        <v>1</v>
      </c>
      <c r="AD7" s="57">
        <v>20</v>
      </c>
      <c r="AE7" s="61">
        <v>6.3</v>
      </c>
      <c r="AF7" s="57">
        <f t="shared" si="7"/>
        <v>1</v>
      </c>
      <c r="AG7" s="57">
        <v>20</v>
      </c>
      <c r="AH7" s="61">
        <v>6.3</v>
      </c>
      <c r="AJ7" s="70">
        <v>14</v>
      </c>
      <c r="AK7" s="54" t="e">
        <f>IF($F$13&lt;AJ7,1,0)</f>
        <v>#DIV/0!</v>
      </c>
      <c r="AL7" s="61" t="s">
        <v>107</v>
      </c>
      <c r="AM7" s="53" t="e">
        <f t="shared" si="9"/>
        <v>#DIV/0!</v>
      </c>
      <c r="AN7" s="53" t="s">
        <v>108</v>
      </c>
      <c r="AO7" s="54" t="e">
        <f t="shared" si="10"/>
        <v>#DIV/0!</v>
      </c>
      <c r="AP7" s="53" t="s">
        <v>109</v>
      </c>
      <c r="AR7" s="57"/>
      <c r="AS7" s="54">
        <v>1</v>
      </c>
      <c r="AT7" s="57">
        <f t="shared" si="11"/>
        <v>1</v>
      </c>
      <c r="AU7" s="57" t="s">
        <v>92</v>
      </c>
      <c r="AV7" s="57">
        <f t="shared" si="12"/>
        <v>1</v>
      </c>
      <c r="AW7" s="30">
        <v>2</v>
      </c>
      <c r="AX7" s="54">
        <v>0.9</v>
      </c>
      <c r="AY7" s="57">
        <f t="shared" si="13"/>
        <v>1</v>
      </c>
      <c r="AZ7" s="57" t="s">
        <v>92</v>
      </c>
      <c r="BA7" s="57">
        <f t="shared" si="14"/>
        <v>1</v>
      </c>
      <c r="BB7" s="30">
        <v>2</v>
      </c>
      <c r="BC7" s="54">
        <v>0.95</v>
      </c>
      <c r="BD7" s="57">
        <f t="shared" si="15"/>
        <v>1</v>
      </c>
      <c r="BE7" s="57" t="s">
        <v>92</v>
      </c>
      <c r="BF7" s="57">
        <f t="shared" si="16"/>
        <v>1</v>
      </c>
      <c r="BG7" s="77">
        <v>3</v>
      </c>
      <c r="BH7">
        <v>0.48</v>
      </c>
      <c r="BI7" s="57">
        <f t="shared" si="17"/>
        <v>1</v>
      </c>
      <c r="BJ7" s="57" t="s">
        <v>92</v>
      </c>
      <c r="BK7" s="57">
        <f t="shared" si="18"/>
        <v>1</v>
      </c>
      <c r="BL7" s="61">
        <v>2</v>
      </c>
      <c r="BN7" s="50"/>
      <c r="BO7" s="34"/>
      <c r="BP7" s="51"/>
      <c r="BQ7" s="34" t="e">
        <f t="shared" si="29"/>
        <v>#N/A</v>
      </c>
      <c r="BR7" s="56" t="s">
        <v>110</v>
      </c>
      <c r="BS7" s="34">
        <v>32</v>
      </c>
      <c r="BT7" s="53"/>
      <c r="BU7" s="70">
        <f t="shared" si="19"/>
        <v>0</v>
      </c>
      <c r="BV7" s="56" t="s">
        <v>110</v>
      </c>
      <c r="BW7" s="34">
        <v>15</v>
      </c>
      <c r="BX7" s="55">
        <v>2.5</v>
      </c>
      <c r="BY7" s="51"/>
      <c r="BZ7" s="34"/>
      <c r="CA7" s="56"/>
      <c r="CB7" s="34"/>
      <c r="CC7" s="51"/>
      <c r="CD7" s="34" t="e">
        <f t="shared" si="30"/>
        <v>#N/A</v>
      </c>
      <c r="CE7" s="56" t="s">
        <v>110</v>
      </c>
      <c r="CF7" s="34">
        <v>32</v>
      </c>
      <c r="CG7" s="51"/>
      <c r="CH7" s="34" t="e">
        <f t="shared" si="20"/>
        <v>#N/A</v>
      </c>
      <c r="CI7" s="76">
        <v>4</v>
      </c>
      <c r="CJ7" s="31" t="s">
        <v>107</v>
      </c>
      <c r="CK7" s="31" t="e">
        <f t="shared" si="21"/>
        <v>#N/A</v>
      </c>
      <c r="CL7" s="76">
        <v>4</v>
      </c>
      <c r="CM7" s="31" t="s">
        <v>108</v>
      </c>
      <c r="CN7" s="71" t="e">
        <f t="shared" si="22"/>
        <v>#N/A</v>
      </c>
      <c r="CO7" s="76">
        <v>4</v>
      </c>
      <c r="CP7" s="31" t="s">
        <v>109</v>
      </c>
      <c r="CQ7" s="53"/>
      <c r="CR7" s="57">
        <f>IF($B$15=CT7,1,0)</f>
        <v>0</v>
      </c>
      <c r="CS7" s="31">
        <v>3</v>
      </c>
      <c r="CT7" s="76" t="s">
        <v>35</v>
      </c>
      <c r="CU7" s="53"/>
      <c r="CV7" s="51"/>
      <c r="CW7" s="34">
        <f t="shared" si="23"/>
        <v>0</v>
      </c>
      <c r="CX7" s="56" t="s">
        <v>104</v>
      </c>
      <c r="CY7" s="76" t="s">
        <v>93</v>
      </c>
      <c r="CZ7" s="53"/>
      <c r="DA7" s="34">
        <f t="shared" si="24"/>
        <v>0</v>
      </c>
      <c r="DB7" s="56" t="s">
        <v>104</v>
      </c>
      <c r="DC7" s="34">
        <v>3</v>
      </c>
      <c r="DD7" s="53"/>
      <c r="DE7" s="34"/>
      <c r="DF7" s="57"/>
      <c r="DG7" s="57"/>
      <c r="DH7" s="53"/>
      <c r="DI7" s="34"/>
      <c r="DJ7" s="56"/>
      <c r="DK7" s="30"/>
    </row>
    <row r="8" spans="1:116" x14ac:dyDescent="0.25">
      <c r="A8" s="58" t="s">
        <v>111</v>
      </c>
      <c r="B8" s="59">
        <f>'ol4'!R16</f>
        <v>0</v>
      </c>
      <c r="C8" s="72" t="s">
        <v>86</v>
      </c>
      <c r="E8" s="78" t="s">
        <v>73</v>
      </c>
      <c r="F8" s="60">
        <f>(F4^2/F7^2)*10</f>
        <v>0</v>
      </c>
      <c r="I8" s="54">
        <f t="shared" si="0"/>
        <v>0</v>
      </c>
      <c r="J8" s="57">
        <v>40</v>
      </c>
      <c r="K8" s="57">
        <f t="shared" si="25"/>
        <v>4.0875226338606248E-2</v>
      </c>
      <c r="L8" s="57">
        <f t="shared" si="26"/>
        <v>0</v>
      </c>
      <c r="M8" s="57"/>
      <c r="N8" s="57" t="e">
        <f t="shared" si="1"/>
        <v>#DIV/0!</v>
      </c>
      <c r="O8" s="57">
        <v>40</v>
      </c>
      <c r="P8" s="57">
        <f t="shared" si="2"/>
        <v>4.0875226338606248E-2</v>
      </c>
      <c r="Q8" s="61" t="e">
        <f t="shared" si="3"/>
        <v>#DIV/0!</v>
      </c>
      <c r="R8" s="57">
        <f t="shared" si="4"/>
        <v>0</v>
      </c>
      <c r="S8" s="57">
        <v>40</v>
      </c>
      <c r="T8" s="57">
        <f t="shared" si="27"/>
        <v>4.0875226338606248E-2</v>
      </c>
      <c r="U8" s="61">
        <f t="shared" si="28"/>
        <v>0</v>
      </c>
      <c r="W8" s="62"/>
      <c r="X8" s="57"/>
      <c r="Y8" s="74"/>
      <c r="Z8" s="54">
        <f t="shared" si="5"/>
        <v>1</v>
      </c>
      <c r="AA8" s="57">
        <v>25</v>
      </c>
      <c r="AB8" s="61">
        <v>10</v>
      </c>
      <c r="AC8" s="54">
        <f t="shared" si="6"/>
        <v>1</v>
      </c>
      <c r="AD8" s="57">
        <v>25</v>
      </c>
      <c r="AE8" s="61">
        <v>10</v>
      </c>
      <c r="AF8" s="57">
        <f t="shared" si="7"/>
        <v>1</v>
      </c>
      <c r="AG8" s="57">
        <v>25</v>
      </c>
      <c r="AH8" s="61">
        <v>10</v>
      </c>
      <c r="AJ8" s="70">
        <v>25</v>
      </c>
      <c r="AK8" s="54" t="e">
        <f t="shared" si="8"/>
        <v>#DIV/0!</v>
      </c>
      <c r="AL8" s="61" t="s">
        <v>112</v>
      </c>
      <c r="AM8" s="53" t="e">
        <f t="shared" si="9"/>
        <v>#DIV/0!</v>
      </c>
      <c r="AN8" s="53" t="s">
        <v>113</v>
      </c>
      <c r="AO8" s="54" t="e">
        <f t="shared" si="10"/>
        <v>#DIV/0!</v>
      </c>
      <c r="AP8" s="75" t="s">
        <v>114</v>
      </c>
      <c r="AR8" s="57"/>
      <c r="AS8" s="54">
        <v>1.25</v>
      </c>
      <c r="AT8" s="57">
        <f t="shared" si="11"/>
        <v>1</v>
      </c>
      <c r="AU8" s="57" t="s">
        <v>92</v>
      </c>
      <c r="AV8" s="57">
        <f t="shared" si="12"/>
        <v>1</v>
      </c>
      <c r="AW8" s="30">
        <v>3</v>
      </c>
      <c r="AX8" s="54">
        <v>1.1599999999999999</v>
      </c>
      <c r="AY8" s="57">
        <f t="shared" si="13"/>
        <v>1</v>
      </c>
      <c r="AZ8" s="57" t="s">
        <v>92</v>
      </c>
      <c r="BA8" s="57">
        <f t="shared" si="14"/>
        <v>1</v>
      </c>
      <c r="BB8" s="30">
        <v>3</v>
      </c>
      <c r="BC8" s="54">
        <v>1.25</v>
      </c>
      <c r="BD8" s="57">
        <f t="shared" si="15"/>
        <v>1</v>
      </c>
      <c r="BE8" s="57" t="s">
        <v>92</v>
      </c>
      <c r="BF8" s="57">
        <f t="shared" si="16"/>
        <v>1</v>
      </c>
      <c r="BG8" s="77">
        <v>4</v>
      </c>
      <c r="BH8">
        <v>0.66</v>
      </c>
      <c r="BI8" s="57">
        <f t="shared" si="17"/>
        <v>1</v>
      </c>
      <c r="BJ8" s="57" t="s">
        <v>92</v>
      </c>
      <c r="BK8" s="57">
        <f t="shared" si="18"/>
        <v>1</v>
      </c>
      <c r="BL8" s="61">
        <v>3</v>
      </c>
      <c r="BN8" s="50"/>
      <c r="BO8" s="34"/>
      <c r="BP8" s="51"/>
      <c r="BQ8" s="34" t="e">
        <f t="shared" si="29"/>
        <v>#N/A</v>
      </c>
      <c r="BR8" s="56" t="s">
        <v>115</v>
      </c>
      <c r="BS8" s="34">
        <v>40</v>
      </c>
      <c r="BT8" s="53"/>
      <c r="BU8" s="70">
        <f t="shared" si="19"/>
        <v>0</v>
      </c>
      <c r="BV8" s="56" t="s">
        <v>115</v>
      </c>
      <c r="BW8" s="34">
        <v>15</v>
      </c>
      <c r="BX8" s="55">
        <v>4</v>
      </c>
      <c r="BY8" s="51"/>
      <c r="BZ8" s="34"/>
      <c r="CA8" s="56"/>
      <c r="CB8" s="34"/>
      <c r="CC8" s="51"/>
      <c r="CD8" s="34" t="e">
        <f t="shared" si="30"/>
        <v>#N/A</v>
      </c>
      <c r="CE8" s="56" t="s">
        <v>115</v>
      </c>
      <c r="CF8" s="34">
        <v>40</v>
      </c>
      <c r="CG8" s="51"/>
      <c r="CH8" s="34" t="e">
        <f t="shared" si="20"/>
        <v>#N/A</v>
      </c>
      <c r="CI8" s="76">
        <v>5</v>
      </c>
      <c r="CJ8" s="31" t="s">
        <v>112</v>
      </c>
      <c r="CK8" s="31" t="e">
        <f t="shared" si="21"/>
        <v>#N/A</v>
      </c>
      <c r="CL8" s="76">
        <v>5</v>
      </c>
      <c r="CM8" s="31" t="s">
        <v>113</v>
      </c>
      <c r="CN8" s="71" t="e">
        <f t="shared" si="22"/>
        <v>#N/A</v>
      </c>
      <c r="CO8" s="76">
        <v>5</v>
      </c>
      <c r="CP8" s="71" t="s">
        <v>114</v>
      </c>
      <c r="CQ8" s="53"/>
      <c r="CU8" s="53"/>
      <c r="CV8" s="51"/>
      <c r="CW8" s="34">
        <f t="shared" si="23"/>
        <v>0</v>
      </c>
      <c r="CX8" s="56" t="s">
        <v>116</v>
      </c>
      <c r="CY8" s="34" t="s">
        <v>92</v>
      </c>
      <c r="CZ8" s="53"/>
      <c r="DA8" s="34">
        <f t="shared" si="24"/>
        <v>0</v>
      </c>
      <c r="DB8" s="56" t="s">
        <v>116</v>
      </c>
      <c r="DC8" s="34">
        <v>4</v>
      </c>
      <c r="DD8" s="53"/>
      <c r="DE8" s="34"/>
      <c r="DF8" s="56"/>
      <c r="DG8" s="34"/>
      <c r="DH8" s="53"/>
      <c r="DI8" s="34"/>
      <c r="DJ8" s="56"/>
      <c r="DK8" s="55"/>
    </row>
    <row r="9" spans="1:116" x14ac:dyDescent="0.25">
      <c r="A9" s="58" t="s">
        <v>117</v>
      </c>
      <c r="B9" s="59">
        <f>'ol4'!W13*100</f>
        <v>60</v>
      </c>
      <c r="C9" s="72" t="s">
        <v>118</v>
      </c>
      <c r="E9" s="79" t="str">
        <f>IF('ol4'!C32="ЗАВИСИМАЯ","ОТСУТСТВУЕТ",VLOOKUP(1,IF(B5=150,AT4:AU11,IF(B5=130,AY4:AZ11,IF(B5=115,BD4:BE10,IF(B5=105,BI4:BJ13,0)))),2,0))</f>
        <v>НН08</v>
      </c>
      <c r="F9" s="73">
        <f>IF('ol4'!C32="ЗАВИСИМАЯ","ОТСУТСТВУЕТ",VLOOKUP(1,IF(B5=150,AV4:AW11,IF(B5=130,BA4:BB11,IF(B5=115,BF4:BG10,IF(B5=105,BK4:BL13,0)))),2,0))</f>
        <v>1</v>
      </c>
      <c r="I9" s="54">
        <f t="shared" si="0"/>
        <v>0</v>
      </c>
      <c r="J9" s="57">
        <v>50</v>
      </c>
      <c r="K9" s="57">
        <f t="shared" si="25"/>
        <v>3.7850686611455138E-2</v>
      </c>
      <c r="L9" s="57">
        <f t="shared" si="26"/>
        <v>0</v>
      </c>
      <c r="M9" s="57"/>
      <c r="N9" s="57" t="e">
        <f t="shared" si="1"/>
        <v>#DIV/0!</v>
      </c>
      <c r="O9" s="57">
        <v>50</v>
      </c>
      <c r="P9" s="57">
        <f t="shared" si="2"/>
        <v>3.7850686611455138E-2</v>
      </c>
      <c r="Q9" s="61" t="e">
        <f t="shared" si="3"/>
        <v>#DIV/0!</v>
      </c>
      <c r="R9" s="57">
        <f t="shared" si="4"/>
        <v>0</v>
      </c>
      <c r="S9" s="57">
        <v>50</v>
      </c>
      <c r="T9" s="57">
        <f t="shared" si="27"/>
        <v>3.7850686611455138E-2</v>
      </c>
      <c r="U9" s="61">
        <f t="shared" si="28"/>
        <v>0</v>
      </c>
      <c r="W9" s="62"/>
      <c r="X9" s="74"/>
      <c r="Y9" s="57"/>
      <c r="Z9" s="54">
        <f t="shared" si="5"/>
        <v>1</v>
      </c>
      <c r="AA9" s="57">
        <v>32</v>
      </c>
      <c r="AB9" s="61">
        <v>16</v>
      </c>
      <c r="AC9" s="54">
        <f t="shared" si="6"/>
        <v>1</v>
      </c>
      <c r="AD9" s="57">
        <v>32</v>
      </c>
      <c r="AE9" s="61">
        <v>16</v>
      </c>
      <c r="AF9" s="57">
        <f t="shared" si="7"/>
        <v>1</v>
      </c>
      <c r="AG9" s="57">
        <v>32</v>
      </c>
      <c r="AH9" s="61">
        <v>16</v>
      </c>
      <c r="AJ9" s="70">
        <v>30</v>
      </c>
      <c r="AK9" s="54" t="e">
        <f t="shared" si="8"/>
        <v>#DIV/0!</v>
      </c>
      <c r="AL9" s="61" t="s">
        <v>119</v>
      </c>
      <c r="AM9" s="53" t="e">
        <f t="shared" si="9"/>
        <v>#DIV/0!</v>
      </c>
      <c r="AN9" s="53" t="s">
        <v>120</v>
      </c>
      <c r="AO9" s="54" t="e">
        <f t="shared" si="10"/>
        <v>#DIV/0!</v>
      </c>
      <c r="AP9" s="75" t="s">
        <v>121</v>
      </c>
      <c r="AR9" s="57"/>
      <c r="AS9" s="54">
        <v>1.3</v>
      </c>
      <c r="AT9" s="57">
        <f t="shared" si="11"/>
        <v>1</v>
      </c>
      <c r="AU9" s="57" t="s">
        <v>92</v>
      </c>
      <c r="AV9" s="57">
        <f t="shared" si="12"/>
        <v>1</v>
      </c>
      <c r="AW9" s="30">
        <v>4</v>
      </c>
      <c r="AX9" s="54">
        <v>1.3</v>
      </c>
      <c r="AY9" s="57">
        <f t="shared" si="13"/>
        <v>1</v>
      </c>
      <c r="AZ9" s="57" t="s">
        <v>92</v>
      </c>
      <c r="BA9" s="57">
        <f t="shared" si="14"/>
        <v>1</v>
      </c>
      <c r="BB9" s="30">
        <v>4</v>
      </c>
      <c r="BC9" s="54">
        <v>1.8</v>
      </c>
      <c r="BD9" s="57">
        <f t="shared" si="15"/>
        <v>1</v>
      </c>
      <c r="BE9" s="57" t="s">
        <v>122</v>
      </c>
      <c r="BF9" s="57">
        <f t="shared" si="16"/>
        <v>1</v>
      </c>
      <c r="BG9" s="77">
        <v>2</v>
      </c>
      <c r="BH9" s="57">
        <v>0.91</v>
      </c>
      <c r="BI9" s="57">
        <f t="shared" si="17"/>
        <v>1</v>
      </c>
      <c r="BJ9" s="57" t="s">
        <v>92</v>
      </c>
      <c r="BK9" s="57">
        <f t="shared" si="18"/>
        <v>1</v>
      </c>
      <c r="BL9" s="61">
        <v>4</v>
      </c>
      <c r="BN9" s="50"/>
      <c r="BO9" s="34"/>
      <c r="BP9" s="51"/>
      <c r="BQ9" s="34" t="e">
        <f t="shared" si="29"/>
        <v>#N/A</v>
      </c>
      <c r="BR9" s="56" t="s">
        <v>123</v>
      </c>
      <c r="BS9" s="34">
        <v>50</v>
      </c>
      <c r="BT9" s="53"/>
      <c r="BU9" s="70">
        <f t="shared" si="19"/>
        <v>0</v>
      </c>
      <c r="BV9" s="56" t="s">
        <v>123</v>
      </c>
      <c r="BW9" s="34">
        <v>20</v>
      </c>
      <c r="BX9" s="55">
        <v>5</v>
      </c>
      <c r="BY9" s="51"/>
      <c r="BZ9" s="34"/>
      <c r="CA9" s="56"/>
      <c r="CB9" s="34"/>
      <c r="CC9" s="51"/>
      <c r="CD9" s="34" t="e">
        <f t="shared" si="30"/>
        <v>#N/A</v>
      </c>
      <c r="CE9" s="56" t="s">
        <v>123</v>
      </c>
      <c r="CF9" s="34">
        <v>50</v>
      </c>
      <c r="CG9" s="51"/>
      <c r="CH9" s="34" t="e">
        <f t="shared" si="20"/>
        <v>#N/A</v>
      </c>
      <c r="CI9" s="76">
        <v>6</v>
      </c>
      <c r="CJ9" s="31" t="s">
        <v>119</v>
      </c>
      <c r="CK9" s="31" t="e">
        <f t="shared" si="21"/>
        <v>#N/A</v>
      </c>
      <c r="CL9" s="76">
        <v>6</v>
      </c>
      <c r="CM9" s="31" t="s">
        <v>120</v>
      </c>
      <c r="CN9" s="71" t="e">
        <f t="shared" si="22"/>
        <v>#N/A</v>
      </c>
      <c r="CO9" s="76">
        <v>6</v>
      </c>
      <c r="CP9" s="71" t="s">
        <v>121</v>
      </c>
      <c r="CQ9" s="53"/>
      <c r="CR9" s="57"/>
      <c r="CS9" s="57"/>
      <c r="CT9" s="57"/>
      <c r="CU9" s="53"/>
      <c r="CV9" s="51"/>
      <c r="CW9" s="34">
        <f t="shared" si="23"/>
        <v>0</v>
      </c>
      <c r="CX9" s="56" t="s">
        <v>124</v>
      </c>
      <c r="CY9" s="34" t="s">
        <v>122</v>
      </c>
      <c r="CZ9" s="53"/>
      <c r="DA9" s="34">
        <f t="shared" si="24"/>
        <v>0</v>
      </c>
      <c r="DB9" s="56" t="s">
        <v>124</v>
      </c>
      <c r="DC9" s="34">
        <v>5</v>
      </c>
      <c r="DD9" s="53"/>
      <c r="DE9" s="34"/>
      <c r="DF9" s="56"/>
      <c r="DG9" s="34"/>
      <c r="DH9" s="53"/>
      <c r="DI9" s="34"/>
      <c r="DJ9" s="56"/>
      <c r="DK9" s="55"/>
    </row>
    <row r="10" spans="1:116" x14ac:dyDescent="0.25">
      <c r="A10" s="58" t="s">
        <v>125</v>
      </c>
      <c r="B10" s="59">
        <f>'ol4'!AC13*100</f>
        <v>40</v>
      </c>
      <c r="C10" s="72" t="s">
        <v>118</v>
      </c>
      <c r="I10" s="54">
        <f t="shared" si="0"/>
        <v>0</v>
      </c>
      <c r="J10" s="57">
        <v>65</v>
      </c>
      <c r="K10" s="57">
        <f t="shared" si="25"/>
        <v>3.4705101432211748E-2</v>
      </c>
      <c r="L10" s="57">
        <f t="shared" si="26"/>
        <v>0</v>
      </c>
      <c r="M10" s="57"/>
      <c r="N10" s="57" t="e">
        <f t="shared" si="1"/>
        <v>#DIV/0!</v>
      </c>
      <c r="O10" s="57">
        <v>65</v>
      </c>
      <c r="P10" s="57">
        <f t="shared" si="2"/>
        <v>3.4705101432211748E-2</v>
      </c>
      <c r="Q10" s="61" t="e">
        <f t="shared" si="3"/>
        <v>#DIV/0!</v>
      </c>
      <c r="R10" s="57">
        <f t="shared" si="4"/>
        <v>0</v>
      </c>
      <c r="S10" s="57">
        <v>65</v>
      </c>
      <c r="T10" s="57">
        <f t="shared" si="27"/>
        <v>3.4705101432211748E-2</v>
      </c>
      <c r="U10" s="61">
        <f t="shared" si="28"/>
        <v>0</v>
      </c>
      <c r="W10" s="54"/>
      <c r="X10" s="57"/>
      <c r="Y10" s="57"/>
      <c r="Z10" s="54">
        <f t="shared" si="5"/>
        <v>1</v>
      </c>
      <c r="AA10" s="57">
        <v>40</v>
      </c>
      <c r="AB10" s="61">
        <v>20</v>
      </c>
      <c r="AC10" s="54">
        <f t="shared" si="6"/>
        <v>1</v>
      </c>
      <c r="AD10" s="57">
        <v>40</v>
      </c>
      <c r="AE10" s="61">
        <v>25</v>
      </c>
      <c r="AF10" s="57">
        <f t="shared" si="7"/>
        <v>1</v>
      </c>
      <c r="AG10" s="57">
        <v>40</v>
      </c>
      <c r="AH10" s="61">
        <v>25</v>
      </c>
      <c r="AJ10" s="70">
        <v>40</v>
      </c>
      <c r="AK10" s="54" t="e">
        <f t="shared" si="8"/>
        <v>#DIV/0!</v>
      </c>
      <c r="AL10" s="61" t="s">
        <v>126</v>
      </c>
      <c r="AM10" s="53" t="e">
        <f t="shared" si="9"/>
        <v>#DIV/0!</v>
      </c>
      <c r="AN10" s="53" t="s">
        <v>127</v>
      </c>
      <c r="AO10" s="54" t="e">
        <f t="shared" si="10"/>
        <v>#DIV/0!</v>
      </c>
      <c r="AP10" s="75" t="s">
        <v>128</v>
      </c>
      <c r="AR10" s="57"/>
      <c r="AS10" s="54">
        <v>1.65</v>
      </c>
      <c r="AT10" s="57">
        <f t="shared" si="11"/>
        <v>1</v>
      </c>
      <c r="AU10" s="57" t="s">
        <v>122</v>
      </c>
      <c r="AV10" s="57">
        <f t="shared" si="12"/>
        <v>1</v>
      </c>
      <c r="AW10" s="30">
        <v>1</v>
      </c>
      <c r="AX10" s="54">
        <v>1.4</v>
      </c>
      <c r="AY10" s="57">
        <f t="shared" si="13"/>
        <v>1</v>
      </c>
      <c r="AZ10" s="57" t="s">
        <v>122</v>
      </c>
      <c r="BA10" s="57">
        <f t="shared" si="14"/>
        <v>1</v>
      </c>
      <c r="BB10" s="30">
        <v>1</v>
      </c>
      <c r="BC10" s="54">
        <v>2.0009999999999999</v>
      </c>
      <c r="BD10" s="57">
        <f t="shared" si="15"/>
        <v>1</v>
      </c>
      <c r="BE10" s="57" t="s">
        <v>129</v>
      </c>
      <c r="BF10" s="57">
        <f t="shared" si="16"/>
        <v>1</v>
      </c>
      <c r="BG10" s="77">
        <v>1</v>
      </c>
      <c r="BH10" s="57">
        <v>1.1000000000000001</v>
      </c>
      <c r="BI10" s="57">
        <f t="shared" si="17"/>
        <v>1</v>
      </c>
      <c r="BJ10" s="57" t="s">
        <v>92</v>
      </c>
      <c r="BK10" s="57">
        <f t="shared" si="18"/>
        <v>1</v>
      </c>
      <c r="BL10" s="61">
        <v>5</v>
      </c>
      <c r="BN10" s="50"/>
      <c r="BO10" s="34"/>
      <c r="BP10" s="51"/>
      <c r="BQ10" s="34" t="e">
        <f t="shared" si="29"/>
        <v>#N/A</v>
      </c>
      <c r="BR10" s="56" t="s">
        <v>130</v>
      </c>
      <c r="BS10" s="34">
        <v>65</v>
      </c>
      <c r="BT10" s="53"/>
      <c r="BU10" s="70">
        <f t="shared" si="19"/>
        <v>0</v>
      </c>
      <c r="BV10" s="56" t="s">
        <v>130</v>
      </c>
      <c r="BW10" s="34">
        <v>20</v>
      </c>
      <c r="BX10" s="55">
        <v>6.3</v>
      </c>
      <c r="BY10" s="51"/>
      <c r="BZ10" s="34"/>
      <c r="CA10" s="56"/>
      <c r="CB10" s="34"/>
      <c r="CC10" s="51"/>
      <c r="CD10" s="34" t="e">
        <f t="shared" si="30"/>
        <v>#N/A</v>
      </c>
      <c r="CE10" s="56" t="s">
        <v>130</v>
      </c>
      <c r="CF10" s="34">
        <v>65</v>
      </c>
      <c r="CG10" s="51"/>
      <c r="CH10" s="34" t="e">
        <f t="shared" si="20"/>
        <v>#N/A</v>
      </c>
      <c r="CI10" s="76">
        <v>7</v>
      </c>
      <c r="CJ10" s="31" t="s">
        <v>126</v>
      </c>
      <c r="CK10" s="31" t="e">
        <f t="shared" si="21"/>
        <v>#N/A</v>
      </c>
      <c r="CL10" s="76">
        <v>7</v>
      </c>
      <c r="CM10" s="31" t="s">
        <v>127</v>
      </c>
      <c r="CN10" s="71" t="e">
        <f t="shared" si="22"/>
        <v>#N/A</v>
      </c>
      <c r="CO10" s="76">
        <v>7</v>
      </c>
      <c r="CP10" s="71" t="s">
        <v>128</v>
      </c>
      <c r="CQ10" s="53"/>
      <c r="CU10" s="53"/>
      <c r="CV10" s="51"/>
      <c r="CW10" s="34">
        <f t="shared" si="23"/>
        <v>0</v>
      </c>
      <c r="CX10" s="56" t="s">
        <v>131</v>
      </c>
      <c r="CY10" s="34" t="s">
        <v>129</v>
      </c>
      <c r="CZ10" s="53"/>
      <c r="DA10" s="34"/>
      <c r="DB10" s="56"/>
      <c r="DC10" s="34"/>
      <c r="DD10" s="53"/>
      <c r="DE10" s="34"/>
      <c r="DF10" s="56"/>
      <c r="DG10" s="34"/>
      <c r="DH10" s="53"/>
      <c r="DI10" s="34"/>
      <c r="DJ10" s="56"/>
      <c r="DK10" s="55"/>
    </row>
    <row r="11" spans="1:116" x14ac:dyDescent="0.25">
      <c r="A11" s="80" t="s">
        <v>132</v>
      </c>
      <c r="B11" s="59">
        <f>'ol4'!Z16</f>
        <v>0</v>
      </c>
      <c r="C11" s="72" t="s">
        <v>118</v>
      </c>
      <c r="E11" t="s">
        <v>133</v>
      </c>
      <c r="F11" s="60" t="e">
        <f>B4*1000/(B7-B8)</f>
        <v>#DIV/0!</v>
      </c>
      <c r="I11" s="54">
        <f t="shared" si="0"/>
        <v>0</v>
      </c>
      <c r="J11" s="57">
        <v>80</v>
      </c>
      <c r="K11" s="57">
        <f t="shared" si="25"/>
        <v>3.248549788373601E-2</v>
      </c>
      <c r="L11" s="57">
        <f t="shared" si="26"/>
        <v>0</v>
      </c>
      <c r="M11" s="57"/>
      <c r="N11" s="57" t="e">
        <f t="shared" si="1"/>
        <v>#DIV/0!</v>
      </c>
      <c r="O11" s="57">
        <v>80</v>
      </c>
      <c r="P11" s="57">
        <f t="shared" si="2"/>
        <v>3.248549788373601E-2</v>
      </c>
      <c r="Q11" s="61" t="e">
        <f t="shared" si="3"/>
        <v>#DIV/0!</v>
      </c>
      <c r="R11" s="57">
        <f t="shared" si="4"/>
        <v>0</v>
      </c>
      <c r="S11" s="57">
        <v>80</v>
      </c>
      <c r="T11" s="57">
        <f t="shared" si="27"/>
        <v>3.248549788373601E-2</v>
      </c>
      <c r="U11" s="61">
        <f t="shared" si="28"/>
        <v>0</v>
      </c>
      <c r="W11" s="54"/>
      <c r="X11" s="57"/>
      <c r="Y11" s="74"/>
      <c r="Z11" s="54">
        <f t="shared" si="5"/>
        <v>1</v>
      </c>
      <c r="AA11" s="57">
        <v>40</v>
      </c>
      <c r="AB11" s="61">
        <v>25</v>
      </c>
      <c r="AC11" s="54">
        <f t="shared" si="6"/>
        <v>1</v>
      </c>
      <c r="AD11" s="57">
        <v>50</v>
      </c>
      <c r="AE11" s="61">
        <v>31.5</v>
      </c>
      <c r="AF11" s="57">
        <f t="shared" si="7"/>
        <v>1</v>
      </c>
      <c r="AG11" s="57">
        <v>50</v>
      </c>
      <c r="AH11" s="61">
        <v>40</v>
      </c>
      <c r="AJ11" s="70">
        <v>50</v>
      </c>
      <c r="AK11" s="54" t="e">
        <f t="shared" si="8"/>
        <v>#DIV/0!</v>
      </c>
      <c r="AL11" s="61" t="s">
        <v>134</v>
      </c>
      <c r="AM11" s="53" t="e">
        <f t="shared" si="9"/>
        <v>#DIV/0!</v>
      </c>
      <c r="AN11" s="53" t="s">
        <v>135</v>
      </c>
      <c r="AO11" s="54" t="e">
        <f t="shared" si="10"/>
        <v>#DIV/0!</v>
      </c>
      <c r="AP11" s="53" t="s">
        <v>135</v>
      </c>
      <c r="AS11" s="54">
        <v>2.0009999999999999</v>
      </c>
      <c r="AT11" s="57">
        <f t="shared" si="11"/>
        <v>1</v>
      </c>
      <c r="AU11" s="57" t="s">
        <v>122</v>
      </c>
      <c r="AV11" s="57">
        <f t="shared" si="12"/>
        <v>1</v>
      </c>
      <c r="AW11" s="30">
        <v>2</v>
      </c>
      <c r="AX11" s="54">
        <v>2.0009999999999999</v>
      </c>
      <c r="AY11" s="57">
        <f t="shared" si="13"/>
        <v>1</v>
      </c>
      <c r="AZ11" s="57" t="s">
        <v>122</v>
      </c>
      <c r="BA11" s="57">
        <f t="shared" si="14"/>
        <v>1</v>
      </c>
      <c r="BB11" s="30">
        <v>2</v>
      </c>
      <c r="BC11" s="54"/>
      <c r="BD11" s="57"/>
      <c r="BE11" s="57"/>
      <c r="BF11" s="57"/>
      <c r="BG11" s="61"/>
      <c r="BH11" s="57">
        <v>1.3</v>
      </c>
      <c r="BI11" s="57">
        <f t="shared" si="17"/>
        <v>1</v>
      </c>
      <c r="BJ11" s="57" t="s">
        <v>122</v>
      </c>
      <c r="BK11" s="57">
        <f t="shared" si="18"/>
        <v>1</v>
      </c>
      <c r="BL11" s="61">
        <v>2</v>
      </c>
      <c r="BN11" s="50"/>
      <c r="BO11" s="34"/>
      <c r="BP11" s="51"/>
      <c r="BQ11" s="34" t="e">
        <f t="shared" si="29"/>
        <v>#N/A</v>
      </c>
      <c r="BR11" s="56" t="s">
        <v>136</v>
      </c>
      <c r="BS11" s="34">
        <v>80</v>
      </c>
      <c r="BT11" s="53"/>
      <c r="BU11" s="70">
        <f t="shared" si="19"/>
        <v>0</v>
      </c>
      <c r="BV11" s="56" t="s">
        <v>136</v>
      </c>
      <c r="BW11" s="34">
        <v>25</v>
      </c>
      <c r="BX11" s="55">
        <v>8</v>
      </c>
      <c r="BY11" s="51"/>
      <c r="BZ11" s="34"/>
      <c r="CA11" s="56"/>
      <c r="CB11" s="34"/>
      <c r="CC11" s="51"/>
      <c r="CD11" s="34" t="e">
        <f t="shared" si="30"/>
        <v>#N/A</v>
      </c>
      <c r="CE11" s="56" t="s">
        <v>136</v>
      </c>
      <c r="CF11" s="34">
        <v>80</v>
      </c>
      <c r="CG11" s="51"/>
      <c r="CH11" s="34" t="e">
        <f t="shared" si="20"/>
        <v>#N/A</v>
      </c>
      <c r="CI11" s="76">
        <v>8</v>
      </c>
      <c r="CJ11" s="31" t="s">
        <v>134</v>
      </c>
      <c r="CK11" s="31"/>
      <c r="CL11" s="31"/>
      <c r="CM11" s="31"/>
      <c r="CN11" s="31"/>
      <c r="CO11" s="31"/>
      <c r="CP11" s="31"/>
      <c r="CQ11" s="53"/>
      <c r="CU11" s="53"/>
      <c r="CV11" s="51"/>
      <c r="CW11" s="34"/>
      <c r="CX11" s="56"/>
      <c r="CY11" s="34"/>
      <c r="CZ11" s="53"/>
      <c r="DA11" s="34"/>
      <c r="DB11" s="56"/>
      <c r="DC11" s="34"/>
      <c r="DD11" s="53"/>
      <c r="DE11" s="34"/>
      <c r="DF11" s="56"/>
      <c r="DG11" s="34"/>
      <c r="DH11" s="53"/>
      <c r="DI11" s="34"/>
      <c r="DJ11" s="56"/>
      <c r="DK11" s="55"/>
    </row>
    <row r="12" spans="1:116" x14ac:dyDescent="0.25">
      <c r="A12" s="80" t="s">
        <v>137</v>
      </c>
      <c r="B12">
        <f>B9-B10</f>
        <v>20</v>
      </c>
      <c r="C12" s="72" t="s">
        <v>118</v>
      </c>
      <c r="E12" t="s">
        <v>51</v>
      </c>
      <c r="F12" s="73" t="e">
        <f>VLOOKUP(1,N4:Q17,2,0)</f>
        <v>#N/A</v>
      </c>
      <c r="I12" s="54">
        <f t="shared" si="0"/>
        <v>0</v>
      </c>
      <c r="J12" s="57">
        <v>100</v>
      </c>
      <c r="K12" s="57">
        <f t="shared" si="25"/>
        <v>3.0329450982592862E-2</v>
      </c>
      <c r="L12" s="57">
        <f t="shared" si="26"/>
        <v>0</v>
      </c>
      <c r="M12" s="57"/>
      <c r="N12" s="57" t="e">
        <f t="shared" si="1"/>
        <v>#DIV/0!</v>
      </c>
      <c r="O12" s="57">
        <v>100</v>
      </c>
      <c r="P12" s="57">
        <f t="shared" si="2"/>
        <v>3.0329450982592862E-2</v>
      </c>
      <c r="Q12" s="61" t="e">
        <f t="shared" si="3"/>
        <v>#DIV/0!</v>
      </c>
      <c r="R12" s="57">
        <f t="shared" si="4"/>
        <v>0</v>
      </c>
      <c r="S12" s="57">
        <v>100</v>
      </c>
      <c r="T12" s="57">
        <f t="shared" si="27"/>
        <v>3.0329450982592862E-2</v>
      </c>
      <c r="U12" s="61">
        <f t="shared" si="28"/>
        <v>0</v>
      </c>
      <c r="W12" s="62"/>
      <c r="X12" s="57"/>
      <c r="Y12" s="57"/>
      <c r="Z12" s="54">
        <f t="shared" si="5"/>
        <v>1</v>
      </c>
      <c r="AA12" s="57">
        <v>50</v>
      </c>
      <c r="AB12" s="61">
        <v>31.5</v>
      </c>
      <c r="AC12" s="54">
        <f t="shared" si="6"/>
        <v>1</v>
      </c>
      <c r="AD12" s="57">
        <v>50</v>
      </c>
      <c r="AE12" s="61">
        <v>40</v>
      </c>
      <c r="AF12" s="57">
        <f t="shared" si="7"/>
        <v>1</v>
      </c>
      <c r="AG12" s="57">
        <v>65</v>
      </c>
      <c r="AH12" s="61">
        <v>63</v>
      </c>
      <c r="AJ12" s="70">
        <v>60</v>
      </c>
      <c r="AK12" s="54" t="e">
        <f t="shared" si="8"/>
        <v>#DIV/0!</v>
      </c>
      <c r="AL12" s="61" t="s">
        <v>135</v>
      </c>
      <c r="AM12" s="53" t="e">
        <f t="shared" si="9"/>
        <v>#DIV/0!</v>
      </c>
      <c r="AN12" s="81" t="s">
        <v>135</v>
      </c>
      <c r="AO12" s="54" t="e">
        <f t="shared" si="10"/>
        <v>#DIV/0!</v>
      </c>
      <c r="AP12" s="81" t="s">
        <v>135</v>
      </c>
      <c r="AS12" s="54"/>
      <c r="AT12" s="57"/>
      <c r="AU12" s="57"/>
      <c r="AV12" s="57"/>
      <c r="AW12" s="30"/>
      <c r="AX12" s="54"/>
      <c r="AY12" s="57"/>
      <c r="AZ12" s="57"/>
      <c r="BA12" s="57"/>
      <c r="BB12" s="61"/>
      <c r="BC12" s="54"/>
      <c r="BD12" s="57"/>
      <c r="BE12" s="57"/>
      <c r="BF12" s="57"/>
      <c r="BG12" s="61"/>
      <c r="BH12" s="57">
        <v>1.45</v>
      </c>
      <c r="BI12" s="57">
        <f t="shared" si="17"/>
        <v>1</v>
      </c>
      <c r="BJ12" s="57" t="s">
        <v>129</v>
      </c>
      <c r="BK12" s="57">
        <f t="shared" si="18"/>
        <v>1</v>
      </c>
      <c r="BL12" s="61">
        <v>1</v>
      </c>
      <c r="BN12" s="50"/>
      <c r="BO12" s="34"/>
      <c r="BP12" s="51"/>
      <c r="BQ12" s="34" t="e">
        <f t="shared" si="29"/>
        <v>#N/A</v>
      </c>
      <c r="BR12" s="56" t="s">
        <v>138</v>
      </c>
      <c r="BS12" s="34">
        <v>100</v>
      </c>
      <c r="BT12" s="53"/>
      <c r="BU12" s="70">
        <f t="shared" si="19"/>
        <v>0</v>
      </c>
      <c r="BV12" s="56" t="s">
        <v>138</v>
      </c>
      <c r="BW12" s="34">
        <v>25</v>
      </c>
      <c r="BX12" s="55">
        <v>10</v>
      </c>
      <c r="BY12" s="51"/>
      <c r="BZ12" s="34"/>
      <c r="CA12" s="56"/>
      <c r="CB12" s="34"/>
      <c r="CC12" s="51"/>
      <c r="CD12" s="34" t="e">
        <f t="shared" si="30"/>
        <v>#N/A</v>
      </c>
      <c r="CE12" s="56" t="s">
        <v>138</v>
      </c>
      <c r="CF12" s="34">
        <v>100</v>
      </c>
      <c r="CG12" s="51"/>
      <c r="CH12" s="34" t="e">
        <f t="shared" si="20"/>
        <v>#N/A</v>
      </c>
      <c r="CI12" s="31"/>
      <c r="CJ12" s="57"/>
      <c r="CK12" s="57"/>
      <c r="CL12" s="57"/>
      <c r="CM12" s="57"/>
      <c r="CN12" s="57"/>
      <c r="CO12" s="57"/>
      <c r="CP12" s="57"/>
      <c r="CQ12" s="53"/>
      <c r="CU12" s="53"/>
      <c r="CV12" s="51"/>
      <c r="CW12" s="34"/>
      <c r="CX12" s="56"/>
      <c r="CY12" s="34"/>
      <c r="CZ12" s="53"/>
      <c r="DA12" s="34"/>
      <c r="DB12" s="56"/>
      <c r="DC12" s="34"/>
      <c r="DD12" s="53"/>
      <c r="DE12" s="34"/>
      <c r="DF12" s="56"/>
      <c r="DG12" s="34"/>
      <c r="DH12" s="53"/>
      <c r="DI12" s="34"/>
      <c r="DJ12" s="56"/>
      <c r="DK12" s="55"/>
    </row>
    <row r="13" spans="1:116" x14ac:dyDescent="0.25">
      <c r="A13" s="58"/>
      <c r="C13" s="72"/>
      <c r="E13" t="s">
        <v>56</v>
      </c>
      <c r="F13" s="60" t="e">
        <f>F11*1.1</f>
        <v>#DIV/0!</v>
      </c>
      <c r="I13" s="54">
        <f t="shared" si="0"/>
        <v>0</v>
      </c>
      <c r="J13" s="57">
        <v>125</v>
      </c>
      <c r="K13" s="57">
        <f t="shared" si="25"/>
        <v>2.8381135828692533E-2</v>
      </c>
      <c r="L13" s="57">
        <f t="shared" si="26"/>
        <v>0</v>
      </c>
      <c r="M13" s="57"/>
      <c r="N13" s="57" t="e">
        <f t="shared" si="1"/>
        <v>#DIV/0!</v>
      </c>
      <c r="O13" s="57">
        <v>125</v>
      </c>
      <c r="P13" s="57">
        <f t="shared" si="2"/>
        <v>2.8381135828692533E-2</v>
      </c>
      <c r="Q13" s="61" t="e">
        <f t="shared" si="3"/>
        <v>#DIV/0!</v>
      </c>
      <c r="R13" s="57">
        <f t="shared" si="4"/>
        <v>0</v>
      </c>
      <c r="S13" s="57">
        <v>125</v>
      </c>
      <c r="T13" s="57">
        <f t="shared" si="27"/>
        <v>2.8381135828692533E-2</v>
      </c>
      <c r="U13" s="61">
        <f t="shared" si="28"/>
        <v>0</v>
      </c>
      <c r="W13" s="62"/>
      <c r="X13" s="74"/>
      <c r="Y13" s="57"/>
      <c r="Z13" s="54">
        <f t="shared" si="5"/>
        <v>1</v>
      </c>
      <c r="AA13" s="57">
        <v>50</v>
      </c>
      <c r="AB13" s="61">
        <v>40</v>
      </c>
      <c r="AC13" s="54">
        <f t="shared" si="6"/>
        <v>1</v>
      </c>
      <c r="AD13" s="57">
        <v>65</v>
      </c>
      <c r="AE13" s="61">
        <v>50</v>
      </c>
      <c r="AF13" s="57">
        <f t="shared" si="7"/>
        <v>1</v>
      </c>
      <c r="AG13" s="57">
        <v>80</v>
      </c>
      <c r="AH13" s="61">
        <v>100</v>
      </c>
      <c r="AJ13" s="82">
        <v>90</v>
      </c>
      <c r="AK13" s="83" t="e">
        <f t="shared" si="8"/>
        <v>#DIV/0!</v>
      </c>
      <c r="AL13" s="84" t="s">
        <v>139</v>
      </c>
      <c r="AM13" s="85" t="e">
        <f t="shared" si="9"/>
        <v>#DIV/0!</v>
      </c>
      <c r="AN13" s="84" t="s">
        <v>139</v>
      </c>
      <c r="AO13" s="83" t="e">
        <f t="shared" si="10"/>
        <v>#DIV/0!</v>
      </c>
      <c r="AP13" s="86" t="s">
        <v>139</v>
      </c>
      <c r="AS13" s="54"/>
      <c r="AT13" s="57"/>
      <c r="AU13" s="57"/>
      <c r="AV13" s="57"/>
      <c r="AW13" s="30"/>
      <c r="AX13" s="54"/>
      <c r="AY13" s="57"/>
      <c r="AZ13" s="57"/>
      <c r="BA13" s="57"/>
      <c r="BB13" s="61"/>
      <c r="BC13" s="54"/>
      <c r="BD13" s="57"/>
      <c r="BE13" s="57"/>
      <c r="BF13" s="57"/>
      <c r="BG13" s="61"/>
      <c r="BH13" s="54">
        <v>2.0009999999999999</v>
      </c>
      <c r="BI13" s="57">
        <f t="shared" si="17"/>
        <v>1</v>
      </c>
      <c r="BJ13" s="57" t="s">
        <v>129</v>
      </c>
      <c r="BK13" s="57">
        <f t="shared" si="18"/>
        <v>1</v>
      </c>
      <c r="BL13" s="61">
        <v>2</v>
      </c>
      <c r="BN13" s="50"/>
      <c r="BO13" s="34"/>
      <c r="BP13" s="51"/>
      <c r="BQ13" s="34" t="e">
        <f t="shared" si="29"/>
        <v>#N/A</v>
      </c>
      <c r="BR13" s="56" t="s">
        <v>140</v>
      </c>
      <c r="BS13" s="34">
        <v>125</v>
      </c>
      <c r="BT13" s="53"/>
      <c r="BU13" s="70">
        <f t="shared" si="19"/>
        <v>0</v>
      </c>
      <c r="BV13" s="56" t="s">
        <v>140</v>
      </c>
      <c r="BW13" s="34">
        <v>32</v>
      </c>
      <c r="BX13" s="55">
        <v>12.5</v>
      </c>
      <c r="BY13" s="51"/>
      <c r="BZ13" s="34"/>
      <c r="CA13" s="56"/>
      <c r="CB13" s="34"/>
      <c r="CC13" s="51"/>
      <c r="CD13" s="34" t="e">
        <f t="shared" si="30"/>
        <v>#N/A</v>
      </c>
      <c r="CE13" s="56" t="s">
        <v>140</v>
      </c>
      <c r="CF13" s="34">
        <v>125</v>
      </c>
      <c r="CG13" s="51"/>
      <c r="CH13" s="34" t="e">
        <f t="shared" si="20"/>
        <v>#N/A</v>
      </c>
      <c r="CI13" s="31">
        <v>10</v>
      </c>
      <c r="CJ13" s="76" t="s">
        <v>135</v>
      </c>
      <c r="CK13" s="34" t="e">
        <f>IF($E$14=CM13,1,0)</f>
        <v>#N/A</v>
      </c>
      <c r="CL13" s="31">
        <v>10</v>
      </c>
      <c r="CM13" s="76" t="s">
        <v>135</v>
      </c>
      <c r="CN13" s="34" t="e">
        <f>IF($E$14=CP13,1,0)</f>
        <v>#N/A</v>
      </c>
      <c r="CO13" s="31">
        <v>10</v>
      </c>
      <c r="CP13" s="76" t="s">
        <v>135</v>
      </c>
      <c r="CQ13" s="53"/>
      <c r="CR13" s="57"/>
      <c r="CS13" s="76"/>
      <c r="CT13" s="57"/>
      <c r="CU13" s="53"/>
      <c r="CV13" s="51"/>
      <c r="CW13" s="34"/>
      <c r="CX13" s="56"/>
      <c r="CY13" s="34"/>
      <c r="CZ13" s="53"/>
      <c r="DA13" s="34"/>
      <c r="DB13" s="56"/>
      <c r="DC13" s="34"/>
      <c r="DD13" s="53"/>
      <c r="DE13" s="34"/>
      <c r="DF13" s="56"/>
      <c r="DG13" s="34"/>
      <c r="DH13" s="53"/>
      <c r="DI13" s="34"/>
      <c r="DJ13" s="56"/>
      <c r="DK13" s="55"/>
    </row>
    <row r="14" spans="1:116" x14ac:dyDescent="0.25">
      <c r="A14" s="58" t="s">
        <v>31</v>
      </c>
      <c r="B14" s="1">
        <f>'ol4'!O32</f>
        <v>0</v>
      </c>
      <c r="C14" s="1"/>
      <c r="E14" s="1" t="e">
        <f>VLOOKUP(1,IF(B15="TOP-SD",AK4:AL13,IF(B15="Yonos MAXO-D",AM4:AN13,IF(B15="Stratos-D",AO4:AP13,0))),2,0)</f>
        <v>#N/A</v>
      </c>
      <c r="F14" s="1"/>
      <c r="I14" s="54">
        <f t="shared" si="0"/>
        <v>0</v>
      </c>
      <c r="J14" s="57">
        <v>150</v>
      </c>
      <c r="K14" s="57">
        <f t="shared" si="25"/>
        <v>2.6925299052784474E-2</v>
      </c>
      <c r="L14" s="57">
        <f t="shared" si="26"/>
        <v>0</v>
      </c>
      <c r="M14" s="57"/>
      <c r="N14" s="57" t="e">
        <f t="shared" si="1"/>
        <v>#DIV/0!</v>
      </c>
      <c r="O14" s="57">
        <v>150</v>
      </c>
      <c r="P14" s="57">
        <f t="shared" si="2"/>
        <v>2.6925299052784474E-2</v>
      </c>
      <c r="Q14" s="61" t="e">
        <f t="shared" si="3"/>
        <v>#DIV/0!</v>
      </c>
      <c r="R14" s="57">
        <f t="shared" si="4"/>
        <v>0</v>
      </c>
      <c r="S14" s="57">
        <v>150</v>
      </c>
      <c r="T14" s="57">
        <f t="shared" si="27"/>
        <v>2.6925299052784474E-2</v>
      </c>
      <c r="U14" s="61">
        <f t="shared" si="28"/>
        <v>0</v>
      </c>
      <c r="W14" s="54"/>
      <c r="X14" s="57"/>
      <c r="Y14" s="57"/>
      <c r="Z14" s="54">
        <f t="shared" si="5"/>
        <v>1</v>
      </c>
      <c r="AA14" s="57">
        <v>65</v>
      </c>
      <c r="AB14" s="61">
        <v>50</v>
      </c>
      <c r="AC14" s="54">
        <f t="shared" si="6"/>
        <v>1</v>
      </c>
      <c r="AD14" s="57">
        <v>65</v>
      </c>
      <c r="AE14" s="61">
        <v>63</v>
      </c>
      <c r="AF14" s="57">
        <f t="shared" si="7"/>
        <v>1</v>
      </c>
      <c r="AG14" s="57">
        <v>100</v>
      </c>
      <c r="AH14" s="61">
        <v>160</v>
      </c>
      <c r="AS14" s="54"/>
      <c r="AT14" s="57"/>
      <c r="AU14" s="57"/>
      <c r="AV14" s="57"/>
      <c r="AW14" s="30"/>
      <c r="AX14" s="54"/>
      <c r="AY14" s="57"/>
      <c r="AZ14" s="57"/>
      <c r="BA14" s="57"/>
      <c r="BB14" s="61"/>
      <c r="BC14" s="54"/>
      <c r="BD14" s="57"/>
      <c r="BE14" s="57"/>
      <c r="BF14" s="57"/>
      <c r="BG14" s="61"/>
      <c r="BH14" s="57"/>
      <c r="BI14" s="57"/>
      <c r="BJ14" s="57"/>
      <c r="BK14" s="57"/>
      <c r="BL14" s="61"/>
      <c r="BN14" s="50"/>
      <c r="BO14" s="34"/>
      <c r="BP14" s="51"/>
      <c r="BQ14" s="34" t="e">
        <f t="shared" si="29"/>
        <v>#N/A</v>
      </c>
      <c r="BR14" s="56" t="s">
        <v>141</v>
      </c>
      <c r="BS14" s="34">
        <v>150</v>
      </c>
      <c r="BT14" s="53"/>
      <c r="BU14" s="70">
        <f t="shared" si="19"/>
        <v>0</v>
      </c>
      <c r="BV14" s="56" t="s">
        <v>141</v>
      </c>
      <c r="BW14" s="34">
        <v>32</v>
      </c>
      <c r="BX14" s="55">
        <v>16</v>
      </c>
      <c r="BY14" s="51"/>
      <c r="BZ14" s="34"/>
      <c r="CA14" s="56"/>
      <c r="CB14" s="34"/>
      <c r="CC14" s="51"/>
      <c r="CD14" s="34" t="e">
        <f t="shared" si="30"/>
        <v>#N/A</v>
      </c>
      <c r="CE14" s="56" t="s">
        <v>141</v>
      </c>
      <c r="CF14" s="34">
        <v>150</v>
      </c>
      <c r="CG14" s="51"/>
      <c r="CH14" s="34" t="e">
        <f t="shared" si="20"/>
        <v>#N/A</v>
      </c>
      <c r="CI14" s="31">
        <v>11</v>
      </c>
      <c r="CJ14" s="76" t="s">
        <v>139</v>
      </c>
      <c r="CK14" s="34" t="e">
        <f>IF($E$14=CM14,1,0)</f>
        <v>#N/A</v>
      </c>
      <c r="CL14" s="31">
        <v>11</v>
      </c>
      <c r="CM14" s="76" t="s">
        <v>139</v>
      </c>
      <c r="CN14" s="34" t="e">
        <f>IF($E$14=CP14,1,0)</f>
        <v>#N/A</v>
      </c>
      <c r="CO14" s="31">
        <v>11</v>
      </c>
      <c r="CP14" s="76" t="s">
        <v>139</v>
      </c>
      <c r="CQ14" s="53"/>
      <c r="CR14" s="57"/>
      <c r="CS14" s="76"/>
      <c r="CT14" s="57"/>
      <c r="CU14" s="53"/>
      <c r="CV14" s="51"/>
      <c r="CW14" s="34"/>
      <c r="CX14" s="56"/>
      <c r="CY14" s="34"/>
      <c r="CZ14" s="53"/>
      <c r="DA14" s="34"/>
      <c r="DB14" s="56"/>
      <c r="DC14" s="34"/>
      <c r="DD14" s="53"/>
      <c r="DE14" s="34"/>
      <c r="DF14" s="56"/>
      <c r="DG14" s="34"/>
      <c r="DH14" s="53"/>
      <c r="DI14" s="34"/>
      <c r="DJ14" s="56"/>
      <c r="DK14" s="55"/>
    </row>
    <row r="15" spans="1:116" x14ac:dyDescent="0.25">
      <c r="A15" s="58" t="s">
        <v>32</v>
      </c>
      <c r="B15" s="1">
        <f>'ol4'!I32</f>
        <v>0</v>
      </c>
      <c r="C15" s="1"/>
      <c r="I15" s="54">
        <f t="shared" si="0"/>
        <v>0</v>
      </c>
      <c r="J15" s="57">
        <v>200</v>
      </c>
      <c r="K15" s="57">
        <f t="shared" si="25"/>
        <v>2.4846042519733526E-2</v>
      </c>
      <c r="L15" s="57">
        <f t="shared" si="26"/>
        <v>0</v>
      </c>
      <c r="M15" s="57"/>
      <c r="N15" s="57" t="e">
        <f t="shared" si="1"/>
        <v>#DIV/0!</v>
      </c>
      <c r="O15" s="57">
        <v>200</v>
      </c>
      <c r="P15" s="57">
        <f t="shared" si="2"/>
        <v>2.4846042519733526E-2</v>
      </c>
      <c r="Q15" s="61" t="e">
        <f t="shared" si="3"/>
        <v>#DIV/0!</v>
      </c>
      <c r="R15" s="57">
        <f t="shared" si="4"/>
        <v>0</v>
      </c>
      <c r="S15" s="57">
        <v>200</v>
      </c>
      <c r="T15" s="57">
        <f t="shared" si="27"/>
        <v>2.4846042519733526E-2</v>
      </c>
      <c r="U15" s="61">
        <f t="shared" si="28"/>
        <v>0</v>
      </c>
      <c r="W15" s="54"/>
      <c r="X15" s="57"/>
      <c r="Y15" s="57"/>
      <c r="Z15" s="54">
        <f t="shared" si="5"/>
        <v>1</v>
      </c>
      <c r="AA15" s="57">
        <v>65</v>
      </c>
      <c r="AB15" s="61">
        <v>63</v>
      </c>
      <c r="AC15" s="54">
        <f t="shared" si="6"/>
        <v>1</v>
      </c>
      <c r="AD15" s="57">
        <v>80</v>
      </c>
      <c r="AE15" s="61">
        <v>80</v>
      </c>
      <c r="AF15" s="57">
        <f t="shared" si="7"/>
        <v>1</v>
      </c>
      <c r="AG15" s="57">
        <v>125</v>
      </c>
      <c r="AH15" s="61">
        <v>250</v>
      </c>
      <c r="AS15" s="54"/>
      <c r="AT15" s="57"/>
      <c r="AU15" s="57"/>
      <c r="AV15" s="57"/>
      <c r="AW15" s="30"/>
      <c r="AX15" s="54"/>
      <c r="AY15" s="57"/>
      <c r="AZ15" s="57"/>
      <c r="BA15" s="57"/>
      <c r="BB15" s="61"/>
      <c r="BC15" s="54"/>
      <c r="BD15" s="57"/>
      <c r="BE15" s="57"/>
      <c r="BF15" s="57"/>
      <c r="BG15" s="61"/>
      <c r="BH15" s="57"/>
      <c r="BI15" s="57"/>
      <c r="BJ15" s="57"/>
      <c r="BK15" s="57"/>
      <c r="BL15" s="61"/>
      <c r="BN15" s="50"/>
      <c r="BO15" s="34"/>
      <c r="BP15" s="51"/>
      <c r="BQ15" s="34" t="e">
        <f t="shared" si="29"/>
        <v>#N/A</v>
      </c>
      <c r="BR15" s="56" t="s">
        <v>142</v>
      </c>
      <c r="BS15" s="34">
        <v>200</v>
      </c>
      <c r="BT15" s="53"/>
      <c r="BU15" s="70">
        <f t="shared" si="19"/>
        <v>0</v>
      </c>
      <c r="BV15" s="56" t="s">
        <v>142</v>
      </c>
      <c r="BW15" s="34">
        <v>40</v>
      </c>
      <c r="BX15" s="55">
        <v>20</v>
      </c>
      <c r="BY15" s="51"/>
      <c r="BZ15" s="34"/>
      <c r="CA15" s="56"/>
      <c r="CB15" s="34"/>
      <c r="CC15" s="51"/>
      <c r="CD15" s="34" t="e">
        <f t="shared" si="30"/>
        <v>#N/A</v>
      </c>
      <c r="CE15" s="56" t="s">
        <v>142</v>
      </c>
      <c r="CF15" s="34">
        <v>200</v>
      </c>
      <c r="CG15" s="51"/>
      <c r="CH15" s="34"/>
      <c r="CI15" s="31"/>
      <c r="CJ15" s="57"/>
      <c r="CK15" s="57"/>
      <c r="CL15" s="57"/>
      <c r="CM15" s="57"/>
      <c r="CN15" s="57"/>
      <c r="CO15" s="57"/>
      <c r="CP15" s="57"/>
      <c r="CQ15" s="53"/>
      <c r="CR15" s="57"/>
      <c r="CS15" s="57"/>
      <c r="CT15" s="57"/>
      <c r="CU15" s="53"/>
      <c r="CV15" s="51"/>
      <c r="CW15" s="34"/>
      <c r="CX15" s="56"/>
      <c r="CY15" s="34"/>
      <c r="CZ15" s="53"/>
      <c r="DA15" s="34"/>
      <c r="DB15" s="56"/>
      <c r="DC15" s="34"/>
      <c r="DD15" s="53"/>
      <c r="DE15" s="34"/>
      <c r="DF15" s="56"/>
      <c r="DG15" s="34"/>
      <c r="DH15" s="53"/>
      <c r="DI15" s="34"/>
      <c r="DJ15" s="56"/>
      <c r="DK15" s="55"/>
    </row>
    <row r="16" spans="1:116" x14ac:dyDescent="0.25">
      <c r="A16" s="58" t="s">
        <v>143</v>
      </c>
      <c r="B16" s="1">
        <f>'ol4'!U32</f>
        <v>0</v>
      </c>
      <c r="C16" s="1"/>
      <c r="E16" t="s">
        <v>144</v>
      </c>
      <c r="F16">
        <f>IF(B18="Отопление",11.7,IF(B18="Вентиляция",8.6,30))*B4/6</f>
        <v>0</v>
      </c>
      <c r="I16" s="54">
        <f t="shared" si="0"/>
        <v>0</v>
      </c>
      <c r="J16" s="57">
        <v>250</v>
      </c>
      <c r="K16" s="57">
        <f t="shared" si="25"/>
        <v>2.339473539768467E-2</v>
      </c>
      <c r="L16" s="57">
        <f t="shared" si="26"/>
        <v>0</v>
      </c>
      <c r="M16" s="57"/>
      <c r="N16" s="57" t="e">
        <f t="shared" si="1"/>
        <v>#DIV/0!</v>
      </c>
      <c r="O16" s="57">
        <v>250</v>
      </c>
      <c r="P16" s="57">
        <f t="shared" si="2"/>
        <v>2.339473539768467E-2</v>
      </c>
      <c r="Q16" s="61" t="e">
        <f t="shared" si="3"/>
        <v>#DIV/0!</v>
      </c>
      <c r="R16" s="57">
        <f t="shared" si="4"/>
        <v>0</v>
      </c>
      <c r="S16" s="57">
        <v>250</v>
      </c>
      <c r="T16" s="57">
        <f t="shared" si="27"/>
        <v>2.339473539768467E-2</v>
      </c>
      <c r="U16" s="61">
        <f t="shared" si="28"/>
        <v>0</v>
      </c>
      <c r="W16" s="54"/>
      <c r="X16" s="57"/>
      <c r="Y16" s="57"/>
      <c r="Z16" s="54">
        <f t="shared" si="5"/>
        <v>1</v>
      </c>
      <c r="AA16" s="57">
        <v>80</v>
      </c>
      <c r="AB16" s="61">
        <v>80</v>
      </c>
      <c r="AC16" s="54">
        <f t="shared" si="6"/>
        <v>1</v>
      </c>
      <c r="AD16" s="57">
        <v>80</v>
      </c>
      <c r="AE16" s="61">
        <v>100</v>
      </c>
      <c r="AF16" s="57">
        <f t="shared" si="7"/>
        <v>1</v>
      </c>
      <c r="AG16" s="57">
        <v>150</v>
      </c>
      <c r="AH16" s="61">
        <v>400</v>
      </c>
      <c r="AS16" s="83"/>
      <c r="AT16" s="87"/>
      <c r="AU16" s="87"/>
      <c r="AV16" s="87"/>
      <c r="AW16" s="88"/>
      <c r="AX16" s="83"/>
      <c r="AY16" s="87"/>
      <c r="AZ16" s="87"/>
      <c r="BA16" s="87"/>
      <c r="BB16" s="89"/>
      <c r="BC16" s="83"/>
      <c r="BD16" s="87"/>
      <c r="BE16" s="87"/>
      <c r="BF16" s="87"/>
      <c r="BG16" s="89"/>
      <c r="BH16" s="87"/>
      <c r="BI16" s="87"/>
      <c r="BJ16" s="87"/>
      <c r="BK16" s="87"/>
      <c r="BL16" s="89"/>
      <c r="BN16" s="50"/>
      <c r="BO16" s="34"/>
      <c r="BP16" s="51"/>
      <c r="BQ16" s="34"/>
      <c r="BR16" s="56"/>
      <c r="BS16" s="34"/>
      <c r="BT16" s="53"/>
      <c r="BU16" s="70">
        <f t="shared" si="19"/>
        <v>0</v>
      </c>
      <c r="BV16" s="56" t="s">
        <v>145</v>
      </c>
      <c r="BW16" s="34">
        <v>40</v>
      </c>
      <c r="BX16" s="55">
        <v>25</v>
      </c>
      <c r="BY16" s="51"/>
      <c r="BZ16" s="34"/>
      <c r="CA16" s="56"/>
      <c r="CB16" s="34"/>
      <c r="CC16" s="53"/>
      <c r="CD16" s="57"/>
      <c r="CE16" s="57"/>
      <c r="CF16" s="57"/>
      <c r="CG16" s="53"/>
      <c r="CH16" s="34"/>
      <c r="CI16" s="57"/>
      <c r="CJ16" s="57"/>
      <c r="CK16" s="57"/>
      <c r="CL16" s="57"/>
      <c r="CM16" s="57"/>
      <c r="CN16" s="57"/>
      <c r="CO16" s="57"/>
      <c r="CP16" s="57"/>
      <c r="CQ16" s="53"/>
      <c r="CR16" s="57"/>
      <c r="CS16" s="57"/>
      <c r="CT16" s="57"/>
      <c r="CU16" s="53"/>
      <c r="CV16" s="53"/>
      <c r="CW16" s="57"/>
      <c r="CX16" s="57"/>
      <c r="CY16" s="57"/>
      <c r="CZ16" s="53"/>
      <c r="DA16" s="57"/>
      <c r="DB16" s="57"/>
      <c r="DC16" s="57"/>
      <c r="DD16" s="53"/>
      <c r="DE16" s="57"/>
      <c r="DF16" s="57"/>
      <c r="DG16" s="57"/>
      <c r="DH16" s="53"/>
      <c r="DI16" s="57"/>
      <c r="DJ16" s="57"/>
      <c r="DK16" s="61"/>
    </row>
    <row r="17" spans="1:115" x14ac:dyDescent="0.25">
      <c r="A17" s="58" t="s">
        <v>69</v>
      </c>
      <c r="B17" s="1">
        <f>'ol4'!AA32</f>
        <v>0</v>
      </c>
      <c r="C17" s="1"/>
      <c r="E17" t="s">
        <v>52</v>
      </c>
      <c r="F17" t="e">
        <f>VLOOKUP(1,R4:U17,2,0)</f>
        <v>#N/A</v>
      </c>
      <c r="I17" s="54">
        <f t="shared" si="0"/>
        <v>0</v>
      </c>
      <c r="J17" s="57">
        <v>300</v>
      </c>
      <c r="K17" s="57">
        <f t="shared" si="25"/>
        <v>2.2301284149115197E-2</v>
      </c>
      <c r="L17" s="57">
        <f t="shared" si="26"/>
        <v>0</v>
      </c>
      <c r="M17" s="57"/>
      <c r="N17" s="57" t="e">
        <f t="shared" si="1"/>
        <v>#DIV/0!</v>
      </c>
      <c r="O17" s="57">
        <v>300</v>
      </c>
      <c r="P17" s="57">
        <f t="shared" si="2"/>
        <v>2.2301284149115197E-2</v>
      </c>
      <c r="Q17" s="61" t="e">
        <f t="shared" si="3"/>
        <v>#DIV/0!</v>
      </c>
      <c r="R17" s="57">
        <f t="shared" si="4"/>
        <v>0</v>
      </c>
      <c r="S17" s="57">
        <v>300</v>
      </c>
      <c r="T17" s="57">
        <f t="shared" si="27"/>
        <v>2.2301284149115197E-2</v>
      </c>
      <c r="U17" s="61">
        <f t="shared" si="28"/>
        <v>0</v>
      </c>
      <c r="W17" s="54"/>
      <c r="X17" s="57"/>
      <c r="Y17" s="57"/>
      <c r="Z17" s="54">
        <f t="shared" si="5"/>
        <v>1</v>
      </c>
      <c r="AA17" s="57">
        <v>80</v>
      </c>
      <c r="AB17" s="61">
        <v>100</v>
      </c>
      <c r="AC17" s="54">
        <f t="shared" si="6"/>
        <v>1</v>
      </c>
      <c r="AD17" s="57">
        <v>100</v>
      </c>
      <c r="AE17" s="61">
        <v>125</v>
      </c>
      <c r="AF17" s="57"/>
      <c r="AG17" s="57"/>
      <c r="AH17" s="61"/>
      <c r="AS17" s="57"/>
      <c r="AT17" s="57"/>
      <c r="AU17" s="57"/>
      <c r="BN17" s="50"/>
      <c r="BO17" s="34"/>
      <c r="BP17" s="51"/>
      <c r="BQ17" s="34"/>
      <c r="BR17" s="56"/>
      <c r="BS17" s="34"/>
      <c r="BT17" s="53"/>
      <c r="BU17" s="70">
        <f t="shared" si="19"/>
        <v>0</v>
      </c>
      <c r="BV17" s="56" t="s">
        <v>146</v>
      </c>
      <c r="BW17" s="34">
        <v>50</v>
      </c>
      <c r="BX17" s="55">
        <v>31.5</v>
      </c>
      <c r="BY17" s="51"/>
      <c r="BZ17" s="34"/>
      <c r="CA17" s="56"/>
      <c r="CB17" s="34"/>
      <c r="CC17" s="53"/>
      <c r="CD17" s="57"/>
      <c r="CE17" s="57"/>
      <c r="CF17" s="57"/>
      <c r="CG17" s="53"/>
      <c r="CH17" s="34"/>
      <c r="CI17" s="57"/>
      <c r="CJ17" s="57"/>
      <c r="CK17" s="57"/>
      <c r="CL17" s="57"/>
      <c r="CM17" s="57"/>
      <c r="CN17" s="57"/>
      <c r="CO17" s="57"/>
      <c r="CP17" s="57"/>
      <c r="CQ17" s="53"/>
      <c r="CR17" s="57"/>
      <c r="CS17" s="57"/>
      <c r="CT17" s="57"/>
      <c r="CU17" s="53"/>
      <c r="CV17" s="53"/>
      <c r="CW17" s="57"/>
      <c r="CX17" s="57"/>
      <c r="CY17" s="57"/>
      <c r="CZ17" s="53"/>
      <c r="DA17" s="57"/>
      <c r="DB17" s="57"/>
      <c r="DC17" s="57"/>
      <c r="DD17" s="53"/>
      <c r="DE17" s="57"/>
      <c r="DF17" s="57"/>
      <c r="DG17" s="57"/>
      <c r="DH17" s="53"/>
      <c r="DI17" s="57"/>
      <c r="DJ17" s="57"/>
      <c r="DK17" s="61"/>
    </row>
    <row r="18" spans="1:115" x14ac:dyDescent="0.25">
      <c r="A18" s="58" t="s">
        <v>147</v>
      </c>
      <c r="B18" s="1" t="str">
        <f>'ol4'!A16</f>
        <v>Отопление</v>
      </c>
      <c r="C18" s="1"/>
      <c r="I18" s="54"/>
      <c r="J18" s="57"/>
      <c r="K18" s="57"/>
      <c r="L18" s="57"/>
      <c r="M18" s="57"/>
      <c r="N18" s="57"/>
      <c r="O18" s="57"/>
      <c r="P18" s="57"/>
      <c r="Q18" s="61"/>
      <c r="R18" s="57"/>
      <c r="S18" s="57"/>
      <c r="T18" s="57"/>
      <c r="U18" s="61"/>
      <c r="W18" s="54"/>
      <c r="X18" s="57"/>
      <c r="Y18" s="57"/>
      <c r="Z18" s="54">
        <f t="shared" si="5"/>
        <v>1</v>
      </c>
      <c r="AA18" s="57">
        <v>100</v>
      </c>
      <c r="AB18" s="61">
        <v>125</v>
      </c>
      <c r="AC18" s="54">
        <f t="shared" si="6"/>
        <v>1</v>
      </c>
      <c r="AD18" s="57">
        <v>100</v>
      </c>
      <c r="AE18" s="61">
        <v>160</v>
      </c>
      <c r="AF18" s="57"/>
      <c r="AG18" s="57"/>
      <c r="AH18" s="61"/>
      <c r="BN18" s="50"/>
      <c r="BO18" s="34"/>
      <c r="BP18" s="51"/>
      <c r="BQ18" s="34"/>
      <c r="BR18" s="56"/>
      <c r="BS18" s="34"/>
      <c r="BT18" s="53"/>
      <c r="BU18" s="70">
        <f t="shared" si="19"/>
        <v>0</v>
      </c>
      <c r="BV18" s="56" t="s">
        <v>148</v>
      </c>
      <c r="BW18" s="34">
        <v>50</v>
      </c>
      <c r="BX18" s="55">
        <v>40</v>
      </c>
      <c r="BY18" s="51"/>
      <c r="BZ18" s="34"/>
      <c r="CA18" s="56"/>
      <c r="CB18" s="34"/>
      <c r="CC18" s="53"/>
      <c r="CD18" s="57"/>
      <c r="CE18" s="57"/>
      <c r="CF18" s="57"/>
      <c r="CG18" s="53"/>
      <c r="CH18" s="34"/>
      <c r="CI18" s="57"/>
      <c r="CJ18" s="57"/>
      <c r="CK18" s="57"/>
      <c r="CL18" s="57"/>
      <c r="CM18" s="57"/>
      <c r="CN18" s="57"/>
      <c r="CO18" s="57"/>
      <c r="CP18" s="57"/>
      <c r="CQ18" s="53"/>
      <c r="CR18" s="57"/>
      <c r="CS18" s="57"/>
      <c r="CT18" s="57"/>
      <c r="CU18" s="53"/>
      <c r="CV18" s="53"/>
      <c r="CW18" s="57"/>
      <c r="CX18" s="57"/>
      <c r="CY18" s="57"/>
      <c r="CZ18" s="53"/>
      <c r="DA18" s="57"/>
      <c r="DB18" s="57"/>
      <c r="DC18" s="57"/>
      <c r="DD18" s="53"/>
      <c r="DE18" s="57"/>
      <c r="DF18" s="57"/>
      <c r="DG18" s="57"/>
      <c r="DH18" s="53"/>
      <c r="DI18" s="57"/>
      <c r="DJ18" s="57"/>
      <c r="DK18" s="61"/>
    </row>
    <row r="19" spans="1:115" x14ac:dyDescent="0.25">
      <c r="A19" s="58"/>
      <c r="C19" s="72"/>
      <c r="I19" s="54"/>
      <c r="J19" s="90"/>
      <c r="K19" s="57"/>
      <c r="L19" s="57"/>
      <c r="M19" s="57"/>
      <c r="N19" s="57"/>
      <c r="O19" s="57"/>
      <c r="P19" s="57"/>
      <c r="Q19" s="61"/>
      <c r="R19" s="57"/>
      <c r="S19" s="57"/>
      <c r="T19" s="57"/>
      <c r="U19" s="61"/>
      <c r="W19" s="54"/>
      <c r="X19" s="57"/>
      <c r="Y19" s="57"/>
      <c r="Z19" s="54">
        <f t="shared" si="5"/>
        <v>1</v>
      </c>
      <c r="AA19" s="57">
        <v>100</v>
      </c>
      <c r="AB19" s="61">
        <v>160</v>
      </c>
      <c r="AC19" s="54">
        <f t="shared" si="6"/>
        <v>1</v>
      </c>
      <c r="AD19" s="57">
        <v>125</v>
      </c>
      <c r="AE19" s="61">
        <v>200</v>
      </c>
      <c r="AF19" s="57"/>
      <c r="AG19" s="57"/>
      <c r="AH19" s="61"/>
      <c r="BN19" s="50"/>
      <c r="BO19" s="34"/>
      <c r="BP19" s="51"/>
      <c r="BQ19" s="34"/>
      <c r="BR19" s="56"/>
      <c r="BS19" s="34"/>
      <c r="BT19" s="53"/>
      <c r="BU19" s="70">
        <f t="shared" si="19"/>
        <v>0</v>
      </c>
      <c r="BV19" s="56" t="s">
        <v>149</v>
      </c>
      <c r="BW19" s="34">
        <v>65</v>
      </c>
      <c r="BX19" s="55">
        <v>50</v>
      </c>
      <c r="BY19" s="51"/>
      <c r="BZ19" s="34"/>
      <c r="CA19" s="56"/>
      <c r="CB19" s="34"/>
      <c r="CC19" s="53"/>
      <c r="CD19" s="57"/>
      <c r="CE19" s="57"/>
      <c r="CF19" s="57"/>
      <c r="CG19" s="53"/>
      <c r="CH19" s="57"/>
      <c r="CI19" s="57"/>
      <c r="CJ19" s="57"/>
      <c r="CK19" s="57"/>
      <c r="CL19" s="57"/>
      <c r="CM19" s="57"/>
      <c r="CN19" s="57"/>
      <c r="CO19" s="57"/>
      <c r="CP19" s="57"/>
      <c r="CQ19" s="53"/>
      <c r="CR19" s="57"/>
      <c r="CS19" s="57"/>
      <c r="CT19" s="57"/>
      <c r="CU19" s="53"/>
      <c r="CV19" s="53"/>
      <c r="CW19" s="57"/>
      <c r="CX19" s="57"/>
      <c r="CY19" s="57"/>
      <c r="CZ19" s="53"/>
      <c r="DA19" s="57"/>
      <c r="DB19" s="57"/>
      <c r="DC19" s="57"/>
      <c r="DD19" s="53"/>
      <c r="DE19" s="57"/>
      <c r="DF19" s="57"/>
      <c r="DG19" s="57"/>
      <c r="DH19" s="53"/>
      <c r="DI19" s="57"/>
      <c r="DJ19" s="57"/>
      <c r="DK19" s="61"/>
    </row>
    <row r="20" spans="1:115" x14ac:dyDescent="0.25">
      <c r="A20" s="58"/>
      <c r="C20" s="72"/>
      <c r="I20" s="54"/>
      <c r="J20" s="90" t="s">
        <v>150</v>
      </c>
      <c r="K20" s="57">
        <v>958.4</v>
      </c>
      <c r="L20" s="57"/>
      <c r="M20" s="57"/>
      <c r="N20" s="57"/>
      <c r="O20" s="57"/>
      <c r="P20" s="57"/>
      <c r="Q20" s="61"/>
      <c r="R20" s="57"/>
      <c r="S20" s="57"/>
      <c r="T20" s="57"/>
      <c r="U20" s="61"/>
      <c r="W20" s="54"/>
      <c r="X20" s="57"/>
      <c r="Y20" s="57"/>
      <c r="Z20" s="54">
        <f t="shared" si="5"/>
        <v>1</v>
      </c>
      <c r="AA20" s="57">
        <v>125</v>
      </c>
      <c r="AB20" s="61">
        <v>250</v>
      </c>
      <c r="AC20" s="54">
        <f t="shared" si="6"/>
        <v>1</v>
      </c>
      <c r="AD20" s="57">
        <v>125</v>
      </c>
      <c r="AE20" s="61">
        <v>250</v>
      </c>
      <c r="AF20" s="57"/>
      <c r="AG20" s="57"/>
      <c r="AH20" s="61"/>
      <c r="BN20" s="50"/>
      <c r="BO20" s="34"/>
      <c r="BP20" s="51"/>
      <c r="BQ20" s="34"/>
      <c r="BR20" s="56"/>
      <c r="BS20" s="34"/>
      <c r="BT20" s="53"/>
      <c r="BU20" s="70">
        <f t="shared" si="19"/>
        <v>0</v>
      </c>
      <c r="BV20" s="56" t="s">
        <v>151</v>
      </c>
      <c r="BW20" s="34">
        <v>65</v>
      </c>
      <c r="BX20" s="55">
        <v>63</v>
      </c>
      <c r="BY20" s="51"/>
      <c r="BZ20" s="34"/>
      <c r="CA20" s="56"/>
      <c r="CB20" s="34"/>
      <c r="CC20" s="53"/>
      <c r="CD20" s="57"/>
      <c r="CE20" s="57"/>
      <c r="CF20" s="57"/>
      <c r="CG20" s="53"/>
      <c r="CH20" s="57"/>
      <c r="CI20" s="57"/>
      <c r="CJ20" s="57"/>
      <c r="CK20" s="57"/>
      <c r="CL20" s="57"/>
      <c r="CM20" s="57"/>
      <c r="CN20" s="57"/>
      <c r="CO20" s="57"/>
      <c r="CP20" s="57"/>
      <c r="CQ20" s="53"/>
      <c r="CR20" s="57"/>
      <c r="CS20" s="57"/>
      <c r="CT20" s="57"/>
      <c r="CU20" s="53"/>
      <c r="CV20" s="53"/>
      <c r="CW20" s="57"/>
      <c r="CX20" s="57"/>
      <c r="CY20" s="57"/>
      <c r="CZ20" s="53"/>
      <c r="DA20" s="57"/>
      <c r="DB20" s="57"/>
      <c r="DC20" s="57"/>
      <c r="DD20" s="53"/>
      <c r="DE20" s="57"/>
      <c r="DF20" s="57"/>
      <c r="DG20" s="57"/>
      <c r="DH20" s="53"/>
      <c r="DI20" s="57"/>
      <c r="DJ20" s="57"/>
      <c r="DK20" s="61"/>
    </row>
    <row r="21" spans="1:115" x14ac:dyDescent="0.25">
      <c r="I21" s="54"/>
      <c r="J21" s="90" t="s">
        <v>152</v>
      </c>
      <c r="K21" s="57">
        <v>0.5</v>
      </c>
      <c r="L21" s="57"/>
      <c r="M21" s="57"/>
      <c r="N21" s="57"/>
      <c r="O21" s="57"/>
      <c r="P21" s="57"/>
      <c r="Q21" s="61"/>
      <c r="R21" s="57"/>
      <c r="S21" s="57"/>
      <c r="T21" s="57"/>
      <c r="U21" s="61"/>
      <c r="W21" s="54"/>
      <c r="X21" s="57"/>
      <c r="Y21" s="57"/>
      <c r="Z21" s="54">
        <f t="shared" si="5"/>
        <v>1</v>
      </c>
      <c r="AA21" s="57">
        <v>150</v>
      </c>
      <c r="AB21" s="61">
        <v>315</v>
      </c>
      <c r="AC21" s="54">
        <f t="shared" si="6"/>
        <v>1</v>
      </c>
      <c r="AD21" s="57">
        <v>150</v>
      </c>
      <c r="AE21" s="61">
        <v>315</v>
      </c>
      <c r="AF21" s="57"/>
      <c r="AG21" s="57"/>
      <c r="AH21" s="61"/>
      <c r="BN21" s="50"/>
      <c r="BO21" s="34"/>
      <c r="BP21" s="51"/>
      <c r="BQ21" s="34"/>
      <c r="BR21" s="56"/>
      <c r="BS21" s="34"/>
      <c r="BT21" s="53"/>
      <c r="BU21" s="70">
        <f t="shared" si="19"/>
        <v>0</v>
      </c>
      <c r="BV21" s="56" t="s">
        <v>153</v>
      </c>
      <c r="BW21" s="34">
        <v>80</v>
      </c>
      <c r="BX21" s="55">
        <v>80</v>
      </c>
      <c r="BY21" s="51"/>
      <c r="BZ21" s="34"/>
      <c r="CA21" s="56"/>
      <c r="CB21" s="34"/>
      <c r="CC21" s="53"/>
      <c r="CD21" s="57"/>
      <c r="CE21" s="57"/>
      <c r="CF21" s="57"/>
      <c r="CG21" s="53"/>
      <c r="CH21" s="57"/>
      <c r="CI21" s="57"/>
      <c r="CJ21" s="57"/>
      <c r="CK21" s="57"/>
      <c r="CL21" s="57"/>
      <c r="CM21" s="57"/>
      <c r="CN21" s="57"/>
      <c r="CO21" s="57"/>
      <c r="CP21" s="57"/>
      <c r="CQ21" s="53"/>
      <c r="CR21" s="57"/>
      <c r="CS21" s="57"/>
      <c r="CT21" s="57"/>
      <c r="CU21" s="53"/>
      <c r="CV21" s="53"/>
      <c r="CW21" s="57"/>
      <c r="CX21" s="57"/>
      <c r="CY21" s="57"/>
      <c r="CZ21" s="53"/>
      <c r="DA21" s="57"/>
      <c r="DB21" s="57"/>
      <c r="DC21" s="57"/>
      <c r="DD21" s="53"/>
      <c r="DE21" s="57"/>
      <c r="DF21" s="57"/>
      <c r="DG21" s="57"/>
      <c r="DH21" s="53"/>
      <c r="DI21" s="57"/>
      <c r="DJ21" s="57"/>
      <c r="DK21" s="61"/>
    </row>
    <row r="22" spans="1:115" x14ac:dyDescent="0.25">
      <c r="I22" s="83"/>
      <c r="J22" s="91"/>
      <c r="K22" s="87"/>
      <c r="L22" s="87"/>
      <c r="M22" s="87"/>
      <c r="N22" s="87"/>
      <c r="O22" s="87"/>
      <c r="P22" s="87"/>
      <c r="Q22" s="89"/>
      <c r="R22" s="87"/>
      <c r="S22" s="87"/>
      <c r="T22" s="87"/>
      <c r="U22" s="89"/>
      <c r="W22" s="83"/>
      <c r="X22" s="87"/>
      <c r="Y22" s="87"/>
      <c r="Z22" s="83"/>
      <c r="AA22" s="87"/>
      <c r="AB22" s="89"/>
      <c r="AC22" s="83">
        <f t="shared" si="6"/>
        <v>1</v>
      </c>
      <c r="AD22" s="87">
        <v>150</v>
      </c>
      <c r="AE22" s="89">
        <v>400</v>
      </c>
      <c r="AF22" s="87"/>
      <c r="AG22" s="87"/>
      <c r="AH22" s="89"/>
      <c r="BN22" s="50"/>
      <c r="BO22" s="34"/>
      <c r="BP22" s="51"/>
      <c r="BQ22" s="34"/>
      <c r="BR22" s="56"/>
      <c r="BS22" s="34"/>
      <c r="BT22" s="53"/>
      <c r="BU22" s="70">
        <f t="shared" si="19"/>
        <v>0</v>
      </c>
      <c r="BV22" s="56" t="s">
        <v>154</v>
      </c>
      <c r="BW22" s="34">
        <v>80</v>
      </c>
      <c r="BX22" s="55">
        <v>100</v>
      </c>
      <c r="BY22" s="51"/>
      <c r="BZ22" s="34"/>
      <c r="CA22" s="56"/>
      <c r="CB22" s="34"/>
      <c r="CC22" s="53"/>
      <c r="CD22" s="57"/>
      <c r="CE22" s="57"/>
      <c r="CF22" s="57"/>
      <c r="CG22" s="53"/>
      <c r="CH22" s="57"/>
      <c r="CI22" s="57"/>
      <c r="CJ22" s="57"/>
      <c r="CK22" s="57"/>
      <c r="CL22" s="57"/>
      <c r="CM22" s="57"/>
      <c r="CN22" s="57"/>
      <c r="CO22" s="57"/>
      <c r="CP22" s="57"/>
      <c r="CQ22" s="53"/>
      <c r="CR22" s="57"/>
      <c r="CS22" s="57"/>
      <c r="CT22" s="57"/>
      <c r="CU22" s="53"/>
      <c r="CV22" s="53"/>
      <c r="CW22" s="57"/>
      <c r="CX22" s="57"/>
      <c r="CY22" s="57"/>
      <c r="CZ22" s="53"/>
      <c r="DA22" s="57"/>
      <c r="DB22" s="57"/>
      <c r="DC22" s="57"/>
      <c r="DD22" s="53"/>
      <c r="DE22" s="57"/>
      <c r="DF22" s="57"/>
      <c r="DG22" s="57"/>
      <c r="DH22" s="53"/>
      <c r="DI22" s="57"/>
      <c r="DJ22" s="57"/>
      <c r="DK22" s="61"/>
    </row>
    <row r="23" spans="1:115" x14ac:dyDescent="0.25">
      <c r="BN23" s="50"/>
      <c r="BO23" s="34"/>
      <c r="BP23" s="51"/>
      <c r="BQ23" s="34"/>
      <c r="BR23" s="56"/>
      <c r="BS23" s="34"/>
      <c r="BT23" s="53"/>
      <c r="BU23" s="70">
        <f t="shared" si="19"/>
        <v>0</v>
      </c>
      <c r="BV23" s="56" t="s">
        <v>155</v>
      </c>
      <c r="BW23" s="34">
        <v>100</v>
      </c>
      <c r="BX23" s="55">
        <v>125</v>
      </c>
      <c r="BY23" s="51"/>
      <c r="BZ23" s="34"/>
      <c r="CA23" s="56"/>
      <c r="CB23" s="34"/>
      <c r="CC23" s="53"/>
      <c r="CD23" s="57"/>
      <c r="CE23" s="57"/>
      <c r="CF23" s="57"/>
      <c r="CG23" s="53"/>
      <c r="CH23" s="57"/>
      <c r="CI23" s="57"/>
      <c r="CJ23" s="57"/>
      <c r="CK23" s="57"/>
      <c r="CL23" s="57"/>
      <c r="CM23" s="57"/>
      <c r="CN23" s="57"/>
      <c r="CO23" s="57"/>
      <c r="CP23" s="57"/>
      <c r="CQ23" s="53"/>
      <c r="CR23" s="57"/>
      <c r="CS23" s="57"/>
      <c r="CT23" s="57"/>
      <c r="CU23" s="53"/>
      <c r="CV23" s="53"/>
      <c r="CW23" s="57"/>
      <c r="CX23" s="57"/>
      <c r="CY23" s="57"/>
      <c r="CZ23" s="53"/>
      <c r="DA23" s="57"/>
      <c r="DB23" s="57"/>
      <c r="DC23" s="57"/>
      <c r="DD23" s="53"/>
      <c r="DE23" s="57"/>
      <c r="DF23" s="57"/>
      <c r="DG23" s="57"/>
      <c r="DH23" s="53"/>
      <c r="DI23" s="57"/>
      <c r="DJ23" s="57"/>
      <c r="DK23" s="61"/>
    </row>
    <row r="24" spans="1:115" x14ac:dyDescent="0.25">
      <c r="BN24" s="50"/>
      <c r="BO24" s="34"/>
      <c r="BP24" s="51"/>
      <c r="BQ24" s="34"/>
      <c r="BR24" s="56"/>
      <c r="BS24" s="34"/>
      <c r="BT24" s="53"/>
      <c r="BU24" s="70">
        <f t="shared" si="19"/>
        <v>0</v>
      </c>
      <c r="BV24" s="56" t="s">
        <v>156</v>
      </c>
      <c r="BW24" s="34">
        <v>100</v>
      </c>
      <c r="BX24" s="55">
        <v>160</v>
      </c>
      <c r="BY24" s="51"/>
      <c r="BZ24" s="34"/>
      <c r="CA24" s="56"/>
      <c r="CB24" s="34"/>
      <c r="CC24" s="53"/>
      <c r="CD24" s="57"/>
      <c r="CE24" s="57"/>
      <c r="CF24" s="57"/>
      <c r="CG24" s="53"/>
      <c r="CH24" s="57"/>
      <c r="CI24" s="57"/>
      <c r="CJ24" s="57"/>
      <c r="CK24" s="57"/>
      <c r="CL24" s="57"/>
      <c r="CM24" s="57"/>
      <c r="CN24" s="57"/>
      <c r="CO24" s="57"/>
      <c r="CP24" s="57"/>
      <c r="CQ24" s="53"/>
      <c r="CR24" s="57"/>
      <c r="CS24" s="57"/>
      <c r="CT24" s="57"/>
      <c r="CU24" s="53"/>
      <c r="CV24" s="53"/>
      <c r="CW24" s="57"/>
      <c r="CX24" s="57"/>
      <c r="CY24" s="57"/>
      <c r="CZ24" s="53"/>
      <c r="DA24" s="57"/>
      <c r="DB24" s="57"/>
      <c r="DC24" s="57"/>
      <c r="DD24" s="53"/>
      <c r="DE24" s="57"/>
      <c r="DF24" s="57"/>
      <c r="DG24" s="57"/>
      <c r="DH24" s="53"/>
      <c r="DI24" s="57"/>
      <c r="DJ24" s="57"/>
      <c r="DK24" s="61"/>
    </row>
    <row r="25" spans="1:115" x14ac:dyDescent="0.25">
      <c r="BN25" s="50"/>
      <c r="BO25" s="34"/>
      <c r="BP25" s="51"/>
      <c r="BQ25" s="34"/>
      <c r="BR25" s="56"/>
      <c r="BS25" s="34"/>
      <c r="BT25" s="53"/>
      <c r="BU25" s="70">
        <f t="shared" si="19"/>
        <v>0</v>
      </c>
      <c r="BV25" s="56" t="s">
        <v>157</v>
      </c>
      <c r="BW25" s="34">
        <v>125</v>
      </c>
      <c r="BX25" s="55">
        <v>250</v>
      </c>
      <c r="BY25" s="51"/>
      <c r="BZ25" s="34"/>
      <c r="CA25" s="56"/>
      <c r="CB25" s="34"/>
      <c r="CC25" s="53"/>
      <c r="CD25" s="57"/>
      <c r="CE25" s="57"/>
      <c r="CF25" s="57"/>
      <c r="CG25" s="53"/>
      <c r="CH25" s="57"/>
      <c r="CI25" s="57"/>
      <c r="CJ25" s="57"/>
      <c r="CK25" s="57"/>
      <c r="CL25" s="57"/>
      <c r="CM25" s="57"/>
      <c r="CN25" s="57"/>
      <c r="CO25" s="57"/>
      <c r="CP25" s="57"/>
      <c r="CQ25" s="53"/>
      <c r="CR25" s="57"/>
      <c r="CS25" s="57"/>
      <c r="CT25" s="57"/>
      <c r="CU25" s="53"/>
      <c r="CV25" s="53"/>
      <c r="CW25" s="57"/>
      <c r="CX25" s="57"/>
      <c r="CY25" s="57"/>
      <c r="CZ25" s="53"/>
      <c r="DA25" s="57"/>
      <c r="DB25" s="57"/>
      <c r="DC25" s="57"/>
      <c r="DD25" s="53"/>
      <c r="DE25" s="57"/>
      <c r="DF25" s="57"/>
      <c r="DG25" s="57"/>
      <c r="DH25" s="53"/>
      <c r="DI25" s="57"/>
      <c r="DJ25" s="57"/>
      <c r="DK25" s="61"/>
    </row>
    <row r="26" spans="1:115" x14ac:dyDescent="0.25">
      <c r="BN26" s="92"/>
      <c r="BO26" s="93"/>
      <c r="BP26" s="94"/>
      <c r="BQ26" s="93"/>
      <c r="BR26" s="95"/>
      <c r="BS26" s="93"/>
      <c r="BT26" s="85"/>
      <c r="BU26" s="82">
        <f t="shared" si="19"/>
        <v>0</v>
      </c>
      <c r="BV26" s="95" t="s">
        <v>158</v>
      </c>
      <c r="BW26" s="93">
        <v>150</v>
      </c>
      <c r="BX26" s="96">
        <v>315</v>
      </c>
      <c r="BY26" s="94"/>
      <c r="BZ26" s="93"/>
      <c r="CA26" s="95"/>
      <c r="CB26" s="93"/>
      <c r="CC26" s="85"/>
      <c r="CD26" s="87"/>
      <c r="CE26" s="87"/>
      <c r="CF26" s="87"/>
      <c r="CG26" s="85"/>
      <c r="CH26" s="87"/>
      <c r="CI26" s="87"/>
      <c r="CJ26" s="87"/>
      <c r="CK26" s="87"/>
      <c r="CL26" s="87"/>
      <c r="CM26" s="87"/>
      <c r="CN26" s="87"/>
      <c r="CO26" s="87"/>
      <c r="CP26" s="87"/>
      <c r="CQ26" s="85"/>
      <c r="CR26" s="87"/>
      <c r="CS26" s="87"/>
      <c r="CT26" s="87"/>
      <c r="CU26" s="85"/>
      <c r="CV26" s="85"/>
      <c r="CW26" s="87"/>
      <c r="CX26" s="87"/>
      <c r="CY26" s="87"/>
      <c r="CZ26" s="85"/>
      <c r="DA26" s="87"/>
      <c r="DB26" s="87"/>
      <c r="DC26" s="87"/>
      <c r="DD26" s="85"/>
      <c r="DE26" s="87"/>
      <c r="DF26" s="87"/>
      <c r="DG26" s="87"/>
      <c r="DH26" s="85"/>
      <c r="DI26" s="87"/>
      <c r="DJ26" s="87"/>
      <c r="DK26" s="89"/>
    </row>
  </sheetData>
  <mergeCells count="28">
    <mergeCell ref="B16:C16"/>
    <mergeCell ref="B17:C17"/>
    <mergeCell ref="B18:C18"/>
    <mergeCell ref="BC3:BG3"/>
    <mergeCell ref="BH3:BL3"/>
    <mergeCell ref="B14:C14"/>
    <mergeCell ref="E14:F14"/>
    <mergeCell ref="B15:C15"/>
    <mergeCell ref="Z3:AB3"/>
    <mergeCell ref="AC3:AE3"/>
    <mergeCell ref="AF3:AH3"/>
    <mergeCell ref="AS3:AW3"/>
    <mergeCell ref="AX3:BB3"/>
    <mergeCell ref="CR2:CT2"/>
    <mergeCell ref="CW2:CY2"/>
    <mergeCell ref="DA2:DC2"/>
    <mergeCell ref="DE2:DG2"/>
    <mergeCell ref="DI2:DK2"/>
    <mergeCell ref="BR2:BS2"/>
    <mergeCell ref="BV2:BX2"/>
    <mergeCell ref="CA2:CB2"/>
    <mergeCell ref="CE2:CF2"/>
    <mergeCell ref="CI2:CP2"/>
    <mergeCell ref="I2:U2"/>
    <mergeCell ref="W2:AH2"/>
    <mergeCell ref="AJ2:AM2"/>
    <mergeCell ref="AS2:BL2"/>
    <mergeCell ref="BN2:BO2"/>
  </mergeCells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E26"/>
  <sheetViews>
    <sheetView zoomScaleNormal="100" workbookViewId="0">
      <selection activeCell="F4" sqref="F4"/>
    </sheetView>
  </sheetViews>
  <sheetFormatPr defaultRowHeight="15" x14ac:dyDescent="0.25"/>
  <cols>
    <col min="1" max="1" width="8.5703125" customWidth="1"/>
    <col min="2" max="2" width="8.42578125" customWidth="1"/>
    <col min="3" max="4" width="8.7109375" customWidth="1"/>
    <col min="5" max="5" width="4.85546875" customWidth="1"/>
    <col min="6" max="6" width="19.5703125" customWidth="1"/>
    <col min="7" max="8" width="8.7109375" customWidth="1"/>
    <col min="9" max="9" width="4.140625" customWidth="1"/>
    <col min="10" max="10" width="6" customWidth="1"/>
    <col min="11" max="12" width="8" customWidth="1"/>
    <col min="13" max="13" width="4.7109375" customWidth="1"/>
    <col min="14" max="14" width="4" customWidth="1"/>
    <col min="15" max="15" width="5.5703125" customWidth="1"/>
    <col min="16" max="17" width="9.140625" customWidth="1"/>
    <col min="18" max="18" width="3.5703125" customWidth="1"/>
    <col min="19" max="19" width="5.85546875" customWidth="1"/>
    <col min="20" max="21" width="9.140625" customWidth="1"/>
    <col min="22" max="22" width="9.42578125" customWidth="1"/>
    <col min="23" max="34" width="9.140625" customWidth="1"/>
    <col min="35" max="35" width="8.7109375" customWidth="1"/>
    <col min="36" max="36" width="9.140625" customWidth="1"/>
    <col min="37" max="37" width="9.85546875" customWidth="1"/>
    <col min="38" max="38" width="15.7109375" customWidth="1"/>
    <col min="39" max="39" width="11.5703125" customWidth="1"/>
    <col min="40" max="40" width="23.7109375" customWidth="1"/>
    <col min="41" max="41" width="8.7109375" customWidth="1"/>
    <col min="42" max="42" width="9.140625" customWidth="1"/>
    <col min="43" max="43" width="6.28515625" customWidth="1"/>
    <col min="44" max="44" width="15.28515625" customWidth="1"/>
    <col min="45" max="47" width="8.7109375" customWidth="1"/>
    <col min="48" max="48" width="10.5703125" customWidth="1"/>
    <col min="49" max="50" width="8.7109375" customWidth="1"/>
    <col min="51" max="51" width="4.85546875" customWidth="1"/>
    <col min="52" max="52" width="13.85546875" customWidth="1"/>
    <col min="53" max="53" width="3.28515625" customWidth="1"/>
    <col min="54" max="54" width="11.28515625" customWidth="1"/>
    <col min="55" max="56" width="6.28515625" customWidth="1"/>
    <col min="57" max="57" width="3.5703125" customWidth="1"/>
    <col min="58" max="58" width="8.28515625" customWidth="1"/>
    <col min="59" max="61" width="6.140625" customWidth="1"/>
    <col min="62" max="62" width="3.28515625" customWidth="1"/>
    <col min="63" max="63" width="9.5703125" customWidth="1"/>
    <col min="64" max="64" width="6.140625" customWidth="1"/>
    <col min="65" max="65" width="15.28515625" customWidth="1"/>
    <col min="66" max="66" width="3.28515625" customWidth="1"/>
    <col min="67" max="69" width="8.7109375" customWidth="1"/>
    <col min="70" max="70" width="3.28515625" customWidth="1"/>
    <col min="71" max="73" width="8.7109375" customWidth="1"/>
    <col min="74" max="74" width="3.28515625" customWidth="1"/>
    <col min="75" max="75" width="8.7109375" customWidth="1"/>
    <col min="76" max="77" width="6.28515625" customWidth="1"/>
    <col min="78" max="78" width="3.28515625" customWidth="1"/>
    <col min="79" max="79" width="8.7109375" customWidth="1"/>
    <col min="80" max="81" width="6.28515625" customWidth="1"/>
    <col min="82" max="82" width="3.28515625" customWidth="1"/>
    <col min="83" max="83" width="8.7109375" customWidth="1"/>
    <col min="84" max="84" width="6.28515625" customWidth="1"/>
    <col min="85" max="85" width="15" customWidth="1"/>
    <col min="86" max="86" width="3.28515625" customWidth="1"/>
    <col min="87" max="87" width="9.5703125" customWidth="1"/>
    <col min="88" max="88" width="6.140625" customWidth="1"/>
    <col min="89" max="89" width="16.85546875" customWidth="1"/>
    <col min="90" max="90" width="8.5703125" customWidth="1"/>
    <col min="91" max="91" width="7" customWidth="1"/>
    <col min="92" max="92" width="25.140625" customWidth="1"/>
    <col min="93" max="93" width="3.5703125" customWidth="1"/>
    <col min="94" max="94" width="8.5703125" customWidth="1"/>
    <col min="95" max="95" width="5.85546875" customWidth="1"/>
    <col min="96" max="96" width="16.140625" customWidth="1"/>
    <col min="97" max="97" width="3.7109375" customWidth="1"/>
    <col min="98" max="98" width="3.28515625" customWidth="1"/>
    <col min="99" max="99" width="8.5703125" customWidth="1"/>
    <col min="100" max="100" width="6.28515625" customWidth="1"/>
    <col min="101" max="101" width="11.42578125"/>
    <col min="102" max="102" width="3.5703125" customWidth="1"/>
    <col min="103" max="103" width="8.7109375" customWidth="1"/>
    <col min="104" max="104" width="6.28515625" customWidth="1"/>
    <col min="105" max="105" width="11.42578125"/>
    <col min="106" max="106" width="3.5703125" customWidth="1"/>
    <col min="107" max="107" width="8.5703125" customWidth="1"/>
    <col min="108" max="108" width="6.28515625" customWidth="1"/>
    <col min="109" max="109" width="13.7109375" customWidth="1"/>
    <col min="110" max="1025" width="8.7109375" customWidth="1"/>
  </cols>
  <sheetData>
    <row r="1" spans="1:109" x14ac:dyDescent="0.25">
      <c r="AM1" s="87"/>
      <c r="AN1" s="87"/>
    </row>
    <row r="2" spans="1:109" x14ac:dyDescent="0.25">
      <c r="B2" t="s">
        <v>3</v>
      </c>
      <c r="I2" s="6" t="s">
        <v>30</v>
      </c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W2" s="7" t="s">
        <v>31</v>
      </c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J2" s="135" t="s">
        <v>168</v>
      </c>
      <c r="AK2" s="135"/>
      <c r="AL2" s="135"/>
      <c r="AM2" s="47"/>
      <c r="AN2" s="48"/>
      <c r="AP2" s="7" t="s">
        <v>169</v>
      </c>
      <c r="AQ2" s="7"/>
      <c r="AR2" s="7"/>
      <c r="AT2" s="7" t="s">
        <v>36</v>
      </c>
      <c r="AU2" s="7"/>
      <c r="AV2" s="7"/>
      <c r="AY2" s="13" t="s">
        <v>37</v>
      </c>
      <c r="AZ2" s="13"/>
      <c r="BA2" s="18"/>
      <c r="BB2" s="37"/>
      <c r="BC2" s="5" t="s">
        <v>38</v>
      </c>
      <c r="BD2" s="5"/>
      <c r="BE2" s="38"/>
      <c r="BF2" s="39"/>
      <c r="BG2" s="4" t="s">
        <v>39</v>
      </c>
      <c r="BH2" s="4"/>
      <c r="BI2" s="4"/>
      <c r="BJ2" s="18"/>
      <c r="BK2" s="37"/>
      <c r="BL2" s="5" t="s">
        <v>40</v>
      </c>
      <c r="BM2" s="5"/>
      <c r="BN2" s="18"/>
      <c r="BO2" s="37"/>
      <c r="BP2" s="37" t="s">
        <v>41</v>
      </c>
      <c r="BQ2" s="99"/>
      <c r="BR2" s="18"/>
      <c r="BS2" s="37"/>
      <c r="BT2" s="37" t="s">
        <v>42</v>
      </c>
      <c r="BU2" s="99"/>
      <c r="BV2" s="18"/>
      <c r="BW2" s="37"/>
      <c r="BX2" s="5" t="s">
        <v>43</v>
      </c>
      <c r="BY2" s="5"/>
      <c r="BZ2" s="18"/>
      <c r="CA2" s="37"/>
      <c r="CB2" s="5" t="s">
        <v>44</v>
      </c>
      <c r="CC2" s="5"/>
      <c r="CD2" s="18"/>
      <c r="CE2" s="37"/>
      <c r="CF2" s="5" t="s">
        <v>45</v>
      </c>
      <c r="CG2" s="5"/>
      <c r="CH2" s="18"/>
      <c r="CI2" s="37"/>
      <c r="CJ2" s="3" t="s">
        <v>46</v>
      </c>
      <c r="CK2" s="3"/>
      <c r="CL2" s="3"/>
      <c r="CM2" s="3"/>
      <c r="CN2" s="3"/>
      <c r="CO2" s="38"/>
      <c r="CP2" s="14" t="s">
        <v>47</v>
      </c>
      <c r="CQ2" s="14"/>
      <c r="CR2" s="14"/>
      <c r="CS2" s="40"/>
      <c r="CT2" s="18"/>
      <c r="CU2" s="14" t="s">
        <v>170</v>
      </c>
      <c r="CV2" s="14"/>
      <c r="CW2" s="14"/>
      <c r="CX2" s="38"/>
      <c r="CY2" s="14" t="s">
        <v>171</v>
      </c>
      <c r="CZ2" s="14"/>
      <c r="DA2" s="14"/>
      <c r="DB2" s="38"/>
      <c r="DC2" s="14" t="s">
        <v>172</v>
      </c>
      <c r="DD2" s="14"/>
      <c r="DE2" s="14"/>
    </row>
    <row r="3" spans="1:109" x14ac:dyDescent="0.25">
      <c r="I3" s="42"/>
      <c r="J3" s="43" t="s">
        <v>48</v>
      </c>
      <c r="K3" s="44" t="s">
        <v>49</v>
      </c>
      <c r="L3" s="43" t="s">
        <v>50</v>
      </c>
      <c r="M3" s="45"/>
      <c r="N3" s="42"/>
      <c r="O3" s="43" t="s">
        <v>173</v>
      </c>
      <c r="P3" s="44" t="s">
        <v>49</v>
      </c>
      <c r="Q3" s="45" t="s">
        <v>50</v>
      </c>
      <c r="R3" s="43"/>
      <c r="S3" s="43" t="s">
        <v>174</v>
      </c>
      <c r="T3" s="44" t="s">
        <v>49</v>
      </c>
      <c r="U3" s="45" t="s">
        <v>50</v>
      </c>
      <c r="W3" s="42" t="s">
        <v>53</v>
      </c>
      <c r="X3" s="43" t="s">
        <v>54</v>
      </c>
      <c r="Y3" s="45" t="s">
        <v>55</v>
      </c>
      <c r="Z3" s="7" t="s">
        <v>53</v>
      </c>
      <c r="AA3" s="7"/>
      <c r="AB3" s="7"/>
      <c r="AC3" s="7" t="s">
        <v>54</v>
      </c>
      <c r="AD3" s="7"/>
      <c r="AE3" s="7"/>
      <c r="AF3" s="7" t="s">
        <v>55</v>
      </c>
      <c r="AG3" s="7"/>
      <c r="AH3" s="7"/>
      <c r="AJ3" s="67" t="s">
        <v>56</v>
      </c>
      <c r="AK3" s="34"/>
      <c r="AL3" s="100"/>
      <c r="AM3" s="34"/>
      <c r="AN3" s="61"/>
      <c r="AP3" s="54">
        <f t="shared" ref="AP3:AP8" si="0">IF($F$11&lt;AQ3,1,0)</f>
        <v>0</v>
      </c>
      <c r="AQ3" s="57">
        <v>2</v>
      </c>
      <c r="AR3" s="61" t="s">
        <v>175</v>
      </c>
      <c r="AT3" s="63">
        <v>6.6000000000000003E-2</v>
      </c>
      <c r="AU3" s="64">
        <f>IF($B$4&lt;AT3,1,0)</f>
        <v>0</v>
      </c>
      <c r="AV3" s="65" t="s">
        <v>176</v>
      </c>
      <c r="AY3" s="50" t="s">
        <v>61</v>
      </c>
      <c r="AZ3" s="34" t="s">
        <v>62</v>
      </c>
      <c r="BA3" s="51"/>
      <c r="BB3" s="34" t="s">
        <v>85</v>
      </c>
      <c r="BC3" s="52" t="s">
        <v>61</v>
      </c>
      <c r="BD3" s="31" t="s">
        <v>63</v>
      </c>
      <c r="BE3" s="53"/>
      <c r="BF3" s="54" t="s">
        <v>31</v>
      </c>
      <c r="BG3" s="52" t="s">
        <v>61</v>
      </c>
      <c r="BH3" s="31" t="s">
        <v>63</v>
      </c>
      <c r="BI3" s="55" t="s">
        <v>64</v>
      </c>
      <c r="BJ3" s="51"/>
      <c r="BK3" s="34" t="s">
        <v>31</v>
      </c>
      <c r="BL3" s="56" t="s">
        <v>61</v>
      </c>
      <c r="BM3" s="34" t="s">
        <v>65</v>
      </c>
      <c r="BN3" s="51"/>
      <c r="BO3" s="66" t="s">
        <v>177</v>
      </c>
      <c r="BP3" s="101" t="s">
        <v>61</v>
      </c>
      <c r="BQ3" s="17" t="s">
        <v>63</v>
      </c>
      <c r="BR3" s="51"/>
      <c r="BS3" s="66" t="s">
        <v>98</v>
      </c>
      <c r="BT3" s="101" t="s">
        <v>61</v>
      </c>
      <c r="BU3" s="17" t="s">
        <v>63</v>
      </c>
      <c r="BV3" s="51"/>
      <c r="BW3" s="34" t="s">
        <v>178</v>
      </c>
      <c r="BX3" s="52" t="s">
        <v>61</v>
      </c>
      <c r="BY3" s="31" t="s">
        <v>63</v>
      </c>
      <c r="BZ3" s="51"/>
      <c r="CA3" s="34" t="s">
        <v>179</v>
      </c>
      <c r="CB3" s="52" t="s">
        <v>61</v>
      </c>
      <c r="CC3" s="31" t="s">
        <v>63</v>
      </c>
      <c r="CD3" s="51"/>
      <c r="CE3" s="34" t="s">
        <v>180</v>
      </c>
      <c r="CF3" s="52" t="s">
        <v>61</v>
      </c>
      <c r="CG3" s="31" t="s">
        <v>63</v>
      </c>
      <c r="CH3" s="51"/>
      <c r="CI3" s="34"/>
      <c r="CJ3" s="52" t="s">
        <v>61</v>
      </c>
      <c r="CK3" s="34" t="s">
        <v>66</v>
      </c>
      <c r="CL3" s="34"/>
      <c r="CM3" s="34"/>
      <c r="CN3" s="34" t="s">
        <v>66</v>
      </c>
      <c r="CO3" s="53"/>
      <c r="CP3" s="57"/>
      <c r="CQ3" s="56" t="s">
        <v>61</v>
      </c>
      <c r="CR3" s="34" t="s">
        <v>66</v>
      </c>
      <c r="CS3" s="53"/>
      <c r="CT3" s="51"/>
      <c r="CU3" s="34"/>
      <c r="CV3" s="52" t="s">
        <v>61</v>
      </c>
      <c r="CW3" s="31" t="s">
        <v>67</v>
      </c>
      <c r="CX3" s="53"/>
      <c r="CY3" s="34"/>
      <c r="CZ3" s="52" t="s">
        <v>61</v>
      </c>
      <c r="DA3" s="31" t="s">
        <v>68</v>
      </c>
      <c r="DB3" s="53"/>
      <c r="DC3" s="34"/>
      <c r="DD3" s="52" t="s">
        <v>61</v>
      </c>
      <c r="DE3" s="30" t="s">
        <v>69</v>
      </c>
    </row>
    <row r="4" spans="1:109" x14ac:dyDescent="0.25">
      <c r="A4" s="58" t="s">
        <v>70</v>
      </c>
      <c r="B4" s="59">
        <f>IF('ol4'!D37=1,'ol4'!C17,0)</f>
        <v>0.4</v>
      </c>
      <c r="C4" t="s">
        <v>71</v>
      </c>
      <c r="E4" t="s">
        <v>72</v>
      </c>
      <c r="F4" s="102">
        <f>B4*1000/(B5-B6)</f>
        <v>10</v>
      </c>
      <c r="I4" s="54">
        <f t="shared" ref="I4:I17" si="1">IF($B$11&lt;12,(IF((L4&gt;4)*AND(L4&lt;16),2,0)),IF((L4&gt;4)*AND(L4&lt;20),2,0))</f>
        <v>0</v>
      </c>
      <c r="J4" s="57">
        <v>15</v>
      </c>
      <c r="K4" s="57">
        <f>1/POWER(1.14+2*LOG10((J4/1000)/($K$21/1000)),2)</f>
        <v>5.9655827422120798E-2</v>
      </c>
      <c r="L4" s="57">
        <f t="shared" ref="L4:L17" si="2">0.00638*K4*POWER($F$4,2)/(POWER(J4/1000,5)*$K$20)</f>
        <v>52296.23844310212</v>
      </c>
      <c r="M4" s="61"/>
      <c r="N4" s="54">
        <f t="shared" ref="N4:N17" si="3">IF((Q4&gt;4)*AND(Q4&lt;16),1,0)</f>
        <v>0</v>
      </c>
      <c r="O4" s="57">
        <v>15</v>
      </c>
      <c r="P4" s="57">
        <f t="shared" ref="P4:P17" si="4">1/POWER(1.14+2*LOG10((O4/1000)/($K$21/1000)),2)</f>
        <v>5.9655827422120798E-2</v>
      </c>
      <c r="Q4" s="61">
        <f t="shared" ref="Q4:Q17" si="5">0.00638*P4*POWER($F$11,2)/(POWER(O4/1000,5)*$K$20)</f>
        <v>3346959.2603585357</v>
      </c>
      <c r="R4" s="57">
        <f t="shared" ref="R4:R17" si="6">N4</f>
        <v>0</v>
      </c>
      <c r="S4" s="57">
        <v>15</v>
      </c>
      <c r="T4" s="57"/>
      <c r="U4" s="61"/>
      <c r="W4" s="62" t="s">
        <v>73</v>
      </c>
      <c r="X4" s="57">
        <f>IF(B11&gt;12,3,1.8)</f>
        <v>3</v>
      </c>
      <c r="Y4" s="57"/>
      <c r="Z4" s="63">
        <f t="shared" ref="Z4:Z21" si="7">IF(AB4&gt;$X$5,1,0)</f>
        <v>0</v>
      </c>
      <c r="AA4" s="64">
        <v>15</v>
      </c>
      <c r="AB4" s="65">
        <v>1.6</v>
      </c>
      <c r="AC4" s="63">
        <f t="shared" ref="AC4:AC22" si="8">IF(AE4&gt;$X$5,1,0)</f>
        <v>0</v>
      </c>
      <c r="AD4" s="64">
        <v>15</v>
      </c>
      <c r="AE4" s="65">
        <v>1.6</v>
      </c>
      <c r="AF4" s="57">
        <f t="shared" ref="AF4:AF16" si="9">IF(AH4&gt;$X$5,1,0)</f>
        <v>0</v>
      </c>
      <c r="AG4" s="57">
        <v>15</v>
      </c>
      <c r="AH4" s="61">
        <v>1.6</v>
      </c>
      <c r="AJ4" s="53">
        <v>1.5</v>
      </c>
      <c r="AK4" s="57">
        <f>IF($F$17&lt;AJ4,1,0)</f>
        <v>0</v>
      </c>
      <c r="AL4" s="61" t="s">
        <v>181</v>
      </c>
      <c r="AM4" s="57">
        <f>IF($F$17&lt;AJ4,1,0)</f>
        <v>0</v>
      </c>
      <c r="AN4" s="103" t="s">
        <v>182</v>
      </c>
      <c r="AP4" s="54">
        <f t="shared" si="0"/>
        <v>0</v>
      </c>
      <c r="AQ4" s="57">
        <v>3</v>
      </c>
      <c r="AR4" s="61" t="s">
        <v>183</v>
      </c>
      <c r="AT4" s="54">
        <v>0.375</v>
      </c>
      <c r="AU4" s="57">
        <f>IF($B$4&lt;AT4,1,0)</f>
        <v>0</v>
      </c>
      <c r="AV4" s="61" t="s">
        <v>184</v>
      </c>
      <c r="AY4" s="50" t="s">
        <v>78</v>
      </c>
      <c r="AZ4" s="34" t="s">
        <v>185</v>
      </c>
      <c r="BA4" s="51"/>
      <c r="BB4" s="34">
        <f t="shared" ref="BB4:BB15" si="10">IF($F$5=BD4,1,0)</f>
        <v>0</v>
      </c>
      <c r="BC4" s="56" t="s">
        <v>80</v>
      </c>
      <c r="BD4" s="34">
        <v>15</v>
      </c>
      <c r="BE4" s="53"/>
      <c r="BF4" s="70">
        <f t="shared" ref="BF4:BF26" si="11">IF($F$7=BI4,1,0)</f>
        <v>0</v>
      </c>
      <c r="BG4" s="56" t="s">
        <v>80</v>
      </c>
      <c r="BH4" s="34">
        <v>15</v>
      </c>
      <c r="BI4" s="55">
        <v>0.63</v>
      </c>
      <c r="BJ4" s="51"/>
      <c r="BK4" s="34">
        <f>IF($B$14=BM4,1,0)</f>
        <v>0</v>
      </c>
      <c r="BL4" s="56" t="s">
        <v>78</v>
      </c>
      <c r="BM4" s="34" t="s">
        <v>53</v>
      </c>
      <c r="BN4" s="51"/>
      <c r="BO4" s="70">
        <f t="shared" ref="BO4:BO15" si="12">IF($F$5=BQ4,1,0)</f>
        <v>0</v>
      </c>
      <c r="BP4" s="56" t="s">
        <v>81</v>
      </c>
      <c r="BQ4" s="55">
        <v>15</v>
      </c>
      <c r="BR4" s="51"/>
      <c r="BS4" s="70">
        <f t="shared" ref="BS4:BS15" si="13">IF($F$5=BU4,1,0)</f>
        <v>0</v>
      </c>
      <c r="BT4" s="56" t="s">
        <v>81</v>
      </c>
      <c r="BU4" s="55">
        <v>15</v>
      </c>
      <c r="BV4" s="51"/>
      <c r="BW4" s="34">
        <f t="shared" ref="BW4:BW15" si="14">IF($F$12=BY4,1,0)</f>
        <v>0</v>
      </c>
      <c r="BX4" s="56" t="s">
        <v>80</v>
      </c>
      <c r="BY4" s="34">
        <v>15</v>
      </c>
      <c r="BZ4" s="51"/>
      <c r="CA4" s="34">
        <f t="shared" ref="CA4:CA15" si="15">IF($F$16=CC4,1,0)</f>
        <v>0</v>
      </c>
      <c r="CB4" s="56" t="s">
        <v>80</v>
      </c>
      <c r="CC4" s="34">
        <v>15</v>
      </c>
      <c r="CD4" s="51"/>
      <c r="CE4" s="34" t="e">
        <f t="shared" ref="CE4:CE9" si="16">IF($E$13=CG4,1,0)</f>
        <v>#N/A</v>
      </c>
      <c r="CF4" s="56" t="s">
        <v>78</v>
      </c>
      <c r="CG4" s="61" t="s">
        <v>175</v>
      </c>
      <c r="CH4" s="51"/>
      <c r="CI4" s="34" t="e">
        <f>IF($E$18=CK4,1,0)</f>
        <v>#N/A</v>
      </c>
      <c r="CJ4" s="31">
        <v>1</v>
      </c>
      <c r="CK4" s="57" t="s">
        <v>181</v>
      </c>
      <c r="CL4" s="31" t="e">
        <f>IF($E$18=CN4,1,0)</f>
        <v>#N/A</v>
      </c>
      <c r="CM4" s="31">
        <v>1</v>
      </c>
      <c r="CN4" s="103" t="s">
        <v>182</v>
      </c>
      <c r="CO4" s="53"/>
      <c r="CQ4" s="15"/>
      <c r="CS4" s="53"/>
      <c r="CT4" s="51"/>
      <c r="CU4" s="34"/>
      <c r="CV4" s="56"/>
      <c r="CX4" s="53"/>
      <c r="CY4" s="34">
        <f>IF($B$16=DA4,1,0)</f>
        <v>0</v>
      </c>
      <c r="CZ4" s="56" t="s">
        <v>78</v>
      </c>
      <c r="DA4" s="34" t="s">
        <v>83</v>
      </c>
      <c r="DB4" s="53"/>
      <c r="DC4" s="34">
        <f>IF($B$17=DE4,1,0)</f>
        <v>0</v>
      </c>
      <c r="DD4" s="56" t="s">
        <v>78</v>
      </c>
      <c r="DE4" s="61" t="s">
        <v>84</v>
      </c>
    </row>
    <row r="5" spans="1:109" x14ac:dyDescent="0.25">
      <c r="A5" s="58" t="s">
        <v>85</v>
      </c>
      <c r="B5" s="59">
        <v>70</v>
      </c>
      <c r="C5" s="72" t="s">
        <v>86</v>
      </c>
      <c r="E5" t="s">
        <v>48</v>
      </c>
      <c r="F5">
        <f>VLOOKUP(2,I4:L17,2,0)</f>
        <v>65</v>
      </c>
      <c r="I5" s="54">
        <f t="shared" si="1"/>
        <v>0</v>
      </c>
      <c r="J5" s="57">
        <v>20</v>
      </c>
      <c r="K5" s="57">
        <f t="shared" ref="K4:K17" si="17">1/POWER(1.14+2*LOG10((J5/1000)/($K$21/1000)),2)</f>
        <v>5.2990299783484442E-2</v>
      </c>
      <c r="L5" s="57">
        <f t="shared" si="2"/>
        <v>11023.519427516914</v>
      </c>
      <c r="M5" s="61"/>
      <c r="N5" s="54">
        <f t="shared" si="3"/>
        <v>0</v>
      </c>
      <c r="O5" s="57">
        <v>20</v>
      </c>
      <c r="P5" s="57">
        <f t="shared" si="4"/>
        <v>5.2990299783484442E-2</v>
      </c>
      <c r="Q5" s="61">
        <f t="shared" si="5"/>
        <v>705505.24336108251</v>
      </c>
      <c r="R5" s="57">
        <f t="shared" si="6"/>
        <v>0</v>
      </c>
      <c r="S5" s="57">
        <v>15</v>
      </c>
      <c r="T5" s="57"/>
      <c r="U5" s="61"/>
      <c r="W5" s="62" t="s">
        <v>87</v>
      </c>
      <c r="X5" s="74">
        <f>F4/SQRT(0.1*X4)</f>
        <v>18.257418583505533</v>
      </c>
      <c r="Y5" s="74"/>
      <c r="Z5" s="54">
        <f t="shared" si="7"/>
        <v>0</v>
      </c>
      <c r="AA5" s="57">
        <v>15</v>
      </c>
      <c r="AB5" s="61">
        <v>2.5</v>
      </c>
      <c r="AC5" s="54">
        <f t="shared" si="8"/>
        <v>0</v>
      </c>
      <c r="AD5" s="57">
        <v>15</v>
      </c>
      <c r="AE5" s="61">
        <v>2.5</v>
      </c>
      <c r="AF5" s="57">
        <f t="shared" si="9"/>
        <v>0</v>
      </c>
      <c r="AG5" s="57">
        <v>15</v>
      </c>
      <c r="AH5" s="61">
        <v>2.5</v>
      </c>
      <c r="AJ5" s="53">
        <v>4</v>
      </c>
      <c r="AK5" s="57">
        <f>IF($F$17&lt;AJ5,1,0)</f>
        <v>1</v>
      </c>
      <c r="AL5" s="61" t="s">
        <v>186</v>
      </c>
      <c r="AM5" s="57">
        <f>IF($F$17&lt;AJ5,1,0)</f>
        <v>1</v>
      </c>
      <c r="AN5" s="103" t="s">
        <v>187</v>
      </c>
      <c r="AP5" s="54">
        <f t="shared" si="0"/>
        <v>0</v>
      </c>
      <c r="AQ5" s="57">
        <v>5</v>
      </c>
      <c r="AR5" s="61" t="s">
        <v>188</v>
      </c>
      <c r="AT5" s="54">
        <v>0.61</v>
      </c>
      <c r="AU5" s="57">
        <f>IF($B$4&lt;AT5,1,0)</f>
        <v>1</v>
      </c>
      <c r="AV5" s="61" t="s">
        <v>189</v>
      </c>
      <c r="AY5" s="50" t="s">
        <v>94</v>
      </c>
      <c r="AZ5" s="34" t="s">
        <v>190</v>
      </c>
      <c r="BA5" s="51"/>
      <c r="BB5" s="34">
        <f t="shared" si="10"/>
        <v>0</v>
      </c>
      <c r="BC5" s="56" t="s">
        <v>96</v>
      </c>
      <c r="BD5" s="34">
        <v>20</v>
      </c>
      <c r="BE5" s="53"/>
      <c r="BF5" s="70">
        <f t="shared" si="11"/>
        <v>0</v>
      </c>
      <c r="BG5" s="56" t="s">
        <v>96</v>
      </c>
      <c r="BH5" s="34">
        <v>15</v>
      </c>
      <c r="BI5" s="55">
        <v>1.25</v>
      </c>
      <c r="BJ5" s="51"/>
      <c r="BK5" s="34">
        <f>IF($B$14=BM5,1,0)</f>
        <v>0</v>
      </c>
      <c r="BL5" s="56" t="s">
        <v>94</v>
      </c>
      <c r="BM5" s="34" t="s">
        <v>55</v>
      </c>
      <c r="BN5" s="51"/>
      <c r="BO5" s="70">
        <f t="shared" si="12"/>
        <v>0</v>
      </c>
      <c r="BP5" s="56" t="s">
        <v>81</v>
      </c>
      <c r="BQ5" s="55">
        <v>20</v>
      </c>
      <c r="BR5" s="51"/>
      <c r="BS5" s="70">
        <f t="shared" si="13"/>
        <v>0</v>
      </c>
      <c r="BT5" s="56" t="s">
        <v>81</v>
      </c>
      <c r="BU5" s="55">
        <v>20</v>
      </c>
      <c r="BV5" s="51"/>
      <c r="BW5" s="34">
        <f t="shared" si="14"/>
        <v>0</v>
      </c>
      <c r="BX5" s="56" t="s">
        <v>96</v>
      </c>
      <c r="BY5" s="34">
        <v>20</v>
      </c>
      <c r="BZ5" s="51"/>
      <c r="CA5" s="34">
        <f t="shared" si="15"/>
        <v>0</v>
      </c>
      <c r="CB5" s="56" t="s">
        <v>96</v>
      </c>
      <c r="CC5" s="34">
        <v>20</v>
      </c>
      <c r="CD5" s="51"/>
      <c r="CE5" s="34" t="e">
        <f t="shared" si="16"/>
        <v>#N/A</v>
      </c>
      <c r="CF5" s="56" t="s">
        <v>94</v>
      </c>
      <c r="CG5" s="61" t="s">
        <v>183</v>
      </c>
      <c r="CH5" s="51"/>
      <c r="CI5" s="34" t="e">
        <f>IF($E$18=CK5,1,0)</f>
        <v>#N/A</v>
      </c>
      <c r="CJ5" s="31"/>
      <c r="CK5" s="57"/>
      <c r="CL5" s="31" t="e">
        <f>IF($E$18=CN5,1,0)</f>
        <v>#N/A</v>
      </c>
      <c r="CM5" s="31">
        <v>2</v>
      </c>
      <c r="CN5" s="103" t="s">
        <v>187</v>
      </c>
      <c r="CO5" s="53"/>
      <c r="CP5" s="57">
        <f>IF($B$15=CR5,1,0)</f>
        <v>0</v>
      </c>
      <c r="CQ5" s="31">
        <v>1</v>
      </c>
      <c r="CR5" s="31" t="s">
        <v>191</v>
      </c>
      <c r="CS5" s="53"/>
      <c r="CT5" s="51"/>
      <c r="CU5" s="34">
        <f t="shared" ref="CU5:CU19" si="18">IF($E$9=CW5,1,0)</f>
        <v>0</v>
      </c>
      <c r="CV5" s="56" t="s">
        <v>80</v>
      </c>
      <c r="CW5" s="61" t="s">
        <v>176</v>
      </c>
      <c r="CX5" s="53"/>
      <c r="CY5" s="34">
        <f>IF($B$16=DA5,1,0)</f>
        <v>0</v>
      </c>
      <c r="CZ5" s="56" t="s">
        <v>94</v>
      </c>
      <c r="DA5" s="34" t="s">
        <v>55</v>
      </c>
      <c r="DB5" s="53"/>
      <c r="DC5" s="34">
        <f>IF($B$17=DE5,1,0)</f>
        <v>0</v>
      </c>
      <c r="DD5" s="56" t="s">
        <v>81</v>
      </c>
      <c r="DE5" s="55" t="s">
        <v>97</v>
      </c>
    </row>
    <row r="6" spans="1:109" x14ac:dyDescent="0.25">
      <c r="A6" s="58" t="s">
        <v>98</v>
      </c>
      <c r="B6" s="59">
        <v>30</v>
      </c>
      <c r="C6" s="72" t="s">
        <v>86</v>
      </c>
      <c r="E6" t="s">
        <v>99</v>
      </c>
      <c r="F6">
        <f>VLOOKUP(1,IF(B14="IMI Hydronic",Z4:AB21,IF(B14="Siemens",AC4:AE22,AF4:AH16)),2,0)</f>
        <v>40</v>
      </c>
      <c r="I6" s="54">
        <f t="shared" si="1"/>
        <v>0</v>
      </c>
      <c r="J6" s="57">
        <v>25</v>
      </c>
      <c r="K6" s="57">
        <f t="shared" si="17"/>
        <v>4.8560427292756572E-2</v>
      </c>
      <c r="L6" s="57">
        <f t="shared" si="2"/>
        <v>3310.2159719830311</v>
      </c>
      <c r="M6" s="61"/>
      <c r="N6" s="54">
        <f t="shared" si="3"/>
        <v>0</v>
      </c>
      <c r="O6" s="57">
        <v>25</v>
      </c>
      <c r="P6" s="57">
        <f t="shared" si="4"/>
        <v>4.8560427292756572E-2</v>
      </c>
      <c r="Q6" s="61">
        <f t="shared" si="5"/>
        <v>211853.82220691399</v>
      </c>
      <c r="R6" s="57">
        <f t="shared" si="6"/>
        <v>0</v>
      </c>
      <c r="S6" s="57">
        <v>20</v>
      </c>
      <c r="T6" s="57"/>
      <c r="U6" s="61"/>
      <c r="W6" s="54"/>
      <c r="X6" s="57"/>
      <c r="Y6" s="57"/>
      <c r="Z6" s="54">
        <f t="shared" si="7"/>
        <v>0</v>
      </c>
      <c r="AA6" s="57">
        <v>15</v>
      </c>
      <c r="AB6" s="61">
        <v>4</v>
      </c>
      <c r="AC6" s="54">
        <f t="shared" si="8"/>
        <v>0</v>
      </c>
      <c r="AD6" s="57">
        <v>15</v>
      </c>
      <c r="AE6" s="61">
        <v>4</v>
      </c>
      <c r="AF6" s="57">
        <f t="shared" si="9"/>
        <v>0</v>
      </c>
      <c r="AG6" s="57">
        <v>15</v>
      </c>
      <c r="AH6" s="61">
        <v>4</v>
      </c>
      <c r="AJ6" s="53">
        <v>6</v>
      </c>
      <c r="AK6" s="57">
        <f>IF($F$17&lt;AJ6,1,0)</f>
        <v>1</v>
      </c>
      <c r="AL6" s="61" t="s">
        <v>186</v>
      </c>
      <c r="AM6" s="57">
        <f>IF($F$17&lt;AJ6,1,0)</f>
        <v>1</v>
      </c>
      <c r="AN6" s="103" t="s">
        <v>192</v>
      </c>
      <c r="AP6" s="54">
        <f t="shared" si="0"/>
        <v>0</v>
      </c>
      <c r="AQ6" s="57">
        <v>8</v>
      </c>
      <c r="AR6" s="61" t="s">
        <v>193</v>
      </c>
      <c r="AT6" s="54">
        <v>0.83499999999999996</v>
      </c>
      <c r="AU6" s="57">
        <f>IF($B$4&lt;AT6,1,0)</f>
        <v>1</v>
      </c>
      <c r="AV6" s="61" t="s">
        <v>194</v>
      </c>
      <c r="AY6" s="50"/>
      <c r="AZ6" s="34"/>
      <c r="BA6" s="51"/>
      <c r="BB6" s="34">
        <f t="shared" si="10"/>
        <v>0</v>
      </c>
      <c r="BC6" s="56" t="s">
        <v>103</v>
      </c>
      <c r="BD6" s="34">
        <v>25</v>
      </c>
      <c r="BE6" s="53"/>
      <c r="BF6" s="70">
        <f t="shared" si="11"/>
        <v>0</v>
      </c>
      <c r="BG6" s="56" t="s">
        <v>103</v>
      </c>
      <c r="BH6" s="34">
        <v>15</v>
      </c>
      <c r="BI6" s="55">
        <v>1.6</v>
      </c>
      <c r="BJ6" s="51"/>
      <c r="BK6" s="34">
        <f>IF($B$14=BM6,1,0)</f>
        <v>0</v>
      </c>
      <c r="BL6" s="56" t="s">
        <v>104</v>
      </c>
      <c r="BM6" s="34" t="s">
        <v>54</v>
      </c>
      <c r="BN6" s="51"/>
      <c r="BO6" s="70">
        <f t="shared" si="12"/>
        <v>0</v>
      </c>
      <c r="BP6" s="56" t="s">
        <v>81</v>
      </c>
      <c r="BQ6" s="55">
        <v>25</v>
      </c>
      <c r="BR6" s="51"/>
      <c r="BS6" s="70">
        <f t="shared" si="13"/>
        <v>0</v>
      </c>
      <c r="BT6" s="56" t="s">
        <v>81</v>
      </c>
      <c r="BU6" s="55">
        <v>25</v>
      </c>
      <c r="BV6" s="51"/>
      <c r="BW6" s="34">
        <f t="shared" si="14"/>
        <v>0</v>
      </c>
      <c r="BX6" s="56" t="s">
        <v>103</v>
      </c>
      <c r="BY6" s="34">
        <v>25</v>
      </c>
      <c r="BZ6" s="51"/>
      <c r="CA6" s="34">
        <f t="shared" si="15"/>
        <v>0</v>
      </c>
      <c r="CB6" s="56" t="s">
        <v>103</v>
      </c>
      <c r="CC6" s="34">
        <v>25</v>
      </c>
      <c r="CD6" s="51"/>
      <c r="CE6" s="34" t="e">
        <f t="shared" si="16"/>
        <v>#N/A</v>
      </c>
      <c r="CF6" s="56" t="s">
        <v>104</v>
      </c>
      <c r="CG6" s="61" t="s">
        <v>188</v>
      </c>
      <c r="CH6" s="51"/>
      <c r="CI6" s="34" t="e">
        <f>IF($E$18=CK6,1,0)</f>
        <v>#N/A</v>
      </c>
      <c r="CJ6" s="31">
        <v>3</v>
      </c>
      <c r="CK6" s="57" t="s">
        <v>186</v>
      </c>
      <c r="CL6" s="31" t="e">
        <f>IF($E$18=CN6,1,0)</f>
        <v>#N/A</v>
      </c>
      <c r="CM6" s="31">
        <v>3</v>
      </c>
      <c r="CN6" s="103" t="s">
        <v>192</v>
      </c>
      <c r="CO6" s="53"/>
      <c r="CP6" s="57">
        <f>IF($B$15=CR6,1,0)</f>
        <v>0</v>
      </c>
      <c r="CQ6" s="31">
        <v>2</v>
      </c>
      <c r="CR6" s="76" t="s">
        <v>195</v>
      </c>
      <c r="CS6" s="53"/>
      <c r="CT6" s="51"/>
      <c r="CU6" s="34">
        <f t="shared" si="18"/>
        <v>0</v>
      </c>
      <c r="CV6" s="56" t="s">
        <v>96</v>
      </c>
      <c r="CW6" s="61" t="s">
        <v>196</v>
      </c>
      <c r="CX6" s="53"/>
      <c r="CY6" s="34">
        <f>IF($B$16=DA6,1,0)</f>
        <v>0</v>
      </c>
      <c r="CZ6" s="56" t="s">
        <v>104</v>
      </c>
      <c r="DA6" s="76" t="s">
        <v>54</v>
      </c>
      <c r="DB6" s="53"/>
      <c r="DC6" s="34"/>
      <c r="DD6" s="56"/>
      <c r="DE6" s="55"/>
    </row>
    <row r="7" spans="1:109" x14ac:dyDescent="0.25">
      <c r="A7" s="58" t="s">
        <v>178</v>
      </c>
      <c r="B7" s="59">
        <f>IF(('ol4'!N17-B8)&lt;5,B8+5,'ol4'!N17)</f>
        <v>5</v>
      </c>
      <c r="C7" s="72" t="s">
        <v>86</v>
      </c>
      <c r="E7" t="s">
        <v>106</v>
      </c>
      <c r="F7">
        <f>VLOOKUP(1,IF(B14="IMI Hydronic",Z4:AB21,IF(B14="Siemens",AC4:AE22,AF4:AH16)),3,0)</f>
        <v>25</v>
      </c>
      <c r="I7" s="54">
        <f t="shared" si="1"/>
        <v>0</v>
      </c>
      <c r="J7" s="57">
        <v>32</v>
      </c>
      <c r="K7" s="57">
        <f t="shared" si="17"/>
        <v>4.4277322004702871E-2</v>
      </c>
      <c r="L7" s="57">
        <f t="shared" si="2"/>
        <v>878.4262957564614</v>
      </c>
      <c r="M7" s="61"/>
      <c r="N7" s="54">
        <f t="shared" si="3"/>
        <v>0</v>
      </c>
      <c r="O7" s="57">
        <v>32</v>
      </c>
      <c r="P7" s="57">
        <f t="shared" si="4"/>
        <v>4.4277322004702871E-2</v>
      </c>
      <c r="Q7" s="61">
        <f t="shared" si="5"/>
        <v>56219.28292841353</v>
      </c>
      <c r="R7" s="57">
        <f t="shared" si="6"/>
        <v>0</v>
      </c>
      <c r="S7" s="57">
        <v>25</v>
      </c>
      <c r="T7" s="57"/>
      <c r="U7" s="61"/>
      <c r="W7" s="54"/>
      <c r="X7" s="57"/>
      <c r="Y7" s="57"/>
      <c r="Z7" s="54">
        <f t="shared" si="7"/>
        <v>0</v>
      </c>
      <c r="AA7" s="57">
        <v>20</v>
      </c>
      <c r="AB7" s="61">
        <v>6.3</v>
      </c>
      <c r="AC7" s="54">
        <f t="shared" si="8"/>
        <v>0</v>
      </c>
      <c r="AD7" s="57">
        <v>20</v>
      </c>
      <c r="AE7" s="61">
        <v>6.3</v>
      </c>
      <c r="AF7" s="57">
        <f t="shared" si="9"/>
        <v>0</v>
      </c>
      <c r="AG7" s="57">
        <v>20</v>
      </c>
      <c r="AH7" s="61">
        <v>6.3</v>
      </c>
      <c r="AJ7" s="53">
        <v>12</v>
      </c>
      <c r="AK7" s="57">
        <f>IF($F$17&lt;AJ7,1,0)</f>
        <v>1</v>
      </c>
      <c r="AL7" s="61" t="s">
        <v>197</v>
      </c>
      <c r="AM7" s="57">
        <f>IF($F$17&lt;AJ7,1,0)</f>
        <v>1</v>
      </c>
      <c r="AN7" s="103" t="s">
        <v>198</v>
      </c>
      <c r="AP7" s="54">
        <f t="shared" si="0"/>
        <v>0</v>
      </c>
      <c r="AQ7" s="57">
        <v>14</v>
      </c>
      <c r="AR7" s="61" t="s">
        <v>199</v>
      </c>
      <c r="AT7" s="54">
        <v>1.0009999999999999</v>
      </c>
      <c r="AU7" s="57">
        <f>IF($B$4&lt;AT7,1,0)</f>
        <v>1</v>
      </c>
      <c r="AV7" s="61" t="s">
        <v>200</v>
      </c>
      <c r="AY7" s="50"/>
      <c r="AZ7" s="34"/>
      <c r="BA7" s="51"/>
      <c r="BB7" s="34">
        <f t="shared" si="10"/>
        <v>0</v>
      </c>
      <c r="BC7" s="56" t="s">
        <v>110</v>
      </c>
      <c r="BD7" s="34">
        <v>32</v>
      </c>
      <c r="BE7" s="53"/>
      <c r="BF7" s="70">
        <f t="shared" si="11"/>
        <v>0</v>
      </c>
      <c r="BG7" s="56" t="s">
        <v>110</v>
      </c>
      <c r="BH7" s="34">
        <v>15</v>
      </c>
      <c r="BI7" s="55">
        <v>2.5</v>
      </c>
      <c r="BJ7" s="51"/>
      <c r="BK7" s="34"/>
      <c r="BL7" s="56"/>
      <c r="BM7" s="34"/>
      <c r="BN7" s="51"/>
      <c r="BO7" s="70">
        <f t="shared" si="12"/>
        <v>0</v>
      </c>
      <c r="BP7" s="56" t="s">
        <v>81</v>
      </c>
      <c r="BQ7" s="55">
        <v>32</v>
      </c>
      <c r="BR7" s="51"/>
      <c r="BS7" s="70">
        <f t="shared" si="13"/>
        <v>0</v>
      </c>
      <c r="BT7" s="56" t="s">
        <v>81</v>
      </c>
      <c r="BU7" s="55">
        <v>32</v>
      </c>
      <c r="BV7" s="51"/>
      <c r="BW7" s="34">
        <f t="shared" si="14"/>
        <v>0</v>
      </c>
      <c r="BX7" s="56" t="s">
        <v>110</v>
      </c>
      <c r="BY7" s="34">
        <v>32</v>
      </c>
      <c r="BZ7" s="51"/>
      <c r="CA7" s="34">
        <f t="shared" si="15"/>
        <v>0</v>
      </c>
      <c r="CB7" s="56" t="s">
        <v>110</v>
      </c>
      <c r="CC7" s="34">
        <v>32</v>
      </c>
      <c r="CD7" s="51"/>
      <c r="CE7" s="34" t="e">
        <f t="shared" si="16"/>
        <v>#N/A</v>
      </c>
      <c r="CF7" s="56" t="s">
        <v>116</v>
      </c>
      <c r="CG7" s="61" t="s">
        <v>193</v>
      </c>
      <c r="CH7" s="51"/>
      <c r="CI7" s="34" t="e">
        <f>IF($E$18=CK7,1,0)</f>
        <v>#N/A</v>
      </c>
      <c r="CJ7" s="76">
        <v>4</v>
      </c>
      <c r="CK7" s="57" t="s">
        <v>197</v>
      </c>
      <c r="CL7" s="31" t="e">
        <f>IF($E$18=CN7,1,0)</f>
        <v>#N/A</v>
      </c>
      <c r="CM7" s="76">
        <v>4</v>
      </c>
      <c r="CN7" s="103" t="s">
        <v>198</v>
      </c>
      <c r="CO7" s="53"/>
      <c r="CP7" s="57"/>
      <c r="CQ7" s="31"/>
      <c r="CS7" s="53"/>
      <c r="CT7" s="51"/>
      <c r="CU7" s="34">
        <f t="shared" si="18"/>
        <v>0</v>
      </c>
      <c r="CV7" s="56" t="s">
        <v>103</v>
      </c>
      <c r="CW7" s="61" t="s">
        <v>201</v>
      </c>
      <c r="CX7" s="53"/>
      <c r="CY7" s="34"/>
      <c r="CZ7" s="57"/>
      <c r="DA7" s="57"/>
      <c r="DB7" s="53"/>
      <c r="DC7" s="34"/>
      <c r="DD7" s="56"/>
      <c r="DE7" s="30"/>
    </row>
    <row r="8" spans="1:109" x14ac:dyDescent="0.25">
      <c r="A8" s="58" t="s">
        <v>202</v>
      </c>
      <c r="B8" s="59">
        <f>'ol4'!R17</f>
        <v>0</v>
      </c>
      <c r="C8" s="72" t="s">
        <v>86</v>
      </c>
      <c r="E8" s="78" t="s">
        <v>73</v>
      </c>
      <c r="F8" s="102">
        <f>(F4^2/F7^2)*10</f>
        <v>1.6</v>
      </c>
      <c r="I8" s="54">
        <f t="shared" si="1"/>
        <v>0</v>
      </c>
      <c r="J8" s="57">
        <v>40</v>
      </c>
      <c r="K8" s="57">
        <f t="shared" si="17"/>
        <v>4.0875226338606248E-2</v>
      </c>
      <c r="L8" s="57">
        <f t="shared" si="2"/>
        <v>265.72602290469865</v>
      </c>
      <c r="M8" s="61"/>
      <c r="N8" s="54">
        <f t="shared" si="3"/>
        <v>0</v>
      </c>
      <c r="O8" s="57">
        <v>40</v>
      </c>
      <c r="P8" s="57">
        <f t="shared" si="4"/>
        <v>4.0875226338606248E-2</v>
      </c>
      <c r="Q8" s="61">
        <f t="shared" si="5"/>
        <v>17006.465465900714</v>
      </c>
      <c r="R8" s="57">
        <f t="shared" si="6"/>
        <v>0</v>
      </c>
      <c r="S8" s="57">
        <v>32</v>
      </c>
      <c r="T8" s="57"/>
      <c r="U8" s="61"/>
      <c r="W8" s="62"/>
      <c r="X8" s="57"/>
      <c r="Y8" s="74"/>
      <c r="Z8" s="54">
        <f t="shared" si="7"/>
        <v>0</v>
      </c>
      <c r="AA8" s="57">
        <v>25</v>
      </c>
      <c r="AB8" s="61">
        <v>10</v>
      </c>
      <c r="AC8" s="54">
        <f t="shared" si="8"/>
        <v>0</v>
      </c>
      <c r="AD8" s="57">
        <v>25</v>
      </c>
      <c r="AE8" s="61">
        <v>10</v>
      </c>
      <c r="AF8" s="57">
        <f t="shared" si="9"/>
        <v>0</v>
      </c>
      <c r="AG8" s="57">
        <v>25</v>
      </c>
      <c r="AH8" s="61">
        <v>10</v>
      </c>
      <c r="AJ8" s="53"/>
      <c r="AK8" s="34"/>
      <c r="AL8" s="61"/>
      <c r="AM8" s="57"/>
      <c r="AN8" s="61"/>
      <c r="AP8" s="54">
        <f t="shared" si="0"/>
        <v>0</v>
      </c>
      <c r="AQ8" s="57">
        <v>20</v>
      </c>
      <c r="AR8" s="61" t="s">
        <v>203</v>
      </c>
      <c r="AT8" s="54"/>
      <c r="AU8" s="57"/>
      <c r="AV8" s="61"/>
      <c r="AY8" s="50"/>
      <c r="AZ8" s="34"/>
      <c r="BA8" s="51"/>
      <c r="BB8" s="34">
        <f t="shared" si="10"/>
        <v>0</v>
      </c>
      <c r="BC8" s="56" t="s">
        <v>115</v>
      </c>
      <c r="BD8" s="34">
        <v>40</v>
      </c>
      <c r="BE8" s="53"/>
      <c r="BF8" s="70">
        <f t="shared" si="11"/>
        <v>0</v>
      </c>
      <c r="BG8" s="56" t="s">
        <v>115</v>
      </c>
      <c r="BH8" s="34">
        <v>15</v>
      </c>
      <c r="BI8" s="55">
        <v>4</v>
      </c>
      <c r="BJ8" s="51"/>
      <c r="BK8" s="34"/>
      <c r="BL8" s="56"/>
      <c r="BM8" s="34"/>
      <c r="BN8" s="51"/>
      <c r="BO8" s="70">
        <f t="shared" si="12"/>
        <v>0</v>
      </c>
      <c r="BP8" s="56" t="s">
        <v>81</v>
      </c>
      <c r="BQ8" s="55">
        <v>40</v>
      </c>
      <c r="BR8" s="51"/>
      <c r="BS8" s="70">
        <f t="shared" si="13"/>
        <v>0</v>
      </c>
      <c r="BT8" s="56" t="s">
        <v>81</v>
      </c>
      <c r="BU8" s="55">
        <v>40</v>
      </c>
      <c r="BV8" s="51"/>
      <c r="BW8" s="34">
        <f t="shared" si="14"/>
        <v>0</v>
      </c>
      <c r="BX8" s="56" t="s">
        <v>115</v>
      </c>
      <c r="BY8" s="34">
        <v>40</v>
      </c>
      <c r="BZ8" s="51"/>
      <c r="CA8" s="34">
        <f t="shared" si="15"/>
        <v>0</v>
      </c>
      <c r="CB8" s="56" t="s">
        <v>115</v>
      </c>
      <c r="CC8" s="34">
        <v>40</v>
      </c>
      <c r="CD8" s="51"/>
      <c r="CE8" s="34" t="e">
        <f t="shared" si="16"/>
        <v>#N/A</v>
      </c>
      <c r="CF8" s="56" t="s">
        <v>124</v>
      </c>
      <c r="CG8" s="61" t="s">
        <v>199</v>
      </c>
      <c r="CH8" s="51"/>
      <c r="CI8" s="34"/>
      <c r="CJ8" s="76"/>
      <c r="CK8" s="31"/>
      <c r="CL8" s="31"/>
      <c r="CM8" s="76"/>
      <c r="CN8" s="31"/>
      <c r="CO8" s="53"/>
      <c r="CS8" s="53"/>
      <c r="CT8" s="51"/>
      <c r="CU8" s="34">
        <f t="shared" si="18"/>
        <v>0</v>
      </c>
      <c r="CV8" s="56" t="s">
        <v>110</v>
      </c>
      <c r="CW8" s="61" t="s">
        <v>204</v>
      </c>
      <c r="CX8" s="53"/>
      <c r="CY8" s="34"/>
      <c r="CZ8" s="56"/>
      <c r="DA8" s="34"/>
      <c r="DB8" s="53"/>
      <c r="DC8" s="34"/>
      <c r="DD8" s="56"/>
      <c r="DE8" s="55"/>
    </row>
    <row r="9" spans="1:109" x14ac:dyDescent="0.25">
      <c r="A9" s="58" t="s">
        <v>117</v>
      </c>
      <c r="B9" s="59">
        <f>'ol4'!W13*100</f>
        <v>60</v>
      </c>
      <c r="C9" s="72" t="s">
        <v>118</v>
      </c>
      <c r="E9" s="1" t="str">
        <f>VLOOKUP(1,AU3:AV7,2,0)</f>
        <v>НН19-16/2</v>
      </c>
      <c r="F9" s="1"/>
      <c r="I9" s="54">
        <f t="shared" si="1"/>
        <v>0</v>
      </c>
      <c r="J9" s="57">
        <v>50</v>
      </c>
      <c r="K9" s="57">
        <f t="shared" si="17"/>
        <v>3.7850686611455138E-2</v>
      </c>
      <c r="L9" s="57">
        <f t="shared" si="2"/>
        <v>80.630177155620586</v>
      </c>
      <c r="M9" s="61"/>
      <c r="N9" s="54">
        <f t="shared" si="3"/>
        <v>0</v>
      </c>
      <c r="O9" s="57">
        <v>50</v>
      </c>
      <c r="P9" s="57">
        <f t="shared" si="4"/>
        <v>3.7850686611455138E-2</v>
      </c>
      <c r="Q9" s="61">
        <f t="shared" si="5"/>
        <v>5160.3313379597175</v>
      </c>
      <c r="R9" s="57">
        <f t="shared" si="6"/>
        <v>0</v>
      </c>
      <c r="S9" s="57">
        <v>40</v>
      </c>
      <c r="T9" s="57"/>
      <c r="U9" s="61"/>
      <c r="W9" s="62"/>
      <c r="X9" s="74"/>
      <c r="Y9" s="57"/>
      <c r="Z9" s="54">
        <f t="shared" si="7"/>
        <v>0</v>
      </c>
      <c r="AA9" s="57">
        <v>32</v>
      </c>
      <c r="AB9" s="61">
        <v>16</v>
      </c>
      <c r="AC9" s="54">
        <f t="shared" si="8"/>
        <v>0</v>
      </c>
      <c r="AD9" s="57">
        <v>32</v>
      </c>
      <c r="AE9" s="61">
        <v>16</v>
      </c>
      <c r="AF9" s="57">
        <f t="shared" si="9"/>
        <v>0</v>
      </c>
      <c r="AG9" s="57">
        <v>32</v>
      </c>
      <c r="AH9" s="61">
        <v>16</v>
      </c>
      <c r="AJ9" s="53"/>
      <c r="AK9" s="34"/>
      <c r="AL9" s="61"/>
      <c r="AM9" s="57"/>
      <c r="AN9" s="61"/>
      <c r="AP9" s="83"/>
      <c r="AQ9" s="87"/>
      <c r="AR9" s="89"/>
      <c r="AT9" s="83"/>
      <c r="AU9" s="87"/>
      <c r="AV9" s="89"/>
      <c r="AY9" s="50"/>
      <c r="AZ9" s="34"/>
      <c r="BA9" s="51"/>
      <c r="BB9" s="34">
        <f t="shared" si="10"/>
        <v>0</v>
      </c>
      <c r="BC9" s="56" t="s">
        <v>123</v>
      </c>
      <c r="BD9" s="34">
        <v>50</v>
      </c>
      <c r="BE9" s="53"/>
      <c r="BF9" s="70">
        <f t="shared" si="11"/>
        <v>0</v>
      </c>
      <c r="BG9" s="56" t="s">
        <v>123</v>
      </c>
      <c r="BH9" s="34">
        <v>20</v>
      </c>
      <c r="BI9" s="55">
        <v>5</v>
      </c>
      <c r="BJ9" s="51"/>
      <c r="BK9" s="34"/>
      <c r="BL9" s="56"/>
      <c r="BM9" s="34"/>
      <c r="BN9" s="51"/>
      <c r="BO9" s="70">
        <f t="shared" si="12"/>
        <v>0</v>
      </c>
      <c r="BP9" s="56" t="s">
        <v>81</v>
      </c>
      <c r="BQ9" s="55">
        <v>50</v>
      </c>
      <c r="BR9" s="51"/>
      <c r="BS9" s="70">
        <f t="shared" si="13"/>
        <v>0</v>
      </c>
      <c r="BT9" s="56" t="s">
        <v>81</v>
      </c>
      <c r="BU9" s="55">
        <v>50</v>
      </c>
      <c r="BV9" s="51"/>
      <c r="BW9" s="34">
        <f t="shared" si="14"/>
        <v>0</v>
      </c>
      <c r="BX9" s="56" t="s">
        <v>123</v>
      </c>
      <c r="BY9" s="34">
        <v>50</v>
      </c>
      <c r="BZ9" s="51"/>
      <c r="CA9" s="34">
        <f t="shared" si="15"/>
        <v>0</v>
      </c>
      <c r="CB9" s="56" t="s">
        <v>123</v>
      </c>
      <c r="CC9" s="34">
        <v>50</v>
      </c>
      <c r="CD9" s="51"/>
      <c r="CE9" s="34" t="e">
        <f t="shared" si="16"/>
        <v>#N/A</v>
      </c>
      <c r="CF9" s="56" t="s">
        <v>131</v>
      </c>
      <c r="CG9" s="61" t="s">
        <v>203</v>
      </c>
      <c r="CH9" s="51"/>
      <c r="CI9" s="34"/>
      <c r="CJ9" s="76"/>
      <c r="CK9" s="31"/>
      <c r="CL9" s="31"/>
      <c r="CM9" s="76"/>
      <c r="CN9" s="31"/>
      <c r="CO9" s="53"/>
      <c r="CP9" s="57"/>
      <c r="CQ9" s="57"/>
      <c r="CR9" s="57"/>
      <c r="CS9" s="53"/>
      <c r="CT9" s="51"/>
      <c r="CU9" s="34">
        <f t="shared" si="18"/>
        <v>0</v>
      </c>
      <c r="CV9" s="56" t="s">
        <v>115</v>
      </c>
      <c r="CW9" s="61" t="s">
        <v>184</v>
      </c>
      <c r="CX9" s="53"/>
      <c r="CY9" s="34"/>
      <c r="CZ9" s="56"/>
      <c r="DA9" s="34"/>
      <c r="DB9" s="53"/>
      <c r="DC9" s="34"/>
      <c r="DD9" s="56"/>
      <c r="DE9" s="55"/>
    </row>
    <row r="10" spans="1:109" x14ac:dyDescent="0.25">
      <c r="A10" s="58" t="s">
        <v>125</v>
      </c>
      <c r="B10" s="59">
        <f>'ol4'!AC13*100</f>
        <v>40</v>
      </c>
      <c r="C10" s="72" t="s">
        <v>118</v>
      </c>
      <c r="I10" s="54">
        <f t="shared" si="1"/>
        <v>2</v>
      </c>
      <c r="J10" s="57">
        <v>65</v>
      </c>
      <c r="K10" s="57">
        <f t="shared" si="17"/>
        <v>3.4705101432211748E-2</v>
      </c>
      <c r="L10" s="57">
        <f t="shared" si="2"/>
        <v>19.911336341534742</v>
      </c>
      <c r="M10" s="61"/>
      <c r="N10" s="54">
        <f t="shared" si="3"/>
        <v>0</v>
      </c>
      <c r="O10" s="57">
        <v>65</v>
      </c>
      <c r="P10" s="57">
        <f t="shared" si="4"/>
        <v>3.4705101432211748E-2</v>
      </c>
      <c r="Q10" s="61">
        <f t="shared" si="5"/>
        <v>1274.3255258582235</v>
      </c>
      <c r="R10" s="57">
        <f t="shared" si="6"/>
        <v>0</v>
      </c>
      <c r="S10" s="57">
        <v>50</v>
      </c>
      <c r="T10" s="57"/>
      <c r="U10" s="61"/>
      <c r="W10" s="54"/>
      <c r="X10" s="57"/>
      <c r="Y10" s="57"/>
      <c r="Z10" s="54">
        <f t="shared" si="7"/>
        <v>1</v>
      </c>
      <c r="AA10" s="57">
        <v>40</v>
      </c>
      <c r="AB10" s="61">
        <v>20</v>
      </c>
      <c r="AC10" s="54">
        <f t="shared" si="8"/>
        <v>1</v>
      </c>
      <c r="AD10" s="57">
        <v>40</v>
      </c>
      <c r="AE10" s="61">
        <v>25</v>
      </c>
      <c r="AF10" s="57">
        <f t="shared" si="9"/>
        <v>1</v>
      </c>
      <c r="AG10" s="57">
        <v>40</v>
      </c>
      <c r="AH10" s="61">
        <v>25</v>
      </c>
      <c r="AJ10" s="53"/>
      <c r="AK10" s="34"/>
      <c r="AL10" s="61"/>
      <c r="AM10" s="57"/>
      <c r="AN10" s="61"/>
      <c r="AY10" s="50"/>
      <c r="AZ10" s="34"/>
      <c r="BA10" s="51"/>
      <c r="BB10" s="34">
        <f t="shared" si="10"/>
        <v>1</v>
      </c>
      <c r="BC10" s="56" t="s">
        <v>130</v>
      </c>
      <c r="BD10" s="34">
        <v>65</v>
      </c>
      <c r="BE10" s="53"/>
      <c r="BF10" s="70">
        <f t="shared" si="11"/>
        <v>0</v>
      </c>
      <c r="BG10" s="56" t="s">
        <v>130</v>
      </c>
      <c r="BH10" s="34">
        <v>20</v>
      </c>
      <c r="BI10" s="55">
        <v>6.3</v>
      </c>
      <c r="BJ10" s="51"/>
      <c r="BK10" s="34"/>
      <c r="BL10" s="56"/>
      <c r="BM10" s="34"/>
      <c r="BN10" s="51"/>
      <c r="BO10" s="70">
        <f t="shared" si="12"/>
        <v>1</v>
      </c>
      <c r="BP10" s="56" t="s">
        <v>81</v>
      </c>
      <c r="BQ10" s="55">
        <v>65</v>
      </c>
      <c r="BR10" s="51"/>
      <c r="BS10" s="70">
        <f t="shared" si="13"/>
        <v>1</v>
      </c>
      <c r="BT10" s="56" t="s">
        <v>81</v>
      </c>
      <c r="BU10" s="55">
        <v>65</v>
      </c>
      <c r="BV10" s="51"/>
      <c r="BW10" s="34">
        <f t="shared" si="14"/>
        <v>0</v>
      </c>
      <c r="BX10" s="56" t="s">
        <v>130</v>
      </c>
      <c r="BY10" s="34">
        <v>65</v>
      </c>
      <c r="BZ10" s="51"/>
      <c r="CA10" s="34">
        <f t="shared" si="15"/>
        <v>0</v>
      </c>
      <c r="CB10" s="56" t="s">
        <v>130</v>
      </c>
      <c r="CC10" s="34">
        <v>65</v>
      </c>
      <c r="CD10" s="51"/>
      <c r="CE10" s="34"/>
      <c r="CF10" s="56"/>
      <c r="CG10" s="34"/>
      <c r="CH10" s="51"/>
      <c r="CI10" s="34"/>
      <c r="CJ10" s="76"/>
      <c r="CK10" s="31"/>
      <c r="CL10" s="31"/>
      <c r="CM10" s="76"/>
      <c r="CN10" s="31"/>
      <c r="CO10" s="53"/>
      <c r="CS10" s="53"/>
      <c r="CT10" s="51"/>
      <c r="CU10" s="34">
        <f t="shared" si="18"/>
        <v>1</v>
      </c>
      <c r="CV10" s="56" t="s">
        <v>123</v>
      </c>
      <c r="CW10" s="61" t="s">
        <v>189</v>
      </c>
      <c r="CX10" s="53"/>
      <c r="CY10" s="34"/>
      <c r="CZ10" s="56"/>
      <c r="DA10" s="34"/>
      <c r="DB10" s="53"/>
      <c r="DC10" s="34"/>
      <c r="DD10" s="56"/>
      <c r="DE10" s="55"/>
    </row>
    <row r="11" spans="1:109" x14ac:dyDescent="0.25">
      <c r="A11" s="80" t="s">
        <v>137</v>
      </c>
      <c r="B11">
        <f>B9-B10</f>
        <v>20</v>
      </c>
      <c r="C11" s="72" t="s">
        <v>118</v>
      </c>
      <c r="E11" t="s">
        <v>205</v>
      </c>
      <c r="F11" s="102">
        <f>B4*1000/(B7-B8)</f>
        <v>80</v>
      </c>
      <c r="I11" s="54">
        <f t="shared" si="1"/>
        <v>2</v>
      </c>
      <c r="J11" s="57">
        <v>80</v>
      </c>
      <c r="K11" s="57">
        <f t="shared" si="17"/>
        <v>3.248549788373601E-2</v>
      </c>
      <c r="L11" s="57">
        <f t="shared" si="2"/>
        <v>6.5995369689328687</v>
      </c>
      <c r="M11" s="61"/>
      <c r="N11" s="54">
        <f t="shared" si="3"/>
        <v>0</v>
      </c>
      <c r="O11" s="57">
        <v>80</v>
      </c>
      <c r="P11" s="57">
        <f t="shared" si="4"/>
        <v>3.248549788373601E-2</v>
      </c>
      <c r="Q11" s="61">
        <f t="shared" si="5"/>
        <v>422.3703660117036</v>
      </c>
      <c r="R11" s="57">
        <f t="shared" si="6"/>
        <v>0</v>
      </c>
      <c r="S11" s="57">
        <v>65</v>
      </c>
      <c r="T11" s="57"/>
      <c r="U11" s="61"/>
      <c r="W11" s="54"/>
      <c r="X11" s="57"/>
      <c r="Y11" s="74"/>
      <c r="Z11" s="54">
        <f t="shared" si="7"/>
        <v>1</v>
      </c>
      <c r="AA11" s="57">
        <v>40</v>
      </c>
      <c r="AB11" s="61">
        <v>25</v>
      </c>
      <c r="AC11" s="54">
        <f t="shared" si="8"/>
        <v>1</v>
      </c>
      <c r="AD11" s="57">
        <v>50</v>
      </c>
      <c r="AE11" s="61">
        <v>31.5</v>
      </c>
      <c r="AF11" s="57">
        <f t="shared" si="9"/>
        <v>1</v>
      </c>
      <c r="AG11" s="57">
        <v>50</v>
      </c>
      <c r="AH11" s="61">
        <v>40</v>
      </c>
      <c r="AJ11" s="85"/>
      <c r="AK11" s="93"/>
      <c r="AL11" s="89"/>
      <c r="AM11" s="87"/>
      <c r="AN11" s="89"/>
      <c r="AY11" s="50"/>
      <c r="AZ11" s="34"/>
      <c r="BA11" s="51"/>
      <c r="BB11" s="34">
        <f t="shared" si="10"/>
        <v>0</v>
      </c>
      <c r="BC11" s="56" t="s">
        <v>136</v>
      </c>
      <c r="BD11" s="34">
        <v>80</v>
      </c>
      <c r="BE11" s="53"/>
      <c r="BF11" s="70">
        <f t="shared" si="11"/>
        <v>0</v>
      </c>
      <c r="BG11" s="56" t="s">
        <v>136</v>
      </c>
      <c r="BH11" s="34">
        <v>25</v>
      </c>
      <c r="BI11" s="55">
        <v>8</v>
      </c>
      <c r="BJ11" s="51"/>
      <c r="BK11" s="34"/>
      <c r="BL11" s="56"/>
      <c r="BM11" s="34"/>
      <c r="BN11" s="51"/>
      <c r="BO11" s="70">
        <f t="shared" si="12"/>
        <v>0</v>
      </c>
      <c r="BP11" s="56" t="s">
        <v>81</v>
      </c>
      <c r="BQ11" s="55">
        <v>80</v>
      </c>
      <c r="BR11" s="51"/>
      <c r="BS11" s="70">
        <f t="shared" si="13"/>
        <v>0</v>
      </c>
      <c r="BT11" s="56" t="s">
        <v>81</v>
      </c>
      <c r="BU11" s="55">
        <v>80</v>
      </c>
      <c r="BV11" s="51"/>
      <c r="BW11" s="34">
        <f t="shared" si="14"/>
        <v>0</v>
      </c>
      <c r="BX11" s="56" t="s">
        <v>136</v>
      </c>
      <c r="BY11" s="34">
        <v>80</v>
      </c>
      <c r="BZ11" s="51"/>
      <c r="CA11" s="34">
        <f t="shared" si="15"/>
        <v>0</v>
      </c>
      <c r="CB11" s="56" t="s">
        <v>136</v>
      </c>
      <c r="CC11" s="34">
        <v>80</v>
      </c>
      <c r="CD11" s="51"/>
      <c r="CE11" s="34"/>
      <c r="CF11" s="56"/>
      <c r="CG11" s="34"/>
      <c r="CH11" s="51"/>
      <c r="CI11" s="34"/>
      <c r="CJ11" s="76"/>
      <c r="CK11" s="31"/>
      <c r="CL11" s="31"/>
      <c r="CM11" s="31"/>
      <c r="CN11" s="31"/>
      <c r="CO11" s="53"/>
      <c r="CS11" s="53"/>
      <c r="CT11" s="51"/>
      <c r="CU11" s="34">
        <f t="shared" si="18"/>
        <v>0</v>
      </c>
      <c r="CV11" s="56" t="s">
        <v>130</v>
      </c>
      <c r="CW11" s="61" t="s">
        <v>194</v>
      </c>
      <c r="CX11" s="53"/>
      <c r="CY11" s="34"/>
      <c r="CZ11" s="56"/>
      <c r="DA11" s="34"/>
      <c r="DB11" s="53"/>
      <c r="DC11" s="34"/>
      <c r="DD11" s="56"/>
      <c r="DE11" s="55"/>
    </row>
    <row r="12" spans="1:109" x14ac:dyDescent="0.25">
      <c r="E12" t="s">
        <v>173</v>
      </c>
      <c r="F12">
        <f>VLOOKUP(1,N4:Q17,2,0)</f>
        <v>150</v>
      </c>
      <c r="I12" s="54">
        <f t="shared" si="1"/>
        <v>0</v>
      </c>
      <c r="J12" s="57">
        <v>100</v>
      </c>
      <c r="K12" s="57">
        <f t="shared" si="17"/>
        <v>3.0329450982592862E-2</v>
      </c>
      <c r="L12" s="57">
        <f t="shared" si="2"/>
        <v>2.0190097795173449</v>
      </c>
      <c r="M12" s="61"/>
      <c r="N12" s="54">
        <f t="shared" si="3"/>
        <v>0</v>
      </c>
      <c r="O12" s="57">
        <v>100</v>
      </c>
      <c r="P12" s="57">
        <f t="shared" si="4"/>
        <v>3.0329450982592862E-2</v>
      </c>
      <c r="Q12" s="61">
        <f t="shared" si="5"/>
        <v>129.21662588911008</v>
      </c>
      <c r="R12" s="57">
        <f t="shared" si="6"/>
        <v>0</v>
      </c>
      <c r="S12" s="57">
        <v>80</v>
      </c>
      <c r="T12" s="57"/>
      <c r="U12" s="61"/>
      <c r="W12" s="62"/>
      <c r="X12" s="57"/>
      <c r="Y12" s="57"/>
      <c r="Z12" s="54">
        <f t="shared" si="7"/>
        <v>1</v>
      </c>
      <c r="AA12" s="57">
        <v>50</v>
      </c>
      <c r="AB12" s="61">
        <v>31.5</v>
      </c>
      <c r="AC12" s="54">
        <f t="shared" si="8"/>
        <v>1</v>
      </c>
      <c r="AD12" s="57">
        <v>50</v>
      </c>
      <c r="AE12" s="61">
        <v>40</v>
      </c>
      <c r="AF12" s="57">
        <f t="shared" si="9"/>
        <v>1</v>
      </c>
      <c r="AG12" s="57">
        <v>65</v>
      </c>
      <c r="AH12" s="61">
        <v>63</v>
      </c>
      <c r="AY12" s="50"/>
      <c r="AZ12" s="34"/>
      <c r="BA12" s="51"/>
      <c r="BB12" s="34">
        <f t="shared" si="10"/>
        <v>0</v>
      </c>
      <c r="BC12" s="56" t="s">
        <v>138</v>
      </c>
      <c r="BD12" s="34">
        <v>100</v>
      </c>
      <c r="BE12" s="53"/>
      <c r="BF12" s="70">
        <f t="shared" si="11"/>
        <v>0</v>
      </c>
      <c r="BG12" s="56" t="s">
        <v>138</v>
      </c>
      <c r="BH12" s="34">
        <v>25</v>
      </c>
      <c r="BI12" s="55">
        <v>10</v>
      </c>
      <c r="BJ12" s="51"/>
      <c r="BK12" s="34"/>
      <c r="BL12" s="56"/>
      <c r="BM12" s="34"/>
      <c r="BN12" s="51"/>
      <c r="BO12" s="70">
        <f t="shared" si="12"/>
        <v>0</v>
      </c>
      <c r="BP12" s="56" t="s">
        <v>81</v>
      </c>
      <c r="BQ12" s="55">
        <v>100</v>
      </c>
      <c r="BR12" s="51"/>
      <c r="BS12" s="70">
        <f t="shared" si="13"/>
        <v>0</v>
      </c>
      <c r="BT12" s="56" t="s">
        <v>81</v>
      </c>
      <c r="BU12" s="55">
        <v>100</v>
      </c>
      <c r="BV12" s="51"/>
      <c r="BW12" s="34">
        <f t="shared" si="14"/>
        <v>0</v>
      </c>
      <c r="BX12" s="56" t="s">
        <v>138</v>
      </c>
      <c r="BY12" s="34">
        <v>100</v>
      </c>
      <c r="BZ12" s="51"/>
      <c r="CA12" s="34">
        <f t="shared" si="15"/>
        <v>0</v>
      </c>
      <c r="CB12" s="56" t="s">
        <v>138</v>
      </c>
      <c r="CC12" s="34">
        <v>100</v>
      </c>
      <c r="CD12" s="51"/>
      <c r="CE12" s="34"/>
      <c r="CF12" s="56"/>
      <c r="CG12" s="34"/>
      <c r="CH12" s="51"/>
      <c r="CI12" s="34"/>
      <c r="CJ12" s="31"/>
      <c r="CK12" s="57"/>
      <c r="CL12" s="57"/>
      <c r="CM12" s="57"/>
      <c r="CN12" s="57"/>
      <c r="CO12" s="53"/>
      <c r="CS12" s="53"/>
      <c r="CT12" s="51"/>
      <c r="CU12" s="34">
        <f t="shared" si="18"/>
        <v>0</v>
      </c>
      <c r="CV12" s="56" t="s">
        <v>136</v>
      </c>
      <c r="CW12" s="61" t="s">
        <v>200</v>
      </c>
      <c r="CX12" s="53"/>
      <c r="CY12" s="34"/>
      <c r="CZ12" s="56"/>
      <c r="DA12" s="34"/>
      <c r="DB12" s="53"/>
      <c r="DC12" s="34"/>
      <c r="DD12" s="56"/>
      <c r="DE12" s="55"/>
    </row>
    <row r="13" spans="1:109" x14ac:dyDescent="0.25">
      <c r="A13" s="58"/>
      <c r="C13" s="72"/>
      <c r="E13" s="1" t="e">
        <f>VLOOKUP(1,AP3:AR9,3,0)</f>
        <v>#N/A</v>
      </c>
      <c r="F13" s="1"/>
      <c r="I13" s="54">
        <f t="shared" si="1"/>
        <v>0</v>
      </c>
      <c r="J13" s="57">
        <v>125</v>
      </c>
      <c r="K13" s="57">
        <f t="shared" si="17"/>
        <v>2.8381135828692533E-2</v>
      </c>
      <c r="L13" s="57">
        <f t="shared" si="2"/>
        <v>0.61908970318914125</v>
      </c>
      <c r="M13" s="61"/>
      <c r="N13" s="54">
        <f t="shared" si="3"/>
        <v>0</v>
      </c>
      <c r="O13" s="57">
        <v>125</v>
      </c>
      <c r="P13" s="57">
        <f t="shared" si="4"/>
        <v>2.8381135828692533E-2</v>
      </c>
      <c r="Q13" s="61">
        <f t="shared" si="5"/>
        <v>39.62174100410504</v>
      </c>
      <c r="R13" s="57">
        <f t="shared" si="6"/>
        <v>0</v>
      </c>
      <c r="S13" s="57">
        <v>100</v>
      </c>
      <c r="T13" s="57"/>
      <c r="U13" s="61"/>
      <c r="W13" s="62"/>
      <c r="X13" s="74"/>
      <c r="Y13" s="57"/>
      <c r="Z13" s="54">
        <f t="shared" si="7"/>
        <v>1</v>
      </c>
      <c r="AA13" s="57">
        <v>50</v>
      </c>
      <c r="AB13" s="61">
        <v>40</v>
      </c>
      <c r="AC13" s="54">
        <f t="shared" si="8"/>
        <v>1</v>
      </c>
      <c r="AD13" s="57">
        <v>65</v>
      </c>
      <c r="AE13" s="61">
        <v>50</v>
      </c>
      <c r="AF13" s="57">
        <f t="shared" si="9"/>
        <v>1</v>
      </c>
      <c r="AG13" s="57">
        <v>80</v>
      </c>
      <c r="AH13" s="61">
        <v>100</v>
      </c>
      <c r="AY13" s="50"/>
      <c r="AZ13" s="34"/>
      <c r="BA13" s="51"/>
      <c r="BB13" s="34">
        <f t="shared" si="10"/>
        <v>0</v>
      </c>
      <c r="BC13" s="56" t="s">
        <v>140</v>
      </c>
      <c r="BD13" s="34">
        <v>125</v>
      </c>
      <c r="BE13" s="53"/>
      <c r="BF13" s="70">
        <f t="shared" si="11"/>
        <v>0</v>
      </c>
      <c r="BG13" s="56" t="s">
        <v>140</v>
      </c>
      <c r="BH13" s="34">
        <v>32</v>
      </c>
      <c r="BI13" s="55">
        <v>12.5</v>
      </c>
      <c r="BJ13" s="51"/>
      <c r="BK13" s="34"/>
      <c r="BL13" s="56"/>
      <c r="BM13" s="34"/>
      <c r="BN13" s="51"/>
      <c r="BO13" s="70">
        <f t="shared" si="12"/>
        <v>0</v>
      </c>
      <c r="BP13" s="56" t="s">
        <v>81</v>
      </c>
      <c r="BQ13" s="55">
        <v>125</v>
      </c>
      <c r="BR13" s="51"/>
      <c r="BS13" s="70">
        <f t="shared" si="13"/>
        <v>0</v>
      </c>
      <c r="BT13" s="56" t="s">
        <v>81</v>
      </c>
      <c r="BU13" s="55">
        <v>125</v>
      </c>
      <c r="BV13" s="51"/>
      <c r="BW13" s="34">
        <f t="shared" si="14"/>
        <v>0</v>
      </c>
      <c r="BX13" s="56" t="s">
        <v>140</v>
      </c>
      <c r="BY13" s="34">
        <v>125</v>
      </c>
      <c r="BZ13" s="51"/>
      <c r="CA13" s="34">
        <f t="shared" si="15"/>
        <v>1</v>
      </c>
      <c r="CB13" s="56" t="s">
        <v>140</v>
      </c>
      <c r="CC13" s="34">
        <v>125</v>
      </c>
      <c r="CD13" s="51"/>
      <c r="CE13" s="34"/>
      <c r="CF13" s="56"/>
      <c r="CG13" s="34"/>
      <c r="CH13" s="51"/>
      <c r="CI13" s="34"/>
      <c r="CJ13" s="31"/>
      <c r="CK13" s="76"/>
      <c r="CL13" s="34"/>
      <c r="CM13" s="31"/>
      <c r="CN13" s="76"/>
      <c r="CO13" s="53"/>
      <c r="CP13" s="57"/>
      <c r="CQ13" s="76"/>
      <c r="CR13" s="57"/>
      <c r="CS13" s="53"/>
      <c r="CT13" s="51"/>
      <c r="CU13" s="34">
        <f t="shared" si="18"/>
        <v>0</v>
      </c>
      <c r="CV13" s="56" t="s">
        <v>138</v>
      </c>
      <c r="CW13" s="61" t="s">
        <v>206</v>
      </c>
      <c r="CX13" s="53"/>
      <c r="CY13" s="34"/>
      <c r="CZ13" s="56"/>
      <c r="DA13" s="34"/>
      <c r="DB13" s="53"/>
      <c r="DC13" s="34"/>
      <c r="DD13" s="56"/>
      <c r="DE13" s="55"/>
    </row>
    <row r="14" spans="1:109" x14ac:dyDescent="0.25">
      <c r="A14" s="58" t="s">
        <v>31</v>
      </c>
      <c r="B14" s="1">
        <f>'ol4'!O36</f>
        <v>0</v>
      </c>
      <c r="C14" s="1"/>
      <c r="I14" s="54">
        <f t="shared" si="1"/>
        <v>0</v>
      </c>
      <c r="J14" s="57">
        <v>150</v>
      </c>
      <c r="K14" s="57">
        <f t="shared" si="17"/>
        <v>2.6925299052784474E-2</v>
      </c>
      <c r="L14" s="57">
        <f t="shared" si="2"/>
        <v>0.23603592813367263</v>
      </c>
      <c r="M14" s="61"/>
      <c r="N14" s="54">
        <f t="shared" si="3"/>
        <v>1</v>
      </c>
      <c r="O14" s="57">
        <v>150</v>
      </c>
      <c r="P14" s="57">
        <f t="shared" si="4"/>
        <v>2.6925299052784474E-2</v>
      </c>
      <c r="Q14" s="61">
        <f t="shared" si="5"/>
        <v>15.106299400555049</v>
      </c>
      <c r="R14" s="57">
        <f t="shared" si="6"/>
        <v>1</v>
      </c>
      <c r="S14" s="57">
        <v>125</v>
      </c>
      <c r="T14" s="57"/>
      <c r="U14" s="61"/>
      <c r="W14" s="54"/>
      <c r="X14" s="57"/>
      <c r="Y14" s="57"/>
      <c r="Z14" s="54">
        <f t="shared" si="7"/>
        <v>1</v>
      </c>
      <c r="AA14" s="57">
        <v>65</v>
      </c>
      <c r="AB14" s="61">
        <v>50</v>
      </c>
      <c r="AC14" s="54">
        <f t="shared" si="8"/>
        <v>1</v>
      </c>
      <c r="AD14" s="57">
        <v>65</v>
      </c>
      <c r="AE14" s="61">
        <v>63</v>
      </c>
      <c r="AF14" s="57">
        <f t="shared" si="9"/>
        <v>1</v>
      </c>
      <c r="AG14" s="57">
        <v>100</v>
      </c>
      <c r="AH14" s="61">
        <v>160</v>
      </c>
      <c r="AY14" s="50"/>
      <c r="AZ14" s="34"/>
      <c r="BA14" s="51"/>
      <c r="BB14" s="34">
        <f t="shared" si="10"/>
        <v>0</v>
      </c>
      <c r="BC14" s="56" t="s">
        <v>141</v>
      </c>
      <c r="BD14" s="34">
        <v>150</v>
      </c>
      <c r="BE14" s="53"/>
      <c r="BF14" s="70">
        <f t="shared" si="11"/>
        <v>0</v>
      </c>
      <c r="BG14" s="56" t="s">
        <v>141</v>
      </c>
      <c r="BH14" s="34">
        <v>32</v>
      </c>
      <c r="BI14" s="55">
        <v>16</v>
      </c>
      <c r="BJ14" s="51"/>
      <c r="BK14" s="34"/>
      <c r="BL14" s="56"/>
      <c r="BM14" s="34"/>
      <c r="BN14" s="51"/>
      <c r="BO14" s="70">
        <f t="shared" si="12"/>
        <v>0</v>
      </c>
      <c r="BP14" s="56" t="s">
        <v>81</v>
      </c>
      <c r="BQ14" s="55">
        <v>150</v>
      </c>
      <c r="BR14" s="51"/>
      <c r="BS14" s="70">
        <f t="shared" si="13"/>
        <v>0</v>
      </c>
      <c r="BT14" s="56" t="s">
        <v>81</v>
      </c>
      <c r="BU14" s="55">
        <v>150</v>
      </c>
      <c r="BV14" s="51"/>
      <c r="BW14" s="34">
        <f t="shared" si="14"/>
        <v>1</v>
      </c>
      <c r="BX14" s="56" t="s">
        <v>141</v>
      </c>
      <c r="BY14" s="34">
        <v>150</v>
      </c>
      <c r="BZ14" s="51"/>
      <c r="CA14" s="34">
        <f t="shared" si="15"/>
        <v>0</v>
      </c>
      <c r="CB14" s="56" t="s">
        <v>141</v>
      </c>
      <c r="CC14" s="34">
        <v>150</v>
      </c>
      <c r="CD14" s="51"/>
      <c r="CE14" s="34"/>
      <c r="CF14" s="56"/>
      <c r="CG14" s="34"/>
      <c r="CH14" s="51"/>
      <c r="CI14" s="34"/>
      <c r="CJ14" s="31"/>
      <c r="CK14" s="76"/>
      <c r="CL14" s="34"/>
      <c r="CM14" s="31"/>
      <c r="CN14" s="76"/>
      <c r="CO14" s="53"/>
      <c r="CP14" s="57"/>
      <c r="CQ14" s="76"/>
      <c r="CR14" s="57"/>
      <c r="CS14" s="53"/>
      <c r="CT14" s="51"/>
      <c r="CU14" s="34">
        <f t="shared" si="18"/>
        <v>0</v>
      </c>
      <c r="CV14" s="56" t="s">
        <v>140</v>
      </c>
      <c r="CW14" s="61" t="s">
        <v>207</v>
      </c>
      <c r="CX14" s="53"/>
      <c r="CY14" s="34"/>
      <c r="CZ14" s="56"/>
      <c r="DA14" s="34"/>
      <c r="DB14" s="53"/>
      <c r="DC14" s="34"/>
      <c r="DD14" s="56"/>
      <c r="DE14" s="55"/>
    </row>
    <row r="15" spans="1:109" x14ac:dyDescent="0.25">
      <c r="A15" s="58" t="s">
        <v>32</v>
      </c>
      <c r="B15" s="1">
        <f>'ol4'!I36</f>
        <v>0</v>
      </c>
      <c r="C15" s="1"/>
      <c r="E15" t="s">
        <v>208</v>
      </c>
      <c r="F15" s="102">
        <f>3.6*B4*1.163/0.42</f>
        <v>3.987428571428572</v>
      </c>
      <c r="I15" s="54">
        <f t="shared" si="1"/>
        <v>0</v>
      </c>
      <c r="J15" s="57">
        <v>200</v>
      </c>
      <c r="K15" s="57">
        <f t="shared" si="17"/>
        <v>2.4846042519733526E-2</v>
      </c>
      <c r="L15" s="57">
        <f t="shared" si="2"/>
        <v>5.168697545254454E-2</v>
      </c>
      <c r="M15" s="61"/>
      <c r="N15" s="54">
        <f t="shared" si="3"/>
        <v>0</v>
      </c>
      <c r="O15" s="57">
        <v>200</v>
      </c>
      <c r="P15" s="57">
        <f t="shared" si="4"/>
        <v>2.4846042519733526E-2</v>
      </c>
      <c r="Q15" s="61">
        <f t="shared" si="5"/>
        <v>3.3079664289628505</v>
      </c>
      <c r="R15" s="57">
        <f t="shared" si="6"/>
        <v>0</v>
      </c>
      <c r="S15" s="57">
        <v>150</v>
      </c>
      <c r="T15" s="57"/>
      <c r="U15" s="61"/>
      <c r="W15" s="54"/>
      <c r="X15" s="57"/>
      <c r="Y15" s="57"/>
      <c r="Z15" s="54">
        <f t="shared" si="7"/>
        <v>1</v>
      </c>
      <c r="AA15" s="57">
        <v>65</v>
      </c>
      <c r="AB15" s="61">
        <v>63</v>
      </c>
      <c r="AC15" s="54">
        <f t="shared" si="8"/>
        <v>1</v>
      </c>
      <c r="AD15" s="57">
        <v>80</v>
      </c>
      <c r="AE15" s="61">
        <v>80</v>
      </c>
      <c r="AF15" s="57">
        <f t="shared" si="9"/>
        <v>1</v>
      </c>
      <c r="AG15" s="57">
        <v>125</v>
      </c>
      <c r="AH15" s="61">
        <v>250</v>
      </c>
      <c r="AY15" s="50"/>
      <c r="AZ15" s="34"/>
      <c r="BA15" s="51"/>
      <c r="BB15" s="34">
        <f t="shared" si="10"/>
        <v>0</v>
      </c>
      <c r="BC15" s="56" t="s">
        <v>142</v>
      </c>
      <c r="BD15" s="34">
        <v>200</v>
      </c>
      <c r="BE15" s="53"/>
      <c r="BF15" s="70">
        <f t="shared" si="11"/>
        <v>0</v>
      </c>
      <c r="BG15" s="56" t="s">
        <v>142</v>
      </c>
      <c r="BH15" s="34">
        <v>40</v>
      </c>
      <c r="BI15" s="55">
        <v>20</v>
      </c>
      <c r="BJ15" s="51"/>
      <c r="BK15" s="34"/>
      <c r="BL15" s="56"/>
      <c r="BM15" s="34"/>
      <c r="BN15" s="51"/>
      <c r="BO15" s="70">
        <f t="shared" si="12"/>
        <v>0</v>
      </c>
      <c r="BP15" s="56" t="s">
        <v>81</v>
      </c>
      <c r="BQ15" s="55">
        <v>200</v>
      </c>
      <c r="BR15" s="51"/>
      <c r="BS15" s="70">
        <f t="shared" si="13"/>
        <v>0</v>
      </c>
      <c r="BT15" s="56" t="s">
        <v>81</v>
      </c>
      <c r="BU15" s="55">
        <v>200</v>
      </c>
      <c r="BV15" s="51"/>
      <c r="BW15" s="34">
        <f t="shared" si="14"/>
        <v>0</v>
      </c>
      <c r="BX15" s="56" t="s">
        <v>142</v>
      </c>
      <c r="BY15" s="34">
        <v>200</v>
      </c>
      <c r="BZ15" s="51"/>
      <c r="CA15" s="34">
        <f t="shared" si="15"/>
        <v>0</v>
      </c>
      <c r="CB15" s="56" t="s">
        <v>142</v>
      </c>
      <c r="CC15" s="34">
        <v>200</v>
      </c>
      <c r="CD15" s="51"/>
      <c r="CE15" s="34"/>
      <c r="CF15" s="56"/>
      <c r="CG15" s="34"/>
      <c r="CH15" s="51"/>
      <c r="CI15" s="34"/>
      <c r="CJ15" s="31"/>
      <c r="CK15" s="57"/>
      <c r="CL15" s="57"/>
      <c r="CM15" s="57"/>
      <c r="CN15" s="57"/>
      <c r="CO15" s="53"/>
      <c r="CP15" s="57"/>
      <c r="CQ15" s="57"/>
      <c r="CR15" s="57"/>
      <c r="CS15" s="53"/>
      <c r="CT15" s="51"/>
      <c r="CU15" s="34">
        <f t="shared" si="18"/>
        <v>0</v>
      </c>
      <c r="CV15" s="56" t="s">
        <v>141</v>
      </c>
      <c r="CW15" s="61" t="s">
        <v>209</v>
      </c>
      <c r="CX15" s="53"/>
      <c r="CY15" s="34"/>
      <c r="CZ15" s="56"/>
      <c r="DA15" s="34"/>
      <c r="DB15" s="53"/>
      <c r="DC15" s="34"/>
      <c r="DD15" s="56"/>
      <c r="DE15" s="55"/>
    </row>
    <row r="16" spans="1:109" x14ac:dyDescent="0.25">
      <c r="A16" s="58" t="s">
        <v>143</v>
      </c>
      <c r="B16" s="1">
        <f>'ol4'!U36</f>
        <v>0</v>
      </c>
      <c r="C16" s="1"/>
      <c r="E16" t="s">
        <v>174</v>
      </c>
      <c r="F16">
        <f>VLOOKUP(1,R4:U17,2,0)</f>
        <v>125</v>
      </c>
      <c r="I16" s="54">
        <f t="shared" si="1"/>
        <v>0</v>
      </c>
      <c r="J16" s="57">
        <v>250</v>
      </c>
      <c r="K16" s="57">
        <f t="shared" si="17"/>
        <v>2.339473539768467E-2</v>
      </c>
      <c r="L16" s="57">
        <f t="shared" si="2"/>
        <v>1.5947476389954265E-2</v>
      </c>
      <c r="M16" s="61"/>
      <c r="N16" s="54">
        <f t="shared" si="3"/>
        <v>0</v>
      </c>
      <c r="O16" s="57">
        <v>250</v>
      </c>
      <c r="P16" s="57">
        <f t="shared" si="4"/>
        <v>2.339473539768467E-2</v>
      </c>
      <c r="Q16" s="61">
        <f t="shared" si="5"/>
        <v>1.020638488957073</v>
      </c>
      <c r="R16" s="57">
        <f t="shared" si="6"/>
        <v>0</v>
      </c>
      <c r="S16" s="57">
        <v>200</v>
      </c>
      <c r="T16" s="57"/>
      <c r="U16" s="61"/>
      <c r="W16" s="54"/>
      <c r="X16" s="57"/>
      <c r="Y16" s="57"/>
      <c r="Z16" s="54">
        <f t="shared" si="7"/>
        <v>1</v>
      </c>
      <c r="AA16" s="57">
        <v>80</v>
      </c>
      <c r="AB16" s="61">
        <v>80</v>
      </c>
      <c r="AC16" s="54">
        <f t="shared" si="8"/>
        <v>1</v>
      </c>
      <c r="AD16" s="57">
        <v>80</v>
      </c>
      <c r="AE16" s="61">
        <v>100</v>
      </c>
      <c r="AF16" s="57">
        <f t="shared" si="9"/>
        <v>1</v>
      </c>
      <c r="AG16" s="57">
        <v>150</v>
      </c>
      <c r="AH16" s="61">
        <v>400</v>
      </c>
      <c r="AY16" s="50"/>
      <c r="AZ16" s="34"/>
      <c r="BA16" s="51"/>
      <c r="BB16" s="34"/>
      <c r="BC16" s="56"/>
      <c r="BD16" s="34"/>
      <c r="BE16" s="53"/>
      <c r="BF16" s="70">
        <f t="shared" si="11"/>
        <v>1</v>
      </c>
      <c r="BG16" s="56" t="s">
        <v>145</v>
      </c>
      <c r="BH16" s="34">
        <v>40</v>
      </c>
      <c r="BI16" s="55">
        <v>25</v>
      </c>
      <c r="BJ16" s="51"/>
      <c r="BK16" s="34"/>
      <c r="BL16" s="56"/>
      <c r="BM16" s="34"/>
      <c r="BN16" s="53"/>
      <c r="BO16" s="54"/>
      <c r="BP16" s="57"/>
      <c r="BQ16" s="61"/>
      <c r="BR16" s="53"/>
      <c r="BS16" s="57"/>
      <c r="BT16" s="57"/>
      <c r="BU16" s="61"/>
      <c r="BV16" s="53"/>
      <c r="BW16" s="57"/>
      <c r="BX16" s="57"/>
      <c r="BY16" s="57"/>
      <c r="BZ16" s="53"/>
      <c r="CA16" s="57"/>
      <c r="CB16" s="57"/>
      <c r="CC16" s="57"/>
      <c r="CD16" s="53"/>
      <c r="CE16" s="57"/>
      <c r="CF16" s="57"/>
      <c r="CG16" s="57"/>
      <c r="CH16" s="53"/>
      <c r="CI16" s="34"/>
      <c r="CJ16" s="57"/>
      <c r="CK16" s="57"/>
      <c r="CL16" s="57"/>
      <c r="CM16" s="57"/>
      <c r="CN16" s="57"/>
      <c r="CO16" s="53"/>
      <c r="CP16" s="57"/>
      <c r="CQ16" s="57"/>
      <c r="CR16" s="57"/>
      <c r="CS16" s="53"/>
      <c r="CT16" s="53"/>
      <c r="CU16" s="34">
        <f t="shared" si="18"/>
        <v>0</v>
      </c>
      <c r="CV16" s="56" t="s">
        <v>142</v>
      </c>
      <c r="CW16" s="61" t="s">
        <v>210</v>
      </c>
      <c r="CX16" s="53"/>
      <c r="CY16" s="57"/>
      <c r="CZ16" s="57"/>
      <c r="DA16" s="57"/>
      <c r="DB16" s="53"/>
      <c r="DC16" s="57"/>
      <c r="DD16" s="57"/>
      <c r="DE16" s="61"/>
    </row>
    <row r="17" spans="1:109" x14ac:dyDescent="0.25">
      <c r="A17" s="58" t="s">
        <v>69</v>
      </c>
      <c r="B17" s="1">
        <f>'ol4'!AA36</f>
        <v>0</v>
      </c>
      <c r="C17" s="1"/>
      <c r="E17" t="s">
        <v>56</v>
      </c>
      <c r="F17" s="102">
        <f>F15</f>
        <v>3.987428571428572</v>
      </c>
      <c r="I17" s="54">
        <f t="shared" si="1"/>
        <v>0</v>
      </c>
      <c r="J17" s="57">
        <v>300</v>
      </c>
      <c r="K17" s="57">
        <f t="shared" si="17"/>
        <v>2.2301284149115197E-2</v>
      </c>
      <c r="L17" s="57">
        <f t="shared" si="2"/>
        <v>6.1093846771090952E-3</v>
      </c>
      <c r="M17" s="61"/>
      <c r="N17" s="54">
        <f t="shared" si="3"/>
        <v>0</v>
      </c>
      <c r="O17" s="57">
        <v>300</v>
      </c>
      <c r="P17" s="57">
        <f t="shared" si="4"/>
        <v>2.2301284149115197E-2</v>
      </c>
      <c r="Q17" s="61">
        <f t="shared" si="5"/>
        <v>0.39100061933498209</v>
      </c>
      <c r="R17" s="57">
        <f t="shared" si="6"/>
        <v>0</v>
      </c>
      <c r="S17" s="57">
        <v>250</v>
      </c>
      <c r="T17" s="57"/>
      <c r="U17" s="61"/>
      <c r="W17" s="54"/>
      <c r="X17" s="57"/>
      <c r="Y17" s="57"/>
      <c r="Z17" s="54">
        <f t="shared" si="7"/>
        <v>1</v>
      </c>
      <c r="AA17" s="57">
        <v>80</v>
      </c>
      <c r="AB17" s="61">
        <v>100</v>
      </c>
      <c r="AC17" s="54">
        <f t="shared" si="8"/>
        <v>1</v>
      </c>
      <c r="AD17" s="57">
        <v>100</v>
      </c>
      <c r="AE17" s="61">
        <v>125</v>
      </c>
      <c r="AF17" s="57"/>
      <c r="AG17" s="57"/>
      <c r="AH17" s="61"/>
      <c r="AY17" s="50"/>
      <c r="AZ17" s="34"/>
      <c r="BA17" s="51"/>
      <c r="BB17" s="34"/>
      <c r="BC17" s="56"/>
      <c r="BD17" s="34"/>
      <c r="BE17" s="53"/>
      <c r="BF17" s="70">
        <f t="shared" si="11"/>
        <v>0</v>
      </c>
      <c r="BG17" s="56" t="s">
        <v>146</v>
      </c>
      <c r="BH17" s="34">
        <v>50</v>
      </c>
      <c r="BI17" s="55">
        <v>31.5</v>
      </c>
      <c r="BJ17" s="51"/>
      <c r="BK17" s="34"/>
      <c r="BL17" s="56"/>
      <c r="BM17" s="34"/>
      <c r="BN17" s="53"/>
      <c r="BO17" s="54"/>
      <c r="BP17" s="57"/>
      <c r="BQ17" s="61"/>
      <c r="BR17" s="53"/>
      <c r="BS17" s="57"/>
      <c r="BT17" s="57"/>
      <c r="BU17" s="61"/>
      <c r="BV17" s="53"/>
      <c r="BW17" s="57"/>
      <c r="BX17" s="57"/>
      <c r="BY17" s="57"/>
      <c r="BZ17" s="53"/>
      <c r="CA17" s="57"/>
      <c r="CB17" s="57"/>
      <c r="CC17" s="57"/>
      <c r="CD17" s="53"/>
      <c r="CE17" s="57"/>
      <c r="CF17" s="57"/>
      <c r="CG17" s="57"/>
      <c r="CH17" s="53"/>
      <c r="CI17" s="34"/>
      <c r="CJ17" s="57"/>
      <c r="CK17" s="57"/>
      <c r="CL17" s="57"/>
      <c r="CM17" s="57"/>
      <c r="CN17" s="57"/>
      <c r="CO17" s="53"/>
      <c r="CP17" s="57"/>
      <c r="CQ17" s="57"/>
      <c r="CR17" s="57"/>
      <c r="CS17" s="53"/>
      <c r="CT17" s="53"/>
      <c r="CU17" s="34">
        <f t="shared" si="18"/>
        <v>0</v>
      </c>
      <c r="CV17" s="56" t="s">
        <v>145</v>
      </c>
      <c r="CW17" s="61" t="s">
        <v>211</v>
      </c>
      <c r="CX17" s="53"/>
      <c r="CY17" s="57"/>
      <c r="CZ17" s="57"/>
      <c r="DA17" s="57"/>
      <c r="DB17" s="53"/>
      <c r="DC17" s="57"/>
      <c r="DD17" s="57"/>
      <c r="DE17" s="61"/>
    </row>
    <row r="18" spans="1:109" x14ac:dyDescent="0.25">
      <c r="A18" s="58"/>
      <c r="C18" s="72"/>
      <c r="E18" s="1" t="e">
        <f>VLOOKUP(1,IF(B15="Stratos-Z",AK4:AL8,IF(B15="Yonos MAXO-Z",AM4:AN8,0)),2,0)</f>
        <v>#N/A</v>
      </c>
      <c r="F18" s="1"/>
      <c r="I18" s="54"/>
      <c r="J18" s="57"/>
      <c r="K18" s="57"/>
      <c r="L18" s="57"/>
      <c r="M18" s="61"/>
      <c r="N18" s="54"/>
      <c r="O18" s="57"/>
      <c r="P18" s="57"/>
      <c r="Q18" s="61"/>
      <c r="R18" s="57"/>
      <c r="S18" s="57"/>
      <c r="T18" s="57"/>
      <c r="U18" s="61"/>
      <c r="W18" s="54"/>
      <c r="X18" s="57"/>
      <c r="Y18" s="57"/>
      <c r="Z18" s="54">
        <f t="shared" si="7"/>
        <v>1</v>
      </c>
      <c r="AA18" s="57">
        <v>100</v>
      </c>
      <c r="AB18" s="61">
        <v>125</v>
      </c>
      <c r="AC18" s="54">
        <f t="shared" si="8"/>
        <v>1</v>
      </c>
      <c r="AD18" s="57">
        <v>100</v>
      </c>
      <c r="AE18" s="61">
        <v>160</v>
      </c>
      <c r="AF18" s="57"/>
      <c r="AG18" s="57"/>
      <c r="AH18" s="61"/>
      <c r="AY18" s="50"/>
      <c r="AZ18" s="34"/>
      <c r="BA18" s="51"/>
      <c r="BB18" s="34"/>
      <c r="BC18" s="56"/>
      <c r="BD18" s="34"/>
      <c r="BE18" s="53"/>
      <c r="BF18" s="70">
        <f t="shared" si="11"/>
        <v>0</v>
      </c>
      <c r="BG18" s="56" t="s">
        <v>148</v>
      </c>
      <c r="BH18" s="34">
        <v>50</v>
      </c>
      <c r="BI18" s="55">
        <v>40</v>
      </c>
      <c r="BJ18" s="51"/>
      <c r="BK18" s="34"/>
      <c r="BL18" s="56"/>
      <c r="BM18" s="34"/>
      <c r="BN18" s="53"/>
      <c r="BO18" s="54"/>
      <c r="BP18" s="57"/>
      <c r="BQ18" s="61"/>
      <c r="BR18" s="53"/>
      <c r="BS18" s="57"/>
      <c r="BT18" s="57"/>
      <c r="BU18" s="61"/>
      <c r="BV18" s="53"/>
      <c r="BW18" s="57"/>
      <c r="BX18" s="57"/>
      <c r="BY18" s="57"/>
      <c r="BZ18" s="53"/>
      <c r="CA18" s="57"/>
      <c r="CB18" s="57"/>
      <c r="CC18" s="57"/>
      <c r="CD18" s="53"/>
      <c r="CE18" s="57"/>
      <c r="CF18" s="57"/>
      <c r="CG18" s="57"/>
      <c r="CH18" s="53"/>
      <c r="CI18" s="34"/>
      <c r="CJ18" s="57"/>
      <c r="CK18" s="57"/>
      <c r="CL18" s="57"/>
      <c r="CM18" s="57"/>
      <c r="CN18" s="57"/>
      <c r="CO18" s="53"/>
      <c r="CP18" s="57"/>
      <c r="CQ18" s="57"/>
      <c r="CR18" s="57"/>
      <c r="CS18" s="53"/>
      <c r="CT18" s="53"/>
      <c r="CU18" s="34">
        <f t="shared" si="18"/>
        <v>0</v>
      </c>
      <c r="CV18" s="56" t="s">
        <v>146</v>
      </c>
      <c r="CW18" s="61" t="s">
        <v>212</v>
      </c>
      <c r="CX18" s="53"/>
      <c r="CY18" s="57"/>
      <c r="CZ18" s="57"/>
      <c r="DA18" s="57"/>
      <c r="DB18" s="53"/>
      <c r="DC18" s="57"/>
      <c r="DD18" s="57"/>
      <c r="DE18" s="61"/>
    </row>
    <row r="19" spans="1:109" x14ac:dyDescent="0.25">
      <c r="A19" s="58"/>
      <c r="C19" s="72"/>
      <c r="I19" s="54"/>
      <c r="J19" s="90"/>
      <c r="K19" s="57"/>
      <c r="L19" s="57"/>
      <c r="M19" s="61"/>
      <c r="N19" s="54"/>
      <c r="O19" s="57"/>
      <c r="P19" s="57"/>
      <c r="Q19" s="61"/>
      <c r="R19" s="57"/>
      <c r="S19" s="57"/>
      <c r="T19" s="57"/>
      <c r="U19" s="61"/>
      <c r="W19" s="54"/>
      <c r="X19" s="57"/>
      <c r="Y19" s="57"/>
      <c r="Z19" s="54">
        <f t="shared" si="7"/>
        <v>1</v>
      </c>
      <c r="AA19" s="57">
        <v>100</v>
      </c>
      <c r="AB19" s="61">
        <v>160</v>
      </c>
      <c r="AC19" s="54">
        <f t="shared" si="8"/>
        <v>1</v>
      </c>
      <c r="AD19" s="57">
        <v>125</v>
      </c>
      <c r="AE19" s="61">
        <v>200</v>
      </c>
      <c r="AF19" s="57"/>
      <c r="AG19" s="57"/>
      <c r="AH19" s="61"/>
      <c r="AY19" s="50"/>
      <c r="AZ19" s="34"/>
      <c r="BA19" s="51"/>
      <c r="BB19" s="34"/>
      <c r="BC19" s="56"/>
      <c r="BD19" s="34"/>
      <c r="BE19" s="53"/>
      <c r="BF19" s="70">
        <f t="shared" si="11"/>
        <v>0</v>
      </c>
      <c r="BG19" s="56" t="s">
        <v>149</v>
      </c>
      <c r="BH19" s="34">
        <v>65</v>
      </c>
      <c r="BI19" s="55">
        <v>50</v>
      </c>
      <c r="BJ19" s="51"/>
      <c r="BK19" s="34"/>
      <c r="BL19" s="56"/>
      <c r="BM19" s="34"/>
      <c r="BN19" s="53"/>
      <c r="BO19" s="54"/>
      <c r="BP19" s="57"/>
      <c r="BQ19" s="61"/>
      <c r="BR19" s="53"/>
      <c r="BS19" s="57"/>
      <c r="BT19" s="57"/>
      <c r="BU19" s="61"/>
      <c r="BV19" s="53"/>
      <c r="BW19" s="57"/>
      <c r="BX19" s="57"/>
      <c r="BY19" s="57"/>
      <c r="BZ19" s="53"/>
      <c r="CA19" s="57"/>
      <c r="CB19" s="57"/>
      <c r="CC19" s="57"/>
      <c r="CD19" s="53"/>
      <c r="CE19" s="57"/>
      <c r="CF19" s="57"/>
      <c r="CG19" s="57"/>
      <c r="CH19" s="53"/>
      <c r="CI19" s="57"/>
      <c r="CJ19" s="57"/>
      <c r="CK19" s="57"/>
      <c r="CL19" s="57"/>
      <c r="CM19" s="57"/>
      <c r="CN19" s="57"/>
      <c r="CO19" s="53"/>
      <c r="CP19" s="57"/>
      <c r="CQ19" s="57"/>
      <c r="CR19" s="57"/>
      <c r="CS19" s="53"/>
      <c r="CT19" s="53"/>
      <c r="CU19" s="34">
        <f t="shared" si="18"/>
        <v>0</v>
      </c>
      <c r="CV19" s="56" t="s">
        <v>148</v>
      </c>
      <c r="CW19" s="61" t="s">
        <v>213</v>
      </c>
      <c r="CX19" s="53"/>
      <c r="CY19" s="57"/>
      <c r="CZ19" s="57"/>
      <c r="DA19" s="57"/>
      <c r="DB19" s="53"/>
      <c r="DC19" s="57"/>
      <c r="DD19" s="57"/>
      <c r="DE19" s="61"/>
    </row>
    <row r="20" spans="1:109" x14ac:dyDescent="0.25">
      <c r="A20" s="58"/>
      <c r="C20" s="72"/>
      <c r="I20" s="54"/>
      <c r="J20" s="90" t="s">
        <v>150</v>
      </c>
      <c r="K20" s="57">
        <v>958.4</v>
      </c>
      <c r="L20" s="57"/>
      <c r="M20" s="61"/>
      <c r="N20" s="54"/>
      <c r="O20" s="57"/>
      <c r="P20" s="57"/>
      <c r="Q20" s="61"/>
      <c r="R20" s="57"/>
      <c r="S20" s="57"/>
      <c r="T20" s="57"/>
      <c r="U20" s="61"/>
      <c r="W20" s="54"/>
      <c r="X20" s="57"/>
      <c r="Y20" s="57"/>
      <c r="Z20" s="54">
        <f t="shared" si="7"/>
        <v>1</v>
      </c>
      <c r="AA20" s="57">
        <v>125</v>
      </c>
      <c r="AB20" s="61">
        <v>250</v>
      </c>
      <c r="AC20" s="54">
        <f t="shared" si="8"/>
        <v>1</v>
      </c>
      <c r="AD20" s="57">
        <v>125</v>
      </c>
      <c r="AE20" s="61">
        <v>250</v>
      </c>
      <c r="AF20" s="57"/>
      <c r="AG20" s="57"/>
      <c r="AH20" s="61"/>
      <c r="AY20" s="50"/>
      <c r="AZ20" s="34"/>
      <c r="BA20" s="51"/>
      <c r="BB20" s="34"/>
      <c r="BC20" s="56"/>
      <c r="BD20" s="34"/>
      <c r="BE20" s="53"/>
      <c r="BF20" s="70">
        <f t="shared" si="11"/>
        <v>0</v>
      </c>
      <c r="BG20" s="56" t="s">
        <v>151</v>
      </c>
      <c r="BH20" s="34">
        <v>65</v>
      </c>
      <c r="BI20" s="55">
        <v>63</v>
      </c>
      <c r="BJ20" s="51"/>
      <c r="BK20" s="34"/>
      <c r="BL20" s="56"/>
      <c r="BM20" s="34"/>
      <c r="BN20" s="53"/>
      <c r="BO20" s="54"/>
      <c r="BP20" s="57"/>
      <c r="BQ20" s="61"/>
      <c r="BR20" s="53"/>
      <c r="BS20" s="57"/>
      <c r="BT20" s="57"/>
      <c r="BU20" s="61"/>
      <c r="BV20" s="53"/>
      <c r="BW20" s="57"/>
      <c r="BX20" s="57"/>
      <c r="BY20" s="57"/>
      <c r="BZ20" s="53"/>
      <c r="CA20" s="57"/>
      <c r="CB20" s="57"/>
      <c r="CC20" s="57"/>
      <c r="CD20" s="53"/>
      <c r="CE20" s="57"/>
      <c r="CF20" s="57"/>
      <c r="CG20" s="57"/>
      <c r="CH20" s="53"/>
      <c r="CI20" s="57"/>
      <c r="CJ20" s="57"/>
      <c r="CK20" s="57"/>
      <c r="CL20" s="57"/>
      <c r="CM20" s="57"/>
      <c r="CN20" s="57"/>
      <c r="CO20" s="53"/>
      <c r="CP20" s="57"/>
      <c r="CQ20" s="57"/>
      <c r="CR20" s="57"/>
      <c r="CS20" s="53"/>
      <c r="CT20" s="53"/>
      <c r="CU20" s="57"/>
      <c r="CV20" s="57"/>
      <c r="CW20" s="57"/>
      <c r="CX20" s="53"/>
      <c r="CY20" s="57"/>
      <c r="CZ20" s="57"/>
      <c r="DA20" s="57"/>
      <c r="DB20" s="53"/>
      <c r="DC20" s="57"/>
      <c r="DD20" s="57"/>
      <c r="DE20" s="61"/>
    </row>
    <row r="21" spans="1:109" x14ac:dyDescent="0.25">
      <c r="I21" s="83"/>
      <c r="J21" s="91" t="s">
        <v>152</v>
      </c>
      <c r="K21" s="87">
        <v>0.5</v>
      </c>
      <c r="L21" s="87"/>
      <c r="M21" s="89"/>
      <c r="N21" s="83"/>
      <c r="O21" s="87"/>
      <c r="P21" s="87"/>
      <c r="Q21" s="89"/>
      <c r="R21" s="87"/>
      <c r="S21" s="87"/>
      <c r="T21" s="87"/>
      <c r="U21" s="89"/>
      <c r="W21" s="54"/>
      <c r="X21" s="57"/>
      <c r="Y21" s="57"/>
      <c r="Z21" s="54">
        <f t="shared" si="7"/>
        <v>1</v>
      </c>
      <c r="AA21" s="57">
        <v>150</v>
      </c>
      <c r="AB21" s="61">
        <v>315</v>
      </c>
      <c r="AC21" s="54">
        <f t="shared" si="8"/>
        <v>1</v>
      </c>
      <c r="AD21" s="57">
        <v>150</v>
      </c>
      <c r="AE21" s="61">
        <v>315</v>
      </c>
      <c r="AF21" s="57"/>
      <c r="AG21" s="57"/>
      <c r="AH21" s="61"/>
      <c r="AY21" s="50"/>
      <c r="AZ21" s="34"/>
      <c r="BA21" s="51"/>
      <c r="BB21" s="34"/>
      <c r="BC21" s="56"/>
      <c r="BD21" s="34"/>
      <c r="BE21" s="53"/>
      <c r="BF21" s="70">
        <f t="shared" si="11"/>
        <v>0</v>
      </c>
      <c r="BG21" s="56" t="s">
        <v>153</v>
      </c>
      <c r="BH21" s="34">
        <v>80</v>
      </c>
      <c r="BI21" s="55">
        <v>80</v>
      </c>
      <c r="BJ21" s="51"/>
      <c r="BK21" s="34"/>
      <c r="BL21" s="56"/>
      <c r="BM21" s="34"/>
      <c r="BN21" s="53"/>
      <c r="BO21" s="54"/>
      <c r="BP21" s="57"/>
      <c r="BQ21" s="61"/>
      <c r="BR21" s="53"/>
      <c r="BS21" s="57"/>
      <c r="BT21" s="57"/>
      <c r="BU21" s="61"/>
      <c r="BV21" s="53"/>
      <c r="BW21" s="57"/>
      <c r="BX21" s="57"/>
      <c r="BY21" s="57"/>
      <c r="BZ21" s="53"/>
      <c r="CA21" s="57"/>
      <c r="CB21" s="57"/>
      <c r="CC21" s="57"/>
      <c r="CD21" s="53"/>
      <c r="CE21" s="57"/>
      <c r="CF21" s="57"/>
      <c r="CG21" s="57"/>
      <c r="CH21" s="53"/>
      <c r="CI21" s="57"/>
      <c r="CJ21" s="57"/>
      <c r="CK21" s="57"/>
      <c r="CL21" s="57"/>
      <c r="CM21" s="57"/>
      <c r="CN21" s="57"/>
      <c r="CO21" s="53"/>
      <c r="CP21" s="57"/>
      <c r="CQ21" s="57"/>
      <c r="CR21" s="57"/>
      <c r="CS21" s="53"/>
      <c r="CT21" s="53"/>
      <c r="CU21" s="57"/>
      <c r="CV21" s="57"/>
      <c r="CW21" s="57"/>
      <c r="CX21" s="53"/>
      <c r="CY21" s="57"/>
      <c r="CZ21" s="57"/>
      <c r="DA21" s="57"/>
      <c r="DB21" s="53"/>
      <c r="DC21" s="57"/>
      <c r="DD21" s="57"/>
      <c r="DE21" s="61"/>
    </row>
    <row r="22" spans="1:109" x14ac:dyDescent="0.25">
      <c r="I22" s="57"/>
      <c r="J22" s="90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W22" s="83"/>
      <c r="X22" s="87"/>
      <c r="Y22" s="87"/>
      <c r="Z22" s="83"/>
      <c r="AA22" s="87"/>
      <c r="AB22" s="89"/>
      <c r="AC22" s="83">
        <f t="shared" si="8"/>
        <v>1</v>
      </c>
      <c r="AD22" s="87">
        <v>150</v>
      </c>
      <c r="AE22" s="89">
        <v>400</v>
      </c>
      <c r="AF22" s="87"/>
      <c r="AG22" s="87"/>
      <c r="AH22" s="89"/>
      <c r="AY22" s="50"/>
      <c r="AZ22" s="34"/>
      <c r="BA22" s="51"/>
      <c r="BB22" s="34"/>
      <c r="BC22" s="56"/>
      <c r="BD22" s="34"/>
      <c r="BE22" s="53"/>
      <c r="BF22" s="70">
        <f t="shared" si="11"/>
        <v>0</v>
      </c>
      <c r="BG22" s="56" t="s">
        <v>154</v>
      </c>
      <c r="BH22" s="34">
        <v>80</v>
      </c>
      <c r="BI22" s="55">
        <v>100</v>
      </c>
      <c r="BJ22" s="51"/>
      <c r="BK22" s="34"/>
      <c r="BL22" s="56"/>
      <c r="BM22" s="34"/>
      <c r="BN22" s="53"/>
      <c r="BO22" s="54"/>
      <c r="BP22" s="57"/>
      <c r="BQ22" s="61"/>
      <c r="BR22" s="53"/>
      <c r="BS22" s="57"/>
      <c r="BT22" s="57"/>
      <c r="BU22" s="61"/>
      <c r="BV22" s="53"/>
      <c r="BW22" s="57"/>
      <c r="BX22" s="57"/>
      <c r="BY22" s="57"/>
      <c r="BZ22" s="53"/>
      <c r="CA22" s="57"/>
      <c r="CB22" s="57"/>
      <c r="CC22" s="57"/>
      <c r="CD22" s="53"/>
      <c r="CE22" s="57"/>
      <c r="CF22" s="57"/>
      <c r="CG22" s="57"/>
      <c r="CH22" s="53"/>
      <c r="CI22" s="57"/>
      <c r="CJ22" s="57"/>
      <c r="CK22" s="57"/>
      <c r="CL22" s="57"/>
      <c r="CM22" s="57"/>
      <c r="CN22" s="57"/>
      <c r="CO22" s="53"/>
      <c r="CP22" s="57"/>
      <c r="CQ22" s="57"/>
      <c r="CR22" s="57"/>
      <c r="CS22" s="53"/>
      <c r="CT22" s="53"/>
      <c r="CU22" s="57"/>
      <c r="CV22" s="57"/>
      <c r="CW22" s="57"/>
      <c r="CX22" s="53"/>
      <c r="CY22" s="57"/>
      <c r="CZ22" s="57"/>
      <c r="DA22" s="57"/>
      <c r="DB22" s="53"/>
      <c r="DC22" s="57"/>
      <c r="DD22" s="57"/>
      <c r="DE22" s="61"/>
    </row>
    <row r="23" spans="1:109" x14ac:dyDescent="0.25">
      <c r="AY23" s="50"/>
      <c r="AZ23" s="34"/>
      <c r="BA23" s="51"/>
      <c r="BB23" s="34"/>
      <c r="BC23" s="56"/>
      <c r="BD23" s="34"/>
      <c r="BE23" s="53"/>
      <c r="BF23" s="70">
        <f t="shared" si="11"/>
        <v>0</v>
      </c>
      <c r="BG23" s="56" t="s">
        <v>155</v>
      </c>
      <c r="BH23" s="34">
        <v>100</v>
      </c>
      <c r="BI23" s="55">
        <v>125</v>
      </c>
      <c r="BJ23" s="51"/>
      <c r="BK23" s="34"/>
      <c r="BL23" s="56"/>
      <c r="BM23" s="34"/>
      <c r="BN23" s="53"/>
      <c r="BO23" s="54"/>
      <c r="BP23" s="57"/>
      <c r="BQ23" s="61"/>
      <c r="BR23" s="53"/>
      <c r="BS23" s="57"/>
      <c r="BT23" s="57"/>
      <c r="BU23" s="61"/>
      <c r="BV23" s="53"/>
      <c r="BW23" s="57"/>
      <c r="BX23" s="57"/>
      <c r="BY23" s="57"/>
      <c r="BZ23" s="53"/>
      <c r="CA23" s="57"/>
      <c r="CB23" s="57"/>
      <c r="CC23" s="57"/>
      <c r="CD23" s="53"/>
      <c r="CE23" s="57"/>
      <c r="CF23" s="57"/>
      <c r="CG23" s="57"/>
      <c r="CH23" s="53"/>
      <c r="CI23" s="57"/>
      <c r="CJ23" s="57"/>
      <c r="CK23" s="57"/>
      <c r="CL23" s="57"/>
      <c r="CM23" s="57"/>
      <c r="CN23" s="57"/>
      <c r="CO23" s="53"/>
      <c r="CP23" s="57"/>
      <c r="CQ23" s="57"/>
      <c r="CR23" s="57"/>
      <c r="CS23" s="53"/>
      <c r="CT23" s="53"/>
      <c r="CU23" s="57"/>
      <c r="CV23" s="57"/>
      <c r="CW23" s="57"/>
      <c r="CX23" s="53"/>
      <c r="CY23" s="57"/>
      <c r="CZ23" s="57"/>
      <c r="DA23" s="57"/>
      <c r="DB23" s="53"/>
      <c r="DC23" s="57"/>
      <c r="DD23" s="57"/>
      <c r="DE23" s="61"/>
    </row>
    <row r="24" spans="1:109" x14ac:dyDescent="0.25">
      <c r="AY24" s="50"/>
      <c r="AZ24" s="34"/>
      <c r="BA24" s="51"/>
      <c r="BB24" s="34"/>
      <c r="BC24" s="56"/>
      <c r="BD24" s="34"/>
      <c r="BE24" s="53"/>
      <c r="BF24" s="70">
        <f t="shared" si="11"/>
        <v>0</v>
      </c>
      <c r="BG24" s="56" t="s">
        <v>156</v>
      </c>
      <c r="BH24" s="34">
        <v>100</v>
      </c>
      <c r="BI24" s="55">
        <v>160</v>
      </c>
      <c r="BJ24" s="51"/>
      <c r="BK24" s="34"/>
      <c r="BL24" s="56"/>
      <c r="BM24" s="34"/>
      <c r="BN24" s="53"/>
      <c r="BO24" s="54"/>
      <c r="BP24" s="57"/>
      <c r="BQ24" s="61"/>
      <c r="BR24" s="53"/>
      <c r="BS24" s="57"/>
      <c r="BT24" s="57"/>
      <c r="BU24" s="61"/>
      <c r="BV24" s="53"/>
      <c r="BW24" s="57"/>
      <c r="BX24" s="57"/>
      <c r="BY24" s="57"/>
      <c r="BZ24" s="53"/>
      <c r="CA24" s="57"/>
      <c r="CB24" s="57"/>
      <c r="CC24" s="57"/>
      <c r="CD24" s="53"/>
      <c r="CE24" s="57"/>
      <c r="CF24" s="57"/>
      <c r="CG24" s="57"/>
      <c r="CH24" s="53"/>
      <c r="CI24" s="57"/>
      <c r="CJ24" s="57"/>
      <c r="CK24" s="57"/>
      <c r="CL24" s="57"/>
      <c r="CM24" s="57"/>
      <c r="CN24" s="57"/>
      <c r="CO24" s="53"/>
      <c r="CP24" s="57"/>
      <c r="CQ24" s="57"/>
      <c r="CR24" s="57"/>
      <c r="CS24" s="53"/>
      <c r="CT24" s="53"/>
      <c r="CU24" s="57"/>
      <c r="CV24" s="57"/>
      <c r="CW24" s="57"/>
      <c r="CX24" s="53"/>
      <c r="CY24" s="57"/>
      <c r="CZ24" s="57"/>
      <c r="DA24" s="57"/>
      <c r="DB24" s="53"/>
      <c r="DC24" s="57"/>
      <c r="DD24" s="57"/>
      <c r="DE24" s="61"/>
    </row>
    <row r="25" spans="1:109" x14ac:dyDescent="0.25">
      <c r="AY25" s="50"/>
      <c r="AZ25" s="34"/>
      <c r="BA25" s="51"/>
      <c r="BB25" s="34"/>
      <c r="BC25" s="56"/>
      <c r="BD25" s="34"/>
      <c r="BE25" s="53"/>
      <c r="BF25" s="70">
        <f t="shared" si="11"/>
        <v>0</v>
      </c>
      <c r="BG25" s="56" t="s">
        <v>157</v>
      </c>
      <c r="BH25" s="34">
        <v>125</v>
      </c>
      <c r="BI25" s="55">
        <v>250</v>
      </c>
      <c r="BJ25" s="51"/>
      <c r="BK25" s="34"/>
      <c r="BL25" s="56"/>
      <c r="BM25" s="34"/>
      <c r="BN25" s="53"/>
      <c r="BO25" s="54"/>
      <c r="BP25" s="57"/>
      <c r="BQ25" s="61"/>
      <c r="BR25" s="53"/>
      <c r="BS25" s="57"/>
      <c r="BT25" s="57"/>
      <c r="BU25" s="61"/>
      <c r="BV25" s="53"/>
      <c r="BW25" s="57"/>
      <c r="BX25" s="57"/>
      <c r="BY25" s="57"/>
      <c r="BZ25" s="53"/>
      <c r="CA25" s="57"/>
      <c r="CB25" s="57"/>
      <c r="CC25" s="57"/>
      <c r="CD25" s="53"/>
      <c r="CE25" s="57"/>
      <c r="CF25" s="57"/>
      <c r="CG25" s="57"/>
      <c r="CH25" s="53"/>
      <c r="CI25" s="57"/>
      <c r="CJ25" s="57"/>
      <c r="CK25" s="57"/>
      <c r="CL25" s="57"/>
      <c r="CM25" s="57"/>
      <c r="CN25" s="57"/>
      <c r="CO25" s="53"/>
      <c r="CP25" s="57"/>
      <c r="CQ25" s="57"/>
      <c r="CR25" s="57"/>
      <c r="CS25" s="53"/>
      <c r="CT25" s="53"/>
      <c r="CU25" s="57"/>
      <c r="CV25" s="57"/>
      <c r="CW25" s="57"/>
      <c r="CX25" s="53"/>
      <c r="CY25" s="57"/>
      <c r="CZ25" s="57"/>
      <c r="DA25" s="57"/>
      <c r="DB25" s="53"/>
      <c r="DC25" s="57"/>
      <c r="DD25" s="57"/>
      <c r="DE25" s="61"/>
    </row>
    <row r="26" spans="1:109" x14ac:dyDescent="0.25">
      <c r="AY26" s="92"/>
      <c r="AZ26" s="93"/>
      <c r="BA26" s="94"/>
      <c r="BB26" s="93"/>
      <c r="BC26" s="95"/>
      <c r="BD26" s="93"/>
      <c r="BE26" s="85"/>
      <c r="BF26" s="82">
        <f t="shared" si="11"/>
        <v>0</v>
      </c>
      <c r="BG26" s="95" t="s">
        <v>158</v>
      </c>
      <c r="BH26" s="93">
        <v>150</v>
      </c>
      <c r="BI26" s="96">
        <v>315</v>
      </c>
      <c r="BJ26" s="94"/>
      <c r="BK26" s="93"/>
      <c r="BL26" s="95"/>
      <c r="BM26" s="93"/>
      <c r="BN26" s="85"/>
      <c r="BO26" s="83"/>
      <c r="BP26" s="87"/>
      <c r="BQ26" s="89"/>
      <c r="BR26" s="85"/>
      <c r="BS26" s="87"/>
      <c r="BT26" s="87"/>
      <c r="BU26" s="89"/>
      <c r="BV26" s="85"/>
      <c r="BW26" s="87"/>
      <c r="BX26" s="87"/>
      <c r="BY26" s="87"/>
      <c r="BZ26" s="85"/>
      <c r="CA26" s="87"/>
      <c r="CB26" s="87"/>
      <c r="CC26" s="87"/>
      <c r="CD26" s="85"/>
      <c r="CE26" s="87"/>
      <c r="CF26" s="87"/>
      <c r="CG26" s="87"/>
      <c r="CH26" s="85"/>
      <c r="CI26" s="87"/>
      <c r="CJ26" s="87"/>
      <c r="CK26" s="87"/>
      <c r="CL26" s="87"/>
      <c r="CM26" s="87"/>
      <c r="CN26" s="87"/>
      <c r="CO26" s="85"/>
      <c r="CP26" s="87"/>
      <c r="CQ26" s="87"/>
      <c r="CR26" s="87"/>
      <c r="CS26" s="85"/>
      <c r="CT26" s="85"/>
      <c r="CU26" s="87"/>
      <c r="CV26" s="87"/>
      <c r="CW26" s="87"/>
      <c r="CX26" s="85"/>
      <c r="CY26" s="87"/>
      <c r="CZ26" s="87"/>
      <c r="DA26" s="87"/>
      <c r="DB26" s="85"/>
      <c r="DC26" s="87"/>
      <c r="DD26" s="87"/>
      <c r="DE26" s="89"/>
    </row>
  </sheetData>
  <mergeCells count="27">
    <mergeCell ref="B17:C17"/>
    <mergeCell ref="E18:F18"/>
    <mergeCell ref="E9:F9"/>
    <mergeCell ref="E13:F13"/>
    <mergeCell ref="B14:C14"/>
    <mergeCell ref="B15:C15"/>
    <mergeCell ref="B16:C16"/>
    <mergeCell ref="CY2:DA2"/>
    <mergeCell ref="DC2:DE2"/>
    <mergeCell ref="Z3:AB3"/>
    <mergeCell ref="AC3:AE3"/>
    <mergeCell ref="AF3:AH3"/>
    <mergeCell ref="CB2:CC2"/>
    <mergeCell ref="CF2:CG2"/>
    <mergeCell ref="CJ2:CN2"/>
    <mergeCell ref="CP2:CR2"/>
    <mergeCell ref="CU2:CW2"/>
    <mergeCell ref="AY2:AZ2"/>
    <mergeCell ref="BC2:BD2"/>
    <mergeCell ref="BG2:BI2"/>
    <mergeCell ref="BL2:BM2"/>
    <mergeCell ref="BX2:BY2"/>
    <mergeCell ref="I2:U2"/>
    <mergeCell ref="W2:AH2"/>
    <mergeCell ref="AJ2:AL2"/>
    <mergeCell ref="AP2:AR2"/>
    <mergeCell ref="AT2:AV2"/>
  </mergeCells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P93"/>
  <sheetViews>
    <sheetView zoomScale="85" zoomScaleNormal="85" workbookViewId="0">
      <selection activeCell="F11" sqref="F11"/>
    </sheetView>
  </sheetViews>
  <sheetFormatPr defaultRowHeight="15" x14ac:dyDescent="0.25"/>
  <cols>
    <col min="1" max="1" width="6.7109375" customWidth="1"/>
    <col min="2" max="2" width="6.42578125" customWidth="1"/>
    <col min="3" max="4" width="8.7109375" customWidth="1"/>
    <col min="5" max="5" width="4.85546875" customWidth="1"/>
    <col min="6" max="6" width="11.85546875" customWidth="1"/>
    <col min="7" max="8" width="8.7109375" customWidth="1"/>
    <col min="9" max="9" width="4.140625" customWidth="1"/>
    <col min="10" max="10" width="6" customWidth="1"/>
    <col min="11" max="12" width="8" customWidth="1"/>
    <col min="13" max="13" width="4.7109375" customWidth="1"/>
    <col min="14" max="14" width="2.7109375" customWidth="1"/>
    <col min="15" max="15" width="5.5703125" customWidth="1"/>
    <col min="16" max="17" width="9.140625" customWidth="1"/>
    <col min="18" max="18" width="3.5703125" customWidth="1"/>
    <col min="19" max="19" width="5.85546875" customWidth="1"/>
    <col min="20" max="21" width="9.140625" customWidth="1"/>
    <col min="22" max="22" width="4.85546875" customWidth="1"/>
    <col min="23" max="23" width="6" customWidth="1"/>
    <col min="24" max="25" width="9.140625" customWidth="1"/>
    <col min="26" max="26" width="4.140625" customWidth="1"/>
    <col min="27" max="27" width="6.140625" customWidth="1"/>
    <col min="28" max="29" width="9.140625" customWidth="1"/>
    <col min="30" max="30" width="9.42578125" customWidth="1"/>
    <col min="31" max="42" width="9.140625" customWidth="1"/>
    <col min="43" max="43" width="8.7109375" customWidth="1"/>
    <col min="44" max="44" width="9.140625" customWidth="1"/>
    <col min="45" max="45" width="9.85546875" customWidth="1"/>
    <col min="46" max="46" width="15.7109375" customWidth="1"/>
    <col min="47" max="47" width="11.5703125" customWidth="1"/>
    <col min="48" max="48" width="23.7109375" customWidth="1"/>
    <col min="49" max="49" width="8.7109375" customWidth="1"/>
    <col min="50" max="50" width="9.140625" customWidth="1"/>
    <col min="51" max="51" width="6.28515625" customWidth="1"/>
    <col min="52" max="52" width="15.28515625" customWidth="1"/>
    <col min="53" max="58" width="8.7109375" customWidth="1"/>
    <col min="59" max="59" width="10.5703125" customWidth="1"/>
    <col min="60" max="61" width="8.7109375" customWidth="1"/>
    <col min="62" max="62" width="4.85546875" customWidth="1"/>
    <col min="63" max="63" width="13.85546875" customWidth="1"/>
    <col min="64" max="64" width="3.28515625" customWidth="1"/>
    <col min="65" max="65" width="11.28515625" customWidth="1"/>
    <col min="66" max="67" width="6.28515625" customWidth="1"/>
    <col min="68" max="68" width="3.5703125" customWidth="1"/>
    <col min="69" max="69" width="8.28515625" customWidth="1"/>
    <col min="70" max="72" width="6.140625" customWidth="1"/>
    <col min="73" max="73" width="3.28515625" customWidth="1"/>
    <col min="74" max="74" width="9.5703125" customWidth="1"/>
    <col min="75" max="75" width="6.140625" customWidth="1"/>
    <col min="76" max="76" width="15.28515625" customWidth="1"/>
    <col min="77" max="77" width="3.28515625" customWidth="1"/>
    <col min="78" max="80" width="8.7109375" customWidth="1"/>
    <col min="81" max="81" width="3.28515625" customWidth="1"/>
    <col min="82" max="84" width="8.7109375" customWidth="1"/>
    <col min="85" max="85" width="3.28515625" customWidth="1"/>
    <col min="86" max="86" width="8.7109375" customWidth="1"/>
    <col min="87" max="88" width="6.28515625" customWidth="1"/>
    <col min="89" max="89" width="3.28515625" customWidth="1"/>
    <col min="90" max="90" width="8.7109375" customWidth="1"/>
    <col min="91" max="92" width="6.28515625" customWidth="1"/>
    <col min="93" max="93" width="3.28515625" customWidth="1"/>
    <col min="94" max="94" width="8.7109375" customWidth="1"/>
    <col min="95" max="95" width="6.28515625" customWidth="1"/>
    <col min="96" max="96" width="15" customWidth="1"/>
    <col min="97" max="97" width="3.28515625" customWidth="1"/>
    <col min="98" max="98" width="9.5703125" customWidth="1"/>
    <col min="99" max="99" width="6.140625" customWidth="1"/>
    <col min="100" max="100" width="16.85546875" customWidth="1"/>
    <col min="101" max="101" width="8.5703125" customWidth="1"/>
    <col min="102" max="102" width="7" customWidth="1"/>
    <col min="103" max="103" width="25.140625" customWidth="1"/>
    <col min="104" max="104" width="3.5703125" customWidth="1"/>
    <col min="105" max="105" width="8.5703125" customWidth="1"/>
    <col min="106" max="106" width="5.85546875" customWidth="1"/>
    <col min="107" max="107" width="16.140625" customWidth="1"/>
    <col min="108" max="108" width="3.7109375" customWidth="1"/>
    <col min="109" max="109" width="3.28515625" customWidth="1"/>
    <col min="110" max="110" width="8.5703125" customWidth="1"/>
    <col min="111" max="111" width="6.28515625" customWidth="1"/>
    <col min="112" max="112" width="11.42578125"/>
    <col min="113" max="113" width="3.5703125" customWidth="1"/>
    <col min="114" max="114" width="8.7109375" customWidth="1"/>
    <col min="115" max="115" width="6.28515625" customWidth="1"/>
    <col min="116" max="116" width="11.42578125"/>
    <col min="117" max="117" width="3.5703125" customWidth="1"/>
    <col min="118" max="118" width="8.5703125" customWidth="1"/>
    <col min="119" max="119" width="6.28515625" customWidth="1"/>
    <col min="120" max="120" width="13.7109375" customWidth="1"/>
    <col min="121" max="1025" width="8.7109375" customWidth="1"/>
  </cols>
  <sheetData>
    <row r="1" spans="1:120" x14ac:dyDescent="0.25">
      <c r="AU1" s="87"/>
      <c r="AV1" s="87"/>
    </row>
    <row r="2" spans="1:120" x14ac:dyDescent="0.25">
      <c r="B2" t="s">
        <v>214</v>
      </c>
      <c r="I2" s="7" t="s">
        <v>30</v>
      </c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E2" s="7" t="s">
        <v>31</v>
      </c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R2" s="135" t="s">
        <v>168</v>
      </c>
      <c r="AS2" s="135"/>
      <c r="AT2" s="135"/>
      <c r="AU2" s="47"/>
      <c r="AV2" s="48"/>
      <c r="AX2" s="7" t="s">
        <v>169</v>
      </c>
      <c r="AY2" s="7"/>
      <c r="AZ2" s="7"/>
      <c r="BB2" s="7" t="s">
        <v>36</v>
      </c>
      <c r="BC2" s="7"/>
      <c r="BD2" s="7"/>
      <c r="BE2" s="7"/>
      <c r="BF2" s="7"/>
      <c r="BG2" s="7"/>
      <c r="BJ2" s="13" t="s">
        <v>37</v>
      </c>
      <c r="BK2" s="13"/>
      <c r="BL2" s="18"/>
      <c r="BM2" s="37"/>
      <c r="BN2" s="5" t="s">
        <v>38</v>
      </c>
      <c r="BO2" s="5"/>
      <c r="BP2" s="38"/>
      <c r="BQ2" s="39"/>
      <c r="BR2" s="4" t="s">
        <v>39</v>
      </c>
      <c r="BS2" s="4"/>
      <c r="BT2" s="4"/>
      <c r="BU2" s="18"/>
      <c r="BV2" s="37"/>
      <c r="BW2" s="5" t="s">
        <v>40</v>
      </c>
      <c r="BX2" s="5"/>
      <c r="BY2" s="18"/>
      <c r="BZ2" s="37"/>
      <c r="CA2" s="37" t="s">
        <v>41</v>
      </c>
      <c r="CB2" s="99"/>
      <c r="CC2" s="18"/>
      <c r="CD2" s="37"/>
      <c r="CE2" s="37" t="s">
        <v>42</v>
      </c>
      <c r="CF2" s="99"/>
      <c r="CG2" s="18"/>
      <c r="CH2" s="37"/>
      <c r="CI2" s="5" t="s">
        <v>43</v>
      </c>
      <c r="CJ2" s="5"/>
      <c r="CK2" s="18"/>
      <c r="CL2" s="37"/>
      <c r="CM2" s="5" t="s">
        <v>44</v>
      </c>
      <c r="CN2" s="5"/>
      <c r="CO2" s="18"/>
      <c r="CP2" s="37"/>
      <c r="CQ2" s="5" t="s">
        <v>45</v>
      </c>
      <c r="CR2" s="5"/>
      <c r="CS2" s="18"/>
      <c r="CT2" s="37"/>
      <c r="CU2" s="3" t="s">
        <v>46</v>
      </c>
      <c r="CV2" s="3"/>
      <c r="CW2" s="3"/>
      <c r="CX2" s="3"/>
      <c r="CY2" s="3"/>
      <c r="CZ2" s="38"/>
      <c r="DA2" s="14" t="s">
        <v>47</v>
      </c>
      <c r="DB2" s="14"/>
      <c r="DC2" s="14"/>
      <c r="DD2" s="40"/>
      <c r="DE2" s="18"/>
      <c r="DF2" s="14" t="s">
        <v>170</v>
      </c>
      <c r="DG2" s="14"/>
      <c r="DH2" s="14"/>
      <c r="DI2" s="38"/>
      <c r="DJ2" s="14" t="s">
        <v>171</v>
      </c>
      <c r="DK2" s="14"/>
      <c r="DL2" s="14"/>
      <c r="DM2" s="38"/>
      <c r="DN2" s="14" t="s">
        <v>172</v>
      </c>
      <c r="DO2" s="14"/>
      <c r="DP2" s="14"/>
    </row>
    <row r="3" spans="1:120" x14ac:dyDescent="0.25">
      <c r="I3" s="42"/>
      <c r="J3" s="43" t="s">
        <v>48</v>
      </c>
      <c r="K3" s="44" t="s">
        <v>49</v>
      </c>
      <c r="L3" s="43" t="s">
        <v>50</v>
      </c>
      <c r="M3" s="45"/>
      <c r="N3" s="42"/>
      <c r="O3" s="43" t="s">
        <v>215</v>
      </c>
      <c r="P3" s="44" t="s">
        <v>49</v>
      </c>
      <c r="Q3" s="45" t="s">
        <v>50</v>
      </c>
      <c r="R3" s="43"/>
      <c r="S3" s="43" t="s">
        <v>51</v>
      </c>
      <c r="T3" s="44" t="s">
        <v>49</v>
      </c>
      <c r="U3" s="45" t="s">
        <v>50</v>
      </c>
      <c r="V3" s="43"/>
      <c r="W3" s="43" t="s">
        <v>173</v>
      </c>
      <c r="X3" s="44" t="s">
        <v>49</v>
      </c>
      <c r="Y3" s="45" t="s">
        <v>50</v>
      </c>
      <c r="Z3" s="43"/>
      <c r="AA3" s="43" t="s">
        <v>174</v>
      </c>
      <c r="AB3" s="44"/>
      <c r="AC3" s="45"/>
      <c r="AE3" s="42" t="s">
        <v>53</v>
      </c>
      <c r="AF3" s="43" t="s">
        <v>54</v>
      </c>
      <c r="AG3" s="45" t="s">
        <v>55</v>
      </c>
      <c r="AH3" s="7" t="s">
        <v>53</v>
      </c>
      <c r="AI3" s="7"/>
      <c r="AJ3" s="7"/>
      <c r="AK3" s="7" t="s">
        <v>54</v>
      </c>
      <c r="AL3" s="7"/>
      <c r="AM3" s="7"/>
      <c r="AN3" s="7" t="s">
        <v>55</v>
      </c>
      <c r="AO3" s="7"/>
      <c r="AP3" s="7"/>
      <c r="AR3" s="67" t="s">
        <v>56</v>
      </c>
      <c r="AS3" s="34"/>
      <c r="AT3" s="100"/>
      <c r="AU3" s="34"/>
      <c r="AV3" s="61"/>
      <c r="AX3" s="54">
        <f t="shared" ref="AX3:AX8" si="0">IF($F$17&lt;AY3,1,0)</f>
        <v>1</v>
      </c>
      <c r="AY3" s="57">
        <v>2</v>
      </c>
      <c r="AZ3" s="61" t="s">
        <v>175</v>
      </c>
      <c r="BA3" s="53"/>
      <c r="BB3" s="66"/>
      <c r="BC3" s="104"/>
      <c r="BD3" s="104" t="s">
        <v>216</v>
      </c>
      <c r="BE3" s="104"/>
      <c r="BF3" s="104" t="s">
        <v>217</v>
      </c>
      <c r="BG3" s="100" t="s">
        <v>218</v>
      </c>
      <c r="BJ3" s="50" t="s">
        <v>61</v>
      </c>
      <c r="BK3" s="34" t="s">
        <v>62</v>
      </c>
      <c r="BL3" s="51"/>
      <c r="BM3" s="34" t="s">
        <v>85</v>
      </c>
      <c r="BN3" s="52" t="s">
        <v>61</v>
      </c>
      <c r="BO3" s="31" t="s">
        <v>63</v>
      </c>
      <c r="BP3" s="53"/>
      <c r="BQ3" s="54" t="s">
        <v>31</v>
      </c>
      <c r="BR3" s="52" t="s">
        <v>61</v>
      </c>
      <c r="BS3" s="31" t="s">
        <v>63</v>
      </c>
      <c r="BT3" s="55" t="s">
        <v>64</v>
      </c>
      <c r="BU3" s="51"/>
      <c r="BV3" s="34" t="s">
        <v>31</v>
      </c>
      <c r="BW3" s="56" t="s">
        <v>61</v>
      </c>
      <c r="BX3" s="34" t="s">
        <v>65</v>
      </c>
      <c r="BY3" s="51"/>
      <c r="BZ3" s="66" t="s">
        <v>177</v>
      </c>
      <c r="CA3" s="101" t="s">
        <v>61</v>
      </c>
      <c r="CB3" s="17" t="s">
        <v>63</v>
      </c>
      <c r="CC3" s="51"/>
      <c r="CD3" s="66" t="s">
        <v>98</v>
      </c>
      <c r="CE3" s="101" t="s">
        <v>61</v>
      </c>
      <c r="CF3" s="17" t="s">
        <v>63</v>
      </c>
      <c r="CG3" s="51"/>
      <c r="CH3" s="34" t="s">
        <v>178</v>
      </c>
      <c r="CI3" s="52" t="s">
        <v>61</v>
      </c>
      <c r="CJ3" s="31" t="s">
        <v>63</v>
      </c>
      <c r="CK3" s="51"/>
      <c r="CL3" s="34" t="s">
        <v>179</v>
      </c>
      <c r="CM3" s="52" t="s">
        <v>61</v>
      </c>
      <c r="CN3" s="31" t="s">
        <v>63</v>
      </c>
      <c r="CO3" s="51"/>
      <c r="CP3" s="34" t="s">
        <v>180</v>
      </c>
      <c r="CQ3" s="52" t="s">
        <v>61</v>
      </c>
      <c r="CR3" s="31" t="s">
        <v>63</v>
      </c>
      <c r="CS3" s="51"/>
      <c r="CT3" s="34"/>
      <c r="CU3" s="52" t="s">
        <v>61</v>
      </c>
      <c r="CV3" s="34" t="s">
        <v>66</v>
      </c>
      <c r="CW3" s="34"/>
      <c r="CX3" s="34"/>
      <c r="CY3" s="34" t="s">
        <v>66</v>
      </c>
      <c r="CZ3" s="53"/>
      <c r="DA3" s="57"/>
      <c r="DB3" s="56" t="s">
        <v>61</v>
      </c>
      <c r="DC3" s="34" t="s">
        <v>66</v>
      </c>
      <c r="DD3" s="53"/>
      <c r="DE3" s="51"/>
      <c r="DF3" s="34"/>
      <c r="DG3" s="52" t="s">
        <v>61</v>
      </c>
      <c r="DH3" s="31" t="s">
        <v>67</v>
      </c>
      <c r="DI3" s="53"/>
      <c r="DJ3" s="34"/>
      <c r="DK3" s="52" t="s">
        <v>61</v>
      </c>
      <c r="DL3" s="31" t="s">
        <v>68</v>
      </c>
      <c r="DM3" s="53"/>
      <c r="DN3" s="34"/>
      <c r="DO3" s="52" t="s">
        <v>61</v>
      </c>
      <c r="DP3" s="30" t="s">
        <v>69</v>
      </c>
    </row>
    <row r="4" spans="1:120" x14ac:dyDescent="0.25">
      <c r="A4" s="58" t="s">
        <v>70</v>
      </c>
      <c r="B4" s="59">
        <f>IF('ol4'!D37=2,'ol4'!C17,0)</f>
        <v>0</v>
      </c>
      <c r="C4" t="s">
        <v>71</v>
      </c>
      <c r="E4" t="s">
        <v>72</v>
      </c>
      <c r="F4" s="102">
        <f>F17*1.2</f>
        <v>0</v>
      </c>
      <c r="I4" s="54">
        <f t="shared" ref="I4:I17" si="1">IF($B$11&lt;12,(IF((L4&gt;4)*AND(L4&lt;16),2,0)),IF((L4&gt;4)*AND(L4&lt;20),2,0))</f>
        <v>0</v>
      </c>
      <c r="J4" s="57">
        <v>15</v>
      </c>
      <c r="K4" s="57">
        <f t="shared" ref="K4:K17" si="2">1/POWER(1.14+2*LOG10((J4/1000)/($K$21/1000)),2)</f>
        <v>5.9655827422120798E-2</v>
      </c>
      <c r="L4" s="57">
        <f t="shared" ref="L4:L17" si="3">0.00638*K4*POWER($F$4,2)/(POWER(J4/1000,5)*$K$20)</f>
        <v>0</v>
      </c>
      <c r="M4" s="61"/>
      <c r="N4" s="54">
        <f t="shared" ref="N4:N17" si="4">IF((Q4&gt;4)*AND(Q4&lt;18),1,0)</f>
        <v>0</v>
      </c>
      <c r="O4" s="57">
        <v>15</v>
      </c>
      <c r="P4" s="57">
        <f t="shared" ref="P4:P17" si="5">1/POWER(1.14+2*LOG10((O4/1000)/($K$21/1000)),2)</f>
        <v>5.9655827422120798E-2</v>
      </c>
      <c r="Q4" s="61">
        <f t="shared" ref="Q4:Q17" si="6">0.00638*P4*POWER($F$11,2)/(POWER(O4/1000,5)*$K$20)</f>
        <v>5810.693160344681</v>
      </c>
      <c r="R4" s="57">
        <f t="shared" ref="R4:R17" si="7">IF((U4&gt;4)*AND(U4&lt;16),1,0)</f>
        <v>0</v>
      </c>
      <c r="S4" s="57">
        <v>15</v>
      </c>
      <c r="T4" s="57">
        <f t="shared" ref="T4:T17" si="8">1/POWER(1.14+2*LOG10((S4/1000)/($K$21/1000)),2)</f>
        <v>5.9655827422120798E-2</v>
      </c>
      <c r="U4" s="61">
        <f t="shared" ref="U4:U17" si="9">0.00638*T4*POWER($F$14,2)/(POWER(S4/1000,5)*$K$20)</f>
        <v>5810.693160344681</v>
      </c>
      <c r="V4" s="57">
        <f t="shared" ref="V4:V17" si="10">IF((Y4&gt;4)*AND(Y4&lt;16),1,0)</f>
        <v>0</v>
      </c>
      <c r="W4" s="57">
        <v>15</v>
      </c>
      <c r="X4" s="57">
        <f t="shared" ref="X4:X17" si="11">1/POWER(1.14+2*LOG10((W4/1000)/($K$21/1000)),2)</f>
        <v>5.9655827422120798E-2</v>
      </c>
      <c r="Y4" s="61">
        <f t="shared" ref="Y4:Y17" si="12">0.00638*X4*POWER($F$17,2)/(POWER(W4/1000,5)*$K$20)</f>
        <v>0</v>
      </c>
      <c r="Z4" s="57">
        <f t="shared" ref="Z4:Z17" si="13">V4</f>
        <v>0</v>
      </c>
      <c r="AA4" s="57">
        <v>15</v>
      </c>
      <c r="AB4" s="57"/>
      <c r="AC4" s="61"/>
      <c r="AE4" s="62" t="s">
        <v>73</v>
      </c>
      <c r="AF4" s="57">
        <f>IF(B11&gt;12,3,1.8)</f>
        <v>3</v>
      </c>
      <c r="AG4" s="57"/>
      <c r="AH4" s="63">
        <f t="shared" ref="AH4:AH21" si="14">IF(AJ4&gt;$AF$5,1,0)</f>
        <v>1</v>
      </c>
      <c r="AI4" s="64">
        <v>15</v>
      </c>
      <c r="AJ4" s="65">
        <v>1.6</v>
      </c>
      <c r="AK4" s="63">
        <f t="shared" ref="AK4:AK22" si="15">IF(AM4&gt;$AF$5,1,0)</f>
        <v>1</v>
      </c>
      <c r="AL4" s="64">
        <v>15</v>
      </c>
      <c r="AM4" s="65">
        <v>1.6</v>
      </c>
      <c r="AN4" s="57">
        <f t="shared" ref="AN4:AN16" si="16">IF(AP4&gt;$AF$5,1,0)</f>
        <v>1</v>
      </c>
      <c r="AO4" s="57">
        <v>15</v>
      </c>
      <c r="AP4" s="61">
        <v>1.6</v>
      </c>
      <c r="AR4" s="53">
        <v>1.5</v>
      </c>
      <c r="AS4" s="57">
        <f>IF($F$23&lt;AR4,1,0)</f>
        <v>1</v>
      </c>
      <c r="AT4" s="61" t="s">
        <v>181</v>
      </c>
      <c r="AU4" s="57">
        <f>IF($F$23&lt;AR4,1,0)</f>
        <v>1</v>
      </c>
      <c r="AV4" s="103" t="s">
        <v>182</v>
      </c>
      <c r="AX4" s="54">
        <f t="shared" si="0"/>
        <v>1</v>
      </c>
      <c r="AY4" s="57">
        <v>3</v>
      </c>
      <c r="AZ4" s="61" t="s">
        <v>183</v>
      </c>
      <c r="BA4" s="53"/>
      <c r="BB4" s="57">
        <f t="shared" ref="BB4:BB35" si="17">IF(AND(BC4=1,BE4=1),1,0)</f>
        <v>0</v>
      </c>
      <c r="BC4" s="57">
        <f t="shared" ref="BC4:BC35" si="18">IF(BD4&gt;$B$4,1,0)</f>
        <v>1</v>
      </c>
      <c r="BD4" s="57">
        <v>0.01</v>
      </c>
      <c r="BE4" s="57">
        <f t="shared" ref="BE4:BE35" si="19">IF(BF4&gt;$F$11,1,0)</f>
        <v>0</v>
      </c>
      <c r="BF4">
        <v>2</v>
      </c>
      <c r="BG4" s="61" t="s">
        <v>176</v>
      </c>
      <c r="BJ4" s="50" t="s">
        <v>78</v>
      </c>
      <c r="BK4" s="34" t="s">
        <v>185</v>
      </c>
      <c r="BL4" s="51"/>
      <c r="BM4" s="34" t="e">
        <f t="shared" ref="BM4:BM15" si="20">IF($F$5=BO4,1,0)</f>
        <v>#N/A</v>
      </c>
      <c r="BN4" s="56" t="s">
        <v>80</v>
      </c>
      <c r="BO4" s="34">
        <v>15</v>
      </c>
      <c r="BP4" s="53"/>
      <c r="BQ4" s="70">
        <f t="shared" ref="BQ4:BQ26" si="21">IF($F$7=BT4,1,0)</f>
        <v>0</v>
      </c>
      <c r="BR4" s="56" t="s">
        <v>80</v>
      </c>
      <c r="BS4" s="34">
        <v>15</v>
      </c>
      <c r="BT4" s="55">
        <v>0.63</v>
      </c>
      <c r="BU4" s="51"/>
      <c r="BV4" s="34">
        <f>IF($B$14=BX4,1,0)</f>
        <v>0</v>
      </c>
      <c r="BW4" s="56" t="s">
        <v>78</v>
      </c>
      <c r="BX4" s="34" t="s">
        <v>53</v>
      </c>
      <c r="BY4" s="51"/>
      <c r="BZ4" s="70">
        <f t="shared" ref="BZ4:BZ15" si="22">IF($F$12=CB4,1,0)</f>
        <v>0</v>
      </c>
      <c r="CA4" s="56" t="s">
        <v>80</v>
      </c>
      <c r="CB4" s="55">
        <v>15</v>
      </c>
      <c r="CC4" s="51"/>
      <c r="CD4" s="70">
        <f t="shared" ref="CD4:CD15" si="23">IF($F$15=CF4,1,0)</f>
        <v>0</v>
      </c>
      <c r="CE4" s="56" t="s">
        <v>80</v>
      </c>
      <c r="CF4" s="55">
        <v>15</v>
      </c>
      <c r="CG4" s="51"/>
      <c r="CH4" s="34" t="e">
        <f t="shared" ref="CH4:CH15" si="24">IF($F$18=CJ4,1,0)</f>
        <v>#N/A</v>
      </c>
      <c r="CI4" s="56" t="s">
        <v>80</v>
      </c>
      <c r="CJ4" s="34">
        <v>15</v>
      </c>
      <c r="CK4" s="51"/>
      <c r="CL4" s="34" t="e">
        <f t="shared" ref="CL4:CL15" si="25">IF($F$22=CN4,1,0)</f>
        <v>#N/A</v>
      </c>
      <c r="CM4" s="56" t="s">
        <v>80</v>
      </c>
      <c r="CN4" s="34">
        <v>15</v>
      </c>
      <c r="CO4" s="51"/>
      <c r="CP4" s="34">
        <f t="shared" ref="CP4:CP9" si="26">IF($E$19=CR4,1,0)</f>
        <v>1</v>
      </c>
      <c r="CQ4" s="56" t="s">
        <v>78</v>
      </c>
      <c r="CR4" s="61" t="s">
        <v>175</v>
      </c>
      <c r="CS4" s="51"/>
      <c r="CT4" s="34" t="e">
        <f>IF($E$24=CV4,1,0)</f>
        <v>#N/A</v>
      </c>
      <c r="CU4" s="31">
        <v>1</v>
      </c>
      <c r="CV4" s="57" t="s">
        <v>181</v>
      </c>
      <c r="CW4" s="31" t="e">
        <f>IF($E$24=CY4,1,0)</f>
        <v>#N/A</v>
      </c>
      <c r="CX4" s="31">
        <v>1</v>
      </c>
      <c r="CY4" s="103" t="s">
        <v>182</v>
      </c>
      <c r="CZ4" s="53"/>
      <c r="DB4" s="15"/>
      <c r="DD4" s="53"/>
      <c r="DE4" s="51"/>
      <c r="DF4" s="34"/>
      <c r="DG4" s="56"/>
      <c r="DI4" s="53"/>
      <c r="DJ4" s="34">
        <f>IF($B$16=DL4,1,0)</f>
        <v>0</v>
      </c>
      <c r="DK4" s="56" t="s">
        <v>78</v>
      </c>
      <c r="DL4" s="34" t="s">
        <v>83</v>
      </c>
      <c r="DM4" s="53"/>
      <c r="DN4" s="34">
        <f>IF($B$17=DP4,1,0)</f>
        <v>0</v>
      </c>
      <c r="DO4" s="56" t="s">
        <v>78</v>
      </c>
      <c r="DP4" s="61" t="s">
        <v>84</v>
      </c>
    </row>
    <row r="5" spans="1:120" x14ac:dyDescent="0.25">
      <c r="A5" s="58"/>
      <c r="B5" s="59"/>
      <c r="C5" s="72"/>
      <c r="E5" t="s">
        <v>48</v>
      </c>
      <c r="F5" t="e">
        <f>VLOOKUP(2,I4:L17,2,0)</f>
        <v>#N/A</v>
      </c>
      <c r="I5" s="54">
        <f t="shared" si="1"/>
        <v>0</v>
      </c>
      <c r="J5" s="57">
        <v>20</v>
      </c>
      <c r="K5" s="57">
        <f t="shared" si="2"/>
        <v>5.2990299783484442E-2</v>
      </c>
      <c r="L5" s="57">
        <f t="shared" si="3"/>
        <v>0</v>
      </c>
      <c r="M5" s="61"/>
      <c r="N5" s="54">
        <f t="shared" si="4"/>
        <v>0</v>
      </c>
      <c r="O5" s="57">
        <v>20</v>
      </c>
      <c r="P5" s="57">
        <f t="shared" si="5"/>
        <v>5.2990299783484442E-2</v>
      </c>
      <c r="Q5" s="61">
        <f t="shared" si="6"/>
        <v>1224.8354919463238</v>
      </c>
      <c r="R5" s="57">
        <f t="shared" si="7"/>
        <v>0</v>
      </c>
      <c r="S5" s="57">
        <v>20</v>
      </c>
      <c r="T5" s="57">
        <f t="shared" si="8"/>
        <v>5.2990299783484442E-2</v>
      </c>
      <c r="U5" s="61">
        <f t="shared" si="9"/>
        <v>1224.8354919463238</v>
      </c>
      <c r="V5" s="57">
        <f t="shared" si="10"/>
        <v>0</v>
      </c>
      <c r="W5" s="57">
        <v>20</v>
      </c>
      <c r="X5" s="57">
        <f t="shared" si="11"/>
        <v>5.2990299783484442E-2</v>
      </c>
      <c r="Y5" s="61">
        <f t="shared" si="12"/>
        <v>0</v>
      </c>
      <c r="Z5" s="57">
        <f t="shared" si="13"/>
        <v>0</v>
      </c>
      <c r="AA5" s="57">
        <v>15</v>
      </c>
      <c r="AB5" s="57"/>
      <c r="AC5" s="61"/>
      <c r="AE5" s="62" t="s">
        <v>87</v>
      </c>
      <c r="AF5" s="74">
        <f>F4/SQRT(0.1*AF4)</f>
        <v>0</v>
      </c>
      <c r="AG5" s="74"/>
      <c r="AH5" s="54">
        <f t="shared" si="14"/>
        <v>1</v>
      </c>
      <c r="AI5" s="57">
        <v>15</v>
      </c>
      <c r="AJ5" s="61">
        <v>2.5</v>
      </c>
      <c r="AK5" s="54">
        <f t="shared" si="15"/>
        <v>1</v>
      </c>
      <c r="AL5" s="57">
        <v>15</v>
      </c>
      <c r="AM5" s="61">
        <v>2.5</v>
      </c>
      <c r="AN5" s="57">
        <f t="shared" si="16"/>
        <v>1</v>
      </c>
      <c r="AO5" s="57">
        <v>15</v>
      </c>
      <c r="AP5" s="61">
        <v>2.5</v>
      </c>
      <c r="AR5" s="53">
        <v>4</v>
      </c>
      <c r="AS5" s="57">
        <f>IF($F$23&lt;AR5,1,0)</f>
        <v>1</v>
      </c>
      <c r="AT5" s="61" t="s">
        <v>186</v>
      </c>
      <c r="AU5" s="57">
        <f>IF($F$23&lt;AR5,1,0)</f>
        <v>1</v>
      </c>
      <c r="AV5" s="103" t="s">
        <v>187</v>
      </c>
      <c r="AX5" s="54">
        <f t="shared" si="0"/>
        <v>1</v>
      </c>
      <c r="AY5" s="57">
        <v>5</v>
      </c>
      <c r="AZ5" s="61" t="s">
        <v>188</v>
      </c>
      <c r="BA5" s="53"/>
      <c r="BB5" s="57">
        <f t="shared" si="17"/>
        <v>0</v>
      </c>
      <c r="BC5" s="57">
        <f t="shared" si="18"/>
        <v>1</v>
      </c>
      <c r="BD5" s="57">
        <v>0.02</v>
      </c>
      <c r="BE5" s="57">
        <f t="shared" si="19"/>
        <v>0</v>
      </c>
      <c r="BF5">
        <v>2</v>
      </c>
      <c r="BG5" s="61" t="s">
        <v>176</v>
      </c>
      <c r="BJ5" s="50" t="s">
        <v>94</v>
      </c>
      <c r="BK5" s="34" t="s">
        <v>190</v>
      </c>
      <c r="BL5" s="51"/>
      <c r="BM5" s="34" t="e">
        <f t="shared" si="20"/>
        <v>#N/A</v>
      </c>
      <c r="BN5" s="56" t="s">
        <v>96</v>
      </c>
      <c r="BO5" s="34">
        <v>20</v>
      </c>
      <c r="BP5" s="53"/>
      <c r="BQ5" s="70">
        <f t="shared" si="21"/>
        <v>0</v>
      </c>
      <c r="BR5" s="56" t="s">
        <v>96</v>
      </c>
      <c r="BS5" s="34">
        <v>15</v>
      </c>
      <c r="BT5" s="55">
        <v>1.25</v>
      </c>
      <c r="BU5" s="51"/>
      <c r="BV5" s="34">
        <f>IF($B$14=BX5,1,0)</f>
        <v>0</v>
      </c>
      <c r="BW5" s="56" t="s">
        <v>94</v>
      </c>
      <c r="BX5" s="34" t="s">
        <v>55</v>
      </c>
      <c r="BY5" s="51"/>
      <c r="BZ5" s="70">
        <f t="shared" si="22"/>
        <v>0</v>
      </c>
      <c r="CA5" s="56" t="s">
        <v>96</v>
      </c>
      <c r="CB5" s="55">
        <v>20</v>
      </c>
      <c r="CC5" s="51"/>
      <c r="CD5" s="70">
        <f t="shared" si="23"/>
        <v>0</v>
      </c>
      <c r="CE5" s="56" t="s">
        <v>96</v>
      </c>
      <c r="CF5" s="55">
        <v>20</v>
      </c>
      <c r="CG5" s="51"/>
      <c r="CH5" s="34" t="e">
        <f t="shared" si="24"/>
        <v>#N/A</v>
      </c>
      <c r="CI5" s="56" t="s">
        <v>96</v>
      </c>
      <c r="CJ5" s="34">
        <v>20</v>
      </c>
      <c r="CK5" s="51"/>
      <c r="CL5" s="34" t="e">
        <f t="shared" si="25"/>
        <v>#N/A</v>
      </c>
      <c r="CM5" s="56" t="s">
        <v>96</v>
      </c>
      <c r="CN5" s="34">
        <v>20</v>
      </c>
      <c r="CO5" s="51"/>
      <c r="CP5" s="34">
        <f t="shared" si="26"/>
        <v>0</v>
      </c>
      <c r="CQ5" s="56" t="s">
        <v>94</v>
      </c>
      <c r="CR5" s="61" t="s">
        <v>183</v>
      </c>
      <c r="CS5" s="51"/>
      <c r="CT5" s="34" t="e">
        <f>IF($E$24=CV5,1,0)</f>
        <v>#N/A</v>
      </c>
      <c r="CU5" s="31"/>
      <c r="CV5" s="57"/>
      <c r="CW5" s="31" t="e">
        <f>IF($E$24=CY5,1,0)</f>
        <v>#N/A</v>
      </c>
      <c r="CX5" s="31">
        <v>2</v>
      </c>
      <c r="CY5" s="103" t="s">
        <v>187</v>
      </c>
      <c r="CZ5" s="53"/>
      <c r="DA5" s="57">
        <f>IF($B$15=DC5,1,0)</f>
        <v>0</v>
      </c>
      <c r="DB5" s="31">
        <v>1</v>
      </c>
      <c r="DC5" s="31" t="s">
        <v>191</v>
      </c>
      <c r="DD5" s="53"/>
      <c r="DE5" s="51"/>
      <c r="DF5" s="34">
        <f t="shared" ref="DF5:DF19" si="27">IF($E$9=DH5,1,0)</f>
        <v>0</v>
      </c>
      <c r="DG5" s="56" t="s">
        <v>80</v>
      </c>
      <c r="DH5" s="61" t="s">
        <v>176</v>
      </c>
      <c r="DI5" s="53"/>
      <c r="DJ5" s="34">
        <f>IF($B$16=DL5,1,0)</f>
        <v>0</v>
      </c>
      <c r="DK5" s="56" t="s">
        <v>94</v>
      </c>
      <c r="DL5" s="34" t="s">
        <v>55</v>
      </c>
      <c r="DM5" s="53"/>
      <c r="DN5" s="34">
        <f>IF($B$17=DP5,1,0)</f>
        <v>0</v>
      </c>
      <c r="DO5" s="56" t="s">
        <v>81</v>
      </c>
      <c r="DP5" s="55" t="s">
        <v>97</v>
      </c>
    </row>
    <row r="6" spans="1:120" x14ac:dyDescent="0.25">
      <c r="A6" s="58"/>
      <c r="B6" s="59"/>
      <c r="C6" s="72"/>
      <c r="E6" t="s">
        <v>99</v>
      </c>
      <c r="F6">
        <f>VLOOKUP(1,IF(B14="IMI Hydronic",AH4:AJ21,IF(B14="Siemens",AK4:AM22,AN4:AP16)),2,0)</f>
        <v>15</v>
      </c>
      <c r="I6" s="54">
        <f t="shared" si="1"/>
        <v>0</v>
      </c>
      <c r="J6" s="57">
        <v>25</v>
      </c>
      <c r="K6" s="57">
        <f t="shared" si="2"/>
        <v>4.8560427292756572E-2</v>
      </c>
      <c r="L6" s="57">
        <f t="shared" si="3"/>
        <v>0</v>
      </c>
      <c r="M6" s="61"/>
      <c r="N6" s="54">
        <f t="shared" si="4"/>
        <v>0</v>
      </c>
      <c r="O6" s="57">
        <v>25</v>
      </c>
      <c r="P6" s="57">
        <f t="shared" si="5"/>
        <v>4.8560427292756572E-2</v>
      </c>
      <c r="Q6" s="61">
        <f t="shared" si="6"/>
        <v>367.80177466478125</v>
      </c>
      <c r="R6" s="57">
        <f t="shared" si="7"/>
        <v>0</v>
      </c>
      <c r="S6" s="57">
        <v>25</v>
      </c>
      <c r="T6" s="57">
        <f t="shared" si="8"/>
        <v>4.8560427292756572E-2</v>
      </c>
      <c r="U6" s="61">
        <f t="shared" si="9"/>
        <v>367.80177466478125</v>
      </c>
      <c r="V6" s="57">
        <f t="shared" si="10"/>
        <v>0</v>
      </c>
      <c r="W6" s="57">
        <v>25</v>
      </c>
      <c r="X6" s="57">
        <f t="shared" si="11"/>
        <v>4.8560427292756572E-2</v>
      </c>
      <c r="Y6" s="61">
        <f t="shared" si="12"/>
        <v>0</v>
      </c>
      <c r="Z6" s="57">
        <f t="shared" si="13"/>
        <v>0</v>
      </c>
      <c r="AA6" s="57">
        <v>20</v>
      </c>
      <c r="AB6" s="57"/>
      <c r="AC6" s="61"/>
      <c r="AE6" s="54"/>
      <c r="AF6" s="57"/>
      <c r="AG6" s="57"/>
      <c r="AH6" s="54">
        <f t="shared" si="14"/>
        <v>1</v>
      </c>
      <c r="AI6" s="57">
        <v>15</v>
      </c>
      <c r="AJ6" s="61">
        <v>4</v>
      </c>
      <c r="AK6" s="54">
        <f t="shared" si="15"/>
        <v>1</v>
      </c>
      <c r="AL6" s="57">
        <v>15</v>
      </c>
      <c r="AM6" s="61">
        <v>4</v>
      </c>
      <c r="AN6" s="57">
        <f t="shared" si="16"/>
        <v>1</v>
      </c>
      <c r="AO6" s="57">
        <v>15</v>
      </c>
      <c r="AP6" s="61">
        <v>4</v>
      </c>
      <c r="AR6" s="53">
        <v>6</v>
      </c>
      <c r="AS6" s="57">
        <f>IF($F$23&lt;AR6,1,0)</f>
        <v>1</v>
      </c>
      <c r="AT6" s="61" t="s">
        <v>186</v>
      </c>
      <c r="AU6" s="57">
        <f>IF($F$23&lt;AR6,1,0)</f>
        <v>1</v>
      </c>
      <c r="AV6" s="103" t="s">
        <v>192</v>
      </c>
      <c r="AX6" s="54">
        <f t="shared" si="0"/>
        <v>1</v>
      </c>
      <c r="AY6" s="57">
        <v>8</v>
      </c>
      <c r="AZ6" s="61" t="s">
        <v>193</v>
      </c>
      <c r="BA6" s="53"/>
      <c r="BB6" s="57">
        <f t="shared" si="17"/>
        <v>1</v>
      </c>
      <c r="BC6" s="57">
        <f t="shared" si="18"/>
        <v>1</v>
      </c>
      <c r="BD6" s="57">
        <v>0.02</v>
      </c>
      <c r="BE6" s="57">
        <f t="shared" si="19"/>
        <v>1</v>
      </c>
      <c r="BF6">
        <v>4</v>
      </c>
      <c r="BG6" s="61" t="s">
        <v>201</v>
      </c>
      <c r="BJ6" s="50"/>
      <c r="BK6" s="34"/>
      <c r="BL6" s="51"/>
      <c r="BM6" s="34" t="e">
        <f t="shared" si="20"/>
        <v>#N/A</v>
      </c>
      <c r="BN6" s="56" t="s">
        <v>103</v>
      </c>
      <c r="BO6" s="34">
        <v>25</v>
      </c>
      <c r="BP6" s="53"/>
      <c r="BQ6" s="70">
        <f t="shared" si="21"/>
        <v>1</v>
      </c>
      <c r="BR6" s="56" t="s">
        <v>103</v>
      </c>
      <c r="BS6" s="34">
        <v>15</v>
      </c>
      <c r="BT6" s="55">
        <v>1.6</v>
      </c>
      <c r="BU6" s="51"/>
      <c r="BV6" s="34">
        <f>IF($B$14=BX6,1,0)</f>
        <v>0</v>
      </c>
      <c r="BW6" s="56" t="s">
        <v>104</v>
      </c>
      <c r="BX6" s="34" t="s">
        <v>54</v>
      </c>
      <c r="BY6" s="51"/>
      <c r="BZ6" s="70">
        <f t="shared" si="22"/>
        <v>0</v>
      </c>
      <c r="CA6" s="56" t="s">
        <v>103</v>
      </c>
      <c r="CB6" s="55">
        <v>25</v>
      </c>
      <c r="CC6" s="51"/>
      <c r="CD6" s="70">
        <f t="shared" si="23"/>
        <v>0</v>
      </c>
      <c r="CE6" s="56" t="s">
        <v>103</v>
      </c>
      <c r="CF6" s="55">
        <v>25</v>
      </c>
      <c r="CG6" s="51"/>
      <c r="CH6" s="34" t="e">
        <f t="shared" si="24"/>
        <v>#N/A</v>
      </c>
      <c r="CI6" s="56" t="s">
        <v>103</v>
      </c>
      <c r="CJ6" s="34">
        <v>25</v>
      </c>
      <c r="CK6" s="51"/>
      <c r="CL6" s="34" t="e">
        <f t="shared" si="25"/>
        <v>#N/A</v>
      </c>
      <c r="CM6" s="56" t="s">
        <v>103</v>
      </c>
      <c r="CN6" s="34">
        <v>25</v>
      </c>
      <c r="CO6" s="51"/>
      <c r="CP6" s="34">
        <f t="shared" si="26"/>
        <v>0</v>
      </c>
      <c r="CQ6" s="56" t="s">
        <v>104</v>
      </c>
      <c r="CR6" s="61" t="s">
        <v>188</v>
      </c>
      <c r="CS6" s="51"/>
      <c r="CT6" s="34" t="e">
        <f>IF($E$24=CV6,1,0)</f>
        <v>#N/A</v>
      </c>
      <c r="CU6" s="31">
        <v>3</v>
      </c>
      <c r="CV6" s="57" t="s">
        <v>186</v>
      </c>
      <c r="CW6" s="31" t="e">
        <f>IF($E$24=CY6,1,0)</f>
        <v>#N/A</v>
      </c>
      <c r="CX6" s="31">
        <v>3</v>
      </c>
      <c r="CY6" s="103" t="s">
        <v>192</v>
      </c>
      <c r="CZ6" s="53"/>
      <c r="DA6" s="57">
        <f>IF($B$15=DC6,1,0)</f>
        <v>0</v>
      </c>
      <c r="DB6" s="31">
        <v>2</v>
      </c>
      <c r="DC6" s="76" t="s">
        <v>195</v>
      </c>
      <c r="DD6" s="53"/>
      <c r="DE6" s="51"/>
      <c r="DF6" s="34">
        <f t="shared" si="27"/>
        <v>0</v>
      </c>
      <c r="DG6" s="56" t="s">
        <v>96</v>
      </c>
      <c r="DH6" s="61" t="s">
        <v>196</v>
      </c>
      <c r="DI6" s="53"/>
      <c r="DJ6" s="34">
        <f>IF($B$16=DL6,1,0)</f>
        <v>0</v>
      </c>
      <c r="DK6" s="56" t="s">
        <v>104</v>
      </c>
      <c r="DL6" s="76" t="s">
        <v>54</v>
      </c>
      <c r="DM6" s="53"/>
      <c r="DN6" s="34"/>
      <c r="DO6" s="56"/>
      <c r="DP6" s="55"/>
    </row>
    <row r="7" spans="1:120" x14ac:dyDescent="0.25">
      <c r="A7" s="58" t="s">
        <v>178</v>
      </c>
      <c r="B7" s="59">
        <f>IF(('ol4'!N17-B8)&lt;5,B8+5,'ol4'!N17)</f>
        <v>5</v>
      </c>
      <c r="C7" s="72" t="s">
        <v>86</v>
      </c>
      <c r="E7" t="s">
        <v>106</v>
      </c>
      <c r="F7">
        <f>VLOOKUP(1,IF(B14="IMI Hydronic",AH4:AJ21,IF(B14="Siemens",AK4:AM22,AN4:AP16)),3,0)</f>
        <v>1.6</v>
      </c>
      <c r="I7" s="54">
        <f t="shared" si="1"/>
        <v>0</v>
      </c>
      <c r="J7" s="57">
        <v>32</v>
      </c>
      <c r="K7" s="57">
        <f t="shared" si="2"/>
        <v>4.4277322004702871E-2</v>
      </c>
      <c r="L7" s="57">
        <f t="shared" si="3"/>
        <v>0</v>
      </c>
      <c r="M7" s="61"/>
      <c r="N7" s="54">
        <f t="shared" si="4"/>
        <v>0</v>
      </c>
      <c r="O7" s="57">
        <v>32</v>
      </c>
      <c r="P7" s="57">
        <f t="shared" si="5"/>
        <v>4.4277322004702871E-2</v>
      </c>
      <c r="Q7" s="61">
        <f t="shared" si="6"/>
        <v>97.60292175071794</v>
      </c>
      <c r="R7" s="57">
        <f t="shared" si="7"/>
        <v>0</v>
      </c>
      <c r="S7" s="57">
        <v>32</v>
      </c>
      <c r="T7" s="57">
        <f t="shared" si="8"/>
        <v>4.4277322004702871E-2</v>
      </c>
      <c r="U7" s="61">
        <f t="shared" si="9"/>
        <v>97.60292175071794</v>
      </c>
      <c r="V7" s="57">
        <f t="shared" si="10"/>
        <v>0</v>
      </c>
      <c r="W7" s="57">
        <v>32</v>
      </c>
      <c r="X7" s="57">
        <f t="shared" si="11"/>
        <v>4.4277322004702871E-2</v>
      </c>
      <c r="Y7" s="61">
        <f t="shared" si="12"/>
        <v>0</v>
      </c>
      <c r="Z7" s="57">
        <f t="shared" si="13"/>
        <v>0</v>
      </c>
      <c r="AA7" s="57">
        <v>25</v>
      </c>
      <c r="AB7" s="57"/>
      <c r="AC7" s="61"/>
      <c r="AE7" s="54"/>
      <c r="AF7" s="57"/>
      <c r="AG7" s="57"/>
      <c r="AH7" s="54">
        <f t="shared" si="14"/>
        <v>1</v>
      </c>
      <c r="AI7" s="57">
        <v>20</v>
      </c>
      <c r="AJ7" s="61">
        <v>6.3</v>
      </c>
      <c r="AK7" s="54">
        <f t="shared" si="15"/>
        <v>1</v>
      </c>
      <c r="AL7" s="57">
        <v>20</v>
      </c>
      <c r="AM7" s="61">
        <v>6.3</v>
      </c>
      <c r="AN7" s="57">
        <f t="shared" si="16"/>
        <v>1</v>
      </c>
      <c r="AO7" s="57">
        <v>20</v>
      </c>
      <c r="AP7" s="61">
        <v>6.3</v>
      </c>
      <c r="AR7" s="53">
        <v>12</v>
      </c>
      <c r="AS7" s="57">
        <f>IF($F$23&lt;AR7,1,0)</f>
        <v>1</v>
      </c>
      <c r="AT7" s="61" t="s">
        <v>197</v>
      </c>
      <c r="AU7" s="57">
        <f>IF($F$23&lt;AR7,1,0)</f>
        <v>1</v>
      </c>
      <c r="AV7" s="103" t="s">
        <v>198</v>
      </c>
      <c r="AX7" s="54">
        <f t="shared" si="0"/>
        <v>1</v>
      </c>
      <c r="AY7" s="57">
        <v>14</v>
      </c>
      <c r="AZ7" s="61" t="s">
        <v>199</v>
      </c>
      <c r="BA7" s="53"/>
      <c r="BB7" s="57">
        <f t="shared" si="17"/>
        <v>0</v>
      </c>
      <c r="BC7" s="57">
        <f t="shared" si="18"/>
        <v>1</v>
      </c>
      <c r="BD7" s="57">
        <v>0.03</v>
      </c>
      <c r="BE7" s="57">
        <f t="shared" si="19"/>
        <v>0</v>
      </c>
      <c r="BF7">
        <v>2</v>
      </c>
      <c r="BG7" s="61" t="s">
        <v>176</v>
      </c>
      <c r="BJ7" s="50"/>
      <c r="BK7" s="34"/>
      <c r="BL7" s="51"/>
      <c r="BM7" s="34" t="e">
        <f t="shared" si="20"/>
        <v>#N/A</v>
      </c>
      <c r="BN7" s="56" t="s">
        <v>110</v>
      </c>
      <c r="BO7" s="34">
        <v>32</v>
      </c>
      <c r="BP7" s="53"/>
      <c r="BQ7" s="70">
        <f t="shared" si="21"/>
        <v>0</v>
      </c>
      <c r="BR7" s="56" t="s">
        <v>110</v>
      </c>
      <c r="BS7" s="34">
        <v>15</v>
      </c>
      <c r="BT7" s="55">
        <v>2.5</v>
      </c>
      <c r="BU7" s="51"/>
      <c r="BV7" s="34"/>
      <c r="BW7" s="56"/>
      <c r="BX7" s="34"/>
      <c r="BY7" s="51"/>
      <c r="BZ7" s="70">
        <f t="shared" si="22"/>
        <v>0</v>
      </c>
      <c r="CA7" s="56" t="s">
        <v>110</v>
      </c>
      <c r="CB7" s="55">
        <v>32</v>
      </c>
      <c r="CC7" s="51"/>
      <c r="CD7" s="70">
        <f t="shared" si="23"/>
        <v>0</v>
      </c>
      <c r="CE7" s="56" t="s">
        <v>110</v>
      </c>
      <c r="CF7" s="55">
        <v>32</v>
      </c>
      <c r="CG7" s="51"/>
      <c r="CH7" s="34" t="e">
        <f t="shared" si="24"/>
        <v>#N/A</v>
      </c>
      <c r="CI7" s="56" t="s">
        <v>110</v>
      </c>
      <c r="CJ7" s="34">
        <v>32</v>
      </c>
      <c r="CK7" s="51"/>
      <c r="CL7" s="34" t="e">
        <f t="shared" si="25"/>
        <v>#N/A</v>
      </c>
      <c r="CM7" s="56" t="s">
        <v>110</v>
      </c>
      <c r="CN7" s="34">
        <v>32</v>
      </c>
      <c r="CO7" s="51"/>
      <c r="CP7" s="34">
        <f t="shared" si="26"/>
        <v>0</v>
      </c>
      <c r="CQ7" s="56" t="s">
        <v>116</v>
      </c>
      <c r="CR7" s="61" t="s">
        <v>193</v>
      </c>
      <c r="CS7" s="51"/>
      <c r="CT7" s="34" t="e">
        <f>IF($E$24=CV7,1,0)</f>
        <v>#N/A</v>
      </c>
      <c r="CU7" s="76">
        <v>4</v>
      </c>
      <c r="CV7" s="57" t="s">
        <v>197</v>
      </c>
      <c r="CW7" s="31" t="e">
        <f>IF($E$24=CY7,1,0)</f>
        <v>#N/A</v>
      </c>
      <c r="CX7" s="76">
        <v>4</v>
      </c>
      <c r="CY7" s="103" t="s">
        <v>198</v>
      </c>
      <c r="CZ7" s="53"/>
      <c r="DA7" s="57"/>
      <c r="DB7" s="31"/>
      <c r="DD7" s="53"/>
      <c r="DE7" s="51"/>
      <c r="DF7" s="34">
        <f t="shared" si="27"/>
        <v>1</v>
      </c>
      <c r="DG7" s="56" t="s">
        <v>103</v>
      </c>
      <c r="DH7" s="61" t="s">
        <v>201</v>
      </c>
      <c r="DI7" s="53"/>
      <c r="DJ7" s="34"/>
      <c r="DK7" s="57"/>
      <c r="DL7" s="57"/>
      <c r="DM7" s="53"/>
      <c r="DN7" s="34"/>
      <c r="DO7" s="56"/>
      <c r="DP7" s="30"/>
    </row>
    <row r="8" spans="1:120" x14ac:dyDescent="0.25">
      <c r="A8" s="58" t="s">
        <v>202</v>
      </c>
      <c r="B8" s="59">
        <f>'ol4'!R17</f>
        <v>0</v>
      </c>
      <c r="C8" s="72" t="s">
        <v>86</v>
      </c>
      <c r="E8" s="78" t="s">
        <v>73</v>
      </c>
      <c r="F8" s="102">
        <f>(F4^2/F7^2)*10</f>
        <v>0</v>
      </c>
      <c r="I8" s="54">
        <f t="shared" si="1"/>
        <v>0</v>
      </c>
      <c r="J8" s="57">
        <v>40</v>
      </c>
      <c r="K8" s="57">
        <f t="shared" si="2"/>
        <v>4.0875226338606248E-2</v>
      </c>
      <c r="L8" s="57">
        <f t="shared" si="3"/>
        <v>0</v>
      </c>
      <c r="M8" s="61"/>
      <c r="N8" s="54">
        <f t="shared" si="4"/>
        <v>0</v>
      </c>
      <c r="O8" s="57">
        <v>40</v>
      </c>
      <c r="P8" s="57">
        <f t="shared" si="5"/>
        <v>4.0875226338606248E-2</v>
      </c>
      <c r="Q8" s="61">
        <f t="shared" si="6"/>
        <v>29.525113656077632</v>
      </c>
      <c r="R8" s="57">
        <f t="shared" si="7"/>
        <v>0</v>
      </c>
      <c r="S8" s="57">
        <v>40</v>
      </c>
      <c r="T8" s="57">
        <f t="shared" si="8"/>
        <v>4.0875226338606248E-2</v>
      </c>
      <c r="U8" s="61">
        <f t="shared" si="9"/>
        <v>29.525113656077632</v>
      </c>
      <c r="V8" s="57">
        <f t="shared" si="10"/>
        <v>0</v>
      </c>
      <c r="W8" s="57">
        <v>40</v>
      </c>
      <c r="X8" s="57">
        <f t="shared" si="11"/>
        <v>4.0875226338606248E-2</v>
      </c>
      <c r="Y8" s="61">
        <f t="shared" si="12"/>
        <v>0</v>
      </c>
      <c r="Z8" s="57">
        <f t="shared" si="13"/>
        <v>0</v>
      </c>
      <c r="AA8" s="57">
        <v>32</v>
      </c>
      <c r="AB8" s="57"/>
      <c r="AC8" s="61"/>
      <c r="AE8" s="62"/>
      <c r="AF8" s="57"/>
      <c r="AG8" s="74"/>
      <c r="AH8" s="54">
        <f t="shared" si="14"/>
        <v>1</v>
      </c>
      <c r="AI8" s="57">
        <v>25</v>
      </c>
      <c r="AJ8" s="61">
        <v>10</v>
      </c>
      <c r="AK8" s="54">
        <f t="shared" si="15"/>
        <v>1</v>
      </c>
      <c r="AL8" s="57">
        <v>25</v>
      </c>
      <c r="AM8" s="61">
        <v>10</v>
      </c>
      <c r="AN8" s="57">
        <f t="shared" si="16"/>
        <v>1</v>
      </c>
      <c r="AO8" s="57">
        <v>25</v>
      </c>
      <c r="AP8" s="61">
        <v>10</v>
      </c>
      <c r="AR8" s="53"/>
      <c r="AS8" s="34"/>
      <c r="AT8" s="61"/>
      <c r="AU8" s="57"/>
      <c r="AV8" s="61"/>
      <c r="AX8" s="54">
        <f t="shared" si="0"/>
        <v>1</v>
      </c>
      <c r="AY8" s="57">
        <v>20</v>
      </c>
      <c r="AZ8" s="61" t="s">
        <v>203</v>
      </c>
      <c r="BA8" s="53"/>
      <c r="BB8" s="57">
        <f t="shared" si="17"/>
        <v>1</v>
      </c>
      <c r="BC8" s="57">
        <f t="shared" si="18"/>
        <v>1</v>
      </c>
      <c r="BD8" s="57">
        <v>0.03</v>
      </c>
      <c r="BE8" s="57">
        <f t="shared" si="19"/>
        <v>1</v>
      </c>
      <c r="BF8">
        <v>6</v>
      </c>
      <c r="BG8" s="61" t="s">
        <v>201</v>
      </c>
      <c r="BJ8" s="50"/>
      <c r="BK8" s="34"/>
      <c r="BL8" s="51"/>
      <c r="BM8" s="34" t="e">
        <f t="shared" si="20"/>
        <v>#N/A</v>
      </c>
      <c r="BN8" s="56" t="s">
        <v>115</v>
      </c>
      <c r="BO8" s="34">
        <v>40</v>
      </c>
      <c r="BP8" s="53"/>
      <c r="BQ8" s="70">
        <f t="shared" si="21"/>
        <v>0</v>
      </c>
      <c r="BR8" s="56" t="s">
        <v>115</v>
      </c>
      <c r="BS8" s="34">
        <v>15</v>
      </c>
      <c r="BT8" s="55">
        <v>4</v>
      </c>
      <c r="BU8" s="51"/>
      <c r="BV8" s="34"/>
      <c r="BW8" s="56"/>
      <c r="BX8" s="34"/>
      <c r="BY8" s="51"/>
      <c r="BZ8" s="70">
        <f t="shared" si="22"/>
        <v>0</v>
      </c>
      <c r="CA8" s="56" t="s">
        <v>115</v>
      </c>
      <c r="CB8" s="55">
        <v>40</v>
      </c>
      <c r="CC8" s="51"/>
      <c r="CD8" s="70">
        <f t="shared" si="23"/>
        <v>0</v>
      </c>
      <c r="CE8" s="56" t="s">
        <v>115</v>
      </c>
      <c r="CF8" s="55">
        <v>40</v>
      </c>
      <c r="CG8" s="51"/>
      <c r="CH8" s="34" t="e">
        <f t="shared" si="24"/>
        <v>#N/A</v>
      </c>
      <c r="CI8" s="56" t="s">
        <v>115</v>
      </c>
      <c r="CJ8" s="34">
        <v>40</v>
      </c>
      <c r="CK8" s="51"/>
      <c r="CL8" s="34" t="e">
        <f t="shared" si="25"/>
        <v>#N/A</v>
      </c>
      <c r="CM8" s="56" t="s">
        <v>115</v>
      </c>
      <c r="CN8" s="34">
        <v>40</v>
      </c>
      <c r="CO8" s="51"/>
      <c r="CP8" s="34">
        <f t="shared" si="26"/>
        <v>0</v>
      </c>
      <c r="CQ8" s="56" t="s">
        <v>124</v>
      </c>
      <c r="CR8" s="61" t="s">
        <v>199</v>
      </c>
      <c r="CS8" s="51"/>
      <c r="CT8" s="34"/>
      <c r="CU8" s="76"/>
      <c r="CV8" s="31"/>
      <c r="CW8" s="31"/>
      <c r="CX8" s="76"/>
      <c r="CY8" s="31"/>
      <c r="CZ8" s="53"/>
      <c r="DD8" s="53"/>
      <c r="DE8" s="51"/>
      <c r="DF8" s="34">
        <f t="shared" si="27"/>
        <v>0</v>
      </c>
      <c r="DG8" s="56" t="s">
        <v>110</v>
      </c>
      <c r="DH8" s="61" t="s">
        <v>204</v>
      </c>
      <c r="DI8" s="53"/>
      <c r="DJ8" s="34"/>
      <c r="DK8" s="56"/>
      <c r="DL8" s="34"/>
      <c r="DM8" s="53"/>
      <c r="DN8" s="34"/>
      <c r="DO8" s="56"/>
      <c r="DP8" s="55"/>
    </row>
    <row r="9" spans="1:120" x14ac:dyDescent="0.25">
      <c r="A9" s="58" t="s">
        <v>117</v>
      </c>
      <c r="B9" s="59">
        <f>'ol4'!W13*100</f>
        <v>60</v>
      </c>
      <c r="C9" s="72" t="s">
        <v>118</v>
      </c>
      <c r="E9" s="1" t="str">
        <f>VLOOKUP(1,BB4:BG93,6,0)</f>
        <v>НН14-16/1</v>
      </c>
      <c r="F9" s="1"/>
      <c r="I9" s="54">
        <f t="shared" si="1"/>
        <v>0</v>
      </c>
      <c r="J9" s="57">
        <v>50</v>
      </c>
      <c r="K9" s="57">
        <f t="shared" si="2"/>
        <v>3.7850686611455138E-2</v>
      </c>
      <c r="L9" s="57">
        <f t="shared" si="3"/>
        <v>0</v>
      </c>
      <c r="M9" s="61"/>
      <c r="N9" s="54">
        <f t="shared" si="4"/>
        <v>1</v>
      </c>
      <c r="O9" s="57">
        <v>50</v>
      </c>
      <c r="P9" s="57">
        <f t="shared" si="5"/>
        <v>3.7850686611455138E-2</v>
      </c>
      <c r="Q9" s="61">
        <f t="shared" si="6"/>
        <v>8.9589085728467328</v>
      </c>
      <c r="R9" s="57">
        <f t="shared" si="7"/>
        <v>1</v>
      </c>
      <c r="S9" s="57">
        <v>50</v>
      </c>
      <c r="T9" s="57">
        <f t="shared" si="8"/>
        <v>3.7850686611455138E-2</v>
      </c>
      <c r="U9" s="61">
        <f t="shared" si="9"/>
        <v>8.9589085728467328</v>
      </c>
      <c r="V9" s="57">
        <f t="shared" si="10"/>
        <v>0</v>
      </c>
      <c r="W9" s="57">
        <v>50</v>
      </c>
      <c r="X9" s="57">
        <f t="shared" si="11"/>
        <v>3.7850686611455138E-2</v>
      </c>
      <c r="Y9" s="61">
        <f t="shared" si="12"/>
        <v>0</v>
      </c>
      <c r="Z9" s="57">
        <f t="shared" si="13"/>
        <v>0</v>
      </c>
      <c r="AA9" s="57">
        <v>40</v>
      </c>
      <c r="AB9" s="57"/>
      <c r="AC9" s="61"/>
      <c r="AE9" s="62"/>
      <c r="AF9" s="74"/>
      <c r="AG9" s="57"/>
      <c r="AH9" s="54">
        <f t="shared" si="14"/>
        <v>1</v>
      </c>
      <c r="AI9" s="57">
        <v>32</v>
      </c>
      <c r="AJ9" s="61">
        <v>16</v>
      </c>
      <c r="AK9" s="54">
        <f t="shared" si="15"/>
        <v>1</v>
      </c>
      <c r="AL9" s="57">
        <v>32</v>
      </c>
      <c r="AM9" s="61">
        <v>16</v>
      </c>
      <c r="AN9" s="57">
        <f t="shared" si="16"/>
        <v>1</v>
      </c>
      <c r="AO9" s="57">
        <v>32</v>
      </c>
      <c r="AP9" s="61">
        <v>16</v>
      </c>
      <c r="AR9" s="53"/>
      <c r="AS9" s="34"/>
      <c r="AT9" s="61"/>
      <c r="AU9" s="57"/>
      <c r="AV9" s="61"/>
      <c r="AX9" s="83"/>
      <c r="AY9" s="87"/>
      <c r="AZ9" s="89"/>
      <c r="BB9" s="57">
        <f t="shared" si="17"/>
        <v>0</v>
      </c>
      <c r="BC9" s="57">
        <f t="shared" si="18"/>
        <v>1</v>
      </c>
      <c r="BD9" s="57">
        <v>0.04</v>
      </c>
      <c r="BE9" s="57">
        <f t="shared" si="19"/>
        <v>0</v>
      </c>
      <c r="BF9" s="57">
        <v>1.88</v>
      </c>
      <c r="BG9" s="61" t="s">
        <v>176</v>
      </c>
      <c r="BJ9" s="50"/>
      <c r="BK9" s="34"/>
      <c r="BL9" s="51"/>
      <c r="BM9" s="34" t="e">
        <f t="shared" si="20"/>
        <v>#N/A</v>
      </c>
      <c r="BN9" s="56" t="s">
        <v>123</v>
      </c>
      <c r="BO9" s="34">
        <v>50</v>
      </c>
      <c r="BP9" s="53"/>
      <c r="BQ9" s="70">
        <f t="shared" si="21"/>
        <v>0</v>
      </c>
      <c r="BR9" s="56" t="s">
        <v>123</v>
      </c>
      <c r="BS9" s="34">
        <v>20</v>
      </c>
      <c r="BT9" s="55">
        <v>5</v>
      </c>
      <c r="BU9" s="51"/>
      <c r="BV9" s="34"/>
      <c r="BW9" s="56"/>
      <c r="BX9" s="34"/>
      <c r="BY9" s="51"/>
      <c r="BZ9" s="70">
        <f t="shared" si="22"/>
        <v>1</v>
      </c>
      <c r="CA9" s="56" t="s">
        <v>123</v>
      </c>
      <c r="CB9" s="55">
        <v>50</v>
      </c>
      <c r="CC9" s="51"/>
      <c r="CD9" s="70">
        <f t="shared" si="23"/>
        <v>1</v>
      </c>
      <c r="CE9" s="56" t="s">
        <v>123</v>
      </c>
      <c r="CF9" s="55">
        <v>50</v>
      </c>
      <c r="CG9" s="51"/>
      <c r="CH9" s="34" t="e">
        <f t="shared" si="24"/>
        <v>#N/A</v>
      </c>
      <c r="CI9" s="56" t="s">
        <v>123</v>
      </c>
      <c r="CJ9" s="34">
        <v>50</v>
      </c>
      <c r="CK9" s="51"/>
      <c r="CL9" s="34" t="e">
        <f t="shared" si="25"/>
        <v>#N/A</v>
      </c>
      <c r="CM9" s="56" t="s">
        <v>123</v>
      </c>
      <c r="CN9" s="34">
        <v>50</v>
      </c>
      <c r="CO9" s="51"/>
      <c r="CP9" s="34">
        <f t="shared" si="26"/>
        <v>0</v>
      </c>
      <c r="CQ9" s="56" t="s">
        <v>131</v>
      </c>
      <c r="CR9" s="61" t="s">
        <v>203</v>
      </c>
      <c r="CS9" s="51"/>
      <c r="CT9" s="34"/>
      <c r="CU9" s="76"/>
      <c r="CV9" s="31"/>
      <c r="CW9" s="31"/>
      <c r="CX9" s="76"/>
      <c r="CY9" s="31"/>
      <c r="CZ9" s="53"/>
      <c r="DA9" s="57"/>
      <c r="DB9" s="57"/>
      <c r="DC9" s="57"/>
      <c r="DD9" s="53"/>
      <c r="DE9" s="51"/>
      <c r="DF9" s="34">
        <f t="shared" si="27"/>
        <v>0</v>
      </c>
      <c r="DG9" s="56" t="s">
        <v>115</v>
      </c>
      <c r="DH9" s="61" t="s">
        <v>184</v>
      </c>
      <c r="DI9" s="53"/>
      <c r="DJ9" s="34"/>
      <c r="DK9" s="56"/>
      <c r="DL9" s="34"/>
      <c r="DM9" s="53"/>
      <c r="DN9" s="34"/>
      <c r="DO9" s="56"/>
      <c r="DP9" s="55"/>
    </row>
    <row r="10" spans="1:120" x14ac:dyDescent="0.25">
      <c r="A10" s="58" t="s">
        <v>125</v>
      </c>
      <c r="B10" s="59">
        <f>'ol4'!AC13*100</f>
        <v>40</v>
      </c>
      <c r="C10" s="72" t="s">
        <v>118</v>
      </c>
      <c r="I10" s="54">
        <f t="shared" si="1"/>
        <v>0</v>
      </c>
      <c r="J10" s="57">
        <v>65</v>
      </c>
      <c r="K10" s="57">
        <f t="shared" si="2"/>
        <v>3.4705101432211748E-2</v>
      </c>
      <c r="L10" s="57">
        <f t="shared" si="3"/>
        <v>0</v>
      </c>
      <c r="M10" s="61"/>
      <c r="N10" s="54">
        <f t="shared" si="4"/>
        <v>0</v>
      </c>
      <c r="O10" s="57">
        <v>65</v>
      </c>
      <c r="P10" s="57">
        <f t="shared" si="5"/>
        <v>3.4705101432211748E-2</v>
      </c>
      <c r="Q10" s="61">
        <f t="shared" si="6"/>
        <v>2.2123707046149717</v>
      </c>
      <c r="R10" s="57">
        <f t="shared" si="7"/>
        <v>0</v>
      </c>
      <c r="S10" s="57">
        <v>65</v>
      </c>
      <c r="T10" s="57">
        <f t="shared" si="8"/>
        <v>3.4705101432211748E-2</v>
      </c>
      <c r="U10" s="61">
        <f t="shared" si="9"/>
        <v>2.2123707046149717</v>
      </c>
      <c r="V10" s="57">
        <f t="shared" si="10"/>
        <v>0</v>
      </c>
      <c r="W10" s="57">
        <v>65</v>
      </c>
      <c r="X10" s="57">
        <f t="shared" si="11"/>
        <v>3.4705101432211748E-2</v>
      </c>
      <c r="Y10" s="61">
        <f t="shared" si="12"/>
        <v>0</v>
      </c>
      <c r="Z10" s="57">
        <f t="shared" si="13"/>
        <v>0</v>
      </c>
      <c r="AA10" s="57">
        <v>50</v>
      </c>
      <c r="AB10" s="57"/>
      <c r="AC10" s="61"/>
      <c r="AE10" s="54"/>
      <c r="AF10" s="57"/>
      <c r="AG10" s="57"/>
      <c r="AH10" s="54">
        <f t="shared" si="14"/>
        <v>1</v>
      </c>
      <c r="AI10" s="57">
        <v>40</v>
      </c>
      <c r="AJ10" s="61">
        <v>20</v>
      </c>
      <c r="AK10" s="54">
        <f t="shared" si="15"/>
        <v>1</v>
      </c>
      <c r="AL10" s="57">
        <v>40</v>
      </c>
      <c r="AM10" s="61">
        <v>25</v>
      </c>
      <c r="AN10" s="57">
        <f t="shared" si="16"/>
        <v>1</v>
      </c>
      <c r="AO10" s="57">
        <v>40</v>
      </c>
      <c r="AP10" s="61">
        <v>25</v>
      </c>
      <c r="AR10" s="53"/>
      <c r="AS10" s="34"/>
      <c r="AT10" s="61"/>
      <c r="AU10" s="57"/>
      <c r="AV10" s="61"/>
      <c r="BA10" s="61"/>
      <c r="BB10" s="57">
        <f t="shared" si="17"/>
        <v>1</v>
      </c>
      <c r="BC10" s="57">
        <f t="shared" si="18"/>
        <v>1</v>
      </c>
      <c r="BD10" s="57">
        <v>0.04</v>
      </c>
      <c r="BE10" s="57">
        <f t="shared" si="19"/>
        <v>1</v>
      </c>
      <c r="BF10" s="57">
        <v>8</v>
      </c>
      <c r="BG10" s="61" t="s">
        <v>201</v>
      </c>
      <c r="BJ10" s="50"/>
      <c r="BK10" s="34"/>
      <c r="BL10" s="51"/>
      <c r="BM10" s="34" t="e">
        <f t="shared" si="20"/>
        <v>#N/A</v>
      </c>
      <c r="BN10" s="56" t="s">
        <v>130</v>
      </c>
      <c r="BO10" s="34">
        <v>65</v>
      </c>
      <c r="BP10" s="53"/>
      <c r="BQ10" s="70">
        <f t="shared" si="21"/>
        <v>0</v>
      </c>
      <c r="BR10" s="56" t="s">
        <v>130</v>
      </c>
      <c r="BS10" s="34">
        <v>20</v>
      </c>
      <c r="BT10" s="55">
        <v>6.3</v>
      </c>
      <c r="BU10" s="51"/>
      <c r="BV10" s="34"/>
      <c r="BW10" s="56"/>
      <c r="BX10" s="34"/>
      <c r="BY10" s="51"/>
      <c r="BZ10" s="70">
        <f t="shared" si="22"/>
        <v>0</v>
      </c>
      <c r="CA10" s="56" t="s">
        <v>130</v>
      </c>
      <c r="CB10" s="55">
        <v>65</v>
      </c>
      <c r="CC10" s="51"/>
      <c r="CD10" s="70">
        <f t="shared" si="23"/>
        <v>0</v>
      </c>
      <c r="CE10" s="56" t="s">
        <v>130</v>
      </c>
      <c r="CF10" s="55">
        <v>65</v>
      </c>
      <c r="CG10" s="51"/>
      <c r="CH10" s="34" t="e">
        <f t="shared" si="24"/>
        <v>#N/A</v>
      </c>
      <c r="CI10" s="56" t="s">
        <v>130</v>
      </c>
      <c r="CJ10" s="34">
        <v>65</v>
      </c>
      <c r="CK10" s="51"/>
      <c r="CL10" s="34" t="e">
        <f t="shared" si="25"/>
        <v>#N/A</v>
      </c>
      <c r="CM10" s="56" t="s">
        <v>130</v>
      </c>
      <c r="CN10" s="34">
        <v>65</v>
      </c>
      <c r="CO10" s="51"/>
      <c r="CP10" s="34"/>
      <c r="CQ10" s="56"/>
      <c r="CR10" s="34"/>
      <c r="CS10" s="51"/>
      <c r="CT10" s="34"/>
      <c r="CU10" s="76"/>
      <c r="CV10" s="31"/>
      <c r="CW10" s="31"/>
      <c r="CX10" s="76"/>
      <c r="CY10" s="31"/>
      <c r="CZ10" s="53"/>
      <c r="DD10" s="53"/>
      <c r="DE10" s="51"/>
      <c r="DF10" s="34">
        <f t="shared" si="27"/>
        <v>0</v>
      </c>
      <c r="DG10" s="56" t="s">
        <v>123</v>
      </c>
      <c r="DH10" s="61" t="s">
        <v>189</v>
      </c>
      <c r="DI10" s="53"/>
      <c r="DJ10" s="34"/>
      <c r="DK10" s="56"/>
      <c r="DL10" s="34"/>
      <c r="DM10" s="53"/>
      <c r="DN10" s="34"/>
      <c r="DO10" s="56"/>
      <c r="DP10" s="55"/>
    </row>
    <row r="11" spans="1:120" x14ac:dyDescent="0.25">
      <c r="A11" s="80" t="s">
        <v>137</v>
      </c>
      <c r="B11">
        <f>B9-B10</f>
        <v>20</v>
      </c>
      <c r="C11" s="72" t="s">
        <v>118</v>
      </c>
      <c r="E11" t="s">
        <v>219</v>
      </c>
      <c r="F11" s="102">
        <f>'БОВ (1)'!F4+'БОВ (2)'!F4+'БОВ (3)'!F4</f>
        <v>3.3333333333333335</v>
      </c>
      <c r="I11" s="54">
        <f t="shared" si="1"/>
        <v>0</v>
      </c>
      <c r="J11" s="57">
        <v>80</v>
      </c>
      <c r="K11" s="57">
        <f t="shared" si="2"/>
        <v>3.248549788373601E-2</v>
      </c>
      <c r="L11" s="57">
        <f t="shared" si="3"/>
        <v>0</v>
      </c>
      <c r="M11" s="61"/>
      <c r="N11" s="54">
        <f t="shared" si="4"/>
        <v>0</v>
      </c>
      <c r="O11" s="57">
        <v>80</v>
      </c>
      <c r="P11" s="57">
        <f t="shared" si="5"/>
        <v>3.248549788373601E-2</v>
      </c>
      <c r="Q11" s="61">
        <f t="shared" si="6"/>
        <v>0.73328188543698547</v>
      </c>
      <c r="R11" s="57">
        <f t="shared" si="7"/>
        <v>0</v>
      </c>
      <c r="S11" s="57">
        <v>80</v>
      </c>
      <c r="T11" s="57">
        <f t="shared" si="8"/>
        <v>3.248549788373601E-2</v>
      </c>
      <c r="U11" s="61">
        <f t="shared" si="9"/>
        <v>0.73328188543698547</v>
      </c>
      <c r="V11" s="57">
        <f t="shared" si="10"/>
        <v>0</v>
      </c>
      <c r="W11" s="57">
        <v>80</v>
      </c>
      <c r="X11" s="57">
        <f t="shared" si="11"/>
        <v>3.248549788373601E-2</v>
      </c>
      <c r="Y11" s="61">
        <f t="shared" si="12"/>
        <v>0</v>
      </c>
      <c r="Z11" s="57">
        <f t="shared" si="13"/>
        <v>0</v>
      </c>
      <c r="AA11" s="57">
        <v>65</v>
      </c>
      <c r="AB11" s="57"/>
      <c r="AC11" s="61"/>
      <c r="AE11" s="54"/>
      <c r="AF11" s="57"/>
      <c r="AG11" s="74"/>
      <c r="AH11" s="54">
        <f t="shared" si="14"/>
        <v>1</v>
      </c>
      <c r="AI11" s="57">
        <v>40</v>
      </c>
      <c r="AJ11" s="61">
        <v>25</v>
      </c>
      <c r="AK11" s="54">
        <f t="shared" si="15"/>
        <v>1</v>
      </c>
      <c r="AL11" s="57">
        <v>50</v>
      </c>
      <c r="AM11" s="61">
        <v>31.5</v>
      </c>
      <c r="AN11" s="57">
        <f t="shared" si="16"/>
        <v>1</v>
      </c>
      <c r="AO11" s="57">
        <v>50</v>
      </c>
      <c r="AP11" s="61">
        <v>40</v>
      </c>
      <c r="AR11" s="85"/>
      <c r="AS11" s="93"/>
      <c r="AT11" s="89"/>
      <c r="AU11" s="87"/>
      <c r="AV11" s="89"/>
      <c r="BA11" s="61"/>
      <c r="BB11" s="57">
        <f t="shared" si="17"/>
        <v>0</v>
      </c>
      <c r="BC11" s="57">
        <f t="shared" si="18"/>
        <v>1</v>
      </c>
      <c r="BD11" s="57">
        <v>0.05</v>
      </c>
      <c r="BE11" s="57">
        <f t="shared" si="19"/>
        <v>0</v>
      </c>
      <c r="BF11" s="57">
        <v>2</v>
      </c>
      <c r="BG11" s="61" t="s">
        <v>176</v>
      </c>
      <c r="BJ11" s="50"/>
      <c r="BK11" s="34"/>
      <c r="BL11" s="51"/>
      <c r="BM11" s="34" t="e">
        <f t="shared" si="20"/>
        <v>#N/A</v>
      </c>
      <c r="BN11" s="56" t="s">
        <v>136</v>
      </c>
      <c r="BO11" s="34">
        <v>80</v>
      </c>
      <c r="BP11" s="53"/>
      <c r="BQ11" s="70">
        <f t="shared" si="21"/>
        <v>0</v>
      </c>
      <c r="BR11" s="56" t="s">
        <v>136</v>
      </c>
      <c r="BS11" s="34">
        <v>25</v>
      </c>
      <c r="BT11" s="55">
        <v>8</v>
      </c>
      <c r="BU11" s="51"/>
      <c r="BV11" s="34"/>
      <c r="BW11" s="56"/>
      <c r="BX11" s="34"/>
      <c r="BY11" s="51"/>
      <c r="BZ11" s="70">
        <f t="shared" si="22"/>
        <v>0</v>
      </c>
      <c r="CA11" s="56" t="s">
        <v>136</v>
      </c>
      <c r="CB11" s="55">
        <v>80</v>
      </c>
      <c r="CC11" s="51"/>
      <c r="CD11" s="70">
        <f t="shared" si="23"/>
        <v>0</v>
      </c>
      <c r="CE11" s="56" t="s">
        <v>136</v>
      </c>
      <c r="CF11" s="55">
        <v>80</v>
      </c>
      <c r="CG11" s="51"/>
      <c r="CH11" s="34" t="e">
        <f t="shared" si="24"/>
        <v>#N/A</v>
      </c>
      <c r="CI11" s="56" t="s">
        <v>136</v>
      </c>
      <c r="CJ11" s="34">
        <v>80</v>
      </c>
      <c r="CK11" s="51"/>
      <c r="CL11" s="34" t="e">
        <f t="shared" si="25"/>
        <v>#N/A</v>
      </c>
      <c r="CM11" s="56" t="s">
        <v>136</v>
      </c>
      <c r="CN11" s="34">
        <v>80</v>
      </c>
      <c r="CO11" s="51"/>
      <c r="CP11" s="34"/>
      <c r="CQ11" s="56"/>
      <c r="CR11" s="34"/>
      <c r="CS11" s="51"/>
      <c r="CT11" s="34"/>
      <c r="CU11" s="76"/>
      <c r="CV11" s="31"/>
      <c r="CW11" s="31"/>
      <c r="CX11" s="31"/>
      <c r="CY11" s="31"/>
      <c r="CZ11" s="53"/>
      <c r="DD11" s="53"/>
      <c r="DE11" s="51"/>
      <c r="DF11" s="34">
        <f t="shared" si="27"/>
        <v>0</v>
      </c>
      <c r="DG11" s="56" t="s">
        <v>130</v>
      </c>
      <c r="DH11" s="61" t="s">
        <v>194</v>
      </c>
      <c r="DI11" s="53"/>
      <c r="DJ11" s="34"/>
      <c r="DK11" s="56"/>
      <c r="DL11" s="34"/>
      <c r="DM11" s="53"/>
      <c r="DN11" s="34"/>
      <c r="DO11" s="56"/>
      <c r="DP11" s="55"/>
    </row>
    <row r="12" spans="1:120" x14ac:dyDescent="0.25">
      <c r="E12" t="s">
        <v>215</v>
      </c>
      <c r="F12">
        <f>VLOOKUP(1,N4:Q17,2,0)</f>
        <v>50</v>
      </c>
      <c r="I12" s="54">
        <f t="shared" si="1"/>
        <v>0</v>
      </c>
      <c r="J12" s="57">
        <v>100</v>
      </c>
      <c r="K12" s="57">
        <f t="shared" si="2"/>
        <v>3.0329450982592862E-2</v>
      </c>
      <c r="L12" s="57">
        <f t="shared" si="3"/>
        <v>0</v>
      </c>
      <c r="M12" s="61"/>
      <c r="N12" s="54">
        <f t="shared" si="4"/>
        <v>0</v>
      </c>
      <c r="O12" s="57">
        <v>100</v>
      </c>
      <c r="P12" s="57">
        <f t="shared" si="5"/>
        <v>3.0329450982592862E-2</v>
      </c>
      <c r="Q12" s="61">
        <f t="shared" si="6"/>
        <v>0.22433441994637171</v>
      </c>
      <c r="R12" s="57">
        <f t="shared" si="7"/>
        <v>0</v>
      </c>
      <c r="S12" s="57">
        <v>100</v>
      </c>
      <c r="T12" s="57">
        <f t="shared" si="8"/>
        <v>3.0329450982592862E-2</v>
      </c>
      <c r="U12" s="61">
        <f t="shared" si="9"/>
        <v>0.22433441994637171</v>
      </c>
      <c r="V12" s="57">
        <f t="shared" si="10"/>
        <v>0</v>
      </c>
      <c r="W12" s="57">
        <v>100</v>
      </c>
      <c r="X12" s="57">
        <f t="shared" si="11"/>
        <v>3.0329450982592862E-2</v>
      </c>
      <c r="Y12" s="61">
        <f t="shared" si="12"/>
        <v>0</v>
      </c>
      <c r="Z12" s="57">
        <f t="shared" si="13"/>
        <v>0</v>
      </c>
      <c r="AA12" s="57">
        <v>80</v>
      </c>
      <c r="AB12" s="57"/>
      <c r="AC12" s="61"/>
      <c r="AE12" s="62"/>
      <c r="AF12" s="57"/>
      <c r="AG12" s="57"/>
      <c r="AH12" s="54">
        <f t="shared" si="14"/>
        <v>1</v>
      </c>
      <c r="AI12" s="57">
        <v>50</v>
      </c>
      <c r="AJ12" s="61">
        <v>31.5</v>
      </c>
      <c r="AK12" s="54">
        <f t="shared" si="15"/>
        <v>1</v>
      </c>
      <c r="AL12" s="57">
        <v>50</v>
      </c>
      <c r="AM12" s="61">
        <v>40</v>
      </c>
      <c r="AN12" s="57">
        <f t="shared" si="16"/>
        <v>1</v>
      </c>
      <c r="AO12" s="57">
        <v>65</v>
      </c>
      <c r="AP12" s="61">
        <v>63</v>
      </c>
      <c r="BA12" s="61"/>
      <c r="BB12" s="57">
        <f t="shared" si="17"/>
        <v>1</v>
      </c>
      <c r="BC12" s="57">
        <f t="shared" si="18"/>
        <v>1</v>
      </c>
      <c r="BD12" s="57">
        <v>0.05</v>
      </c>
      <c r="BE12" s="57">
        <f t="shared" si="19"/>
        <v>1</v>
      </c>
      <c r="BF12" s="57">
        <v>10</v>
      </c>
      <c r="BG12" s="61" t="s">
        <v>201</v>
      </c>
      <c r="BJ12" s="50"/>
      <c r="BK12" s="34"/>
      <c r="BL12" s="51"/>
      <c r="BM12" s="34" t="e">
        <f t="shared" si="20"/>
        <v>#N/A</v>
      </c>
      <c r="BN12" s="56" t="s">
        <v>138</v>
      </c>
      <c r="BO12" s="34">
        <v>100</v>
      </c>
      <c r="BP12" s="53"/>
      <c r="BQ12" s="70">
        <f t="shared" si="21"/>
        <v>0</v>
      </c>
      <c r="BR12" s="56" t="s">
        <v>138</v>
      </c>
      <c r="BS12" s="34">
        <v>25</v>
      </c>
      <c r="BT12" s="55">
        <v>10</v>
      </c>
      <c r="BU12" s="51"/>
      <c r="BV12" s="34"/>
      <c r="BW12" s="56"/>
      <c r="BX12" s="34"/>
      <c r="BY12" s="51"/>
      <c r="BZ12" s="70">
        <f t="shared" si="22"/>
        <v>0</v>
      </c>
      <c r="CA12" s="56" t="s">
        <v>138</v>
      </c>
      <c r="CB12" s="55">
        <v>100</v>
      </c>
      <c r="CC12" s="51"/>
      <c r="CD12" s="70">
        <f t="shared" si="23"/>
        <v>0</v>
      </c>
      <c r="CE12" s="56" t="s">
        <v>138</v>
      </c>
      <c r="CF12" s="55">
        <v>100</v>
      </c>
      <c r="CG12" s="51"/>
      <c r="CH12" s="34" t="e">
        <f t="shared" si="24"/>
        <v>#N/A</v>
      </c>
      <c r="CI12" s="56" t="s">
        <v>138</v>
      </c>
      <c r="CJ12" s="34">
        <v>100</v>
      </c>
      <c r="CK12" s="51"/>
      <c r="CL12" s="34" t="e">
        <f t="shared" si="25"/>
        <v>#N/A</v>
      </c>
      <c r="CM12" s="56" t="s">
        <v>138</v>
      </c>
      <c r="CN12" s="34">
        <v>100</v>
      </c>
      <c r="CO12" s="51"/>
      <c r="CP12" s="34"/>
      <c r="CQ12" s="56"/>
      <c r="CR12" s="34"/>
      <c r="CS12" s="51"/>
      <c r="CT12" s="34"/>
      <c r="CU12" s="31"/>
      <c r="CV12" s="57"/>
      <c r="CW12" s="57"/>
      <c r="CX12" s="57"/>
      <c r="CY12" s="57"/>
      <c r="CZ12" s="53"/>
      <c r="DD12" s="53"/>
      <c r="DE12" s="51"/>
      <c r="DF12" s="34">
        <f t="shared" si="27"/>
        <v>0</v>
      </c>
      <c r="DG12" s="56" t="s">
        <v>136</v>
      </c>
      <c r="DH12" s="61" t="s">
        <v>200</v>
      </c>
      <c r="DI12" s="53"/>
      <c r="DJ12" s="34"/>
      <c r="DK12" s="56"/>
      <c r="DL12" s="34"/>
      <c r="DM12" s="53"/>
      <c r="DN12" s="34"/>
      <c r="DO12" s="56"/>
      <c r="DP12" s="55"/>
    </row>
    <row r="13" spans="1:120" x14ac:dyDescent="0.25">
      <c r="A13" s="58"/>
      <c r="C13" s="72"/>
      <c r="I13" s="54">
        <f t="shared" si="1"/>
        <v>0</v>
      </c>
      <c r="J13" s="57">
        <v>125</v>
      </c>
      <c r="K13" s="57">
        <f t="shared" si="2"/>
        <v>2.8381135828692533E-2</v>
      </c>
      <c r="L13" s="57">
        <f t="shared" si="3"/>
        <v>0</v>
      </c>
      <c r="M13" s="61"/>
      <c r="N13" s="54">
        <f t="shared" si="4"/>
        <v>0</v>
      </c>
      <c r="O13" s="57">
        <v>125</v>
      </c>
      <c r="P13" s="57">
        <f t="shared" si="5"/>
        <v>2.8381135828692533E-2</v>
      </c>
      <c r="Q13" s="61">
        <f t="shared" si="6"/>
        <v>6.8787744798793474E-2</v>
      </c>
      <c r="R13" s="57">
        <f t="shared" si="7"/>
        <v>0</v>
      </c>
      <c r="S13" s="57">
        <v>125</v>
      </c>
      <c r="T13" s="57">
        <f t="shared" si="8"/>
        <v>2.8381135828692533E-2</v>
      </c>
      <c r="U13" s="61">
        <f t="shared" si="9"/>
        <v>6.8787744798793474E-2</v>
      </c>
      <c r="V13" s="57">
        <f t="shared" si="10"/>
        <v>0</v>
      </c>
      <c r="W13" s="57">
        <v>125</v>
      </c>
      <c r="X13" s="57">
        <f t="shared" si="11"/>
        <v>2.8381135828692533E-2</v>
      </c>
      <c r="Y13" s="61">
        <f t="shared" si="12"/>
        <v>0</v>
      </c>
      <c r="Z13" s="57">
        <f t="shared" si="13"/>
        <v>0</v>
      </c>
      <c r="AA13" s="57">
        <v>100</v>
      </c>
      <c r="AB13" s="57"/>
      <c r="AC13" s="61"/>
      <c r="AE13" s="62"/>
      <c r="AF13" s="74"/>
      <c r="AG13" s="57"/>
      <c r="AH13" s="54">
        <f t="shared" si="14"/>
        <v>1</v>
      </c>
      <c r="AI13" s="57">
        <v>50</v>
      </c>
      <c r="AJ13" s="61">
        <v>40</v>
      </c>
      <c r="AK13" s="54">
        <f t="shared" si="15"/>
        <v>1</v>
      </c>
      <c r="AL13" s="57">
        <v>65</v>
      </c>
      <c r="AM13" s="61">
        <v>50</v>
      </c>
      <c r="AN13" s="57">
        <f t="shared" si="16"/>
        <v>1</v>
      </c>
      <c r="AO13" s="57">
        <v>80</v>
      </c>
      <c r="AP13" s="61">
        <v>100</v>
      </c>
      <c r="BA13" s="61"/>
      <c r="BB13" s="57">
        <f t="shared" si="17"/>
        <v>0</v>
      </c>
      <c r="BC13" s="57">
        <f t="shared" si="18"/>
        <v>1</v>
      </c>
      <c r="BD13" s="57">
        <v>0.06</v>
      </c>
      <c r="BE13" s="57">
        <f t="shared" si="19"/>
        <v>0</v>
      </c>
      <c r="BF13" s="57">
        <v>1.78</v>
      </c>
      <c r="BG13" s="61" t="s">
        <v>176</v>
      </c>
      <c r="BJ13" s="50"/>
      <c r="BK13" s="34"/>
      <c r="BL13" s="51"/>
      <c r="BM13" s="34" t="e">
        <f t="shared" si="20"/>
        <v>#N/A</v>
      </c>
      <c r="BN13" s="56" t="s">
        <v>140</v>
      </c>
      <c r="BO13" s="34">
        <v>125</v>
      </c>
      <c r="BP13" s="53"/>
      <c r="BQ13" s="70">
        <f t="shared" si="21"/>
        <v>0</v>
      </c>
      <c r="BR13" s="56" t="s">
        <v>140</v>
      </c>
      <c r="BS13" s="34">
        <v>32</v>
      </c>
      <c r="BT13" s="55">
        <v>12.5</v>
      </c>
      <c r="BU13" s="51"/>
      <c r="BV13" s="34"/>
      <c r="BW13" s="56"/>
      <c r="BX13" s="34"/>
      <c r="BY13" s="51"/>
      <c r="BZ13" s="70">
        <f t="shared" si="22"/>
        <v>0</v>
      </c>
      <c r="CA13" s="56" t="s">
        <v>140</v>
      </c>
      <c r="CB13" s="55">
        <v>125</v>
      </c>
      <c r="CC13" s="51"/>
      <c r="CD13" s="70">
        <f t="shared" si="23"/>
        <v>0</v>
      </c>
      <c r="CE13" s="56" t="s">
        <v>140</v>
      </c>
      <c r="CF13" s="55">
        <v>125</v>
      </c>
      <c r="CG13" s="51"/>
      <c r="CH13" s="34" t="e">
        <f t="shared" si="24"/>
        <v>#N/A</v>
      </c>
      <c r="CI13" s="56" t="s">
        <v>140</v>
      </c>
      <c r="CJ13" s="34">
        <v>125</v>
      </c>
      <c r="CK13" s="51"/>
      <c r="CL13" s="34" t="e">
        <f t="shared" si="25"/>
        <v>#N/A</v>
      </c>
      <c r="CM13" s="56" t="s">
        <v>140</v>
      </c>
      <c r="CN13" s="34">
        <v>125</v>
      </c>
      <c r="CO13" s="51"/>
      <c r="CP13" s="34"/>
      <c r="CQ13" s="56"/>
      <c r="CR13" s="34"/>
      <c r="CS13" s="51"/>
      <c r="CT13" s="34"/>
      <c r="CU13" s="31"/>
      <c r="CV13" s="76"/>
      <c r="CW13" s="34"/>
      <c r="CX13" s="31"/>
      <c r="CY13" s="76"/>
      <c r="CZ13" s="53"/>
      <c r="DA13" s="57"/>
      <c r="DB13" s="76"/>
      <c r="DC13" s="57"/>
      <c r="DD13" s="53"/>
      <c r="DE13" s="51"/>
      <c r="DF13" s="34">
        <f t="shared" si="27"/>
        <v>0</v>
      </c>
      <c r="DG13" s="56" t="s">
        <v>138</v>
      </c>
      <c r="DH13" s="61" t="s">
        <v>206</v>
      </c>
      <c r="DI13" s="53"/>
      <c r="DJ13" s="34"/>
      <c r="DK13" s="56"/>
      <c r="DL13" s="34"/>
      <c r="DM13" s="53"/>
      <c r="DN13" s="34"/>
      <c r="DO13" s="56"/>
      <c r="DP13" s="55"/>
    </row>
    <row r="14" spans="1:120" x14ac:dyDescent="0.25">
      <c r="A14" s="58" t="s">
        <v>31</v>
      </c>
      <c r="B14" s="1">
        <f>'ol4'!O36</f>
        <v>0</v>
      </c>
      <c r="C14" s="1"/>
      <c r="E14" t="s">
        <v>133</v>
      </c>
      <c r="F14" s="102">
        <f>F4+F11</f>
        <v>3.3333333333333335</v>
      </c>
      <c r="I14" s="54">
        <f t="shared" si="1"/>
        <v>0</v>
      </c>
      <c r="J14" s="57">
        <v>150</v>
      </c>
      <c r="K14" s="57">
        <f t="shared" si="2"/>
        <v>2.6925299052784474E-2</v>
      </c>
      <c r="L14" s="57">
        <f t="shared" si="3"/>
        <v>0</v>
      </c>
      <c r="M14" s="61"/>
      <c r="N14" s="54">
        <f t="shared" si="4"/>
        <v>0</v>
      </c>
      <c r="O14" s="57">
        <v>150</v>
      </c>
      <c r="P14" s="57">
        <f t="shared" si="5"/>
        <v>2.6925299052784474E-2</v>
      </c>
      <c r="Q14" s="61">
        <f t="shared" si="6"/>
        <v>2.6226214237074743E-2</v>
      </c>
      <c r="R14" s="57">
        <f t="shared" si="7"/>
        <v>0</v>
      </c>
      <c r="S14" s="57">
        <v>150</v>
      </c>
      <c r="T14" s="57">
        <f t="shared" si="8"/>
        <v>2.6925299052784474E-2</v>
      </c>
      <c r="U14" s="61">
        <f t="shared" si="9"/>
        <v>2.6226214237074743E-2</v>
      </c>
      <c r="V14" s="57">
        <f t="shared" si="10"/>
        <v>0</v>
      </c>
      <c r="W14" s="57">
        <v>150</v>
      </c>
      <c r="X14" s="57">
        <f t="shared" si="11"/>
        <v>2.6925299052784474E-2</v>
      </c>
      <c r="Y14" s="61">
        <f t="shared" si="12"/>
        <v>0</v>
      </c>
      <c r="Z14" s="57">
        <f t="shared" si="13"/>
        <v>0</v>
      </c>
      <c r="AA14" s="57">
        <v>125</v>
      </c>
      <c r="AB14" s="57"/>
      <c r="AC14" s="61"/>
      <c r="AE14" s="54"/>
      <c r="AF14" s="57"/>
      <c r="AG14" s="57"/>
      <c r="AH14" s="54">
        <f t="shared" si="14"/>
        <v>1</v>
      </c>
      <c r="AI14" s="57">
        <v>65</v>
      </c>
      <c r="AJ14" s="61">
        <v>50</v>
      </c>
      <c r="AK14" s="54">
        <f t="shared" si="15"/>
        <v>1</v>
      </c>
      <c r="AL14" s="57">
        <v>65</v>
      </c>
      <c r="AM14" s="61">
        <v>63</v>
      </c>
      <c r="AN14" s="57">
        <f t="shared" si="16"/>
        <v>1</v>
      </c>
      <c r="AO14" s="57">
        <v>100</v>
      </c>
      <c r="AP14" s="61">
        <v>160</v>
      </c>
      <c r="BA14" s="61"/>
      <c r="BB14" s="57">
        <f t="shared" si="17"/>
        <v>1</v>
      </c>
      <c r="BC14" s="57">
        <f t="shared" si="18"/>
        <v>1</v>
      </c>
      <c r="BD14" s="57">
        <v>0.06</v>
      </c>
      <c r="BE14" s="57">
        <f t="shared" si="19"/>
        <v>1</v>
      </c>
      <c r="BF14" s="57">
        <v>12</v>
      </c>
      <c r="BG14" s="61" t="s">
        <v>201</v>
      </c>
      <c r="BJ14" s="50"/>
      <c r="BK14" s="34"/>
      <c r="BL14" s="51"/>
      <c r="BM14" s="34" t="e">
        <f t="shared" si="20"/>
        <v>#N/A</v>
      </c>
      <c r="BN14" s="56" t="s">
        <v>141</v>
      </c>
      <c r="BO14" s="34">
        <v>150</v>
      </c>
      <c r="BP14" s="53"/>
      <c r="BQ14" s="70">
        <f t="shared" si="21"/>
        <v>0</v>
      </c>
      <c r="BR14" s="56" t="s">
        <v>141</v>
      </c>
      <c r="BS14" s="34">
        <v>32</v>
      </c>
      <c r="BT14" s="55">
        <v>16</v>
      </c>
      <c r="BU14" s="51"/>
      <c r="BV14" s="34"/>
      <c r="BW14" s="56"/>
      <c r="BX14" s="34"/>
      <c r="BY14" s="51"/>
      <c r="BZ14" s="70">
        <f t="shared" si="22"/>
        <v>0</v>
      </c>
      <c r="CA14" s="56" t="s">
        <v>141</v>
      </c>
      <c r="CB14" s="55">
        <v>150</v>
      </c>
      <c r="CC14" s="51"/>
      <c r="CD14" s="70">
        <f t="shared" si="23"/>
        <v>0</v>
      </c>
      <c r="CE14" s="56" t="s">
        <v>141</v>
      </c>
      <c r="CF14" s="55">
        <v>150</v>
      </c>
      <c r="CG14" s="51"/>
      <c r="CH14" s="34" t="e">
        <f t="shared" si="24"/>
        <v>#N/A</v>
      </c>
      <c r="CI14" s="56" t="s">
        <v>141</v>
      </c>
      <c r="CJ14" s="34">
        <v>150</v>
      </c>
      <c r="CK14" s="51"/>
      <c r="CL14" s="34" t="e">
        <f t="shared" si="25"/>
        <v>#N/A</v>
      </c>
      <c r="CM14" s="56" t="s">
        <v>141</v>
      </c>
      <c r="CN14" s="34">
        <v>150</v>
      </c>
      <c r="CO14" s="51"/>
      <c r="CP14" s="34"/>
      <c r="CQ14" s="56"/>
      <c r="CR14" s="34"/>
      <c r="CS14" s="51"/>
      <c r="CT14" s="34"/>
      <c r="CU14" s="31"/>
      <c r="CV14" s="76"/>
      <c r="CW14" s="34"/>
      <c r="CX14" s="31"/>
      <c r="CY14" s="76"/>
      <c r="CZ14" s="53"/>
      <c r="DA14" s="57"/>
      <c r="DB14" s="76"/>
      <c r="DC14" s="57"/>
      <c r="DD14" s="53"/>
      <c r="DE14" s="51"/>
      <c r="DF14" s="34">
        <f t="shared" si="27"/>
        <v>0</v>
      </c>
      <c r="DG14" s="56" t="s">
        <v>140</v>
      </c>
      <c r="DH14" s="61" t="s">
        <v>207</v>
      </c>
      <c r="DI14" s="53"/>
      <c r="DJ14" s="34"/>
      <c r="DK14" s="56"/>
      <c r="DL14" s="34"/>
      <c r="DM14" s="53"/>
      <c r="DN14" s="34"/>
      <c r="DO14" s="56"/>
      <c r="DP14" s="55"/>
    </row>
    <row r="15" spans="1:120" x14ac:dyDescent="0.25">
      <c r="A15" s="58" t="s">
        <v>32</v>
      </c>
      <c r="B15" s="1">
        <f>'ol4'!I36</f>
        <v>0</v>
      </c>
      <c r="C15" s="1"/>
      <c r="E15" t="s">
        <v>51</v>
      </c>
      <c r="F15">
        <f>VLOOKUP(1,R4:U17,2,0)</f>
        <v>50</v>
      </c>
      <c r="I15" s="54">
        <f t="shared" si="1"/>
        <v>0</v>
      </c>
      <c r="J15" s="57">
        <v>200</v>
      </c>
      <c r="K15" s="57">
        <f t="shared" si="2"/>
        <v>2.4846042519733526E-2</v>
      </c>
      <c r="L15" s="57">
        <f t="shared" si="3"/>
        <v>0</v>
      </c>
      <c r="M15" s="61"/>
      <c r="N15" s="54">
        <f t="shared" si="4"/>
        <v>0</v>
      </c>
      <c r="O15" s="57">
        <v>200</v>
      </c>
      <c r="P15" s="57">
        <f t="shared" si="5"/>
        <v>2.4846042519733526E-2</v>
      </c>
      <c r="Q15" s="61">
        <f t="shared" si="6"/>
        <v>5.7429972725049488E-3</v>
      </c>
      <c r="R15" s="57">
        <f t="shared" si="7"/>
        <v>0</v>
      </c>
      <c r="S15" s="57">
        <v>200</v>
      </c>
      <c r="T15" s="57">
        <f t="shared" si="8"/>
        <v>2.4846042519733526E-2</v>
      </c>
      <c r="U15" s="61">
        <f t="shared" si="9"/>
        <v>5.7429972725049488E-3</v>
      </c>
      <c r="V15" s="57">
        <f t="shared" si="10"/>
        <v>0</v>
      </c>
      <c r="W15" s="57">
        <v>200</v>
      </c>
      <c r="X15" s="57">
        <f t="shared" si="11"/>
        <v>2.4846042519733526E-2</v>
      </c>
      <c r="Y15" s="61">
        <f t="shared" si="12"/>
        <v>0</v>
      </c>
      <c r="Z15" s="57">
        <f t="shared" si="13"/>
        <v>0</v>
      </c>
      <c r="AA15" s="57">
        <v>150</v>
      </c>
      <c r="AB15" s="57"/>
      <c r="AC15" s="61"/>
      <c r="AE15" s="54"/>
      <c r="AF15" s="57"/>
      <c r="AG15" s="57"/>
      <c r="AH15" s="54">
        <f t="shared" si="14"/>
        <v>1</v>
      </c>
      <c r="AI15" s="57">
        <v>65</v>
      </c>
      <c r="AJ15" s="61">
        <v>63</v>
      </c>
      <c r="AK15" s="54">
        <f t="shared" si="15"/>
        <v>1</v>
      </c>
      <c r="AL15" s="57">
        <v>80</v>
      </c>
      <c r="AM15" s="61">
        <v>80</v>
      </c>
      <c r="AN15" s="57">
        <f t="shared" si="16"/>
        <v>1</v>
      </c>
      <c r="AO15" s="57">
        <v>125</v>
      </c>
      <c r="AP15" s="61">
        <v>250</v>
      </c>
      <c r="BA15" s="61"/>
      <c r="BB15" s="57">
        <f t="shared" si="17"/>
        <v>0</v>
      </c>
      <c r="BC15" s="57">
        <f t="shared" si="18"/>
        <v>1</v>
      </c>
      <c r="BD15" s="57">
        <v>7.0000000000000007E-2</v>
      </c>
      <c r="BE15" s="57">
        <f t="shared" si="19"/>
        <v>0</v>
      </c>
      <c r="BF15" s="57">
        <v>1.5</v>
      </c>
      <c r="BG15" s="61" t="s">
        <v>176</v>
      </c>
      <c r="BJ15" s="50"/>
      <c r="BK15" s="34"/>
      <c r="BL15" s="51"/>
      <c r="BM15" s="34" t="e">
        <f t="shared" si="20"/>
        <v>#N/A</v>
      </c>
      <c r="BN15" s="56" t="s">
        <v>142</v>
      </c>
      <c r="BO15" s="34">
        <v>200</v>
      </c>
      <c r="BP15" s="53"/>
      <c r="BQ15" s="70">
        <f t="shared" si="21"/>
        <v>0</v>
      </c>
      <c r="BR15" s="56" t="s">
        <v>142</v>
      </c>
      <c r="BS15" s="34">
        <v>40</v>
      </c>
      <c r="BT15" s="55">
        <v>20</v>
      </c>
      <c r="BU15" s="51"/>
      <c r="BV15" s="34"/>
      <c r="BW15" s="56"/>
      <c r="BX15" s="34"/>
      <c r="BY15" s="51"/>
      <c r="BZ15" s="70">
        <f t="shared" si="22"/>
        <v>0</v>
      </c>
      <c r="CA15" s="56" t="s">
        <v>142</v>
      </c>
      <c r="CB15" s="55">
        <v>200</v>
      </c>
      <c r="CC15" s="51"/>
      <c r="CD15" s="70">
        <f t="shared" si="23"/>
        <v>0</v>
      </c>
      <c r="CE15" s="56" t="s">
        <v>142</v>
      </c>
      <c r="CF15" s="55">
        <v>200</v>
      </c>
      <c r="CG15" s="51"/>
      <c r="CH15" s="34" t="e">
        <f t="shared" si="24"/>
        <v>#N/A</v>
      </c>
      <c r="CI15" s="56" t="s">
        <v>142</v>
      </c>
      <c r="CJ15" s="34">
        <v>200</v>
      </c>
      <c r="CK15" s="51"/>
      <c r="CL15" s="34" t="e">
        <f t="shared" si="25"/>
        <v>#N/A</v>
      </c>
      <c r="CM15" s="56" t="s">
        <v>142</v>
      </c>
      <c r="CN15" s="34">
        <v>200</v>
      </c>
      <c r="CO15" s="51"/>
      <c r="CP15" s="34"/>
      <c r="CQ15" s="56"/>
      <c r="CR15" s="34"/>
      <c r="CS15" s="51"/>
      <c r="CT15" s="34"/>
      <c r="CU15" s="31"/>
      <c r="CV15" s="57"/>
      <c r="CW15" s="57"/>
      <c r="CX15" s="57"/>
      <c r="CY15" s="57"/>
      <c r="CZ15" s="53"/>
      <c r="DA15" s="57"/>
      <c r="DB15" s="57"/>
      <c r="DC15" s="57"/>
      <c r="DD15" s="53"/>
      <c r="DE15" s="51"/>
      <c r="DF15" s="34">
        <f t="shared" si="27"/>
        <v>0</v>
      </c>
      <c r="DG15" s="56" t="s">
        <v>141</v>
      </c>
      <c r="DH15" s="61" t="s">
        <v>209</v>
      </c>
      <c r="DI15" s="53"/>
      <c r="DJ15" s="34"/>
      <c r="DK15" s="56"/>
      <c r="DL15" s="34"/>
      <c r="DM15" s="53"/>
      <c r="DN15" s="34"/>
      <c r="DO15" s="56"/>
      <c r="DP15" s="55"/>
    </row>
    <row r="16" spans="1:120" x14ac:dyDescent="0.25">
      <c r="A16" s="58" t="s">
        <v>143</v>
      </c>
      <c r="B16" s="1">
        <f>'ol4'!U36</f>
        <v>0</v>
      </c>
      <c r="C16" s="1"/>
      <c r="I16" s="54">
        <f t="shared" si="1"/>
        <v>0</v>
      </c>
      <c r="J16" s="57">
        <v>250</v>
      </c>
      <c r="K16" s="57">
        <f t="shared" si="2"/>
        <v>2.339473539768467E-2</v>
      </c>
      <c r="L16" s="57">
        <f t="shared" si="3"/>
        <v>0</v>
      </c>
      <c r="M16" s="61"/>
      <c r="N16" s="54">
        <f t="shared" si="4"/>
        <v>0</v>
      </c>
      <c r="O16" s="57">
        <v>250</v>
      </c>
      <c r="P16" s="57">
        <f t="shared" si="5"/>
        <v>2.339473539768467E-2</v>
      </c>
      <c r="Q16" s="61">
        <f t="shared" si="6"/>
        <v>1.7719418211060299E-3</v>
      </c>
      <c r="R16" s="57">
        <f t="shared" si="7"/>
        <v>0</v>
      </c>
      <c r="S16" s="57">
        <v>250</v>
      </c>
      <c r="T16" s="57">
        <f t="shared" si="8"/>
        <v>2.339473539768467E-2</v>
      </c>
      <c r="U16" s="61">
        <f t="shared" si="9"/>
        <v>1.7719418211060299E-3</v>
      </c>
      <c r="V16" s="57">
        <f t="shared" si="10"/>
        <v>0</v>
      </c>
      <c r="W16" s="57">
        <v>250</v>
      </c>
      <c r="X16" s="57">
        <f t="shared" si="11"/>
        <v>2.339473539768467E-2</v>
      </c>
      <c r="Y16" s="61">
        <f t="shared" si="12"/>
        <v>0</v>
      </c>
      <c r="Z16" s="57">
        <f t="shared" si="13"/>
        <v>0</v>
      </c>
      <c r="AA16" s="57">
        <v>200</v>
      </c>
      <c r="AB16" s="57"/>
      <c r="AC16" s="61"/>
      <c r="AE16" s="54"/>
      <c r="AF16" s="57"/>
      <c r="AG16" s="57"/>
      <c r="AH16" s="54">
        <f t="shared" si="14"/>
        <v>1</v>
      </c>
      <c r="AI16" s="57">
        <v>80</v>
      </c>
      <c r="AJ16" s="61">
        <v>80</v>
      </c>
      <c r="AK16" s="54">
        <f t="shared" si="15"/>
        <v>1</v>
      </c>
      <c r="AL16" s="57">
        <v>80</v>
      </c>
      <c r="AM16" s="61">
        <v>100</v>
      </c>
      <c r="AN16" s="57">
        <f t="shared" si="16"/>
        <v>1</v>
      </c>
      <c r="AO16" s="57">
        <v>150</v>
      </c>
      <c r="AP16" s="61">
        <v>400</v>
      </c>
      <c r="BA16" s="61"/>
      <c r="BB16" s="57">
        <f t="shared" si="17"/>
        <v>0</v>
      </c>
      <c r="BC16" s="57">
        <f t="shared" si="18"/>
        <v>1</v>
      </c>
      <c r="BD16" s="57">
        <v>7.0000000000000007E-2</v>
      </c>
      <c r="BE16" s="57">
        <f t="shared" si="19"/>
        <v>0</v>
      </c>
      <c r="BF16" s="57">
        <v>1.7</v>
      </c>
      <c r="BG16" s="61" t="s">
        <v>196</v>
      </c>
      <c r="BJ16" s="50"/>
      <c r="BK16" s="34"/>
      <c r="BL16" s="51"/>
      <c r="BM16" s="34"/>
      <c r="BN16" s="56"/>
      <c r="BO16" s="34"/>
      <c r="BP16" s="53"/>
      <c r="BQ16" s="70">
        <f t="shared" si="21"/>
        <v>0</v>
      </c>
      <c r="BR16" s="56" t="s">
        <v>145</v>
      </c>
      <c r="BS16" s="34">
        <v>40</v>
      </c>
      <c r="BT16" s="55">
        <v>25</v>
      </c>
      <c r="BU16" s="51"/>
      <c r="BV16" s="34"/>
      <c r="BW16" s="56"/>
      <c r="BX16" s="34"/>
      <c r="BY16" s="53"/>
      <c r="BZ16" s="54"/>
      <c r="CA16" s="57"/>
      <c r="CB16" s="61"/>
      <c r="CC16" s="53"/>
      <c r="CD16" s="57"/>
      <c r="CE16" s="57"/>
      <c r="CF16" s="61"/>
      <c r="CG16" s="53"/>
      <c r="CH16" s="57"/>
      <c r="CI16" s="57"/>
      <c r="CJ16" s="57"/>
      <c r="CK16" s="53"/>
      <c r="CL16" s="57"/>
      <c r="CM16" s="57"/>
      <c r="CN16" s="57"/>
      <c r="CO16" s="53"/>
      <c r="CP16" s="57"/>
      <c r="CQ16" s="57"/>
      <c r="CR16" s="57"/>
      <c r="CS16" s="53"/>
      <c r="CT16" s="34"/>
      <c r="CU16" s="57"/>
      <c r="CV16" s="57"/>
      <c r="CW16" s="57"/>
      <c r="CX16" s="57"/>
      <c r="CY16" s="57"/>
      <c r="CZ16" s="53"/>
      <c r="DA16" s="57"/>
      <c r="DB16" s="57"/>
      <c r="DC16" s="57"/>
      <c r="DD16" s="53"/>
      <c r="DE16" s="53"/>
      <c r="DF16" s="34">
        <f t="shared" si="27"/>
        <v>0</v>
      </c>
      <c r="DG16" s="56" t="s">
        <v>142</v>
      </c>
      <c r="DH16" s="61" t="s">
        <v>210</v>
      </c>
      <c r="DI16" s="53"/>
      <c r="DJ16" s="57"/>
      <c r="DK16" s="57"/>
      <c r="DL16" s="57"/>
      <c r="DM16" s="53"/>
      <c r="DN16" s="57"/>
      <c r="DO16" s="57"/>
      <c r="DP16" s="61"/>
    </row>
    <row r="17" spans="1:120" x14ac:dyDescent="0.25">
      <c r="A17" s="58" t="s">
        <v>69</v>
      </c>
      <c r="B17" s="1">
        <f>'ol4'!AA36</f>
        <v>0</v>
      </c>
      <c r="C17" s="1"/>
      <c r="E17" t="s">
        <v>205</v>
      </c>
      <c r="F17" s="102">
        <f>B4*1000/(B7-B8)</f>
        <v>0</v>
      </c>
      <c r="I17" s="54">
        <f t="shared" si="1"/>
        <v>0</v>
      </c>
      <c r="J17" s="57">
        <v>300</v>
      </c>
      <c r="K17" s="57">
        <f t="shared" si="2"/>
        <v>2.2301284149115197E-2</v>
      </c>
      <c r="L17" s="57">
        <f t="shared" si="3"/>
        <v>0</v>
      </c>
      <c r="M17" s="61"/>
      <c r="N17" s="54">
        <f t="shared" si="4"/>
        <v>0</v>
      </c>
      <c r="O17" s="57">
        <v>300</v>
      </c>
      <c r="P17" s="57">
        <f t="shared" si="5"/>
        <v>2.2301284149115197E-2</v>
      </c>
      <c r="Q17" s="61">
        <f t="shared" si="6"/>
        <v>6.788205196787884E-4</v>
      </c>
      <c r="R17" s="57">
        <f t="shared" si="7"/>
        <v>0</v>
      </c>
      <c r="S17" s="57">
        <v>300</v>
      </c>
      <c r="T17" s="57">
        <f t="shared" si="8"/>
        <v>2.2301284149115197E-2</v>
      </c>
      <c r="U17" s="61">
        <f t="shared" si="9"/>
        <v>6.788205196787884E-4</v>
      </c>
      <c r="V17" s="57">
        <f t="shared" si="10"/>
        <v>0</v>
      </c>
      <c r="W17" s="57">
        <v>300</v>
      </c>
      <c r="X17" s="57">
        <f t="shared" si="11"/>
        <v>2.2301284149115197E-2</v>
      </c>
      <c r="Y17" s="61">
        <f t="shared" si="12"/>
        <v>0</v>
      </c>
      <c r="Z17" s="57">
        <f t="shared" si="13"/>
        <v>0</v>
      </c>
      <c r="AA17" s="57">
        <v>250</v>
      </c>
      <c r="AB17" s="57"/>
      <c r="AC17" s="61"/>
      <c r="AE17" s="54"/>
      <c r="AF17" s="57"/>
      <c r="AG17" s="57"/>
      <c r="AH17" s="54">
        <f t="shared" si="14"/>
        <v>1</v>
      </c>
      <c r="AI17" s="57">
        <v>80</v>
      </c>
      <c r="AJ17" s="61">
        <v>100</v>
      </c>
      <c r="AK17" s="54">
        <f t="shared" si="15"/>
        <v>1</v>
      </c>
      <c r="AL17" s="57">
        <v>100</v>
      </c>
      <c r="AM17" s="61">
        <v>125</v>
      </c>
      <c r="AN17" s="57"/>
      <c r="AO17" s="57"/>
      <c r="AP17" s="61"/>
      <c r="BA17" s="61"/>
      <c r="BB17" s="57">
        <f t="shared" si="17"/>
        <v>1</v>
      </c>
      <c r="BC17" s="57">
        <f t="shared" si="18"/>
        <v>1</v>
      </c>
      <c r="BD17" s="57">
        <v>7.0000000000000007E-2</v>
      </c>
      <c r="BE17" s="57">
        <f t="shared" si="19"/>
        <v>1</v>
      </c>
      <c r="BF17" s="57">
        <v>14</v>
      </c>
      <c r="BG17" s="61" t="s">
        <v>201</v>
      </c>
      <c r="BJ17" s="50"/>
      <c r="BK17" s="34"/>
      <c r="BL17" s="51"/>
      <c r="BM17" s="34"/>
      <c r="BN17" s="56"/>
      <c r="BO17" s="34"/>
      <c r="BP17" s="53"/>
      <c r="BQ17" s="70">
        <f t="shared" si="21"/>
        <v>0</v>
      </c>
      <c r="BR17" s="56" t="s">
        <v>146</v>
      </c>
      <c r="BS17" s="34">
        <v>50</v>
      </c>
      <c r="BT17" s="55">
        <v>31.5</v>
      </c>
      <c r="BU17" s="51"/>
      <c r="BV17" s="34"/>
      <c r="BW17" s="56"/>
      <c r="BX17" s="34"/>
      <c r="BY17" s="53"/>
      <c r="BZ17" s="54"/>
      <c r="CA17" s="57"/>
      <c r="CB17" s="61"/>
      <c r="CC17" s="53"/>
      <c r="CD17" s="57"/>
      <c r="CE17" s="57"/>
      <c r="CF17" s="61"/>
      <c r="CG17" s="53"/>
      <c r="CH17" s="57"/>
      <c r="CI17" s="57"/>
      <c r="CJ17" s="57"/>
      <c r="CK17" s="53"/>
      <c r="CL17" s="57"/>
      <c r="CM17" s="57"/>
      <c r="CN17" s="57"/>
      <c r="CO17" s="53"/>
      <c r="CP17" s="57"/>
      <c r="CQ17" s="57"/>
      <c r="CR17" s="57"/>
      <c r="CS17" s="53"/>
      <c r="CT17" s="34"/>
      <c r="CU17" s="57"/>
      <c r="CV17" s="57"/>
      <c r="CW17" s="57"/>
      <c r="CX17" s="57"/>
      <c r="CY17" s="57"/>
      <c r="CZ17" s="53"/>
      <c r="DA17" s="57"/>
      <c r="DB17" s="57"/>
      <c r="DC17" s="57"/>
      <c r="DD17" s="53"/>
      <c r="DE17" s="53"/>
      <c r="DF17" s="34">
        <f t="shared" si="27"/>
        <v>0</v>
      </c>
      <c r="DG17" s="56" t="s">
        <v>145</v>
      </c>
      <c r="DH17" s="61" t="s">
        <v>211</v>
      </c>
      <c r="DI17" s="53"/>
      <c r="DJ17" s="57"/>
      <c r="DK17" s="57"/>
      <c r="DL17" s="57"/>
      <c r="DM17" s="53"/>
      <c r="DN17" s="57"/>
      <c r="DO17" s="57"/>
      <c r="DP17" s="61"/>
    </row>
    <row r="18" spans="1:120" x14ac:dyDescent="0.25">
      <c r="A18" s="58"/>
      <c r="C18" s="72"/>
      <c r="E18" t="s">
        <v>173</v>
      </c>
      <c r="F18" t="e">
        <f>VLOOKUP(1,V4:Y17,2,0)</f>
        <v>#N/A</v>
      </c>
      <c r="I18" s="54"/>
      <c r="J18" s="57"/>
      <c r="K18" s="57"/>
      <c r="L18" s="57"/>
      <c r="M18" s="61"/>
      <c r="N18" s="54"/>
      <c r="O18" s="57"/>
      <c r="P18" s="57"/>
      <c r="Q18" s="61"/>
      <c r="R18" s="57"/>
      <c r="S18" s="57"/>
      <c r="T18" s="57"/>
      <c r="U18" s="61"/>
      <c r="V18" s="57"/>
      <c r="W18" s="57"/>
      <c r="X18" s="57"/>
      <c r="Y18" s="61"/>
      <c r="Z18" s="57"/>
      <c r="AA18" s="57"/>
      <c r="AB18" s="57"/>
      <c r="AC18" s="61"/>
      <c r="AE18" s="54"/>
      <c r="AF18" s="57"/>
      <c r="AG18" s="57"/>
      <c r="AH18" s="54">
        <f t="shared" si="14"/>
        <v>1</v>
      </c>
      <c r="AI18" s="57">
        <v>100</v>
      </c>
      <c r="AJ18" s="61">
        <v>125</v>
      </c>
      <c r="AK18" s="54">
        <f t="shared" si="15"/>
        <v>1</v>
      </c>
      <c r="AL18" s="57">
        <v>100</v>
      </c>
      <c r="AM18" s="61">
        <v>160</v>
      </c>
      <c r="AN18" s="57"/>
      <c r="AO18" s="57"/>
      <c r="AP18" s="61"/>
      <c r="BA18" s="61"/>
      <c r="BB18" s="57">
        <f t="shared" si="17"/>
        <v>0</v>
      </c>
      <c r="BC18" s="57">
        <f t="shared" si="18"/>
        <v>1</v>
      </c>
      <c r="BD18" s="57">
        <v>0.08</v>
      </c>
      <c r="BE18" s="57">
        <f t="shared" si="19"/>
        <v>0</v>
      </c>
      <c r="BF18" s="57">
        <v>1.2</v>
      </c>
      <c r="BG18" s="61" t="s">
        <v>196</v>
      </c>
      <c r="BJ18" s="50"/>
      <c r="BK18" s="34"/>
      <c r="BL18" s="51"/>
      <c r="BM18" s="34"/>
      <c r="BN18" s="56"/>
      <c r="BO18" s="34"/>
      <c r="BP18" s="53"/>
      <c r="BQ18" s="70">
        <f t="shared" si="21"/>
        <v>0</v>
      </c>
      <c r="BR18" s="56" t="s">
        <v>148</v>
      </c>
      <c r="BS18" s="34">
        <v>50</v>
      </c>
      <c r="BT18" s="55">
        <v>40</v>
      </c>
      <c r="BU18" s="51"/>
      <c r="BV18" s="34"/>
      <c r="BW18" s="56"/>
      <c r="BX18" s="34"/>
      <c r="BY18" s="53"/>
      <c r="BZ18" s="54"/>
      <c r="CA18" s="57"/>
      <c r="CB18" s="61"/>
      <c r="CC18" s="53"/>
      <c r="CD18" s="57"/>
      <c r="CE18" s="57"/>
      <c r="CF18" s="61"/>
      <c r="CG18" s="53"/>
      <c r="CH18" s="57"/>
      <c r="CI18" s="57"/>
      <c r="CJ18" s="57"/>
      <c r="CK18" s="53"/>
      <c r="CL18" s="57"/>
      <c r="CM18" s="57"/>
      <c r="CN18" s="57"/>
      <c r="CO18" s="53"/>
      <c r="CP18" s="57"/>
      <c r="CQ18" s="57"/>
      <c r="CR18" s="57"/>
      <c r="CS18" s="53"/>
      <c r="CT18" s="34"/>
      <c r="CU18" s="57"/>
      <c r="CV18" s="57"/>
      <c r="CW18" s="57"/>
      <c r="CX18" s="57"/>
      <c r="CY18" s="57"/>
      <c r="CZ18" s="53"/>
      <c r="DA18" s="57"/>
      <c r="DB18" s="57"/>
      <c r="DC18" s="57"/>
      <c r="DD18" s="53"/>
      <c r="DE18" s="53"/>
      <c r="DF18" s="34">
        <f t="shared" si="27"/>
        <v>0</v>
      </c>
      <c r="DG18" s="56" t="s">
        <v>146</v>
      </c>
      <c r="DH18" s="61" t="s">
        <v>212</v>
      </c>
      <c r="DI18" s="53"/>
      <c r="DJ18" s="57"/>
      <c r="DK18" s="57"/>
      <c r="DL18" s="57"/>
      <c r="DM18" s="53"/>
      <c r="DN18" s="57"/>
      <c r="DO18" s="57"/>
      <c r="DP18" s="61"/>
    </row>
    <row r="19" spans="1:120" x14ac:dyDescent="0.25">
      <c r="A19" s="58"/>
      <c r="C19" s="72"/>
      <c r="E19" s="1" t="str">
        <f>VLOOKUP(1,AX3:AZ9,3,0)</f>
        <v>"Пульсар" 15</v>
      </c>
      <c r="F19" s="1"/>
      <c r="I19" s="54"/>
      <c r="J19" s="90"/>
      <c r="K19" s="57"/>
      <c r="L19" s="57"/>
      <c r="M19" s="61"/>
      <c r="N19" s="54"/>
      <c r="O19" s="57"/>
      <c r="P19" s="57"/>
      <c r="Q19" s="61"/>
      <c r="R19" s="57"/>
      <c r="S19" s="57"/>
      <c r="T19" s="57"/>
      <c r="U19" s="61"/>
      <c r="V19" s="57"/>
      <c r="W19" s="57"/>
      <c r="X19" s="57"/>
      <c r="Y19" s="61"/>
      <c r="Z19" s="57"/>
      <c r="AA19" s="57"/>
      <c r="AB19" s="57"/>
      <c r="AC19" s="61"/>
      <c r="AE19" s="54"/>
      <c r="AF19" s="57"/>
      <c r="AG19" s="57"/>
      <c r="AH19" s="54">
        <f t="shared" si="14"/>
        <v>1</v>
      </c>
      <c r="AI19" s="57">
        <v>100</v>
      </c>
      <c r="AJ19" s="61">
        <v>160</v>
      </c>
      <c r="AK19" s="54">
        <f t="shared" si="15"/>
        <v>1</v>
      </c>
      <c r="AL19" s="57">
        <v>125</v>
      </c>
      <c r="AM19" s="61">
        <v>200</v>
      </c>
      <c r="AN19" s="57"/>
      <c r="AO19" s="57"/>
      <c r="AP19" s="61"/>
      <c r="BA19" s="61"/>
      <c r="BB19" s="57">
        <f t="shared" si="17"/>
        <v>1</v>
      </c>
      <c r="BC19" s="57">
        <f t="shared" si="18"/>
        <v>1</v>
      </c>
      <c r="BD19" s="57">
        <v>0.08</v>
      </c>
      <c r="BE19" s="57">
        <f t="shared" si="19"/>
        <v>1</v>
      </c>
      <c r="BF19" s="57">
        <v>16</v>
      </c>
      <c r="BG19" s="61" t="s">
        <v>201</v>
      </c>
      <c r="BJ19" s="50"/>
      <c r="BK19" s="34"/>
      <c r="BL19" s="51"/>
      <c r="BM19" s="34"/>
      <c r="BN19" s="56"/>
      <c r="BO19" s="34"/>
      <c r="BP19" s="53"/>
      <c r="BQ19" s="70">
        <f t="shared" si="21"/>
        <v>0</v>
      </c>
      <c r="BR19" s="56" t="s">
        <v>149</v>
      </c>
      <c r="BS19" s="34">
        <v>65</v>
      </c>
      <c r="BT19" s="55">
        <v>50</v>
      </c>
      <c r="BU19" s="51"/>
      <c r="BV19" s="34"/>
      <c r="BW19" s="56"/>
      <c r="BX19" s="34"/>
      <c r="BY19" s="53"/>
      <c r="BZ19" s="54"/>
      <c r="CA19" s="57"/>
      <c r="CB19" s="61"/>
      <c r="CC19" s="53"/>
      <c r="CD19" s="57"/>
      <c r="CE19" s="57"/>
      <c r="CF19" s="61"/>
      <c r="CG19" s="53"/>
      <c r="CH19" s="57"/>
      <c r="CI19" s="57"/>
      <c r="CJ19" s="57"/>
      <c r="CK19" s="53"/>
      <c r="CL19" s="57"/>
      <c r="CM19" s="57"/>
      <c r="CN19" s="57"/>
      <c r="CO19" s="53"/>
      <c r="CP19" s="57"/>
      <c r="CQ19" s="57"/>
      <c r="CR19" s="57"/>
      <c r="CS19" s="53"/>
      <c r="CT19" s="57"/>
      <c r="CU19" s="57"/>
      <c r="CV19" s="57"/>
      <c r="CW19" s="57"/>
      <c r="CX19" s="57"/>
      <c r="CY19" s="57"/>
      <c r="CZ19" s="53"/>
      <c r="DA19" s="57"/>
      <c r="DB19" s="57"/>
      <c r="DC19" s="57"/>
      <c r="DD19" s="53"/>
      <c r="DE19" s="53"/>
      <c r="DF19" s="34">
        <f t="shared" si="27"/>
        <v>0</v>
      </c>
      <c r="DG19" s="56" t="s">
        <v>148</v>
      </c>
      <c r="DH19" s="61" t="s">
        <v>213</v>
      </c>
      <c r="DI19" s="53"/>
      <c r="DJ19" s="57"/>
      <c r="DK19" s="57"/>
      <c r="DL19" s="57"/>
      <c r="DM19" s="53"/>
      <c r="DN19" s="57"/>
      <c r="DO19" s="57"/>
      <c r="DP19" s="61"/>
    </row>
    <row r="20" spans="1:120" x14ac:dyDescent="0.25">
      <c r="A20" s="58"/>
      <c r="C20" s="72"/>
      <c r="I20" s="54"/>
      <c r="J20" s="90" t="s">
        <v>150</v>
      </c>
      <c r="K20" s="57">
        <v>958.4</v>
      </c>
      <c r="L20" s="57"/>
      <c r="M20" s="61"/>
      <c r="N20" s="54"/>
      <c r="O20" s="57"/>
      <c r="P20" s="57"/>
      <c r="Q20" s="61"/>
      <c r="R20" s="57"/>
      <c r="S20" s="57"/>
      <c r="T20" s="57"/>
      <c r="U20" s="61"/>
      <c r="V20" s="57"/>
      <c r="W20" s="57"/>
      <c r="X20" s="57"/>
      <c r="Y20" s="61"/>
      <c r="Z20" s="57"/>
      <c r="AA20" s="57"/>
      <c r="AB20" s="57"/>
      <c r="AC20" s="61"/>
      <c r="AE20" s="54"/>
      <c r="AF20" s="57"/>
      <c r="AG20" s="57"/>
      <c r="AH20" s="54">
        <f t="shared" si="14"/>
        <v>1</v>
      </c>
      <c r="AI20" s="57">
        <v>125</v>
      </c>
      <c r="AJ20" s="61">
        <v>250</v>
      </c>
      <c r="AK20" s="54">
        <f t="shared" si="15"/>
        <v>1</v>
      </c>
      <c r="AL20" s="57">
        <v>125</v>
      </c>
      <c r="AM20" s="61">
        <v>250</v>
      </c>
      <c r="AN20" s="57"/>
      <c r="AO20" s="57"/>
      <c r="AP20" s="61"/>
      <c r="BA20" s="61"/>
      <c r="BB20" s="57">
        <f t="shared" si="17"/>
        <v>1</v>
      </c>
      <c r="BC20" s="57">
        <f t="shared" si="18"/>
        <v>1</v>
      </c>
      <c r="BD20" s="57">
        <v>0.09</v>
      </c>
      <c r="BE20" s="57">
        <f t="shared" si="19"/>
        <v>1</v>
      </c>
      <c r="BF20" s="57">
        <v>17</v>
      </c>
      <c r="BG20" s="61" t="s">
        <v>201</v>
      </c>
      <c r="BJ20" s="50"/>
      <c r="BK20" s="34"/>
      <c r="BL20" s="51"/>
      <c r="BM20" s="34"/>
      <c r="BN20" s="56"/>
      <c r="BO20" s="34"/>
      <c r="BP20" s="53"/>
      <c r="BQ20" s="70">
        <f t="shared" si="21"/>
        <v>0</v>
      </c>
      <c r="BR20" s="56" t="s">
        <v>151</v>
      </c>
      <c r="BS20" s="34">
        <v>65</v>
      </c>
      <c r="BT20" s="55">
        <v>63</v>
      </c>
      <c r="BU20" s="51"/>
      <c r="BV20" s="34"/>
      <c r="BW20" s="56"/>
      <c r="BX20" s="34"/>
      <c r="BY20" s="53"/>
      <c r="BZ20" s="54"/>
      <c r="CA20" s="57"/>
      <c r="CB20" s="61"/>
      <c r="CC20" s="53"/>
      <c r="CD20" s="57"/>
      <c r="CE20" s="57"/>
      <c r="CF20" s="61"/>
      <c r="CG20" s="53"/>
      <c r="CH20" s="57"/>
      <c r="CI20" s="57"/>
      <c r="CJ20" s="57"/>
      <c r="CK20" s="53"/>
      <c r="CL20" s="57"/>
      <c r="CM20" s="57"/>
      <c r="CN20" s="57"/>
      <c r="CO20" s="53"/>
      <c r="CP20" s="57"/>
      <c r="CQ20" s="57"/>
      <c r="CR20" s="57"/>
      <c r="CS20" s="53"/>
      <c r="CT20" s="57"/>
      <c r="CU20" s="57"/>
      <c r="CV20" s="57"/>
      <c r="CW20" s="57"/>
      <c r="CX20" s="57"/>
      <c r="CY20" s="57"/>
      <c r="CZ20" s="53"/>
      <c r="DA20" s="57"/>
      <c r="DB20" s="57"/>
      <c r="DC20" s="57"/>
      <c r="DD20" s="53"/>
      <c r="DE20" s="53"/>
      <c r="DF20" s="34"/>
      <c r="DG20" s="56"/>
      <c r="DH20" s="57"/>
      <c r="DI20" s="53"/>
      <c r="DJ20" s="57"/>
      <c r="DK20" s="57"/>
      <c r="DL20" s="57"/>
      <c r="DM20" s="53"/>
      <c r="DN20" s="57"/>
      <c r="DO20" s="57"/>
      <c r="DP20" s="61"/>
    </row>
    <row r="21" spans="1:120" x14ac:dyDescent="0.25">
      <c r="E21" t="s">
        <v>208</v>
      </c>
      <c r="F21" s="102">
        <f>3.6*B4*1.163/0.42</f>
        <v>0</v>
      </c>
      <c r="I21" s="83"/>
      <c r="J21" s="91" t="s">
        <v>152</v>
      </c>
      <c r="K21" s="87">
        <v>0.5</v>
      </c>
      <c r="L21" s="87"/>
      <c r="M21" s="89"/>
      <c r="N21" s="83"/>
      <c r="O21" s="87"/>
      <c r="P21" s="87"/>
      <c r="Q21" s="89"/>
      <c r="R21" s="87"/>
      <c r="S21" s="87"/>
      <c r="T21" s="87"/>
      <c r="U21" s="89"/>
      <c r="V21" s="87"/>
      <c r="W21" s="87"/>
      <c r="X21" s="87"/>
      <c r="Y21" s="89"/>
      <c r="Z21" s="87"/>
      <c r="AA21" s="87"/>
      <c r="AB21" s="87"/>
      <c r="AC21" s="89"/>
      <c r="AE21" s="54"/>
      <c r="AF21" s="57"/>
      <c r="AG21" s="57"/>
      <c r="AH21" s="54">
        <f t="shared" si="14"/>
        <v>1</v>
      </c>
      <c r="AI21" s="57">
        <v>150</v>
      </c>
      <c r="AJ21" s="61">
        <v>315</v>
      </c>
      <c r="AK21" s="54">
        <f t="shared" si="15"/>
        <v>1</v>
      </c>
      <c r="AL21" s="57">
        <v>150</v>
      </c>
      <c r="AM21" s="61">
        <v>315</v>
      </c>
      <c r="AN21" s="57"/>
      <c r="AO21" s="57"/>
      <c r="AP21" s="61"/>
      <c r="BA21" s="61"/>
      <c r="BB21" s="57">
        <f t="shared" si="17"/>
        <v>1</v>
      </c>
      <c r="BC21" s="57">
        <f t="shared" si="18"/>
        <v>1</v>
      </c>
      <c r="BD21" s="57">
        <v>0.09</v>
      </c>
      <c r="BE21" s="57">
        <f t="shared" si="19"/>
        <v>1</v>
      </c>
      <c r="BF21" s="57">
        <v>18</v>
      </c>
      <c r="BG21" s="61" t="s">
        <v>204</v>
      </c>
      <c r="BJ21" s="50"/>
      <c r="BK21" s="34"/>
      <c r="BL21" s="51"/>
      <c r="BM21" s="34"/>
      <c r="BN21" s="56"/>
      <c r="BO21" s="34"/>
      <c r="BP21" s="53"/>
      <c r="BQ21" s="70">
        <f t="shared" si="21"/>
        <v>0</v>
      </c>
      <c r="BR21" s="56" t="s">
        <v>153</v>
      </c>
      <c r="BS21" s="34">
        <v>80</v>
      </c>
      <c r="BT21" s="55">
        <v>80</v>
      </c>
      <c r="BU21" s="51"/>
      <c r="BV21" s="34"/>
      <c r="BW21" s="56"/>
      <c r="BX21" s="34"/>
      <c r="BY21" s="53"/>
      <c r="BZ21" s="54"/>
      <c r="CA21" s="57"/>
      <c r="CB21" s="61"/>
      <c r="CC21" s="53"/>
      <c r="CD21" s="57"/>
      <c r="CE21" s="57"/>
      <c r="CF21" s="61"/>
      <c r="CG21" s="53"/>
      <c r="CH21" s="57"/>
      <c r="CI21" s="57"/>
      <c r="CJ21" s="57"/>
      <c r="CK21" s="53"/>
      <c r="CL21" s="57"/>
      <c r="CM21" s="57"/>
      <c r="CN21" s="57"/>
      <c r="CO21" s="53"/>
      <c r="CP21" s="57"/>
      <c r="CQ21" s="57"/>
      <c r="CR21" s="57"/>
      <c r="CS21" s="53"/>
      <c r="CT21" s="57"/>
      <c r="CU21" s="57"/>
      <c r="CV21" s="57"/>
      <c r="CW21" s="57"/>
      <c r="CX21" s="57"/>
      <c r="CY21" s="57"/>
      <c r="CZ21" s="53"/>
      <c r="DA21" s="57"/>
      <c r="DB21" s="57"/>
      <c r="DC21" s="57"/>
      <c r="DD21" s="53"/>
      <c r="DE21" s="53"/>
      <c r="DF21" s="34"/>
      <c r="DG21" s="56"/>
      <c r="DH21" s="57"/>
      <c r="DI21" s="53"/>
      <c r="DJ21" s="57"/>
      <c r="DK21" s="57"/>
      <c r="DL21" s="57"/>
      <c r="DM21" s="53"/>
      <c r="DN21" s="57"/>
      <c r="DO21" s="57"/>
      <c r="DP21" s="61"/>
    </row>
    <row r="22" spans="1:120" x14ac:dyDescent="0.25">
      <c r="E22" t="s">
        <v>174</v>
      </c>
      <c r="F22" t="e">
        <f>VLOOKUP(1,Z4:AC17,2,0)</f>
        <v>#N/A</v>
      </c>
      <c r="I22" s="57"/>
      <c r="J22" s="90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  <c r="AA22" s="57"/>
      <c r="AB22" s="57"/>
      <c r="AC22" s="57"/>
      <c r="AE22" s="83"/>
      <c r="AF22" s="87"/>
      <c r="AG22" s="87"/>
      <c r="AH22" s="83"/>
      <c r="AI22" s="87"/>
      <c r="AJ22" s="89"/>
      <c r="AK22" s="83">
        <f t="shared" si="15"/>
        <v>1</v>
      </c>
      <c r="AL22" s="87">
        <v>150</v>
      </c>
      <c r="AM22" s="89">
        <v>400</v>
      </c>
      <c r="AN22" s="87"/>
      <c r="AO22" s="87"/>
      <c r="AP22" s="89"/>
      <c r="BB22" s="57">
        <f t="shared" si="17"/>
        <v>1</v>
      </c>
      <c r="BC22" s="57">
        <f t="shared" si="18"/>
        <v>1</v>
      </c>
      <c r="BD22" s="57">
        <v>0.1</v>
      </c>
      <c r="BE22" s="57">
        <f t="shared" si="19"/>
        <v>1</v>
      </c>
      <c r="BF22" s="57">
        <v>16</v>
      </c>
      <c r="BG22" s="61" t="s">
        <v>201</v>
      </c>
      <c r="BJ22" s="50"/>
      <c r="BK22" s="34"/>
      <c r="BL22" s="51"/>
      <c r="BM22" s="34"/>
      <c r="BN22" s="56"/>
      <c r="BO22" s="34"/>
      <c r="BP22" s="53"/>
      <c r="BQ22" s="70">
        <f t="shared" si="21"/>
        <v>0</v>
      </c>
      <c r="BR22" s="56" t="s">
        <v>154</v>
      </c>
      <c r="BS22" s="34">
        <v>80</v>
      </c>
      <c r="BT22" s="55">
        <v>100</v>
      </c>
      <c r="BU22" s="51"/>
      <c r="BV22" s="34"/>
      <c r="BW22" s="56"/>
      <c r="BX22" s="34"/>
      <c r="BY22" s="53"/>
      <c r="BZ22" s="54"/>
      <c r="CA22" s="57"/>
      <c r="CB22" s="61"/>
      <c r="CC22" s="53"/>
      <c r="CD22" s="57"/>
      <c r="CE22" s="57"/>
      <c r="CF22" s="61"/>
      <c r="CG22" s="53"/>
      <c r="CH22" s="57"/>
      <c r="CI22" s="57"/>
      <c r="CJ22" s="57"/>
      <c r="CK22" s="53"/>
      <c r="CL22" s="57"/>
      <c r="CM22" s="57"/>
      <c r="CN22" s="57"/>
      <c r="CO22" s="53"/>
      <c r="CP22" s="57"/>
      <c r="CQ22" s="57"/>
      <c r="CR22" s="57"/>
      <c r="CS22" s="53"/>
      <c r="CT22" s="57"/>
      <c r="CU22" s="57"/>
      <c r="CV22" s="57"/>
      <c r="CW22" s="57"/>
      <c r="CX22" s="57"/>
      <c r="CY22" s="57"/>
      <c r="CZ22" s="53"/>
      <c r="DA22" s="57"/>
      <c r="DB22" s="57"/>
      <c r="DC22" s="57"/>
      <c r="DD22" s="53"/>
      <c r="DE22" s="53"/>
      <c r="DF22" s="34"/>
      <c r="DG22" s="56"/>
      <c r="DH22" s="57"/>
      <c r="DI22" s="53"/>
      <c r="DJ22" s="57"/>
      <c r="DK22" s="57"/>
      <c r="DL22" s="57"/>
      <c r="DM22" s="53"/>
      <c r="DN22" s="57"/>
      <c r="DO22" s="57"/>
      <c r="DP22" s="61"/>
    </row>
    <row r="23" spans="1:120" x14ac:dyDescent="0.25">
      <c r="E23" t="s">
        <v>56</v>
      </c>
      <c r="F23" s="102">
        <f>F21</f>
        <v>0</v>
      </c>
      <c r="BB23" s="57">
        <f t="shared" si="17"/>
        <v>1</v>
      </c>
      <c r="BC23" s="57">
        <f t="shared" si="18"/>
        <v>1</v>
      </c>
      <c r="BD23" s="57">
        <v>0.1</v>
      </c>
      <c r="BE23" s="57">
        <f t="shared" si="19"/>
        <v>1</v>
      </c>
      <c r="BF23" s="57">
        <v>20</v>
      </c>
      <c r="BG23" s="61" t="s">
        <v>204</v>
      </c>
      <c r="BJ23" s="50"/>
      <c r="BK23" s="34"/>
      <c r="BL23" s="51"/>
      <c r="BM23" s="34"/>
      <c r="BN23" s="56"/>
      <c r="BO23" s="34"/>
      <c r="BP23" s="53"/>
      <c r="BQ23" s="70">
        <f t="shared" si="21"/>
        <v>0</v>
      </c>
      <c r="BR23" s="56" t="s">
        <v>155</v>
      </c>
      <c r="BS23" s="34">
        <v>100</v>
      </c>
      <c r="BT23" s="55">
        <v>125</v>
      </c>
      <c r="BU23" s="51"/>
      <c r="BV23" s="34"/>
      <c r="BW23" s="56"/>
      <c r="BX23" s="34"/>
      <c r="BY23" s="53"/>
      <c r="BZ23" s="54"/>
      <c r="CA23" s="57"/>
      <c r="CB23" s="61"/>
      <c r="CC23" s="53"/>
      <c r="CD23" s="57"/>
      <c r="CE23" s="57"/>
      <c r="CF23" s="61"/>
      <c r="CG23" s="53"/>
      <c r="CH23" s="57"/>
      <c r="CI23" s="57"/>
      <c r="CJ23" s="57"/>
      <c r="CK23" s="53"/>
      <c r="CL23" s="57"/>
      <c r="CM23" s="57"/>
      <c r="CN23" s="57"/>
      <c r="CO23" s="53"/>
      <c r="CP23" s="57"/>
      <c r="CQ23" s="57"/>
      <c r="CR23" s="57"/>
      <c r="CS23" s="53"/>
      <c r="CT23" s="57"/>
      <c r="CU23" s="57"/>
      <c r="CV23" s="57"/>
      <c r="CW23" s="57"/>
      <c r="CX23" s="57"/>
      <c r="CY23" s="57"/>
      <c r="CZ23" s="53"/>
      <c r="DA23" s="57"/>
      <c r="DB23" s="57"/>
      <c r="DC23" s="57"/>
      <c r="DD23" s="53"/>
      <c r="DE23" s="53"/>
      <c r="DF23" s="34"/>
      <c r="DG23" s="56"/>
      <c r="DH23" s="57"/>
      <c r="DI23" s="53"/>
      <c r="DJ23" s="57"/>
      <c r="DK23" s="57"/>
      <c r="DL23" s="57"/>
      <c r="DM23" s="53"/>
      <c r="DN23" s="57"/>
      <c r="DO23" s="57"/>
      <c r="DP23" s="61"/>
    </row>
    <row r="24" spans="1:120" x14ac:dyDescent="0.25">
      <c r="E24" s="1" t="e">
        <f>VLOOKUP(1,IF(B15="Stratos-Z",AS4:AT8,IF(B15="Yonos MAXO-Z",AU4:AV8,0)),2,0)</f>
        <v>#N/A</v>
      </c>
      <c r="F24" s="1"/>
      <c r="BB24" s="57">
        <f t="shared" si="17"/>
        <v>1</v>
      </c>
      <c r="BC24" s="57">
        <f t="shared" si="18"/>
        <v>1</v>
      </c>
      <c r="BD24" s="57">
        <v>0.15</v>
      </c>
      <c r="BE24" s="57">
        <f t="shared" si="19"/>
        <v>1</v>
      </c>
      <c r="BF24" s="57">
        <v>15</v>
      </c>
      <c r="BG24" s="61" t="s">
        <v>184</v>
      </c>
      <c r="BJ24" s="50"/>
      <c r="BK24" s="34"/>
      <c r="BL24" s="51"/>
      <c r="BM24" s="34"/>
      <c r="BN24" s="56"/>
      <c r="BO24" s="34"/>
      <c r="BP24" s="53"/>
      <c r="BQ24" s="70">
        <f t="shared" si="21"/>
        <v>0</v>
      </c>
      <c r="BR24" s="56" t="s">
        <v>156</v>
      </c>
      <c r="BS24" s="34">
        <v>100</v>
      </c>
      <c r="BT24" s="55">
        <v>160</v>
      </c>
      <c r="BU24" s="51"/>
      <c r="BV24" s="34"/>
      <c r="BW24" s="56"/>
      <c r="BX24" s="34"/>
      <c r="BY24" s="53"/>
      <c r="BZ24" s="54"/>
      <c r="CA24" s="57"/>
      <c r="CB24" s="61"/>
      <c r="CC24" s="53"/>
      <c r="CD24" s="57"/>
      <c r="CE24" s="57"/>
      <c r="CF24" s="61"/>
      <c r="CG24" s="53"/>
      <c r="CH24" s="57"/>
      <c r="CI24" s="57"/>
      <c r="CJ24" s="57"/>
      <c r="CK24" s="53"/>
      <c r="CL24" s="57"/>
      <c r="CM24" s="57"/>
      <c r="CN24" s="57"/>
      <c r="CO24" s="53"/>
      <c r="CP24" s="57"/>
      <c r="CQ24" s="57"/>
      <c r="CR24" s="57"/>
      <c r="CS24" s="53"/>
      <c r="CT24" s="57"/>
      <c r="CU24" s="57"/>
      <c r="CV24" s="57"/>
      <c r="CW24" s="57"/>
      <c r="CX24" s="57"/>
      <c r="CY24" s="57"/>
      <c r="CZ24" s="53"/>
      <c r="DA24" s="57"/>
      <c r="DB24" s="57"/>
      <c r="DC24" s="57"/>
      <c r="DD24" s="53"/>
      <c r="DE24" s="53"/>
      <c r="DF24" s="57"/>
      <c r="DG24" s="57"/>
      <c r="DH24" s="57"/>
      <c r="DI24" s="53"/>
      <c r="DJ24" s="57"/>
      <c r="DK24" s="57"/>
      <c r="DL24" s="57"/>
      <c r="DM24" s="53"/>
      <c r="DN24" s="57"/>
      <c r="DO24" s="57"/>
      <c r="DP24" s="61"/>
    </row>
    <row r="25" spans="1:120" x14ac:dyDescent="0.25">
      <c r="BB25" s="57">
        <f t="shared" si="17"/>
        <v>1</v>
      </c>
      <c r="BC25" s="57">
        <f t="shared" si="18"/>
        <v>1</v>
      </c>
      <c r="BD25" s="57">
        <v>0.15</v>
      </c>
      <c r="BE25" s="57">
        <f t="shared" si="19"/>
        <v>1</v>
      </c>
      <c r="BF25" s="57">
        <v>29.3</v>
      </c>
      <c r="BG25" s="61" t="s">
        <v>189</v>
      </c>
      <c r="BJ25" s="50"/>
      <c r="BK25" s="34"/>
      <c r="BL25" s="51"/>
      <c r="BM25" s="34"/>
      <c r="BN25" s="56"/>
      <c r="BO25" s="34"/>
      <c r="BP25" s="53"/>
      <c r="BQ25" s="70">
        <f t="shared" si="21"/>
        <v>0</v>
      </c>
      <c r="BR25" s="56" t="s">
        <v>157</v>
      </c>
      <c r="BS25" s="34">
        <v>125</v>
      </c>
      <c r="BT25" s="55">
        <v>250</v>
      </c>
      <c r="BU25" s="51"/>
      <c r="BV25" s="34"/>
      <c r="BW25" s="56"/>
      <c r="BX25" s="34"/>
      <c r="BY25" s="53"/>
      <c r="BZ25" s="54"/>
      <c r="CA25" s="57"/>
      <c r="CB25" s="61"/>
      <c r="CC25" s="53"/>
      <c r="CD25" s="57"/>
      <c r="CE25" s="57"/>
      <c r="CF25" s="61"/>
      <c r="CG25" s="53"/>
      <c r="CH25" s="57"/>
      <c r="CI25" s="57"/>
      <c r="CJ25" s="57"/>
      <c r="CK25" s="53"/>
      <c r="CL25" s="57"/>
      <c r="CM25" s="57"/>
      <c r="CN25" s="57"/>
      <c r="CO25" s="53"/>
      <c r="CP25" s="57"/>
      <c r="CQ25" s="57"/>
      <c r="CR25" s="57"/>
      <c r="CS25" s="53"/>
      <c r="CT25" s="57"/>
      <c r="CU25" s="57"/>
      <c r="CV25" s="57"/>
      <c r="CW25" s="57"/>
      <c r="CX25" s="57"/>
      <c r="CY25" s="57"/>
      <c r="CZ25" s="53"/>
      <c r="DA25" s="57"/>
      <c r="DB25" s="57"/>
      <c r="DC25" s="57"/>
      <c r="DD25" s="53"/>
      <c r="DE25" s="53"/>
      <c r="DF25" s="57"/>
      <c r="DG25" s="57"/>
      <c r="DH25" s="57"/>
      <c r="DI25" s="53"/>
      <c r="DJ25" s="57"/>
      <c r="DK25" s="57"/>
      <c r="DL25" s="57"/>
      <c r="DM25" s="53"/>
      <c r="DN25" s="57"/>
      <c r="DO25" s="57"/>
      <c r="DP25" s="61"/>
    </row>
    <row r="26" spans="1:120" x14ac:dyDescent="0.25">
      <c r="BB26" s="57">
        <f t="shared" si="17"/>
        <v>1</v>
      </c>
      <c r="BC26" s="57">
        <f t="shared" si="18"/>
        <v>1</v>
      </c>
      <c r="BD26" s="57">
        <v>0.15</v>
      </c>
      <c r="BE26" s="57">
        <f t="shared" si="19"/>
        <v>1</v>
      </c>
      <c r="BF26" s="57">
        <v>30</v>
      </c>
      <c r="BG26" s="61" t="s">
        <v>194</v>
      </c>
      <c r="BJ26" s="92"/>
      <c r="BK26" s="93"/>
      <c r="BL26" s="94"/>
      <c r="BM26" s="93"/>
      <c r="BN26" s="95"/>
      <c r="BO26" s="93"/>
      <c r="BP26" s="85"/>
      <c r="BQ26" s="82">
        <f t="shared" si="21"/>
        <v>0</v>
      </c>
      <c r="BR26" s="95" t="s">
        <v>158</v>
      </c>
      <c r="BS26" s="93">
        <v>150</v>
      </c>
      <c r="BT26" s="96">
        <v>315</v>
      </c>
      <c r="BU26" s="94"/>
      <c r="BV26" s="93"/>
      <c r="BW26" s="95"/>
      <c r="BX26" s="93"/>
      <c r="BY26" s="85"/>
      <c r="BZ26" s="83"/>
      <c r="CA26" s="87"/>
      <c r="CB26" s="89"/>
      <c r="CC26" s="85"/>
      <c r="CD26" s="87"/>
      <c r="CE26" s="87"/>
      <c r="CF26" s="89"/>
      <c r="CG26" s="85"/>
      <c r="CH26" s="87"/>
      <c r="CI26" s="87"/>
      <c r="CJ26" s="87"/>
      <c r="CK26" s="85"/>
      <c r="CL26" s="87"/>
      <c r="CM26" s="87"/>
      <c r="CN26" s="87"/>
      <c r="CO26" s="85"/>
      <c r="CP26" s="87"/>
      <c r="CQ26" s="87"/>
      <c r="CR26" s="87"/>
      <c r="CS26" s="85"/>
      <c r="CT26" s="87"/>
      <c r="CU26" s="87"/>
      <c r="CV26" s="87"/>
      <c r="CW26" s="87"/>
      <c r="CX26" s="87"/>
      <c r="CY26" s="87"/>
      <c r="CZ26" s="85"/>
      <c r="DA26" s="87"/>
      <c r="DB26" s="87"/>
      <c r="DC26" s="87"/>
      <c r="DD26" s="85"/>
      <c r="DE26" s="85"/>
      <c r="DF26" s="87"/>
      <c r="DG26" s="87"/>
      <c r="DH26" s="87"/>
      <c r="DI26" s="85"/>
      <c r="DJ26" s="87"/>
      <c r="DK26" s="87"/>
      <c r="DL26" s="87"/>
      <c r="DM26" s="85"/>
      <c r="DN26" s="87"/>
      <c r="DO26" s="87"/>
      <c r="DP26" s="89"/>
    </row>
    <row r="27" spans="1:120" x14ac:dyDescent="0.25">
      <c r="BB27" s="57">
        <f t="shared" si="17"/>
        <v>1</v>
      </c>
      <c r="BC27" s="57">
        <f t="shared" si="18"/>
        <v>1</v>
      </c>
      <c r="BD27" s="57">
        <v>0.2</v>
      </c>
      <c r="BE27" s="57">
        <f t="shared" si="19"/>
        <v>1</v>
      </c>
      <c r="BF27" s="57">
        <v>11</v>
      </c>
      <c r="BG27" s="61" t="s">
        <v>184</v>
      </c>
    </row>
    <row r="28" spans="1:120" x14ac:dyDescent="0.25">
      <c r="BB28" s="57">
        <f t="shared" si="17"/>
        <v>1</v>
      </c>
      <c r="BC28" s="57">
        <f t="shared" si="18"/>
        <v>1</v>
      </c>
      <c r="BD28" s="57">
        <v>0.2</v>
      </c>
      <c r="BE28" s="57">
        <f t="shared" si="19"/>
        <v>1</v>
      </c>
      <c r="BF28" s="57">
        <v>26</v>
      </c>
      <c r="BG28" s="61" t="s">
        <v>189</v>
      </c>
    </row>
    <row r="29" spans="1:120" x14ac:dyDescent="0.25">
      <c r="BB29" s="57">
        <f t="shared" si="17"/>
        <v>1</v>
      </c>
      <c r="BC29" s="57">
        <f t="shared" si="18"/>
        <v>1</v>
      </c>
      <c r="BD29" s="57">
        <v>0.2</v>
      </c>
      <c r="BE29" s="57">
        <f t="shared" si="19"/>
        <v>1</v>
      </c>
      <c r="BF29" s="57">
        <v>38</v>
      </c>
      <c r="BG29" s="61" t="s">
        <v>194</v>
      </c>
    </row>
    <row r="30" spans="1:120" x14ac:dyDescent="0.25">
      <c r="BB30" s="57">
        <f t="shared" si="17"/>
        <v>1</v>
      </c>
      <c r="BC30" s="57">
        <f t="shared" si="18"/>
        <v>1</v>
      </c>
      <c r="BD30" s="57">
        <v>0.2</v>
      </c>
      <c r="BE30" s="57">
        <f t="shared" si="19"/>
        <v>1</v>
      </c>
      <c r="BF30" s="57">
        <v>40</v>
      </c>
      <c r="BG30" s="61" t="s">
        <v>200</v>
      </c>
    </row>
    <row r="31" spans="1:120" x14ac:dyDescent="0.25">
      <c r="BB31" s="57">
        <f t="shared" si="17"/>
        <v>1</v>
      </c>
      <c r="BC31" s="57">
        <f t="shared" si="18"/>
        <v>1</v>
      </c>
      <c r="BD31" s="57">
        <v>0.25</v>
      </c>
      <c r="BE31" s="57">
        <f t="shared" si="19"/>
        <v>1</v>
      </c>
      <c r="BF31" s="57">
        <v>23</v>
      </c>
      <c r="BG31" s="61" t="s">
        <v>189</v>
      </c>
    </row>
    <row r="32" spans="1:120" x14ac:dyDescent="0.25">
      <c r="BB32" s="57">
        <f t="shared" si="17"/>
        <v>1</v>
      </c>
      <c r="BC32" s="57">
        <f t="shared" si="18"/>
        <v>1</v>
      </c>
      <c r="BD32" s="57">
        <v>0.25</v>
      </c>
      <c r="BE32" s="57">
        <f t="shared" si="19"/>
        <v>1</v>
      </c>
      <c r="BF32" s="57">
        <v>36</v>
      </c>
      <c r="BG32" s="61" t="s">
        <v>194</v>
      </c>
    </row>
    <row r="33" spans="54:59" x14ac:dyDescent="0.25">
      <c r="BB33" s="57">
        <f t="shared" si="17"/>
        <v>1</v>
      </c>
      <c r="BC33" s="57">
        <f t="shared" si="18"/>
        <v>1</v>
      </c>
      <c r="BD33" s="57">
        <v>0.25</v>
      </c>
      <c r="BE33" s="57">
        <f t="shared" si="19"/>
        <v>1</v>
      </c>
      <c r="BF33" s="57">
        <v>45</v>
      </c>
      <c r="BG33" s="61" t="s">
        <v>200</v>
      </c>
    </row>
    <row r="34" spans="54:59" x14ac:dyDescent="0.25">
      <c r="BB34" s="57">
        <f t="shared" si="17"/>
        <v>1</v>
      </c>
      <c r="BC34" s="57">
        <f t="shared" si="18"/>
        <v>1</v>
      </c>
      <c r="BD34" s="57">
        <v>0.25</v>
      </c>
      <c r="BE34" s="57">
        <f t="shared" si="19"/>
        <v>1</v>
      </c>
      <c r="BF34" s="57">
        <v>50</v>
      </c>
      <c r="BG34" s="61" t="s">
        <v>207</v>
      </c>
    </row>
    <row r="35" spans="54:59" x14ac:dyDescent="0.25">
      <c r="BB35" s="57">
        <f t="shared" si="17"/>
        <v>1</v>
      </c>
      <c r="BC35" s="57">
        <f t="shared" si="18"/>
        <v>1</v>
      </c>
      <c r="BD35" s="57">
        <v>0.3</v>
      </c>
      <c r="BE35" s="57">
        <f t="shared" si="19"/>
        <v>1</v>
      </c>
      <c r="BF35" s="57">
        <v>21</v>
      </c>
      <c r="BG35" s="61" t="s">
        <v>189</v>
      </c>
    </row>
    <row r="36" spans="54:59" x14ac:dyDescent="0.25">
      <c r="BB36" s="57">
        <f t="shared" ref="BB36:BB67" si="28">IF(AND(BC36=1,BE36=1),1,0)</f>
        <v>1</v>
      </c>
      <c r="BC36" s="57">
        <f t="shared" ref="BC36:BC67" si="29">IF(BD36&gt;$B$4,1,0)</f>
        <v>1</v>
      </c>
      <c r="BD36" s="57">
        <v>0.3</v>
      </c>
      <c r="BE36" s="57">
        <f t="shared" ref="BE36:BE67" si="30">IF(BF36&gt;$F$11,1,0)</f>
        <v>1</v>
      </c>
      <c r="BF36" s="57">
        <v>33</v>
      </c>
      <c r="BG36" s="61" t="s">
        <v>194</v>
      </c>
    </row>
    <row r="37" spans="54:59" x14ac:dyDescent="0.25">
      <c r="BB37" s="57">
        <f t="shared" si="28"/>
        <v>1</v>
      </c>
      <c r="BC37" s="57">
        <f t="shared" si="29"/>
        <v>1</v>
      </c>
      <c r="BD37" s="57">
        <v>0.3</v>
      </c>
      <c r="BE37" s="57">
        <f t="shared" si="30"/>
        <v>1</v>
      </c>
      <c r="BF37" s="57">
        <v>45</v>
      </c>
      <c r="BG37" s="61" t="s">
        <v>200</v>
      </c>
    </row>
    <row r="38" spans="54:59" x14ac:dyDescent="0.25">
      <c r="BB38" s="57">
        <f t="shared" si="28"/>
        <v>1</v>
      </c>
      <c r="BC38" s="57">
        <f t="shared" si="29"/>
        <v>1</v>
      </c>
      <c r="BD38" s="57">
        <v>0.3</v>
      </c>
      <c r="BE38" s="57">
        <f t="shared" si="30"/>
        <v>1</v>
      </c>
      <c r="BF38" s="57">
        <v>46</v>
      </c>
      <c r="BG38" s="61" t="s">
        <v>206</v>
      </c>
    </row>
    <row r="39" spans="54:59" x14ac:dyDescent="0.25">
      <c r="BB39" s="57">
        <f t="shared" si="28"/>
        <v>1</v>
      </c>
      <c r="BC39" s="57">
        <f t="shared" si="29"/>
        <v>1</v>
      </c>
      <c r="BD39" s="57">
        <v>0.3</v>
      </c>
      <c r="BE39" s="57">
        <f t="shared" si="30"/>
        <v>1</v>
      </c>
      <c r="BF39" s="57">
        <v>60</v>
      </c>
      <c r="BG39" s="61" t="s">
        <v>207</v>
      </c>
    </row>
    <row r="40" spans="54:59" x14ac:dyDescent="0.25">
      <c r="BB40" s="57">
        <f t="shared" si="28"/>
        <v>1</v>
      </c>
      <c r="BC40" s="57">
        <f t="shared" si="29"/>
        <v>1</v>
      </c>
      <c r="BD40" s="57">
        <v>0.35</v>
      </c>
      <c r="BE40" s="57">
        <f t="shared" si="30"/>
        <v>1</v>
      </c>
      <c r="BF40" s="57">
        <v>17</v>
      </c>
      <c r="BG40" s="61" t="s">
        <v>189</v>
      </c>
    </row>
    <row r="41" spans="54:59" x14ac:dyDescent="0.25">
      <c r="BB41" s="57">
        <f t="shared" si="28"/>
        <v>1</v>
      </c>
      <c r="BC41" s="57">
        <f t="shared" si="29"/>
        <v>1</v>
      </c>
      <c r="BD41" s="57">
        <v>0.35</v>
      </c>
      <c r="BE41" s="57">
        <f t="shared" si="30"/>
        <v>1</v>
      </c>
      <c r="BF41" s="57">
        <v>31</v>
      </c>
      <c r="BG41" s="61" t="s">
        <v>194</v>
      </c>
    </row>
    <row r="42" spans="54:59" x14ac:dyDescent="0.25">
      <c r="BB42" s="57">
        <f t="shared" si="28"/>
        <v>1</v>
      </c>
      <c r="BC42" s="57">
        <f t="shared" si="29"/>
        <v>1</v>
      </c>
      <c r="BD42" s="57">
        <v>0.35</v>
      </c>
      <c r="BE42" s="57">
        <f t="shared" si="30"/>
        <v>1</v>
      </c>
      <c r="BF42" s="57">
        <v>43</v>
      </c>
      <c r="BG42" s="61" t="s">
        <v>200</v>
      </c>
    </row>
    <row r="43" spans="54:59" x14ac:dyDescent="0.25">
      <c r="BB43" s="57">
        <f t="shared" si="28"/>
        <v>1</v>
      </c>
      <c r="BC43" s="57">
        <f t="shared" si="29"/>
        <v>1</v>
      </c>
      <c r="BD43" s="57">
        <v>0.35</v>
      </c>
      <c r="BE43" s="57">
        <f t="shared" si="30"/>
        <v>1</v>
      </c>
      <c r="BF43" s="57">
        <v>46</v>
      </c>
      <c r="BG43" s="61" t="s">
        <v>206</v>
      </c>
    </row>
    <row r="44" spans="54:59" x14ac:dyDescent="0.25">
      <c r="BB44" s="57">
        <f t="shared" si="28"/>
        <v>1</v>
      </c>
      <c r="BC44" s="57">
        <f t="shared" si="29"/>
        <v>1</v>
      </c>
      <c r="BD44" s="57">
        <v>0.35</v>
      </c>
      <c r="BE44" s="57">
        <f t="shared" si="30"/>
        <v>1</v>
      </c>
      <c r="BF44" s="57">
        <v>65</v>
      </c>
      <c r="BG44" s="61" t="s">
        <v>207</v>
      </c>
    </row>
    <row r="45" spans="54:59" x14ac:dyDescent="0.25">
      <c r="BB45" s="57">
        <f t="shared" si="28"/>
        <v>1</v>
      </c>
      <c r="BC45" s="57">
        <f t="shared" si="29"/>
        <v>1</v>
      </c>
      <c r="BD45" s="57">
        <v>0.35</v>
      </c>
      <c r="BE45" s="57">
        <f t="shared" si="30"/>
        <v>1</v>
      </c>
      <c r="BF45" s="57">
        <v>70</v>
      </c>
      <c r="BG45" s="61" t="s">
        <v>209</v>
      </c>
    </row>
    <row r="46" spans="54:59" x14ac:dyDescent="0.25">
      <c r="BB46" s="57">
        <f t="shared" si="28"/>
        <v>1</v>
      </c>
      <c r="BC46" s="57">
        <f t="shared" si="29"/>
        <v>1</v>
      </c>
      <c r="BD46" s="57">
        <v>0.4</v>
      </c>
      <c r="BE46" s="57">
        <f t="shared" si="30"/>
        <v>1</v>
      </c>
      <c r="BF46" s="57">
        <v>27</v>
      </c>
      <c r="BG46" s="61" t="s">
        <v>194</v>
      </c>
    </row>
    <row r="47" spans="54:59" x14ac:dyDescent="0.25">
      <c r="BB47" s="57">
        <f t="shared" si="28"/>
        <v>1</v>
      </c>
      <c r="BC47" s="57">
        <f t="shared" si="29"/>
        <v>1</v>
      </c>
      <c r="BD47" s="57">
        <v>0.4</v>
      </c>
      <c r="BE47" s="57">
        <f t="shared" si="30"/>
        <v>1</v>
      </c>
      <c r="BF47" s="57">
        <v>41</v>
      </c>
      <c r="BG47" s="61" t="s">
        <v>200</v>
      </c>
    </row>
    <row r="48" spans="54:59" x14ac:dyDescent="0.25">
      <c r="BB48" s="57">
        <f t="shared" si="28"/>
        <v>1</v>
      </c>
      <c r="BC48" s="57">
        <f t="shared" si="29"/>
        <v>1</v>
      </c>
      <c r="BD48" s="57">
        <v>0.4</v>
      </c>
      <c r="BE48" s="57">
        <f t="shared" si="30"/>
        <v>1</v>
      </c>
      <c r="BF48" s="57">
        <v>47</v>
      </c>
      <c r="BG48" s="61" t="s">
        <v>206</v>
      </c>
    </row>
    <row r="49" spans="54:59" x14ac:dyDescent="0.25">
      <c r="BB49" s="57">
        <f t="shared" si="28"/>
        <v>1</v>
      </c>
      <c r="BC49" s="57">
        <f t="shared" si="29"/>
        <v>1</v>
      </c>
      <c r="BD49" s="57">
        <v>0.4</v>
      </c>
      <c r="BE49" s="57">
        <f t="shared" si="30"/>
        <v>1</v>
      </c>
      <c r="BF49" s="57">
        <v>57</v>
      </c>
      <c r="BG49" s="61" t="s">
        <v>207</v>
      </c>
    </row>
    <row r="50" spans="54:59" x14ac:dyDescent="0.25">
      <c r="BB50" s="57">
        <f t="shared" si="28"/>
        <v>1</v>
      </c>
      <c r="BC50" s="57">
        <f t="shared" si="29"/>
        <v>1</v>
      </c>
      <c r="BD50" s="57">
        <v>0.4</v>
      </c>
      <c r="BE50" s="57">
        <f t="shared" si="30"/>
        <v>1</v>
      </c>
      <c r="BF50" s="57">
        <v>80</v>
      </c>
      <c r="BG50" s="61" t="s">
        <v>209</v>
      </c>
    </row>
    <row r="51" spans="54:59" x14ac:dyDescent="0.25">
      <c r="BB51" s="57">
        <f t="shared" si="28"/>
        <v>1</v>
      </c>
      <c r="BC51" s="57">
        <f t="shared" si="29"/>
        <v>1</v>
      </c>
      <c r="BD51" s="57">
        <v>0.45</v>
      </c>
      <c r="BE51" s="57">
        <f t="shared" si="30"/>
        <v>1</v>
      </c>
      <c r="BF51" s="57">
        <v>24</v>
      </c>
      <c r="BG51" s="61" t="s">
        <v>194</v>
      </c>
    </row>
    <row r="52" spans="54:59" x14ac:dyDescent="0.25">
      <c r="BB52" s="57">
        <f t="shared" si="28"/>
        <v>1</v>
      </c>
      <c r="BC52" s="57">
        <f t="shared" si="29"/>
        <v>1</v>
      </c>
      <c r="BD52" s="57">
        <v>0.45</v>
      </c>
      <c r="BE52" s="57">
        <f t="shared" si="30"/>
        <v>1</v>
      </c>
      <c r="BF52" s="57">
        <v>39</v>
      </c>
      <c r="BG52" s="61" t="s">
        <v>200</v>
      </c>
    </row>
    <row r="53" spans="54:59" x14ac:dyDescent="0.25">
      <c r="BB53" s="57">
        <f t="shared" si="28"/>
        <v>1</v>
      </c>
      <c r="BC53" s="57">
        <f t="shared" si="29"/>
        <v>1</v>
      </c>
      <c r="BD53" s="57">
        <v>0.45</v>
      </c>
      <c r="BE53" s="57">
        <f t="shared" si="30"/>
        <v>1</v>
      </c>
      <c r="BF53" s="57">
        <v>45</v>
      </c>
      <c r="BG53" s="61" t="s">
        <v>206</v>
      </c>
    </row>
    <row r="54" spans="54:59" x14ac:dyDescent="0.25">
      <c r="BB54" s="57">
        <f t="shared" si="28"/>
        <v>1</v>
      </c>
      <c r="BC54" s="57">
        <f t="shared" si="29"/>
        <v>1</v>
      </c>
      <c r="BD54" s="57">
        <v>0.45</v>
      </c>
      <c r="BE54" s="57">
        <f t="shared" si="30"/>
        <v>1</v>
      </c>
      <c r="BF54" s="57">
        <v>70</v>
      </c>
      <c r="BG54" s="61" t="s">
        <v>211</v>
      </c>
    </row>
    <row r="55" spans="54:59" x14ac:dyDescent="0.25">
      <c r="BB55" s="57">
        <f t="shared" si="28"/>
        <v>1</v>
      </c>
      <c r="BC55" s="57">
        <f t="shared" si="29"/>
        <v>1</v>
      </c>
      <c r="BD55" s="57">
        <v>0.45</v>
      </c>
      <c r="BE55" s="57">
        <f t="shared" si="30"/>
        <v>1</v>
      </c>
      <c r="BF55" s="57">
        <v>90</v>
      </c>
      <c r="BG55" s="61" t="s">
        <v>212</v>
      </c>
    </row>
    <row r="56" spans="54:59" x14ac:dyDescent="0.25">
      <c r="BB56" s="57">
        <f t="shared" si="28"/>
        <v>1</v>
      </c>
      <c r="BC56" s="57">
        <f t="shared" si="29"/>
        <v>1</v>
      </c>
      <c r="BD56" s="57">
        <v>0.5</v>
      </c>
      <c r="BE56" s="57">
        <f t="shared" si="30"/>
        <v>1</v>
      </c>
      <c r="BF56" s="57">
        <v>22</v>
      </c>
      <c r="BG56" s="61" t="s">
        <v>194</v>
      </c>
    </row>
    <row r="57" spans="54:59" x14ac:dyDescent="0.25">
      <c r="BB57" s="57">
        <f t="shared" si="28"/>
        <v>1</v>
      </c>
      <c r="BC57" s="57">
        <f t="shared" si="29"/>
        <v>1</v>
      </c>
      <c r="BD57" s="57">
        <v>0.5</v>
      </c>
      <c r="BE57" s="57">
        <f t="shared" si="30"/>
        <v>1</v>
      </c>
      <c r="BF57" s="57">
        <v>37</v>
      </c>
      <c r="BG57" s="61" t="s">
        <v>200</v>
      </c>
    </row>
    <row r="58" spans="54:59" x14ac:dyDescent="0.25">
      <c r="BB58" s="57">
        <f t="shared" si="28"/>
        <v>1</v>
      </c>
      <c r="BC58" s="57">
        <f t="shared" si="29"/>
        <v>1</v>
      </c>
      <c r="BD58" s="57">
        <v>0.5</v>
      </c>
      <c r="BE58" s="57">
        <f t="shared" si="30"/>
        <v>1</v>
      </c>
      <c r="BF58" s="57">
        <v>43</v>
      </c>
      <c r="BG58" s="61" t="s">
        <v>206</v>
      </c>
    </row>
    <row r="59" spans="54:59" x14ac:dyDescent="0.25">
      <c r="BB59" s="57">
        <f t="shared" si="28"/>
        <v>1</v>
      </c>
      <c r="BC59" s="57">
        <f t="shared" si="29"/>
        <v>1</v>
      </c>
      <c r="BD59" s="57">
        <v>0.5</v>
      </c>
      <c r="BE59" s="57">
        <f t="shared" si="30"/>
        <v>1</v>
      </c>
      <c r="BF59" s="57">
        <v>66</v>
      </c>
      <c r="BG59" s="61" t="s">
        <v>211</v>
      </c>
    </row>
    <row r="60" spans="54:59" x14ac:dyDescent="0.25">
      <c r="BB60" s="57">
        <f t="shared" si="28"/>
        <v>1</v>
      </c>
      <c r="BC60" s="57">
        <f t="shared" si="29"/>
        <v>1</v>
      </c>
      <c r="BD60" s="57">
        <v>0.5</v>
      </c>
      <c r="BE60" s="57">
        <f t="shared" si="30"/>
        <v>1</v>
      </c>
      <c r="BF60" s="57">
        <v>100</v>
      </c>
      <c r="BG60" s="61" t="s">
        <v>212</v>
      </c>
    </row>
    <row r="61" spans="54:59" x14ac:dyDescent="0.25">
      <c r="BB61" s="57">
        <f t="shared" si="28"/>
        <v>1</v>
      </c>
      <c r="BC61" s="57">
        <f t="shared" si="29"/>
        <v>1</v>
      </c>
      <c r="BD61" s="57">
        <v>0.55000000000000004</v>
      </c>
      <c r="BE61" s="57">
        <f t="shared" si="30"/>
        <v>1</v>
      </c>
      <c r="BF61" s="57">
        <v>35</v>
      </c>
      <c r="BG61" s="61" t="s">
        <v>200</v>
      </c>
    </row>
    <row r="62" spans="54:59" x14ac:dyDescent="0.25">
      <c r="BB62" s="57">
        <f t="shared" si="28"/>
        <v>1</v>
      </c>
      <c r="BC62" s="57">
        <f t="shared" si="29"/>
        <v>1</v>
      </c>
      <c r="BD62" s="57">
        <v>0.55000000000000004</v>
      </c>
      <c r="BE62" s="57">
        <f t="shared" si="30"/>
        <v>1</v>
      </c>
      <c r="BF62" s="57">
        <v>42</v>
      </c>
      <c r="BG62" s="61" t="s">
        <v>206</v>
      </c>
    </row>
    <row r="63" spans="54:59" x14ac:dyDescent="0.25">
      <c r="BB63" s="57">
        <f t="shared" si="28"/>
        <v>1</v>
      </c>
      <c r="BC63" s="57">
        <f t="shared" si="29"/>
        <v>1</v>
      </c>
      <c r="BD63" s="57">
        <v>0.55000000000000004</v>
      </c>
      <c r="BE63" s="57">
        <f t="shared" si="30"/>
        <v>1</v>
      </c>
      <c r="BF63" s="57">
        <v>62</v>
      </c>
      <c r="BG63" s="61" t="s">
        <v>211</v>
      </c>
    </row>
    <row r="64" spans="54:59" x14ac:dyDescent="0.25">
      <c r="BB64" s="57">
        <f t="shared" si="28"/>
        <v>1</v>
      </c>
      <c r="BC64" s="57">
        <f t="shared" si="29"/>
        <v>1</v>
      </c>
      <c r="BD64" s="57">
        <v>0.55000000000000004</v>
      </c>
      <c r="BE64" s="57">
        <f t="shared" si="30"/>
        <v>1</v>
      </c>
      <c r="BF64" s="57">
        <v>110</v>
      </c>
      <c r="BG64" s="61" t="s">
        <v>212</v>
      </c>
    </row>
    <row r="65" spans="54:59" x14ac:dyDescent="0.25">
      <c r="BB65" s="57">
        <f t="shared" si="28"/>
        <v>1</v>
      </c>
      <c r="BC65" s="57">
        <f t="shared" si="29"/>
        <v>1</v>
      </c>
      <c r="BD65" s="57">
        <v>0.6</v>
      </c>
      <c r="BE65" s="57">
        <f t="shared" si="30"/>
        <v>1</v>
      </c>
      <c r="BF65" s="57">
        <v>33</v>
      </c>
      <c r="BG65" s="61" t="s">
        <v>200</v>
      </c>
    </row>
    <row r="66" spans="54:59" x14ac:dyDescent="0.25">
      <c r="BB66" s="57">
        <f t="shared" si="28"/>
        <v>1</v>
      </c>
      <c r="BC66" s="57">
        <f t="shared" si="29"/>
        <v>1</v>
      </c>
      <c r="BD66" s="57">
        <v>0.6</v>
      </c>
      <c r="BE66" s="57">
        <f t="shared" si="30"/>
        <v>1</v>
      </c>
      <c r="BF66" s="57">
        <v>41</v>
      </c>
      <c r="BG66" s="61" t="s">
        <v>206</v>
      </c>
    </row>
    <row r="67" spans="54:59" x14ac:dyDescent="0.25">
      <c r="BB67" s="57">
        <f t="shared" si="28"/>
        <v>1</v>
      </c>
      <c r="BC67" s="57">
        <f t="shared" si="29"/>
        <v>1</v>
      </c>
      <c r="BD67" s="57">
        <v>0.6</v>
      </c>
      <c r="BE67" s="57">
        <f t="shared" si="30"/>
        <v>1</v>
      </c>
      <c r="BF67" s="57">
        <v>55</v>
      </c>
      <c r="BG67" s="61" t="s">
        <v>211</v>
      </c>
    </row>
    <row r="68" spans="54:59" x14ac:dyDescent="0.25">
      <c r="BB68" s="57">
        <f t="shared" ref="BB68:BB99" si="31">IF(AND(BC68=1,BE68=1),1,0)</f>
        <v>1</v>
      </c>
      <c r="BC68" s="57">
        <f t="shared" ref="BC68:BC99" si="32">IF(BD68&gt;$B$4,1,0)</f>
        <v>1</v>
      </c>
      <c r="BD68" s="57">
        <v>0.6</v>
      </c>
      <c r="BE68" s="57">
        <f>IF(BF68&gt;=$F$11,1,0)</f>
        <v>1</v>
      </c>
      <c r="BF68" s="57">
        <v>120</v>
      </c>
      <c r="BG68" s="61" t="s">
        <v>212</v>
      </c>
    </row>
    <row r="69" spans="54:59" x14ac:dyDescent="0.25">
      <c r="BB69" s="57">
        <f t="shared" si="31"/>
        <v>1</v>
      </c>
      <c r="BC69" s="57">
        <f t="shared" si="32"/>
        <v>1</v>
      </c>
      <c r="BD69" s="57">
        <v>0.65</v>
      </c>
      <c r="BE69" s="57">
        <f>IF(BF69&gt;$F$11,1,0)</f>
        <v>1</v>
      </c>
      <c r="BF69" s="57">
        <v>30</v>
      </c>
      <c r="BG69" s="61" t="s">
        <v>200</v>
      </c>
    </row>
    <row r="70" spans="54:59" x14ac:dyDescent="0.25">
      <c r="BB70" s="57">
        <f t="shared" si="31"/>
        <v>1</v>
      </c>
      <c r="BC70" s="57">
        <f t="shared" si="32"/>
        <v>1</v>
      </c>
      <c r="BD70" s="57">
        <v>0.65</v>
      </c>
      <c r="BE70" s="57">
        <f>IF(BF70&gt;$F$11,1,0)</f>
        <v>1</v>
      </c>
      <c r="BF70" s="57">
        <v>41</v>
      </c>
      <c r="BG70" s="61" t="s">
        <v>206</v>
      </c>
    </row>
    <row r="71" spans="54:59" x14ac:dyDescent="0.25">
      <c r="BB71" s="57">
        <f t="shared" si="31"/>
        <v>1</v>
      </c>
      <c r="BC71" s="57">
        <f t="shared" si="32"/>
        <v>1</v>
      </c>
      <c r="BD71" s="57">
        <v>0.65</v>
      </c>
      <c r="BE71" s="57">
        <f>IF(BF71&gt;$F$11,1,0)</f>
        <v>1</v>
      </c>
      <c r="BF71" s="57">
        <v>51</v>
      </c>
      <c r="BG71" s="61" t="s">
        <v>211</v>
      </c>
    </row>
    <row r="72" spans="54:59" x14ac:dyDescent="0.25">
      <c r="BB72" s="57">
        <f t="shared" si="31"/>
        <v>1</v>
      </c>
      <c r="BC72" s="57">
        <f t="shared" si="32"/>
        <v>1</v>
      </c>
      <c r="BD72" s="57">
        <v>0.65</v>
      </c>
      <c r="BE72" s="57">
        <f>IF(BF72&gt;=$F$11,1,0)</f>
        <v>1</v>
      </c>
      <c r="BF72" s="57">
        <v>120</v>
      </c>
      <c r="BG72" s="61" t="s">
        <v>212</v>
      </c>
    </row>
    <row r="73" spans="54:59" x14ac:dyDescent="0.25">
      <c r="BB73" s="57">
        <f t="shared" si="31"/>
        <v>1</v>
      </c>
      <c r="BC73" s="57">
        <f t="shared" si="32"/>
        <v>1</v>
      </c>
      <c r="BD73" s="57">
        <v>0.7</v>
      </c>
      <c r="BE73" s="57">
        <f>IF(BF73&gt;$F$11,1,0)</f>
        <v>1</v>
      </c>
      <c r="BF73" s="57">
        <v>40</v>
      </c>
      <c r="BG73" s="61" t="s">
        <v>206</v>
      </c>
    </row>
    <row r="74" spans="54:59" x14ac:dyDescent="0.25">
      <c r="BB74" s="57">
        <f t="shared" si="31"/>
        <v>1</v>
      </c>
      <c r="BC74" s="57">
        <f t="shared" si="32"/>
        <v>1</v>
      </c>
      <c r="BD74" s="57">
        <v>0.7</v>
      </c>
      <c r="BE74" s="57">
        <f>IF(BF74&gt;$F$11,1,0)</f>
        <v>1</v>
      </c>
      <c r="BF74" s="57">
        <v>45</v>
      </c>
      <c r="BG74" s="61" t="s">
        <v>211</v>
      </c>
    </row>
    <row r="75" spans="54:59" x14ac:dyDescent="0.25">
      <c r="BB75" s="57">
        <f t="shared" si="31"/>
        <v>1</v>
      </c>
      <c r="BC75" s="57">
        <f t="shared" si="32"/>
        <v>1</v>
      </c>
      <c r="BD75" s="57">
        <v>0.7</v>
      </c>
      <c r="BE75" s="57">
        <f>IF(BF75&gt;=$F$11,1,0)</f>
        <v>1</v>
      </c>
      <c r="BF75" s="57">
        <v>120</v>
      </c>
      <c r="BG75" s="61" t="s">
        <v>212</v>
      </c>
    </row>
    <row r="76" spans="54:59" x14ac:dyDescent="0.25">
      <c r="BB76" s="57">
        <f t="shared" si="31"/>
        <v>1</v>
      </c>
      <c r="BC76" s="57">
        <f t="shared" si="32"/>
        <v>1</v>
      </c>
      <c r="BD76" s="57">
        <v>0.75</v>
      </c>
      <c r="BE76" s="57">
        <f>IF(BF76&gt;$F$11,1,0)</f>
        <v>1</v>
      </c>
      <c r="BF76" s="57">
        <v>41</v>
      </c>
      <c r="BG76" s="61" t="s">
        <v>206</v>
      </c>
    </row>
    <row r="77" spans="54:59" x14ac:dyDescent="0.25">
      <c r="BB77" s="57">
        <f t="shared" si="31"/>
        <v>1</v>
      </c>
      <c r="BC77" s="57">
        <f t="shared" si="32"/>
        <v>1</v>
      </c>
      <c r="BD77" s="57">
        <v>0.75</v>
      </c>
      <c r="BE77" s="57">
        <f>IF(BF77&gt;=$F$11,1,0)</f>
        <v>1</v>
      </c>
      <c r="BF77" s="57">
        <v>120</v>
      </c>
      <c r="BG77" s="61" t="s">
        <v>212</v>
      </c>
    </row>
    <row r="78" spans="54:59" x14ac:dyDescent="0.25">
      <c r="BB78" s="57">
        <f t="shared" si="31"/>
        <v>1</v>
      </c>
      <c r="BC78" s="57">
        <f t="shared" si="32"/>
        <v>1</v>
      </c>
      <c r="BD78" s="57">
        <v>0.8</v>
      </c>
      <c r="BE78" s="57">
        <f>IF(BF78&gt;$F$11,1,0)</f>
        <v>1</v>
      </c>
      <c r="BF78" s="57">
        <v>40</v>
      </c>
      <c r="BG78" s="61" t="s">
        <v>206</v>
      </c>
    </row>
    <row r="79" spans="54:59" x14ac:dyDescent="0.25">
      <c r="BB79" s="57">
        <f t="shared" si="31"/>
        <v>1</v>
      </c>
      <c r="BC79" s="57">
        <f t="shared" si="32"/>
        <v>1</v>
      </c>
      <c r="BD79" s="57">
        <v>0.8</v>
      </c>
      <c r="BE79" s="57">
        <f>IF(BF79&gt;$F$11,1,0)</f>
        <v>1</v>
      </c>
      <c r="BF79" s="57">
        <v>117</v>
      </c>
      <c r="BG79" s="61" t="s">
        <v>212</v>
      </c>
    </row>
    <row r="80" spans="54:59" x14ac:dyDescent="0.25">
      <c r="BB80" s="57">
        <f t="shared" si="31"/>
        <v>1</v>
      </c>
      <c r="BC80" s="57">
        <f t="shared" si="32"/>
        <v>1</v>
      </c>
      <c r="BD80" s="57">
        <v>0.8</v>
      </c>
      <c r="BE80" s="57">
        <f>IF(BF80&gt;=$F$11,1,0)</f>
        <v>1</v>
      </c>
      <c r="BF80" s="57">
        <v>120</v>
      </c>
      <c r="BG80" s="61" t="s">
        <v>213</v>
      </c>
    </row>
    <row r="81" spans="54:59" x14ac:dyDescent="0.25">
      <c r="BB81" s="57">
        <f t="shared" si="31"/>
        <v>1</v>
      </c>
      <c r="BC81" s="57">
        <f t="shared" si="32"/>
        <v>1</v>
      </c>
      <c r="BD81" s="57">
        <v>0.85</v>
      </c>
      <c r="BE81" s="57">
        <f>IF(BF81&gt;$F$11,1,0)</f>
        <v>1</v>
      </c>
      <c r="BF81" s="57">
        <v>39</v>
      </c>
      <c r="BG81" s="61" t="s">
        <v>206</v>
      </c>
    </row>
    <row r="82" spans="54:59" x14ac:dyDescent="0.25">
      <c r="BB82" s="57">
        <f t="shared" si="31"/>
        <v>1</v>
      </c>
      <c r="BC82" s="57">
        <f t="shared" si="32"/>
        <v>1</v>
      </c>
      <c r="BD82" s="57">
        <v>0.85</v>
      </c>
      <c r="BE82" s="57">
        <f>IF(BF82&gt;$F$11,1,0)</f>
        <v>1</v>
      </c>
      <c r="BF82" s="57">
        <v>114</v>
      </c>
      <c r="BG82" s="61" t="s">
        <v>212</v>
      </c>
    </row>
    <row r="83" spans="54:59" x14ac:dyDescent="0.25">
      <c r="BB83" s="57">
        <f t="shared" si="31"/>
        <v>1</v>
      </c>
      <c r="BC83" s="57">
        <f t="shared" si="32"/>
        <v>1</v>
      </c>
      <c r="BD83" s="57">
        <v>0.85</v>
      </c>
      <c r="BE83" s="57">
        <f>IF(BF83&gt;=$F$11,1,0)</f>
        <v>1</v>
      </c>
      <c r="BF83" s="57">
        <v>120</v>
      </c>
      <c r="BG83" s="61" t="s">
        <v>213</v>
      </c>
    </row>
    <row r="84" spans="54:59" x14ac:dyDescent="0.25">
      <c r="BB84" s="57">
        <f t="shared" si="31"/>
        <v>1</v>
      </c>
      <c r="BC84" s="57">
        <f t="shared" si="32"/>
        <v>1</v>
      </c>
      <c r="BD84" s="57">
        <v>0.9</v>
      </c>
      <c r="BE84" s="57">
        <f>IF(BF84&gt;$F$11,1,0)</f>
        <v>1</v>
      </c>
      <c r="BF84" s="57">
        <v>37</v>
      </c>
      <c r="BG84" s="61" t="s">
        <v>206</v>
      </c>
    </row>
    <row r="85" spans="54:59" x14ac:dyDescent="0.25">
      <c r="BB85" s="57">
        <f t="shared" si="31"/>
        <v>1</v>
      </c>
      <c r="BC85" s="57">
        <f t="shared" si="32"/>
        <v>1</v>
      </c>
      <c r="BD85" s="57">
        <v>0.9</v>
      </c>
      <c r="BE85" s="57">
        <f>IF(BF85&gt;$F$11,1,0)</f>
        <v>1</v>
      </c>
      <c r="BF85" s="57">
        <v>43</v>
      </c>
      <c r="BG85" s="61" t="s">
        <v>210</v>
      </c>
    </row>
    <row r="86" spans="54:59" x14ac:dyDescent="0.25">
      <c r="BB86" s="57">
        <f t="shared" si="31"/>
        <v>1</v>
      </c>
      <c r="BC86" s="57">
        <f t="shared" si="32"/>
        <v>1</v>
      </c>
      <c r="BD86" s="57">
        <v>0.9</v>
      </c>
      <c r="BE86" s="57">
        <f>IF(BF86&gt;$F$11,1,0)</f>
        <v>1</v>
      </c>
      <c r="BF86" s="57">
        <v>110</v>
      </c>
      <c r="BG86" s="61" t="s">
        <v>212</v>
      </c>
    </row>
    <row r="87" spans="54:59" x14ac:dyDescent="0.25">
      <c r="BB87" s="57">
        <f t="shared" si="31"/>
        <v>1</v>
      </c>
      <c r="BC87" s="57">
        <f t="shared" si="32"/>
        <v>1</v>
      </c>
      <c r="BD87" s="57">
        <v>0.9</v>
      </c>
      <c r="BE87" s="57">
        <f>IF(BF87&gt;=$F$11,1,0)</f>
        <v>1</v>
      </c>
      <c r="BF87" s="57">
        <v>120</v>
      </c>
      <c r="BG87" s="61" t="s">
        <v>213</v>
      </c>
    </row>
    <row r="88" spans="54:59" x14ac:dyDescent="0.25">
      <c r="BB88" s="57">
        <f t="shared" si="31"/>
        <v>1</v>
      </c>
      <c r="BC88" s="57">
        <f t="shared" si="32"/>
        <v>1</v>
      </c>
      <c r="BD88" s="57">
        <v>0.95</v>
      </c>
      <c r="BE88" s="57">
        <f>IF(BF88&gt;$F$11,1,0)</f>
        <v>1</v>
      </c>
      <c r="BF88" s="57">
        <v>44</v>
      </c>
      <c r="BG88" s="61" t="s">
        <v>210</v>
      </c>
    </row>
    <row r="89" spans="54:59" x14ac:dyDescent="0.25">
      <c r="BB89" s="57">
        <f t="shared" si="31"/>
        <v>1</v>
      </c>
      <c r="BC89" s="57">
        <f t="shared" si="32"/>
        <v>1</v>
      </c>
      <c r="BD89" s="57">
        <v>0.95</v>
      </c>
      <c r="BE89" s="57">
        <f>IF(BF89&gt;$F$11,1,0)</f>
        <v>1</v>
      </c>
      <c r="BF89" s="57">
        <v>106</v>
      </c>
      <c r="BG89" s="61" t="s">
        <v>212</v>
      </c>
    </row>
    <row r="90" spans="54:59" x14ac:dyDescent="0.25">
      <c r="BB90" s="57">
        <f t="shared" si="31"/>
        <v>1</v>
      </c>
      <c r="BC90" s="57">
        <f t="shared" si="32"/>
        <v>1</v>
      </c>
      <c r="BD90" s="57">
        <v>0.95</v>
      </c>
      <c r="BE90" s="57">
        <f>IF(BF90&gt;=$F$11,1,0)</f>
        <v>1</v>
      </c>
      <c r="BF90" s="57">
        <v>120</v>
      </c>
      <c r="BG90" s="61" t="s">
        <v>213</v>
      </c>
    </row>
    <row r="91" spans="54:59" x14ac:dyDescent="0.25">
      <c r="BB91" s="57">
        <f t="shared" si="31"/>
        <v>1</v>
      </c>
      <c r="BC91" s="57">
        <f>IF(BD91&gt;=$B$4,1,0)</f>
        <v>1</v>
      </c>
      <c r="BD91" s="57">
        <v>1</v>
      </c>
      <c r="BE91" s="57">
        <f>IF(BF91&gt;$F$11,1,0)</f>
        <v>1</v>
      </c>
      <c r="BF91" s="57">
        <v>41</v>
      </c>
      <c r="BG91" s="61" t="s">
        <v>210</v>
      </c>
    </row>
    <row r="92" spans="54:59" x14ac:dyDescent="0.25">
      <c r="BB92" s="57">
        <f t="shared" si="31"/>
        <v>1</v>
      </c>
      <c r="BC92" s="57">
        <f>IF(BD92&gt;=$B$4,1,0)</f>
        <v>1</v>
      </c>
      <c r="BD92" s="57">
        <v>1</v>
      </c>
      <c r="BE92" s="57">
        <f>IF(BF92&gt;$F$11,1,0)</f>
        <v>1</v>
      </c>
      <c r="BF92" s="57">
        <v>101</v>
      </c>
      <c r="BG92" s="61" t="s">
        <v>212</v>
      </c>
    </row>
    <row r="93" spans="54:59" x14ac:dyDescent="0.25">
      <c r="BB93" s="57">
        <f t="shared" si="31"/>
        <v>1</v>
      </c>
      <c r="BC93" s="57">
        <f>IF(BD93&gt;=$B$4,1,0)</f>
        <v>1</v>
      </c>
      <c r="BD93" s="57">
        <v>1</v>
      </c>
      <c r="BE93" s="57">
        <f>IF(BF93&gt;=$F$11,1,0)</f>
        <v>1</v>
      </c>
      <c r="BF93" s="57">
        <v>120</v>
      </c>
      <c r="BG93" s="61" t="s">
        <v>213</v>
      </c>
    </row>
  </sheetData>
  <mergeCells count="27">
    <mergeCell ref="E19:F19"/>
    <mergeCell ref="E24:F24"/>
    <mergeCell ref="E9:F9"/>
    <mergeCell ref="B14:C14"/>
    <mergeCell ref="B15:C15"/>
    <mergeCell ref="B16:C16"/>
    <mergeCell ref="B17:C17"/>
    <mergeCell ref="DJ2:DL2"/>
    <mergeCell ref="DN2:DP2"/>
    <mergeCell ref="AH3:AJ3"/>
    <mergeCell ref="AK3:AM3"/>
    <mergeCell ref="AN3:AP3"/>
    <mergeCell ref="CM2:CN2"/>
    <mergeCell ref="CQ2:CR2"/>
    <mergeCell ref="CU2:CY2"/>
    <mergeCell ref="DA2:DC2"/>
    <mergeCell ref="DF2:DH2"/>
    <mergeCell ref="BJ2:BK2"/>
    <mergeCell ref="BN2:BO2"/>
    <mergeCell ref="BR2:BT2"/>
    <mergeCell ref="BW2:BX2"/>
    <mergeCell ref="CI2:CJ2"/>
    <mergeCell ref="I2:AC2"/>
    <mergeCell ref="AE2:AP2"/>
    <mergeCell ref="AR2:AT2"/>
    <mergeCell ref="AX2:AZ2"/>
    <mergeCell ref="BB2:BG2"/>
  </mergeCells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DL26"/>
  <sheetViews>
    <sheetView zoomScale="115" zoomScaleNormal="115" workbookViewId="0">
      <selection activeCell="F9" sqref="F9"/>
    </sheetView>
  </sheetViews>
  <sheetFormatPr defaultRowHeight="15" x14ac:dyDescent="0.25"/>
  <cols>
    <col min="1" max="1" width="7.7109375" customWidth="1"/>
    <col min="2" max="2" width="8" customWidth="1"/>
    <col min="3" max="4" width="8.7109375" customWidth="1"/>
    <col min="5" max="6" width="12.5703125" customWidth="1"/>
    <col min="7" max="8" width="8.7109375" customWidth="1"/>
    <col min="9" max="9" width="9.140625" customWidth="1"/>
    <col min="10" max="10" width="6" customWidth="1"/>
    <col min="11" max="12" width="8" customWidth="1"/>
    <col min="13" max="13" width="4.7109375" customWidth="1"/>
    <col min="14" max="14" width="6" customWidth="1"/>
    <col min="15" max="17" width="9.140625" customWidth="1"/>
    <col min="18" max="18" width="6" customWidth="1"/>
    <col min="19" max="35" width="9.140625" customWidth="1"/>
    <col min="36" max="37" width="9.85546875" customWidth="1"/>
    <col min="38" max="38" width="15.7109375" customWidth="1"/>
    <col min="39" max="39" width="9.140625" customWidth="1"/>
    <col min="40" max="40" width="25.140625" customWidth="1"/>
    <col min="41" max="41" width="11" customWidth="1"/>
    <col min="42" max="42" width="18.28515625" customWidth="1"/>
    <col min="43" max="48" width="9.140625" customWidth="1"/>
    <col min="49" max="49" width="9.140625" style="15" customWidth="1"/>
    <col min="50" max="64" width="9.140625" customWidth="1"/>
    <col min="65" max="65" width="8.7109375" customWidth="1"/>
    <col min="66" max="66" width="4.85546875" customWidth="1"/>
    <col min="67" max="67" width="12.85546875" customWidth="1"/>
    <col min="68" max="68" width="3.28515625" customWidth="1"/>
    <col min="69" max="69" width="11.28515625" customWidth="1"/>
    <col min="70" max="71" width="6.28515625" customWidth="1"/>
    <col min="72" max="72" width="3.5703125" customWidth="1"/>
    <col min="73" max="73" width="8.28515625" customWidth="1"/>
    <col min="74" max="76" width="6.140625" customWidth="1"/>
    <col min="77" max="77" width="3.28515625" customWidth="1"/>
    <col min="78" max="78" width="9.5703125" customWidth="1"/>
    <col min="79" max="79" width="6.140625" customWidth="1"/>
    <col min="80" max="80" width="15.28515625" customWidth="1"/>
    <col min="81" max="81" width="3.28515625" customWidth="1"/>
    <col min="82" max="82" width="8.7109375" customWidth="1"/>
    <col min="83" max="84" width="6.28515625" customWidth="1"/>
    <col min="85" max="85" width="3.28515625" customWidth="1"/>
    <col min="86" max="86" width="9.5703125" customWidth="1"/>
    <col min="87" max="87" width="6.140625" customWidth="1"/>
    <col min="88" max="88" width="16.85546875" customWidth="1"/>
    <col min="89" max="89" width="8.5703125" customWidth="1"/>
    <col min="90" max="90" width="7" customWidth="1"/>
    <col min="91" max="91" width="25.140625" customWidth="1"/>
    <col min="92" max="92" width="8.5703125" customWidth="1"/>
    <col min="93" max="93" width="6.7109375" customWidth="1"/>
    <col min="94" max="94" width="18.28515625" customWidth="1"/>
    <col min="95" max="95" width="3.5703125" customWidth="1"/>
    <col min="96" max="96" width="8.5703125" customWidth="1"/>
    <col min="97" max="97" width="5.85546875" customWidth="1"/>
    <col min="98" max="98" width="16.140625" customWidth="1"/>
    <col min="99" max="99" width="3.7109375" customWidth="1"/>
    <col min="100" max="100" width="3.28515625" customWidth="1"/>
    <col min="101" max="101" width="8.5703125" customWidth="1"/>
    <col min="102" max="102" width="6.28515625" customWidth="1"/>
    <col min="103" max="103" width="11.42578125"/>
    <col min="104" max="104" width="3.5703125" customWidth="1"/>
    <col min="105" max="105" width="8.7109375" customWidth="1"/>
    <col min="106" max="106" width="6.28515625" customWidth="1"/>
    <col min="107" max="107" width="11.42578125"/>
    <col min="108" max="108" width="3.5703125" customWidth="1"/>
    <col min="109" max="109" width="8.7109375" customWidth="1"/>
    <col min="110" max="110" width="6.28515625" customWidth="1"/>
    <col min="111" max="111" width="11.42578125"/>
    <col min="112" max="112" width="3.5703125" customWidth="1"/>
    <col min="113" max="113" width="8.5703125" customWidth="1"/>
    <col min="114" max="114" width="6.28515625" customWidth="1"/>
    <col min="115" max="115" width="13.7109375" customWidth="1"/>
    <col min="116" max="116" width="3.5703125" customWidth="1"/>
    <col min="117" max="1025" width="8.7109375" customWidth="1"/>
  </cols>
  <sheetData>
    <row r="2" spans="1:116" x14ac:dyDescent="0.25">
      <c r="B2" t="s">
        <v>159</v>
      </c>
      <c r="I2" s="7" t="s">
        <v>30</v>
      </c>
      <c r="J2" s="7"/>
      <c r="K2" s="7"/>
      <c r="L2" s="7"/>
      <c r="M2" s="7"/>
      <c r="N2" s="7"/>
      <c r="O2" s="7"/>
      <c r="P2" s="7"/>
      <c r="Q2" s="7"/>
      <c r="R2" s="34"/>
      <c r="S2" s="34"/>
      <c r="T2" s="34"/>
      <c r="U2" s="34"/>
      <c r="W2" s="7" t="s">
        <v>31</v>
      </c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J2" s="7" t="s">
        <v>32</v>
      </c>
      <c r="AK2" s="7"/>
      <c r="AL2" s="7"/>
      <c r="AM2" s="7"/>
      <c r="AN2" s="35" t="s">
        <v>33</v>
      </c>
      <c r="AO2" s="35" t="s">
        <v>34</v>
      </c>
      <c r="AP2" s="36" t="s">
        <v>35</v>
      </c>
      <c r="AS2" s="6" t="s">
        <v>36</v>
      </c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N2" s="13" t="s">
        <v>37</v>
      </c>
      <c r="BO2" s="13"/>
      <c r="BP2" s="18"/>
      <c r="BQ2" s="37"/>
      <c r="BR2" s="5" t="s">
        <v>38</v>
      </c>
      <c r="BS2" s="5"/>
      <c r="BT2" s="38"/>
      <c r="BU2" s="39"/>
      <c r="BV2" s="4" t="s">
        <v>39</v>
      </c>
      <c r="BW2" s="4"/>
      <c r="BX2" s="4"/>
      <c r="BY2" s="18"/>
      <c r="BZ2" s="37"/>
      <c r="CA2" s="5" t="s">
        <v>40</v>
      </c>
      <c r="CB2" s="5"/>
      <c r="CC2" s="18"/>
      <c r="CD2" s="37"/>
      <c r="CE2" s="5" t="s">
        <v>41</v>
      </c>
      <c r="CF2" s="5"/>
      <c r="CG2" s="18"/>
      <c r="CH2" s="37"/>
      <c r="CI2" s="3" t="s">
        <v>42</v>
      </c>
      <c r="CJ2" s="3"/>
      <c r="CK2" s="3"/>
      <c r="CL2" s="3"/>
      <c r="CM2" s="3"/>
      <c r="CN2" s="3"/>
      <c r="CO2" s="3"/>
      <c r="CP2" s="3"/>
      <c r="CQ2" s="38"/>
      <c r="CR2" s="14" t="s">
        <v>43</v>
      </c>
      <c r="CS2" s="14"/>
      <c r="CT2" s="14"/>
      <c r="CU2" s="40"/>
      <c r="CV2" s="18"/>
      <c r="CW2" s="14" t="s">
        <v>44</v>
      </c>
      <c r="CX2" s="14"/>
      <c r="CY2" s="14"/>
      <c r="CZ2" s="38"/>
      <c r="DA2" s="14" t="s">
        <v>45</v>
      </c>
      <c r="DB2" s="14"/>
      <c r="DC2" s="14"/>
      <c r="DD2" s="38"/>
      <c r="DE2" s="14" t="s">
        <v>46</v>
      </c>
      <c r="DF2" s="14"/>
      <c r="DG2" s="14"/>
      <c r="DH2" s="38"/>
      <c r="DI2" s="14" t="s">
        <v>47</v>
      </c>
      <c r="DJ2" s="14"/>
      <c r="DK2" s="14"/>
      <c r="DL2" s="41"/>
    </row>
    <row r="3" spans="1:116" x14ac:dyDescent="0.25">
      <c r="I3" s="42"/>
      <c r="J3" s="43" t="s">
        <v>48</v>
      </c>
      <c r="K3" s="44" t="s">
        <v>49</v>
      </c>
      <c r="L3" s="43" t="s">
        <v>50</v>
      </c>
      <c r="M3" s="43"/>
      <c r="N3" s="43"/>
      <c r="O3" s="43" t="s">
        <v>51</v>
      </c>
      <c r="P3" s="44" t="s">
        <v>49</v>
      </c>
      <c r="Q3" s="45" t="s">
        <v>50</v>
      </c>
      <c r="R3" s="43"/>
      <c r="S3" s="43" t="s">
        <v>52</v>
      </c>
      <c r="T3" s="44" t="s">
        <v>49</v>
      </c>
      <c r="U3" s="45" t="s">
        <v>50</v>
      </c>
      <c r="W3" s="42" t="s">
        <v>53</v>
      </c>
      <c r="X3" s="43" t="s">
        <v>54</v>
      </c>
      <c r="Y3" s="45" t="s">
        <v>55</v>
      </c>
      <c r="Z3" s="7" t="s">
        <v>53</v>
      </c>
      <c r="AA3" s="7"/>
      <c r="AB3" s="7"/>
      <c r="AC3" s="7" t="s">
        <v>54</v>
      </c>
      <c r="AD3" s="7"/>
      <c r="AE3" s="7"/>
      <c r="AF3" s="7" t="s">
        <v>55</v>
      </c>
      <c r="AG3" s="7"/>
      <c r="AH3" s="7"/>
      <c r="AJ3" s="46" t="s">
        <v>56</v>
      </c>
      <c r="AK3" s="47"/>
      <c r="AL3" s="48"/>
      <c r="AM3" s="48"/>
      <c r="AN3" s="49"/>
      <c r="AO3" s="49"/>
      <c r="AP3" s="49"/>
      <c r="AS3" s="7" t="s">
        <v>57</v>
      </c>
      <c r="AT3" s="7"/>
      <c r="AU3" s="7"/>
      <c r="AV3" s="7"/>
      <c r="AW3" s="7"/>
      <c r="AX3" s="2" t="s">
        <v>58</v>
      </c>
      <c r="AY3" s="2"/>
      <c r="AZ3" s="2"/>
      <c r="BA3" s="2"/>
      <c r="BB3" s="2"/>
      <c r="BC3" s="7" t="s">
        <v>59</v>
      </c>
      <c r="BD3" s="7"/>
      <c r="BE3" s="7"/>
      <c r="BF3" s="7"/>
      <c r="BG3" s="7"/>
      <c r="BH3" s="7" t="s">
        <v>60</v>
      </c>
      <c r="BI3" s="7"/>
      <c r="BJ3" s="7"/>
      <c r="BK3" s="7"/>
      <c r="BL3" s="7"/>
      <c r="BN3" s="50" t="s">
        <v>61</v>
      </c>
      <c r="BO3" s="34" t="s">
        <v>62</v>
      </c>
      <c r="BP3" s="51"/>
      <c r="BQ3" s="34"/>
      <c r="BR3" s="52" t="s">
        <v>61</v>
      </c>
      <c r="BS3" s="31" t="s">
        <v>63</v>
      </c>
      <c r="BT3" s="53"/>
      <c r="BU3" s="54"/>
      <c r="BV3" s="52" t="s">
        <v>61</v>
      </c>
      <c r="BW3" s="31" t="s">
        <v>63</v>
      </c>
      <c r="BX3" s="55" t="s">
        <v>64</v>
      </c>
      <c r="BY3" s="51"/>
      <c r="BZ3" s="34"/>
      <c r="CA3" s="56" t="s">
        <v>61</v>
      </c>
      <c r="CB3" s="34" t="s">
        <v>65</v>
      </c>
      <c r="CC3" s="51"/>
      <c r="CD3" s="34"/>
      <c r="CE3" s="52" t="s">
        <v>61</v>
      </c>
      <c r="CF3" s="31" t="s">
        <v>63</v>
      </c>
      <c r="CG3" s="51"/>
      <c r="CH3" s="34"/>
      <c r="CI3" s="52" t="s">
        <v>61</v>
      </c>
      <c r="CJ3" s="34" t="s">
        <v>66</v>
      </c>
      <c r="CK3" s="34"/>
      <c r="CL3" s="34"/>
      <c r="CM3" s="34" t="s">
        <v>66</v>
      </c>
      <c r="CN3" s="34"/>
      <c r="CO3" s="34"/>
      <c r="CP3" s="34" t="s">
        <v>66</v>
      </c>
      <c r="CQ3" s="53"/>
      <c r="CR3" s="57"/>
      <c r="CS3" s="56" t="s">
        <v>61</v>
      </c>
      <c r="CT3" s="34" t="s">
        <v>66</v>
      </c>
      <c r="CU3" s="53"/>
      <c r="CV3" s="51"/>
      <c r="CW3" s="34"/>
      <c r="CX3" s="52" t="s">
        <v>61</v>
      </c>
      <c r="CY3" s="31" t="s">
        <v>67</v>
      </c>
      <c r="CZ3" s="53"/>
      <c r="DA3" s="34"/>
      <c r="DB3" s="52" t="s">
        <v>61</v>
      </c>
      <c r="DC3" s="31" t="s">
        <v>68</v>
      </c>
      <c r="DD3" s="53"/>
      <c r="DE3" s="34"/>
      <c r="DF3" s="52" t="s">
        <v>61</v>
      </c>
      <c r="DG3" s="31" t="s">
        <v>68</v>
      </c>
      <c r="DH3" s="53"/>
      <c r="DI3" s="34"/>
      <c r="DJ3" s="52" t="s">
        <v>61</v>
      </c>
      <c r="DK3" s="30" t="s">
        <v>69</v>
      </c>
    </row>
    <row r="4" spans="1:116" x14ac:dyDescent="0.25">
      <c r="A4" s="58" t="s">
        <v>70</v>
      </c>
      <c r="B4" s="59">
        <f>'ol4'!C15</f>
        <v>0</v>
      </c>
      <c r="C4" t="s">
        <v>71</v>
      </c>
      <c r="E4" t="s">
        <v>72</v>
      </c>
      <c r="F4" s="60">
        <f>B4*1000/(B5-B6)</f>
        <v>0</v>
      </c>
      <c r="I4" s="54">
        <f t="shared" ref="I4:I17" si="0">IF($B$12&lt;12,(IF((L4&gt;4)*AND(L4&lt;16),2,0)),IF((L4&gt;4)*AND(L4&lt;20),2,0))</f>
        <v>0</v>
      </c>
      <c r="J4" s="57">
        <v>15</v>
      </c>
      <c r="K4" s="57">
        <f t="shared" ref="K4:K17" si="1">1/POWER(1.14+2*LOG10((J4/1000)/($K$21/1000)),2)</f>
        <v>5.9655827422120798E-2</v>
      </c>
      <c r="L4" s="57">
        <f t="shared" ref="L4:L17" si="2">0.00638*K4*POWER($F$4,2)/(POWER(J4/1000,5)*$K$20)</f>
        <v>0</v>
      </c>
      <c r="M4" s="57"/>
      <c r="N4" s="57" t="e">
        <f t="shared" ref="N4:N17" si="3">IF((Q4&gt;4)*AND(Q4&lt;20),1,0)</f>
        <v>#DIV/0!</v>
      </c>
      <c r="O4" s="57">
        <v>15</v>
      </c>
      <c r="P4" s="57">
        <f t="shared" ref="P4:P17" si="4">1/POWER(1.14+2*LOG10((O4/1000)/($K$21/1000)),2)</f>
        <v>5.9655827422120798E-2</v>
      </c>
      <c r="Q4" s="61" t="e">
        <f t="shared" ref="Q4:Q17" si="5">0.00638*P4*POWER($F$11,2)/(POWER(O4/1000,5)*$K$20)</f>
        <v>#DIV/0!</v>
      </c>
      <c r="R4" s="57">
        <f t="shared" ref="R4:R17" si="6">IF((U4&gt;4)*AND(U4&lt;20),1,0)</f>
        <v>0</v>
      </c>
      <c r="S4" s="57">
        <v>15</v>
      </c>
      <c r="T4" s="57">
        <f t="shared" ref="T4:T17" si="7">1/POWER(1.14+2*LOG10((S4/1000)/($K$21/1000)),2)</f>
        <v>5.9655827422120798E-2</v>
      </c>
      <c r="U4" s="61">
        <f t="shared" ref="U4:U17" si="8">0.00638*T4*POWER($F$16,2)/(POWER(S4/1000,5)*$K$20)</f>
        <v>0</v>
      </c>
      <c r="W4" s="62" t="s">
        <v>73</v>
      </c>
      <c r="X4" s="57">
        <f>IF(B12=0,0,IF(B12&gt;12,3,1.8))</f>
        <v>3</v>
      </c>
      <c r="Y4" s="57"/>
      <c r="Z4" s="63">
        <f t="shared" ref="Z4:Z21" si="9">IF(AB4&gt;$X$5,1,0)</f>
        <v>1</v>
      </c>
      <c r="AA4" s="64">
        <v>15</v>
      </c>
      <c r="AB4" s="65">
        <v>1.6</v>
      </c>
      <c r="AC4" s="63">
        <f t="shared" ref="AC4:AC22" si="10">IF(AE4&gt;$X$5,1,0)</f>
        <v>1</v>
      </c>
      <c r="AD4" s="64">
        <v>15</v>
      </c>
      <c r="AE4" s="65">
        <v>1.6</v>
      </c>
      <c r="AF4" s="57">
        <f t="shared" ref="AF4:AF16" si="11">IF(AH4&gt;$X$5,1,0)</f>
        <v>1</v>
      </c>
      <c r="AG4" s="57">
        <v>15</v>
      </c>
      <c r="AH4" s="61">
        <v>1.6</v>
      </c>
      <c r="AJ4" s="66">
        <v>4</v>
      </c>
      <c r="AK4" s="63" t="e">
        <f t="shared" ref="AK4:AK13" si="12">IF($F$13&lt;AJ4,1,0)</f>
        <v>#DIV/0!</v>
      </c>
      <c r="AL4" s="65" t="s">
        <v>74</v>
      </c>
      <c r="AM4" s="67" t="e">
        <f t="shared" ref="AM4:AM13" si="13">IF($F$13&lt;AJ4,1,0)</f>
        <v>#DIV/0!</v>
      </c>
      <c r="AN4" s="68" t="s">
        <v>75</v>
      </c>
      <c r="AO4" s="63" t="e">
        <f t="shared" ref="AO4:AO13" si="14">IF($F$13&lt;AJ4,1,0)</f>
        <v>#DIV/0!</v>
      </c>
      <c r="AP4" s="69" t="s">
        <v>76</v>
      </c>
      <c r="AS4" s="63">
        <v>0.1</v>
      </c>
      <c r="AT4" s="64">
        <f t="shared" ref="AT4:AT11" si="15">IF($B$4&lt;AS4,1,0)</f>
        <v>1</v>
      </c>
      <c r="AU4" s="64" t="s">
        <v>77</v>
      </c>
      <c r="AV4" s="64">
        <f t="shared" ref="AV4:AV11" si="16">IF($B$4&lt;AS4,1,0)</f>
        <v>1</v>
      </c>
      <c r="AW4" s="17">
        <v>1</v>
      </c>
      <c r="AX4" s="63">
        <v>0.1</v>
      </c>
      <c r="AY4" s="64">
        <f t="shared" ref="AY4:AY11" si="17">IF($B$4&lt;AX4,1,0)</f>
        <v>1</v>
      </c>
      <c r="AZ4" s="64" t="s">
        <v>77</v>
      </c>
      <c r="BA4" s="64">
        <f t="shared" ref="BA4:BA11" si="18">IF($B$4&lt;AX4,1,0)</f>
        <v>1</v>
      </c>
      <c r="BB4" s="17">
        <v>1</v>
      </c>
      <c r="BC4" s="54">
        <v>0.14000000000000001</v>
      </c>
      <c r="BD4" s="57">
        <f t="shared" ref="BD4:BD10" si="19">IF($B$4&lt;BC4,1,0)</f>
        <v>1</v>
      </c>
      <c r="BE4" s="64" t="s">
        <v>77</v>
      </c>
      <c r="BF4" s="57">
        <f t="shared" ref="BF4:BF10" si="20">IF($B$4&lt;BC4,1,0)</f>
        <v>1</v>
      </c>
      <c r="BG4" s="55">
        <v>1</v>
      </c>
      <c r="BH4" s="57">
        <v>0.05</v>
      </c>
      <c r="BI4" s="57">
        <f t="shared" ref="BI4:BI13" si="21">IF($B$4&lt;BH4,1,0)</f>
        <v>1</v>
      </c>
      <c r="BJ4" s="57" t="s">
        <v>77</v>
      </c>
      <c r="BK4" s="57">
        <f t="shared" ref="BK4:BK13" si="22">IF($B$4&lt;BH4,1,0)</f>
        <v>1</v>
      </c>
      <c r="BL4" s="61">
        <v>1</v>
      </c>
      <c r="BN4" s="50" t="s">
        <v>78</v>
      </c>
      <c r="BO4" s="34" t="s">
        <v>79</v>
      </c>
      <c r="BP4" s="51"/>
      <c r="BQ4" s="34" t="e">
        <f t="shared" ref="BQ4:BQ15" si="23">IF($F$5=BS4,1,0)</f>
        <v>#N/A</v>
      </c>
      <c r="BR4" s="56" t="s">
        <v>80</v>
      </c>
      <c r="BS4" s="34">
        <v>15</v>
      </c>
      <c r="BT4" s="53"/>
      <c r="BU4" s="70">
        <f t="shared" ref="BU4:BU26" si="24">IF($F$7=BX4,1,0)</f>
        <v>0</v>
      </c>
      <c r="BV4" s="56" t="s">
        <v>80</v>
      </c>
      <c r="BW4" s="34">
        <v>15</v>
      </c>
      <c r="BX4" s="55">
        <v>0.63</v>
      </c>
      <c r="BY4" s="51"/>
      <c r="BZ4" s="34">
        <f>IF($B$14=CB4,1,0)</f>
        <v>0</v>
      </c>
      <c r="CA4" s="56" t="s">
        <v>78</v>
      </c>
      <c r="CB4" s="34" t="s">
        <v>53</v>
      </c>
      <c r="CC4" s="51"/>
      <c r="CD4" s="34" t="e">
        <f t="shared" ref="CD4:CD15" si="25">IF($F$12=CF4,1,0)</f>
        <v>#N/A</v>
      </c>
      <c r="CE4" s="56" t="s">
        <v>80</v>
      </c>
      <c r="CF4" s="34">
        <v>15</v>
      </c>
      <c r="CG4" s="51"/>
      <c r="CH4" s="34" t="e">
        <f t="shared" ref="CH4:CH14" si="26">IF($E$14=CJ4,1,0)</f>
        <v>#N/A</v>
      </c>
      <c r="CI4" s="31">
        <v>1</v>
      </c>
      <c r="CJ4" s="31" t="s">
        <v>74</v>
      </c>
      <c r="CK4" s="31" t="e">
        <f t="shared" ref="CK4:CK10" si="27">IF($E$14=CM4,1,0)</f>
        <v>#N/A</v>
      </c>
      <c r="CL4" s="31">
        <v>1</v>
      </c>
      <c r="CM4" s="71" t="s">
        <v>75</v>
      </c>
      <c r="CN4" s="71" t="e">
        <f t="shared" ref="CN4:CN10" si="28">IF($E$14=CP4,1,0)</f>
        <v>#N/A</v>
      </c>
      <c r="CO4" s="31">
        <v>1</v>
      </c>
      <c r="CP4" s="71" t="s">
        <v>76</v>
      </c>
      <c r="CQ4" s="53"/>
      <c r="CR4" t="e">
        <f>IF(OR(E14="DPL 80/115-2,2/2",E14="DPL 100/175-3/4"),1,0)</f>
        <v>#N/A</v>
      </c>
      <c r="CS4" s="15">
        <v>5</v>
      </c>
      <c r="CU4" s="53"/>
      <c r="CV4" s="51"/>
      <c r="CW4" s="34">
        <f t="shared" ref="CW4:CW10" si="29">IF($E$9=CY4,1,0)</f>
        <v>0</v>
      </c>
      <c r="CX4" s="56" t="s">
        <v>81</v>
      </c>
      <c r="CY4" s="57" t="s">
        <v>82</v>
      </c>
      <c r="CZ4" s="53"/>
      <c r="DA4" s="34">
        <f t="shared" ref="DA4:DA9" si="30">IF($F$9=DC4,1,0)</f>
        <v>0</v>
      </c>
      <c r="DB4" s="56" t="s">
        <v>81</v>
      </c>
      <c r="DC4" s="57" t="s">
        <v>82</v>
      </c>
      <c r="DD4" s="53"/>
      <c r="DE4" s="34">
        <f>IF($B$16=DG4,1,0)</f>
        <v>0</v>
      </c>
      <c r="DF4" s="56" t="s">
        <v>78</v>
      </c>
      <c r="DG4" s="34" t="s">
        <v>83</v>
      </c>
      <c r="DH4" s="53"/>
      <c r="DI4" s="34">
        <f>IF($B$17=DK4,1,0)</f>
        <v>0</v>
      </c>
      <c r="DJ4" s="56" t="s">
        <v>78</v>
      </c>
      <c r="DK4" s="61" t="s">
        <v>84</v>
      </c>
    </row>
    <row r="5" spans="1:116" x14ac:dyDescent="0.25">
      <c r="A5" s="58" t="s">
        <v>85</v>
      </c>
      <c r="B5" s="59">
        <f>'ol4'!N13</f>
        <v>130</v>
      </c>
      <c r="C5" s="72" t="s">
        <v>86</v>
      </c>
      <c r="E5" t="s">
        <v>48</v>
      </c>
      <c r="F5" s="73" t="e">
        <f>VLOOKUP(2,I4:L17,2,0)</f>
        <v>#N/A</v>
      </c>
      <c r="I5" s="54">
        <f t="shared" si="0"/>
        <v>0</v>
      </c>
      <c r="J5" s="57">
        <v>20</v>
      </c>
      <c r="K5" s="57">
        <f t="shared" si="1"/>
        <v>5.2990299783484442E-2</v>
      </c>
      <c r="L5" s="57">
        <f t="shared" si="2"/>
        <v>0</v>
      </c>
      <c r="M5" s="57"/>
      <c r="N5" s="57" t="e">
        <f t="shared" si="3"/>
        <v>#DIV/0!</v>
      </c>
      <c r="O5" s="57">
        <v>20</v>
      </c>
      <c r="P5" s="57">
        <f t="shared" si="4"/>
        <v>5.2990299783484442E-2</v>
      </c>
      <c r="Q5" s="61" t="e">
        <f t="shared" si="5"/>
        <v>#DIV/0!</v>
      </c>
      <c r="R5" s="57">
        <f t="shared" si="6"/>
        <v>0</v>
      </c>
      <c r="S5" s="57">
        <v>20</v>
      </c>
      <c r="T5" s="57">
        <f t="shared" si="7"/>
        <v>5.2990299783484442E-2</v>
      </c>
      <c r="U5" s="61">
        <f t="shared" si="8"/>
        <v>0</v>
      </c>
      <c r="W5" s="62" t="s">
        <v>87</v>
      </c>
      <c r="X5" s="74">
        <f>F4/SQRT(0.1*X4)</f>
        <v>0</v>
      </c>
      <c r="Y5" s="74"/>
      <c r="Z5" s="54">
        <f t="shared" si="9"/>
        <v>1</v>
      </c>
      <c r="AA5" s="57">
        <v>15</v>
      </c>
      <c r="AB5" s="61">
        <v>2.5</v>
      </c>
      <c r="AC5" s="54">
        <f t="shared" si="10"/>
        <v>1</v>
      </c>
      <c r="AD5" s="57">
        <v>15</v>
      </c>
      <c r="AE5" s="61">
        <v>2.5</v>
      </c>
      <c r="AF5" s="57">
        <f t="shared" si="11"/>
        <v>1</v>
      </c>
      <c r="AG5" s="57">
        <v>15</v>
      </c>
      <c r="AH5" s="61">
        <v>2.5</v>
      </c>
      <c r="AJ5" s="70">
        <v>6</v>
      </c>
      <c r="AK5" s="54" t="e">
        <f t="shared" si="12"/>
        <v>#DIV/0!</v>
      </c>
      <c r="AL5" s="61" t="s">
        <v>88</v>
      </c>
      <c r="AM5" s="53" t="e">
        <f t="shared" si="13"/>
        <v>#DIV/0!</v>
      </c>
      <c r="AN5" s="53" t="s">
        <v>89</v>
      </c>
      <c r="AO5" s="54" t="e">
        <f t="shared" si="14"/>
        <v>#DIV/0!</v>
      </c>
      <c r="AP5" s="75" t="s">
        <v>90</v>
      </c>
      <c r="AS5" s="54">
        <v>0.25</v>
      </c>
      <c r="AT5" s="57">
        <f t="shared" si="15"/>
        <v>1</v>
      </c>
      <c r="AU5" s="57" t="s">
        <v>91</v>
      </c>
      <c r="AV5" s="57">
        <f t="shared" si="16"/>
        <v>1</v>
      </c>
      <c r="AW5" s="30">
        <v>1</v>
      </c>
      <c r="AX5" s="54">
        <v>0.25</v>
      </c>
      <c r="AY5" s="57">
        <f t="shared" si="17"/>
        <v>1</v>
      </c>
      <c r="AZ5" s="57" t="s">
        <v>91</v>
      </c>
      <c r="BA5" s="57">
        <f t="shared" si="18"/>
        <v>1</v>
      </c>
      <c r="BB5" s="30">
        <v>1</v>
      </c>
      <c r="BC5" s="54">
        <v>0.45</v>
      </c>
      <c r="BD5" s="57">
        <f t="shared" si="19"/>
        <v>1</v>
      </c>
      <c r="BE5" s="57" t="s">
        <v>92</v>
      </c>
      <c r="BF5" s="57">
        <f t="shared" si="20"/>
        <v>1</v>
      </c>
      <c r="BG5" s="55">
        <v>1</v>
      </c>
      <c r="BH5" s="57">
        <v>0.09</v>
      </c>
      <c r="BI5" s="57">
        <f t="shared" si="21"/>
        <v>1</v>
      </c>
      <c r="BJ5" s="57" t="s">
        <v>93</v>
      </c>
      <c r="BK5" s="57">
        <f t="shared" si="22"/>
        <v>1</v>
      </c>
      <c r="BL5" s="61">
        <v>1</v>
      </c>
      <c r="BN5" s="50" t="s">
        <v>94</v>
      </c>
      <c r="BO5" s="34" t="s">
        <v>95</v>
      </c>
      <c r="BP5" s="51"/>
      <c r="BQ5" s="34" t="e">
        <f t="shared" si="23"/>
        <v>#N/A</v>
      </c>
      <c r="BR5" s="56" t="s">
        <v>96</v>
      </c>
      <c r="BS5" s="34">
        <v>20</v>
      </c>
      <c r="BT5" s="53"/>
      <c r="BU5" s="70">
        <f t="shared" si="24"/>
        <v>0</v>
      </c>
      <c r="BV5" s="56" t="s">
        <v>96</v>
      </c>
      <c r="BW5" s="34">
        <v>15</v>
      </c>
      <c r="BX5" s="55">
        <v>1.25</v>
      </c>
      <c r="BY5" s="51"/>
      <c r="BZ5" s="34">
        <f>IF($B$14=CB5,1,0)</f>
        <v>0</v>
      </c>
      <c r="CA5" s="56" t="s">
        <v>94</v>
      </c>
      <c r="CB5" s="34" t="s">
        <v>55</v>
      </c>
      <c r="CC5" s="51"/>
      <c r="CD5" s="34" t="e">
        <f t="shared" si="25"/>
        <v>#N/A</v>
      </c>
      <c r="CE5" s="56" t="s">
        <v>96</v>
      </c>
      <c r="CF5" s="34">
        <v>20</v>
      </c>
      <c r="CG5" s="51"/>
      <c r="CH5" s="34" t="e">
        <f t="shared" si="26"/>
        <v>#N/A</v>
      </c>
      <c r="CI5" s="31">
        <v>2</v>
      </c>
      <c r="CJ5" s="31" t="s">
        <v>88</v>
      </c>
      <c r="CK5" s="31" t="e">
        <f t="shared" si="27"/>
        <v>#N/A</v>
      </c>
      <c r="CL5" s="31">
        <v>2</v>
      </c>
      <c r="CM5" s="31" t="s">
        <v>89</v>
      </c>
      <c r="CN5" s="71" t="e">
        <f t="shared" si="28"/>
        <v>#N/A</v>
      </c>
      <c r="CO5" s="31">
        <v>2</v>
      </c>
      <c r="CP5" s="71" t="s">
        <v>90</v>
      </c>
      <c r="CQ5" s="53"/>
      <c r="CR5" s="57">
        <f>IF($B$15=CT5,1,0)</f>
        <v>0</v>
      </c>
      <c r="CS5" s="31">
        <v>1</v>
      </c>
      <c r="CT5" s="31" t="s">
        <v>33</v>
      </c>
      <c r="CU5" s="53"/>
      <c r="CV5" s="51"/>
      <c r="CW5" s="34">
        <f t="shared" si="29"/>
        <v>1</v>
      </c>
      <c r="CX5" s="56" t="s">
        <v>78</v>
      </c>
      <c r="CY5" s="34" t="s">
        <v>77</v>
      </c>
      <c r="CZ5" s="53"/>
      <c r="DA5" s="34">
        <f t="shared" si="30"/>
        <v>1</v>
      </c>
      <c r="DB5" s="56" t="s">
        <v>78</v>
      </c>
      <c r="DC5" s="34">
        <v>1</v>
      </c>
      <c r="DD5" s="53"/>
      <c r="DE5" s="34">
        <f>IF($B$16=DG5,1,0)</f>
        <v>0</v>
      </c>
      <c r="DF5" s="56" t="s">
        <v>94</v>
      </c>
      <c r="DG5" s="34" t="s">
        <v>55</v>
      </c>
      <c r="DH5" s="53"/>
      <c r="DI5" s="34">
        <f>IF($B$17=DK5,1,0)</f>
        <v>1</v>
      </c>
      <c r="DJ5" s="56" t="s">
        <v>81</v>
      </c>
      <c r="DK5" s="55" t="s">
        <v>97</v>
      </c>
    </row>
    <row r="6" spans="1:116" x14ac:dyDescent="0.25">
      <c r="A6" s="58" t="s">
        <v>98</v>
      </c>
      <c r="B6" s="59">
        <f>IF(OR('ol4'!C28="зависимая",'ol4'!C28=0),'ol4'!R13,IF(('ol4'!R13-B8)&lt;5,B8+5,'ol4'!R13))</f>
        <v>70</v>
      </c>
      <c r="C6" s="72" t="s">
        <v>86</v>
      </c>
      <c r="E6" t="s">
        <v>99</v>
      </c>
      <c r="F6" s="73">
        <f>VLOOKUP(1,IF(B14="IMI Hydronic",Z4:AB21,IF(B14="Siemens",AC4:AE22,AF4:AH16)),2,0)</f>
        <v>15</v>
      </c>
      <c r="I6" s="54">
        <f t="shared" si="0"/>
        <v>0</v>
      </c>
      <c r="J6" s="57">
        <v>25</v>
      </c>
      <c r="K6" s="57">
        <f t="shared" si="1"/>
        <v>4.8560427292756572E-2</v>
      </c>
      <c r="L6" s="57">
        <f t="shared" si="2"/>
        <v>0</v>
      </c>
      <c r="M6" s="57"/>
      <c r="N6" s="57" t="e">
        <f t="shared" si="3"/>
        <v>#DIV/0!</v>
      </c>
      <c r="O6" s="57">
        <v>25</v>
      </c>
      <c r="P6" s="57">
        <f t="shared" si="4"/>
        <v>4.8560427292756572E-2</v>
      </c>
      <c r="Q6" s="61" t="e">
        <f t="shared" si="5"/>
        <v>#DIV/0!</v>
      </c>
      <c r="R6" s="57">
        <f t="shared" si="6"/>
        <v>0</v>
      </c>
      <c r="S6" s="57">
        <v>25</v>
      </c>
      <c r="T6" s="57">
        <f t="shared" si="7"/>
        <v>4.8560427292756572E-2</v>
      </c>
      <c r="U6" s="61">
        <f t="shared" si="8"/>
        <v>0</v>
      </c>
      <c r="W6" s="54"/>
      <c r="X6" s="57"/>
      <c r="Y6" s="57"/>
      <c r="Z6" s="54">
        <f t="shared" si="9"/>
        <v>1</v>
      </c>
      <c r="AA6" s="57">
        <v>15</v>
      </c>
      <c r="AB6" s="61">
        <v>4</v>
      </c>
      <c r="AC6" s="54">
        <f t="shared" si="10"/>
        <v>1</v>
      </c>
      <c r="AD6" s="57">
        <v>15</v>
      </c>
      <c r="AE6" s="61">
        <v>4</v>
      </c>
      <c r="AF6" s="57">
        <f t="shared" si="11"/>
        <v>1</v>
      </c>
      <c r="AG6" s="57">
        <v>15</v>
      </c>
      <c r="AH6" s="61">
        <v>4</v>
      </c>
      <c r="AJ6" s="70">
        <v>10</v>
      </c>
      <c r="AK6" s="54" t="e">
        <f t="shared" si="12"/>
        <v>#DIV/0!</v>
      </c>
      <c r="AL6" s="61" t="s">
        <v>100</v>
      </c>
      <c r="AM6" s="53" t="e">
        <f t="shared" si="13"/>
        <v>#DIV/0!</v>
      </c>
      <c r="AN6" s="53" t="s">
        <v>101</v>
      </c>
      <c r="AO6" s="54" t="e">
        <f t="shared" si="14"/>
        <v>#DIV/0!</v>
      </c>
      <c r="AP6" s="75" t="s">
        <v>102</v>
      </c>
      <c r="AR6" s="57"/>
      <c r="AS6" s="54">
        <v>0.67</v>
      </c>
      <c r="AT6" s="57">
        <f t="shared" si="15"/>
        <v>1</v>
      </c>
      <c r="AU6" s="57" t="s">
        <v>92</v>
      </c>
      <c r="AV6" s="57">
        <f t="shared" si="16"/>
        <v>1</v>
      </c>
      <c r="AW6" s="30">
        <v>1</v>
      </c>
      <c r="AX6" s="54">
        <v>0.57499999999999996</v>
      </c>
      <c r="AY6" s="57">
        <f t="shared" si="17"/>
        <v>1</v>
      </c>
      <c r="AZ6" s="57" t="s">
        <v>92</v>
      </c>
      <c r="BA6" s="57">
        <f t="shared" si="18"/>
        <v>1</v>
      </c>
      <c r="BB6" s="30">
        <v>1</v>
      </c>
      <c r="BC6" s="54">
        <v>0.71</v>
      </c>
      <c r="BD6" s="57">
        <f t="shared" si="19"/>
        <v>1</v>
      </c>
      <c r="BE6" s="57" t="s">
        <v>92</v>
      </c>
      <c r="BF6" s="57">
        <f t="shared" si="20"/>
        <v>1</v>
      </c>
      <c r="BG6" s="55">
        <v>2</v>
      </c>
      <c r="BH6">
        <v>0.3</v>
      </c>
      <c r="BI6" s="57">
        <f t="shared" si="21"/>
        <v>1</v>
      </c>
      <c r="BJ6" s="57" t="s">
        <v>92</v>
      </c>
      <c r="BK6" s="57">
        <f t="shared" si="22"/>
        <v>1</v>
      </c>
      <c r="BL6" s="61">
        <v>1</v>
      </c>
      <c r="BN6" s="50"/>
      <c r="BO6" s="34"/>
      <c r="BP6" s="51"/>
      <c r="BQ6" s="34" t="e">
        <f t="shared" si="23"/>
        <v>#N/A</v>
      </c>
      <c r="BR6" s="56" t="s">
        <v>103</v>
      </c>
      <c r="BS6" s="34">
        <v>25</v>
      </c>
      <c r="BT6" s="53"/>
      <c r="BU6" s="70">
        <f t="shared" si="24"/>
        <v>1</v>
      </c>
      <c r="BV6" s="56" t="s">
        <v>103</v>
      </c>
      <c r="BW6" s="34">
        <v>15</v>
      </c>
      <c r="BX6" s="55">
        <v>1.6</v>
      </c>
      <c r="BY6" s="51"/>
      <c r="BZ6" s="34">
        <f>IF($B$14=CB6,1,0)</f>
        <v>0</v>
      </c>
      <c r="CA6" s="56" t="s">
        <v>104</v>
      </c>
      <c r="CB6" s="34" t="s">
        <v>54</v>
      </c>
      <c r="CC6" s="51"/>
      <c r="CD6" s="34" t="e">
        <f t="shared" si="25"/>
        <v>#N/A</v>
      </c>
      <c r="CE6" s="56" t="s">
        <v>103</v>
      </c>
      <c r="CF6" s="34">
        <v>25</v>
      </c>
      <c r="CG6" s="51"/>
      <c r="CH6" s="34" t="e">
        <f t="shared" si="26"/>
        <v>#N/A</v>
      </c>
      <c r="CI6" s="31">
        <v>3</v>
      </c>
      <c r="CJ6" s="31" t="s">
        <v>100</v>
      </c>
      <c r="CK6" s="31" t="e">
        <f t="shared" si="27"/>
        <v>#N/A</v>
      </c>
      <c r="CL6" s="31">
        <v>3</v>
      </c>
      <c r="CM6" s="31" t="s">
        <v>101</v>
      </c>
      <c r="CN6" s="71" t="e">
        <f t="shared" si="28"/>
        <v>#N/A</v>
      </c>
      <c r="CO6" s="31">
        <v>3</v>
      </c>
      <c r="CP6" s="71" t="s">
        <v>102</v>
      </c>
      <c r="CQ6" s="53"/>
      <c r="CR6" s="57">
        <f>IF($B$15=CT6,1,0)</f>
        <v>0</v>
      </c>
      <c r="CS6" s="31">
        <v>2</v>
      </c>
      <c r="CT6" s="31" t="s">
        <v>34</v>
      </c>
      <c r="CU6" s="53"/>
      <c r="CV6" s="51"/>
      <c r="CW6" s="34">
        <f t="shared" si="29"/>
        <v>0</v>
      </c>
      <c r="CX6" s="56" t="s">
        <v>94</v>
      </c>
      <c r="CY6" s="34" t="s">
        <v>91</v>
      </c>
      <c r="CZ6" s="53"/>
      <c r="DA6" s="34">
        <f t="shared" si="30"/>
        <v>0</v>
      </c>
      <c r="DB6" s="56" t="s">
        <v>94</v>
      </c>
      <c r="DC6" s="34">
        <v>2</v>
      </c>
      <c r="DD6" s="53"/>
      <c r="DE6" s="34">
        <f>IF($B$16=DG6,1,0)</f>
        <v>0</v>
      </c>
      <c r="DF6" s="56" t="s">
        <v>104</v>
      </c>
      <c r="DG6" s="76" t="s">
        <v>54</v>
      </c>
      <c r="DH6" s="53"/>
      <c r="DI6" s="34"/>
      <c r="DJ6" s="56"/>
      <c r="DK6" s="55"/>
    </row>
    <row r="7" spans="1:116" x14ac:dyDescent="0.25">
      <c r="A7" s="58" t="s">
        <v>105</v>
      </c>
      <c r="B7" s="59">
        <f>'ol4'!N15</f>
        <v>0</v>
      </c>
      <c r="C7" s="72" t="s">
        <v>86</v>
      </c>
      <c r="E7" t="s">
        <v>106</v>
      </c>
      <c r="F7" s="73">
        <f>VLOOKUP(1,IF(B14="IMI Hydronic",Z4:AB21,IF(B14="Siemens",AC4:AE22,AF4:AH16)),3,0)</f>
        <v>1.6</v>
      </c>
      <c r="I7" s="54">
        <f t="shared" si="0"/>
        <v>0</v>
      </c>
      <c r="J7" s="57">
        <v>32</v>
      </c>
      <c r="K7" s="57">
        <f t="shared" si="1"/>
        <v>4.4277322004702871E-2</v>
      </c>
      <c r="L7" s="57">
        <f t="shared" si="2"/>
        <v>0</v>
      </c>
      <c r="M7" s="57"/>
      <c r="N7" s="57" t="e">
        <f t="shared" si="3"/>
        <v>#DIV/0!</v>
      </c>
      <c r="O7" s="57">
        <v>32</v>
      </c>
      <c r="P7" s="57">
        <f t="shared" si="4"/>
        <v>4.4277322004702871E-2</v>
      </c>
      <c r="Q7" s="61" t="e">
        <f t="shared" si="5"/>
        <v>#DIV/0!</v>
      </c>
      <c r="R7" s="57">
        <f t="shared" si="6"/>
        <v>0</v>
      </c>
      <c r="S7" s="57">
        <v>32</v>
      </c>
      <c r="T7" s="57">
        <f t="shared" si="7"/>
        <v>4.4277322004702871E-2</v>
      </c>
      <c r="U7" s="61">
        <f t="shared" si="8"/>
        <v>0</v>
      </c>
      <c r="W7" s="54"/>
      <c r="X7" s="57"/>
      <c r="Y7" s="57"/>
      <c r="Z7" s="54">
        <f t="shared" si="9"/>
        <v>1</v>
      </c>
      <c r="AA7" s="57">
        <v>20</v>
      </c>
      <c r="AB7" s="61">
        <v>6.3</v>
      </c>
      <c r="AC7" s="54">
        <f t="shared" si="10"/>
        <v>1</v>
      </c>
      <c r="AD7" s="57">
        <v>20</v>
      </c>
      <c r="AE7" s="61">
        <v>6.3</v>
      </c>
      <c r="AF7" s="57">
        <f t="shared" si="11"/>
        <v>1</v>
      </c>
      <c r="AG7" s="57">
        <v>20</v>
      </c>
      <c r="AH7" s="61">
        <v>6.3</v>
      </c>
      <c r="AJ7" s="70">
        <v>14</v>
      </c>
      <c r="AK7" s="54" t="e">
        <f t="shared" si="12"/>
        <v>#DIV/0!</v>
      </c>
      <c r="AL7" s="61" t="s">
        <v>107</v>
      </c>
      <c r="AM7" s="53" t="e">
        <f t="shared" si="13"/>
        <v>#DIV/0!</v>
      </c>
      <c r="AN7" s="53" t="s">
        <v>108</v>
      </c>
      <c r="AO7" s="54" t="e">
        <f t="shared" si="14"/>
        <v>#DIV/0!</v>
      </c>
      <c r="AP7" s="53" t="s">
        <v>109</v>
      </c>
      <c r="AR7" s="57"/>
      <c r="AS7" s="54">
        <v>1</v>
      </c>
      <c r="AT7" s="57">
        <f t="shared" si="15"/>
        <v>1</v>
      </c>
      <c r="AU7" s="57" t="s">
        <v>92</v>
      </c>
      <c r="AV7" s="57">
        <f t="shared" si="16"/>
        <v>1</v>
      </c>
      <c r="AW7" s="30">
        <v>2</v>
      </c>
      <c r="AX7" s="54">
        <v>0.9</v>
      </c>
      <c r="AY7" s="57">
        <f t="shared" si="17"/>
        <v>1</v>
      </c>
      <c r="AZ7" s="57" t="s">
        <v>92</v>
      </c>
      <c r="BA7" s="57">
        <f t="shared" si="18"/>
        <v>1</v>
      </c>
      <c r="BB7" s="30">
        <v>2</v>
      </c>
      <c r="BC7" s="54">
        <v>0.95</v>
      </c>
      <c r="BD7" s="57">
        <f t="shared" si="19"/>
        <v>1</v>
      </c>
      <c r="BE7" s="57" t="s">
        <v>92</v>
      </c>
      <c r="BF7" s="57">
        <f t="shared" si="20"/>
        <v>1</v>
      </c>
      <c r="BG7" s="77">
        <v>3</v>
      </c>
      <c r="BH7">
        <v>0.48</v>
      </c>
      <c r="BI7" s="57">
        <f t="shared" si="21"/>
        <v>1</v>
      </c>
      <c r="BJ7" s="57" t="s">
        <v>92</v>
      </c>
      <c r="BK7" s="57">
        <f t="shared" si="22"/>
        <v>1</v>
      </c>
      <c r="BL7" s="61">
        <v>2</v>
      </c>
      <c r="BN7" s="50"/>
      <c r="BO7" s="34"/>
      <c r="BP7" s="51"/>
      <c r="BQ7" s="34" t="e">
        <f t="shared" si="23"/>
        <v>#N/A</v>
      </c>
      <c r="BR7" s="56" t="s">
        <v>110</v>
      </c>
      <c r="BS7" s="34">
        <v>32</v>
      </c>
      <c r="BT7" s="53"/>
      <c r="BU7" s="70">
        <f t="shared" si="24"/>
        <v>0</v>
      </c>
      <c r="BV7" s="56" t="s">
        <v>110</v>
      </c>
      <c r="BW7" s="34">
        <v>15</v>
      </c>
      <c r="BX7" s="55">
        <v>2.5</v>
      </c>
      <c r="BY7" s="51"/>
      <c r="BZ7" s="34"/>
      <c r="CA7" s="56"/>
      <c r="CB7" s="34"/>
      <c r="CC7" s="51"/>
      <c r="CD7" s="34" t="e">
        <f t="shared" si="25"/>
        <v>#N/A</v>
      </c>
      <c r="CE7" s="56" t="s">
        <v>110</v>
      </c>
      <c r="CF7" s="34">
        <v>32</v>
      </c>
      <c r="CG7" s="51"/>
      <c r="CH7" s="34" t="e">
        <f t="shared" si="26"/>
        <v>#N/A</v>
      </c>
      <c r="CI7" s="76">
        <v>4</v>
      </c>
      <c r="CJ7" s="31" t="s">
        <v>107</v>
      </c>
      <c r="CK7" s="31" t="e">
        <f t="shared" si="27"/>
        <v>#N/A</v>
      </c>
      <c r="CL7" s="76">
        <v>4</v>
      </c>
      <c r="CM7" s="31" t="s">
        <v>108</v>
      </c>
      <c r="CN7" s="71" t="e">
        <f t="shared" si="28"/>
        <v>#N/A</v>
      </c>
      <c r="CO7" s="76">
        <v>4</v>
      </c>
      <c r="CP7" s="31" t="s">
        <v>109</v>
      </c>
      <c r="CQ7" s="53"/>
      <c r="CR7" s="57">
        <f>IF($B$15=CT7,1,0)</f>
        <v>0</v>
      </c>
      <c r="CS7" s="31">
        <v>3</v>
      </c>
      <c r="CT7" s="76" t="s">
        <v>35</v>
      </c>
      <c r="CU7" s="53"/>
      <c r="CV7" s="51"/>
      <c r="CW7" s="34">
        <f t="shared" si="29"/>
        <v>0</v>
      </c>
      <c r="CX7" s="56" t="s">
        <v>104</v>
      </c>
      <c r="CY7" s="76" t="s">
        <v>93</v>
      </c>
      <c r="CZ7" s="53"/>
      <c r="DA7" s="34">
        <f t="shared" si="30"/>
        <v>0</v>
      </c>
      <c r="DB7" s="56" t="s">
        <v>104</v>
      </c>
      <c r="DC7" s="34">
        <v>3</v>
      </c>
      <c r="DD7" s="53"/>
      <c r="DE7" s="34"/>
      <c r="DF7" s="57"/>
      <c r="DG7" s="57"/>
      <c r="DH7" s="53"/>
      <c r="DI7" s="34"/>
      <c r="DJ7" s="56"/>
      <c r="DK7" s="30"/>
    </row>
    <row r="8" spans="1:116" x14ac:dyDescent="0.25">
      <c r="A8" s="58" t="s">
        <v>111</v>
      </c>
      <c r="B8" s="59">
        <f>'ol4'!R15</f>
        <v>0</v>
      </c>
      <c r="C8" s="72" t="s">
        <v>86</v>
      </c>
      <c r="E8" s="78" t="s">
        <v>73</v>
      </c>
      <c r="F8" s="60">
        <f>(F4^2/F7^2)*10</f>
        <v>0</v>
      </c>
      <c r="I8" s="54">
        <f t="shared" si="0"/>
        <v>0</v>
      </c>
      <c r="J8" s="57">
        <v>40</v>
      </c>
      <c r="K8" s="57">
        <f t="shared" si="1"/>
        <v>4.0875226338606248E-2</v>
      </c>
      <c r="L8" s="57">
        <f t="shared" si="2"/>
        <v>0</v>
      </c>
      <c r="M8" s="57"/>
      <c r="N8" s="57" t="e">
        <f t="shared" si="3"/>
        <v>#DIV/0!</v>
      </c>
      <c r="O8" s="57">
        <v>40</v>
      </c>
      <c r="P8" s="57">
        <f t="shared" si="4"/>
        <v>4.0875226338606248E-2</v>
      </c>
      <c r="Q8" s="61" t="e">
        <f t="shared" si="5"/>
        <v>#DIV/0!</v>
      </c>
      <c r="R8" s="57">
        <f t="shared" si="6"/>
        <v>0</v>
      </c>
      <c r="S8" s="57">
        <v>40</v>
      </c>
      <c r="T8" s="57">
        <f t="shared" si="7"/>
        <v>4.0875226338606248E-2</v>
      </c>
      <c r="U8" s="61">
        <f t="shared" si="8"/>
        <v>0</v>
      </c>
      <c r="W8" s="62"/>
      <c r="X8" s="57"/>
      <c r="Y8" s="74"/>
      <c r="Z8" s="54">
        <f t="shared" si="9"/>
        <v>1</v>
      </c>
      <c r="AA8" s="57">
        <v>25</v>
      </c>
      <c r="AB8" s="61">
        <v>10</v>
      </c>
      <c r="AC8" s="54">
        <f t="shared" si="10"/>
        <v>1</v>
      </c>
      <c r="AD8" s="57">
        <v>25</v>
      </c>
      <c r="AE8" s="61">
        <v>10</v>
      </c>
      <c r="AF8" s="57">
        <f t="shared" si="11"/>
        <v>1</v>
      </c>
      <c r="AG8" s="57">
        <v>25</v>
      </c>
      <c r="AH8" s="61">
        <v>10</v>
      </c>
      <c r="AJ8" s="70">
        <v>25</v>
      </c>
      <c r="AK8" s="54" t="e">
        <f t="shared" si="12"/>
        <v>#DIV/0!</v>
      </c>
      <c r="AL8" s="61" t="s">
        <v>112</v>
      </c>
      <c r="AM8" s="53" t="e">
        <f t="shared" si="13"/>
        <v>#DIV/0!</v>
      </c>
      <c r="AN8" s="53" t="s">
        <v>113</v>
      </c>
      <c r="AO8" s="54" t="e">
        <f t="shared" si="14"/>
        <v>#DIV/0!</v>
      </c>
      <c r="AP8" s="75" t="s">
        <v>114</v>
      </c>
      <c r="AR8" s="57"/>
      <c r="AS8" s="54">
        <v>1.25</v>
      </c>
      <c r="AT8" s="57">
        <f t="shared" si="15"/>
        <v>1</v>
      </c>
      <c r="AU8" s="57" t="s">
        <v>92</v>
      </c>
      <c r="AV8" s="57">
        <f t="shared" si="16"/>
        <v>1</v>
      </c>
      <c r="AW8" s="30">
        <v>3</v>
      </c>
      <c r="AX8" s="54">
        <v>1.1599999999999999</v>
      </c>
      <c r="AY8" s="57">
        <f t="shared" si="17"/>
        <v>1</v>
      </c>
      <c r="AZ8" s="57" t="s">
        <v>92</v>
      </c>
      <c r="BA8" s="57">
        <f t="shared" si="18"/>
        <v>1</v>
      </c>
      <c r="BB8" s="30">
        <v>3</v>
      </c>
      <c r="BC8" s="54">
        <v>1.25</v>
      </c>
      <c r="BD8" s="57">
        <f t="shared" si="19"/>
        <v>1</v>
      </c>
      <c r="BE8" s="57" t="s">
        <v>92</v>
      </c>
      <c r="BF8" s="57">
        <f t="shared" si="20"/>
        <v>1</v>
      </c>
      <c r="BG8" s="77">
        <v>4</v>
      </c>
      <c r="BH8">
        <v>0.66</v>
      </c>
      <c r="BI8" s="57">
        <f t="shared" si="21"/>
        <v>1</v>
      </c>
      <c r="BJ8" s="57" t="s">
        <v>92</v>
      </c>
      <c r="BK8" s="57">
        <f t="shared" si="22"/>
        <v>1</v>
      </c>
      <c r="BL8" s="61">
        <v>3</v>
      </c>
      <c r="BN8" s="50"/>
      <c r="BO8" s="34"/>
      <c r="BP8" s="51"/>
      <c r="BQ8" s="34" t="e">
        <f t="shared" si="23"/>
        <v>#N/A</v>
      </c>
      <c r="BR8" s="56" t="s">
        <v>115</v>
      </c>
      <c r="BS8" s="34">
        <v>40</v>
      </c>
      <c r="BT8" s="53"/>
      <c r="BU8" s="70">
        <f t="shared" si="24"/>
        <v>0</v>
      </c>
      <c r="BV8" s="56" t="s">
        <v>115</v>
      </c>
      <c r="BW8" s="34">
        <v>15</v>
      </c>
      <c r="BX8" s="55">
        <v>4</v>
      </c>
      <c r="BY8" s="51"/>
      <c r="BZ8" s="34"/>
      <c r="CA8" s="56"/>
      <c r="CB8" s="34"/>
      <c r="CC8" s="51"/>
      <c r="CD8" s="34" t="e">
        <f t="shared" si="25"/>
        <v>#N/A</v>
      </c>
      <c r="CE8" s="56" t="s">
        <v>115</v>
      </c>
      <c r="CF8" s="34">
        <v>40</v>
      </c>
      <c r="CG8" s="51"/>
      <c r="CH8" s="34" t="e">
        <f t="shared" si="26"/>
        <v>#N/A</v>
      </c>
      <c r="CI8" s="76">
        <v>5</v>
      </c>
      <c r="CJ8" s="31" t="s">
        <v>112</v>
      </c>
      <c r="CK8" s="31" t="e">
        <f t="shared" si="27"/>
        <v>#N/A</v>
      </c>
      <c r="CL8" s="76">
        <v>5</v>
      </c>
      <c r="CM8" s="31" t="s">
        <v>113</v>
      </c>
      <c r="CN8" s="71" t="e">
        <f t="shared" si="28"/>
        <v>#N/A</v>
      </c>
      <c r="CO8" s="76">
        <v>5</v>
      </c>
      <c r="CP8" s="71" t="s">
        <v>114</v>
      </c>
      <c r="CQ8" s="53"/>
      <c r="CU8" s="53"/>
      <c r="CV8" s="51"/>
      <c r="CW8" s="34">
        <f t="shared" si="29"/>
        <v>0</v>
      </c>
      <c r="CX8" s="56" t="s">
        <v>116</v>
      </c>
      <c r="CY8" s="34" t="s">
        <v>92</v>
      </c>
      <c r="CZ8" s="53"/>
      <c r="DA8" s="34">
        <f t="shared" si="30"/>
        <v>0</v>
      </c>
      <c r="DB8" s="56" t="s">
        <v>116</v>
      </c>
      <c r="DC8" s="34">
        <v>4</v>
      </c>
      <c r="DD8" s="53"/>
      <c r="DE8" s="34"/>
      <c r="DF8" s="56"/>
      <c r="DG8" s="34"/>
      <c r="DH8" s="53"/>
      <c r="DI8" s="34"/>
      <c r="DJ8" s="56"/>
      <c r="DK8" s="55"/>
    </row>
    <row r="9" spans="1:116" x14ac:dyDescent="0.25">
      <c r="A9" s="58" t="s">
        <v>117</v>
      </c>
      <c r="B9" s="59">
        <f>'ol4'!W13*100</f>
        <v>60</v>
      </c>
      <c r="C9" s="72" t="s">
        <v>118</v>
      </c>
      <c r="E9" s="79" t="str">
        <f>IF('ol4'!C28="ЗАВИСИМАЯ","ОТСУТСТВУЕТ",VLOOKUP(1,IF(B5=150,AT4:AU11,IF(B5=130,AY4:AZ11,IF(B5=115,BD4:BE10,IF(B5=105,BI4:BJ13,0)))),2,0))</f>
        <v>НН08</v>
      </c>
      <c r="F9" s="73">
        <f>IF('ol4'!C28="ЗАВИСИМАЯ","ОТСУТСТВУЕТ",VLOOKUP(1,IF(B5=150,AV4:AW11,IF(B5=130,BA4:BB11,IF(B5=115,BF4:BG10,IF(B5=105,BK4:BL13,0)))),2,0))</f>
        <v>1</v>
      </c>
      <c r="I9" s="54">
        <f t="shared" si="0"/>
        <v>0</v>
      </c>
      <c r="J9" s="57">
        <v>50</v>
      </c>
      <c r="K9" s="57">
        <f t="shared" si="1"/>
        <v>3.7850686611455138E-2</v>
      </c>
      <c r="L9" s="57">
        <f t="shared" si="2"/>
        <v>0</v>
      </c>
      <c r="M9" s="57"/>
      <c r="N9" s="57" t="e">
        <f t="shared" si="3"/>
        <v>#DIV/0!</v>
      </c>
      <c r="O9" s="57">
        <v>50</v>
      </c>
      <c r="P9" s="57">
        <f t="shared" si="4"/>
        <v>3.7850686611455138E-2</v>
      </c>
      <c r="Q9" s="61" t="e">
        <f t="shared" si="5"/>
        <v>#DIV/0!</v>
      </c>
      <c r="R9" s="57">
        <f t="shared" si="6"/>
        <v>0</v>
      </c>
      <c r="S9" s="57">
        <v>50</v>
      </c>
      <c r="T9" s="57">
        <f t="shared" si="7"/>
        <v>3.7850686611455138E-2</v>
      </c>
      <c r="U9" s="61">
        <f t="shared" si="8"/>
        <v>0</v>
      </c>
      <c r="W9" s="62"/>
      <c r="X9" s="74"/>
      <c r="Y9" s="57"/>
      <c r="Z9" s="54">
        <f t="shared" si="9"/>
        <v>1</v>
      </c>
      <c r="AA9" s="57">
        <v>32</v>
      </c>
      <c r="AB9" s="61">
        <v>16</v>
      </c>
      <c r="AC9" s="54">
        <f t="shared" si="10"/>
        <v>1</v>
      </c>
      <c r="AD9" s="57">
        <v>32</v>
      </c>
      <c r="AE9" s="61">
        <v>16</v>
      </c>
      <c r="AF9" s="57">
        <f t="shared" si="11"/>
        <v>1</v>
      </c>
      <c r="AG9" s="57">
        <v>32</v>
      </c>
      <c r="AH9" s="61">
        <v>16</v>
      </c>
      <c r="AJ9" s="70">
        <v>30</v>
      </c>
      <c r="AK9" s="54" t="e">
        <f t="shared" si="12"/>
        <v>#DIV/0!</v>
      </c>
      <c r="AL9" s="61" t="s">
        <v>119</v>
      </c>
      <c r="AM9" s="53" t="e">
        <f t="shared" si="13"/>
        <v>#DIV/0!</v>
      </c>
      <c r="AN9" s="53" t="s">
        <v>120</v>
      </c>
      <c r="AO9" s="54" t="e">
        <f t="shared" si="14"/>
        <v>#DIV/0!</v>
      </c>
      <c r="AP9" s="75" t="s">
        <v>121</v>
      </c>
      <c r="AR9" s="57"/>
      <c r="AS9" s="54">
        <v>1.3</v>
      </c>
      <c r="AT9" s="57">
        <f t="shared" si="15"/>
        <v>1</v>
      </c>
      <c r="AU9" s="57" t="s">
        <v>92</v>
      </c>
      <c r="AV9" s="57">
        <f t="shared" si="16"/>
        <v>1</v>
      </c>
      <c r="AW9" s="30">
        <v>4</v>
      </c>
      <c r="AX9" s="54">
        <v>1.3</v>
      </c>
      <c r="AY9" s="57">
        <f t="shared" si="17"/>
        <v>1</v>
      </c>
      <c r="AZ9" s="57" t="s">
        <v>92</v>
      </c>
      <c r="BA9" s="57">
        <f t="shared" si="18"/>
        <v>1</v>
      </c>
      <c r="BB9" s="30">
        <v>4</v>
      </c>
      <c r="BC9" s="54">
        <v>1.8</v>
      </c>
      <c r="BD9" s="57">
        <f t="shared" si="19"/>
        <v>1</v>
      </c>
      <c r="BE9" s="57" t="s">
        <v>122</v>
      </c>
      <c r="BF9" s="57">
        <f t="shared" si="20"/>
        <v>1</v>
      </c>
      <c r="BG9" s="77">
        <v>2</v>
      </c>
      <c r="BH9" s="57">
        <v>0.91</v>
      </c>
      <c r="BI9" s="57">
        <f t="shared" si="21"/>
        <v>1</v>
      </c>
      <c r="BJ9" s="57" t="s">
        <v>92</v>
      </c>
      <c r="BK9" s="57">
        <f t="shared" si="22"/>
        <v>1</v>
      </c>
      <c r="BL9" s="61">
        <v>4</v>
      </c>
      <c r="BN9" s="50"/>
      <c r="BO9" s="34"/>
      <c r="BP9" s="51"/>
      <c r="BQ9" s="34" t="e">
        <f t="shared" si="23"/>
        <v>#N/A</v>
      </c>
      <c r="BR9" s="56" t="s">
        <v>123</v>
      </c>
      <c r="BS9" s="34">
        <v>50</v>
      </c>
      <c r="BT9" s="53"/>
      <c r="BU9" s="70">
        <f t="shared" si="24"/>
        <v>0</v>
      </c>
      <c r="BV9" s="56" t="s">
        <v>123</v>
      </c>
      <c r="BW9" s="34">
        <v>20</v>
      </c>
      <c r="BX9" s="55">
        <v>5</v>
      </c>
      <c r="BY9" s="51"/>
      <c r="BZ9" s="34"/>
      <c r="CA9" s="56"/>
      <c r="CB9" s="34"/>
      <c r="CC9" s="51"/>
      <c r="CD9" s="34" t="e">
        <f t="shared" si="25"/>
        <v>#N/A</v>
      </c>
      <c r="CE9" s="56" t="s">
        <v>123</v>
      </c>
      <c r="CF9" s="34">
        <v>50</v>
      </c>
      <c r="CG9" s="51"/>
      <c r="CH9" s="34" t="e">
        <f t="shared" si="26"/>
        <v>#N/A</v>
      </c>
      <c r="CI9" s="76">
        <v>6</v>
      </c>
      <c r="CJ9" s="31" t="s">
        <v>119</v>
      </c>
      <c r="CK9" s="31" t="e">
        <f t="shared" si="27"/>
        <v>#N/A</v>
      </c>
      <c r="CL9" s="76">
        <v>6</v>
      </c>
      <c r="CM9" s="31" t="s">
        <v>120</v>
      </c>
      <c r="CN9" s="71" t="e">
        <f t="shared" si="28"/>
        <v>#N/A</v>
      </c>
      <c r="CO9" s="76">
        <v>6</v>
      </c>
      <c r="CP9" s="71" t="s">
        <v>121</v>
      </c>
      <c r="CQ9" s="53"/>
      <c r="CR9" s="57"/>
      <c r="CS9" s="57"/>
      <c r="CT9" s="57"/>
      <c r="CU9" s="53"/>
      <c r="CV9" s="51"/>
      <c r="CW9" s="34">
        <f t="shared" si="29"/>
        <v>0</v>
      </c>
      <c r="CX9" s="56" t="s">
        <v>124</v>
      </c>
      <c r="CY9" s="34" t="s">
        <v>122</v>
      </c>
      <c r="CZ9" s="53"/>
      <c r="DA9" s="34">
        <f t="shared" si="30"/>
        <v>0</v>
      </c>
      <c r="DB9" s="56" t="s">
        <v>124</v>
      </c>
      <c r="DC9" s="34">
        <v>5</v>
      </c>
      <c r="DD9" s="53"/>
      <c r="DE9" s="34"/>
      <c r="DF9" s="56"/>
      <c r="DG9" s="34"/>
      <c r="DH9" s="53"/>
      <c r="DI9" s="34"/>
      <c r="DJ9" s="56"/>
      <c r="DK9" s="55"/>
    </row>
    <row r="10" spans="1:116" x14ac:dyDescent="0.25">
      <c r="A10" s="58" t="s">
        <v>125</v>
      </c>
      <c r="B10" s="59">
        <f>'ol4'!AC13*100</f>
        <v>40</v>
      </c>
      <c r="C10" s="72" t="s">
        <v>118</v>
      </c>
      <c r="I10" s="54">
        <f t="shared" si="0"/>
        <v>0</v>
      </c>
      <c r="J10" s="57">
        <v>65</v>
      </c>
      <c r="K10" s="57">
        <f t="shared" si="1"/>
        <v>3.4705101432211748E-2</v>
      </c>
      <c r="L10" s="57">
        <f t="shared" si="2"/>
        <v>0</v>
      </c>
      <c r="M10" s="57"/>
      <c r="N10" s="57" t="e">
        <f t="shared" si="3"/>
        <v>#DIV/0!</v>
      </c>
      <c r="O10" s="57">
        <v>65</v>
      </c>
      <c r="P10" s="57">
        <f t="shared" si="4"/>
        <v>3.4705101432211748E-2</v>
      </c>
      <c r="Q10" s="61" t="e">
        <f t="shared" si="5"/>
        <v>#DIV/0!</v>
      </c>
      <c r="R10" s="57">
        <f t="shared" si="6"/>
        <v>0</v>
      </c>
      <c r="S10" s="57">
        <v>65</v>
      </c>
      <c r="T10" s="57">
        <f t="shared" si="7"/>
        <v>3.4705101432211748E-2</v>
      </c>
      <c r="U10" s="61">
        <f t="shared" si="8"/>
        <v>0</v>
      </c>
      <c r="W10" s="54"/>
      <c r="X10" s="57"/>
      <c r="Y10" s="57"/>
      <c r="Z10" s="54">
        <f t="shared" si="9"/>
        <v>1</v>
      </c>
      <c r="AA10" s="57">
        <v>40</v>
      </c>
      <c r="AB10" s="61">
        <v>20</v>
      </c>
      <c r="AC10" s="54">
        <f t="shared" si="10"/>
        <v>1</v>
      </c>
      <c r="AD10" s="57">
        <v>40</v>
      </c>
      <c r="AE10" s="61">
        <v>25</v>
      </c>
      <c r="AF10" s="57">
        <f t="shared" si="11"/>
        <v>1</v>
      </c>
      <c r="AG10" s="57">
        <v>40</v>
      </c>
      <c r="AH10" s="61">
        <v>25</v>
      </c>
      <c r="AJ10" s="70">
        <v>40</v>
      </c>
      <c r="AK10" s="54" t="e">
        <f t="shared" si="12"/>
        <v>#DIV/0!</v>
      </c>
      <c r="AL10" s="61" t="s">
        <v>126</v>
      </c>
      <c r="AM10" s="53" t="e">
        <f t="shared" si="13"/>
        <v>#DIV/0!</v>
      </c>
      <c r="AN10" s="53" t="s">
        <v>127</v>
      </c>
      <c r="AO10" s="54" t="e">
        <f t="shared" si="14"/>
        <v>#DIV/0!</v>
      </c>
      <c r="AP10" s="75" t="s">
        <v>128</v>
      </c>
      <c r="AR10" s="57"/>
      <c r="AS10" s="54">
        <v>1.65</v>
      </c>
      <c r="AT10" s="57">
        <f t="shared" si="15"/>
        <v>1</v>
      </c>
      <c r="AU10" s="57" t="s">
        <v>122</v>
      </c>
      <c r="AV10" s="57">
        <f t="shared" si="16"/>
        <v>1</v>
      </c>
      <c r="AW10" s="30">
        <v>1</v>
      </c>
      <c r="AX10" s="54">
        <v>1.4</v>
      </c>
      <c r="AY10" s="57">
        <f t="shared" si="17"/>
        <v>1</v>
      </c>
      <c r="AZ10" s="57" t="s">
        <v>122</v>
      </c>
      <c r="BA10" s="57">
        <f t="shared" si="18"/>
        <v>1</v>
      </c>
      <c r="BB10" s="30">
        <v>1</v>
      </c>
      <c r="BC10" s="54">
        <v>2.0009999999999999</v>
      </c>
      <c r="BD10" s="57">
        <f t="shared" si="19"/>
        <v>1</v>
      </c>
      <c r="BE10" s="57" t="s">
        <v>129</v>
      </c>
      <c r="BF10" s="57">
        <f t="shared" si="20"/>
        <v>1</v>
      </c>
      <c r="BG10" s="77">
        <v>1</v>
      </c>
      <c r="BH10" s="57">
        <v>1.1000000000000001</v>
      </c>
      <c r="BI10" s="57">
        <f t="shared" si="21"/>
        <v>1</v>
      </c>
      <c r="BJ10" s="57" t="s">
        <v>92</v>
      </c>
      <c r="BK10" s="57">
        <f t="shared" si="22"/>
        <v>1</v>
      </c>
      <c r="BL10" s="61">
        <v>5</v>
      </c>
      <c r="BN10" s="50"/>
      <c r="BO10" s="34"/>
      <c r="BP10" s="51"/>
      <c r="BQ10" s="34" t="e">
        <f t="shared" si="23"/>
        <v>#N/A</v>
      </c>
      <c r="BR10" s="56" t="s">
        <v>130</v>
      </c>
      <c r="BS10" s="34">
        <v>65</v>
      </c>
      <c r="BT10" s="53"/>
      <c r="BU10" s="70">
        <f t="shared" si="24"/>
        <v>0</v>
      </c>
      <c r="BV10" s="56" t="s">
        <v>130</v>
      </c>
      <c r="BW10" s="34">
        <v>20</v>
      </c>
      <c r="BX10" s="55">
        <v>6.3</v>
      </c>
      <c r="BY10" s="51"/>
      <c r="BZ10" s="34"/>
      <c r="CA10" s="56"/>
      <c r="CB10" s="34"/>
      <c r="CC10" s="51"/>
      <c r="CD10" s="34" t="e">
        <f t="shared" si="25"/>
        <v>#N/A</v>
      </c>
      <c r="CE10" s="56" t="s">
        <v>130</v>
      </c>
      <c r="CF10" s="34">
        <v>65</v>
      </c>
      <c r="CG10" s="51"/>
      <c r="CH10" s="34" t="e">
        <f t="shared" si="26"/>
        <v>#N/A</v>
      </c>
      <c r="CI10" s="76">
        <v>7</v>
      </c>
      <c r="CJ10" s="31" t="s">
        <v>126</v>
      </c>
      <c r="CK10" s="31" t="e">
        <f t="shared" si="27"/>
        <v>#N/A</v>
      </c>
      <c r="CL10" s="76">
        <v>7</v>
      </c>
      <c r="CM10" s="31" t="s">
        <v>127</v>
      </c>
      <c r="CN10" s="71" t="e">
        <f t="shared" si="28"/>
        <v>#N/A</v>
      </c>
      <c r="CO10" s="76">
        <v>7</v>
      </c>
      <c r="CP10" s="71" t="s">
        <v>128</v>
      </c>
      <c r="CQ10" s="53"/>
      <c r="CU10" s="53"/>
      <c r="CV10" s="51"/>
      <c r="CW10" s="34">
        <f t="shared" si="29"/>
        <v>0</v>
      </c>
      <c r="CX10" s="56" t="s">
        <v>131</v>
      </c>
      <c r="CY10" s="34" t="s">
        <v>129</v>
      </c>
      <c r="CZ10" s="53"/>
      <c r="DA10" s="34"/>
      <c r="DB10" s="56"/>
      <c r="DC10" s="34"/>
      <c r="DD10" s="53"/>
      <c r="DE10" s="34"/>
      <c r="DF10" s="56"/>
      <c r="DG10" s="34"/>
      <c r="DH10" s="53"/>
      <c r="DI10" s="34"/>
      <c r="DJ10" s="56"/>
      <c r="DK10" s="55"/>
    </row>
    <row r="11" spans="1:116" x14ac:dyDescent="0.25">
      <c r="A11" s="80" t="s">
        <v>132</v>
      </c>
      <c r="B11" s="59">
        <f>'ol4'!Z15</f>
        <v>0</v>
      </c>
      <c r="C11" s="72" t="s">
        <v>118</v>
      </c>
      <c r="E11" t="s">
        <v>133</v>
      </c>
      <c r="F11" s="60" t="e">
        <f>B4*1000/(B7-B8)</f>
        <v>#DIV/0!</v>
      </c>
      <c r="I11" s="54">
        <f t="shared" si="0"/>
        <v>0</v>
      </c>
      <c r="J11" s="57">
        <v>80</v>
      </c>
      <c r="K11" s="57">
        <f t="shared" si="1"/>
        <v>3.248549788373601E-2</v>
      </c>
      <c r="L11" s="57">
        <f t="shared" si="2"/>
        <v>0</v>
      </c>
      <c r="M11" s="57"/>
      <c r="N11" s="57" t="e">
        <f t="shared" si="3"/>
        <v>#DIV/0!</v>
      </c>
      <c r="O11" s="57">
        <v>80</v>
      </c>
      <c r="P11" s="57">
        <f t="shared" si="4"/>
        <v>3.248549788373601E-2</v>
      </c>
      <c r="Q11" s="61" t="e">
        <f t="shared" si="5"/>
        <v>#DIV/0!</v>
      </c>
      <c r="R11" s="57">
        <f t="shared" si="6"/>
        <v>0</v>
      </c>
      <c r="S11" s="57">
        <v>80</v>
      </c>
      <c r="T11" s="57">
        <f t="shared" si="7"/>
        <v>3.248549788373601E-2</v>
      </c>
      <c r="U11" s="61">
        <f t="shared" si="8"/>
        <v>0</v>
      </c>
      <c r="W11" s="54"/>
      <c r="X11" s="57"/>
      <c r="Y11" s="74"/>
      <c r="Z11" s="54">
        <f t="shared" si="9"/>
        <v>1</v>
      </c>
      <c r="AA11" s="57">
        <v>40</v>
      </c>
      <c r="AB11" s="61">
        <v>25</v>
      </c>
      <c r="AC11" s="54">
        <f t="shared" si="10"/>
        <v>1</v>
      </c>
      <c r="AD11" s="57">
        <v>50</v>
      </c>
      <c r="AE11" s="61">
        <v>31.5</v>
      </c>
      <c r="AF11" s="57">
        <f t="shared" si="11"/>
        <v>1</v>
      </c>
      <c r="AG11" s="57">
        <v>50</v>
      </c>
      <c r="AH11" s="61">
        <v>40</v>
      </c>
      <c r="AJ11" s="70">
        <v>50</v>
      </c>
      <c r="AK11" s="54" t="e">
        <f t="shared" si="12"/>
        <v>#DIV/0!</v>
      </c>
      <c r="AL11" s="61" t="s">
        <v>134</v>
      </c>
      <c r="AM11" s="53" t="e">
        <f t="shared" si="13"/>
        <v>#DIV/0!</v>
      </c>
      <c r="AN11" s="53" t="s">
        <v>135</v>
      </c>
      <c r="AO11" s="54" t="e">
        <f t="shared" si="14"/>
        <v>#DIV/0!</v>
      </c>
      <c r="AP11" s="53" t="s">
        <v>135</v>
      </c>
      <c r="AS11" s="54">
        <v>2.0009999999999999</v>
      </c>
      <c r="AT11" s="57">
        <f t="shared" si="15"/>
        <v>1</v>
      </c>
      <c r="AU11" s="57" t="s">
        <v>122</v>
      </c>
      <c r="AV11" s="57">
        <f t="shared" si="16"/>
        <v>1</v>
      </c>
      <c r="AW11" s="30">
        <v>2</v>
      </c>
      <c r="AX11" s="54">
        <v>2.0009999999999999</v>
      </c>
      <c r="AY11" s="57">
        <f t="shared" si="17"/>
        <v>1</v>
      </c>
      <c r="AZ11" s="57" t="s">
        <v>122</v>
      </c>
      <c r="BA11" s="57">
        <f t="shared" si="18"/>
        <v>1</v>
      </c>
      <c r="BB11" s="30">
        <v>2</v>
      </c>
      <c r="BC11" s="54"/>
      <c r="BD11" s="57"/>
      <c r="BE11" s="57"/>
      <c r="BF11" s="57"/>
      <c r="BG11" s="61"/>
      <c r="BH11" s="57">
        <v>1.3</v>
      </c>
      <c r="BI11" s="57">
        <f t="shared" si="21"/>
        <v>1</v>
      </c>
      <c r="BJ11" s="57" t="s">
        <v>122</v>
      </c>
      <c r="BK11" s="57">
        <f t="shared" si="22"/>
        <v>1</v>
      </c>
      <c r="BL11" s="61">
        <v>2</v>
      </c>
      <c r="BN11" s="50"/>
      <c r="BO11" s="34"/>
      <c r="BP11" s="51"/>
      <c r="BQ11" s="34" t="e">
        <f t="shared" si="23"/>
        <v>#N/A</v>
      </c>
      <c r="BR11" s="56" t="s">
        <v>136</v>
      </c>
      <c r="BS11" s="34">
        <v>80</v>
      </c>
      <c r="BT11" s="53"/>
      <c r="BU11" s="70">
        <f t="shared" si="24"/>
        <v>0</v>
      </c>
      <c r="BV11" s="56" t="s">
        <v>136</v>
      </c>
      <c r="BW11" s="34">
        <v>25</v>
      </c>
      <c r="BX11" s="55">
        <v>8</v>
      </c>
      <c r="BY11" s="51"/>
      <c r="BZ11" s="34"/>
      <c r="CA11" s="56"/>
      <c r="CB11" s="34"/>
      <c r="CC11" s="51"/>
      <c r="CD11" s="34" t="e">
        <f t="shared" si="25"/>
        <v>#N/A</v>
      </c>
      <c r="CE11" s="56" t="s">
        <v>136</v>
      </c>
      <c r="CF11" s="34">
        <v>80</v>
      </c>
      <c r="CG11" s="51"/>
      <c r="CH11" s="34" t="e">
        <f t="shared" si="26"/>
        <v>#N/A</v>
      </c>
      <c r="CI11" s="76">
        <v>8</v>
      </c>
      <c r="CJ11" s="31" t="s">
        <v>134</v>
      </c>
      <c r="CK11" s="31"/>
      <c r="CL11" s="31"/>
      <c r="CM11" s="31"/>
      <c r="CN11" s="31"/>
      <c r="CO11" s="31"/>
      <c r="CP11" s="31"/>
      <c r="CQ11" s="53"/>
      <c r="CU11" s="53"/>
      <c r="CV11" s="51"/>
      <c r="CW11" s="34"/>
      <c r="CX11" s="56"/>
      <c r="CY11" s="34"/>
      <c r="CZ11" s="53"/>
      <c r="DA11" s="34"/>
      <c r="DB11" s="56"/>
      <c r="DC11" s="34"/>
      <c r="DD11" s="53"/>
      <c r="DE11" s="34"/>
      <c r="DF11" s="56"/>
      <c r="DG11" s="34"/>
      <c r="DH11" s="53"/>
      <c r="DI11" s="34"/>
      <c r="DJ11" s="56"/>
      <c r="DK11" s="55"/>
    </row>
    <row r="12" spans="1:116" x14ac:dyDescent="0.25">
      <c r="A12" s="80" t="s">
        <v>137</v>
      </c>
      <c r="B12">
        <f>B9-B10</f>
        <v>20</v>
      </c>
      <c r="C12" s="72" t="s">
        <v>118</v>
      </c>
      <c r="E12" t="s">
        <v>51</v>
      </c>
      <c r="F12" s="73" t="e">
        <f>VLOOKUP(1,N4:Q17,2,0)</f>
        <v>#N/A</v>
      </c>
      <c r="I12" s="54">
        <f t="shared" si="0"/>
        <v>0</v>
      </c>
      <c r="J12" s="57">
        <v>100</v>
      </c>
      <c r="K12" s="57">
        <f t="shared" si="1"/>
        <v>3.0329450982592862E-2</v>
      </c>
      <c r="L12" s="57">
        <f t="shared" si="2"/>
        <v>0</v>
      </c>
      <c r="M12" s="57"/>
      <c r="N12" s="57" t="e">
        <f t="shared" si="3"/>
        <v>#DIV/0!</v>
      </c>
      <c r="O12" s="57">
        <v>100</v>
      </c>
      <c r="P12" s="57">
        <f t="shared" si="4"/>
        <v>3.0329450982592862E-2</v>
      </c>
      <c r="Q12" s="61" t="e">
        <f t="shared" si="5"/>
        <v>#DIV/0!</v>
      </c>
      <c r="R12" s="57">
        <f t="shared" si="6"/>
        <v>0</v>
      </c>
      <c r="S12" s="57">
        <v>100</v>
      </c>
      <c r="T12" s="57">
        <f t="shared" si="7"/>
        <v>3.0329450982592862E-2</v>
      </c>
      <c r="U12" s="61">
        <f t="shared" si="8"/>
        <v>0</v>
      </c>
      <c r="W12" s="62"/>
      <c r="X12" s="57"/>
      <c r="Y12" s="57"/>
      <c r="Z12" s="54">
        <f t="shared" si="9"/>
        <v>1</v>
      </c>
      <c r="AA12" s="57">
        <v>50</v>
      </c>
      <c r="AB12" s="61">
        <v>31.5</v>
      </c>
      <c r="AC12" s="54">
        <f t="shared" si="10"/>
        <v>1</v>
      </c>
      <c r="AD12" s="57">
        <v>50</v>
      </c>
      <c r="AE12" s="61">
        <v>40</v>
      </c>
      <c r="AF12" s="57">
        <f t="shared" si="11"/>
        <v>1</v>
      </c>
      <c r="AG12" s="57">
        <v>65</v>
      </c>
      <c r="AH12" s="61">
        <v>63</v>
      </c>
      <c r="AJ12" s="70">
        <v>60</v>
      </c>
      <c r="AK12" s="54" t="e">
        <f t="shared" si="12"/>
        <v>#DIV/0!</v>
      </c>
      <c r="AL12" s="61" t="s">
        <v>135</v>
      </c>
      <c r="AM12" s="53" t="e">
        <f t="shared" si="13"/>
        <v>#DIV/0!</v>
      </c>
      <c r="AN12" s="81" t="s">
        <v>135</v>
      </c>
      <c r="AO12" s="54" t="e">
        <f t="shared" si="14"/>
        <v>#DIV/0!</v>
      </c>
      <c r="AP12" s="81" t="s">
        <v>135</v>
      </c>
      <c r="AS12" s="54"/>
      <c r="AT12" s="57"/>
      <c r="AU12" s="57"/>
      <c r="AV12" s="57"/>
      <c r="AW12" s="30"/>
      <c r="AX12" s="54"/>
      <c r="AY12" s="57"/>
      <c r="AZ12" s="57"/>
      <c r="BA12" s="57"/>
      <c r="BB12" s="61"/>
      <c r="BC12" s="54"/>
      <c r="BD12" s="57"/>
      <c r="BE12" s="57"/>
      <c r="BF12" s="57"/>
      <c r="BG12" s="61"/>
      <c r="BH12" s="57">
        <v>1.45</v>
      </c>
      <c r="BI12" s="57">
        <f t="shared" si="21"/>
        <v>1</v>
      </c>
      <c r="BJ12" s="57" t="s">
        <v>129</v>
      </c>
      <c r="BK12" s="57">
        <f t="shared" si="22"/>
        <v>1</v>
      </c>
      <c r="BL12" s="61">
        <v>1</v>
      </c>
      <c r="BN12" s="50"/>
      <c r="BO12" s="34"/>
      <c r="BP12" s="51"/>
      <c r="BQ12" s="34" t="e">
        <f t="shared" si="23"/>
        <v>#N/A</v>
      </c>
      <c r="BR12" s="56" t="s">
        <v>138</v>
      </c>
      <c r="BS12" s="34">
        <v>100</v>
      </c>
      <c r="BT12" s="53"/>
      <c r="BU12" s="70">
        <f t="shared" si="24"/>
        <v>0</v>
      </c>
      <c r="BV12" s="56" t="s">
        <v>138</v>
      </c>
      <c r="BW12" s="34">
        <v>25</v>
      </c>
      <c r="BX12" s="55">
        <v>10</v>
      </c>
      <c r="BY12" s="51"/>
      <c r="BZ12" s="34"/>
      <c r="CA12" s="56"/>
      <c r="CB12" s="34"/>
      <c r="CC12" s="51"/>
      <c r="CD12" s="34" t="e">
        <f t="shared" si="25"/>
        <v>#N/A</v>
      </c>
      <c r="CE12" s="56" t="s">
        <v>138</v>
      </c>
      <c r="CF12" s="34">
        <v>100</v>
      </c>
      <c r="CG12" s="51"/>
      <c r="CH12" s="34" t="e">
        <f t="shared" si="26"/>
        <v>#N/A</v>
      </c>
      <c r="CI12" s="31"/>
      <c r="CJ12" s="57"/>
      <c r="CK12" s="57"/>
      <c r="CL12" s="57"/>
      <c r="CM12" s="57"/>
      <c r="CN12" s="57"/>
      <c r="CO12" s="57"/>
      <c r="CP12" s="57"/>
      <c r="CQ12" s="53"/>
      <c r="CU12" s="53"/>
      <c r="CV12" s="51"/>
      <c r="CW12" s="34"/>
      <c r="CX12" s="56"/>
      <c r="CY12" s="34"/>
      <c r="CZ12" s="53"/>
      <c r="DA12" s="34"/>
      <c r="DB12" s="56"/>
      <c r="DC12" s="34"/>
      <c r="DD12" s="53"/>
      <c r="DE12" s="34"/>
      <c r="DF12" s="56"/>
      <c r="DG12" s="34"/>
      <c r="DH12" s="53"/>
      <c r="DI12" s="34"/>
      <c r="DJ12" s="56"/>
      <c r="DK12" s="55"/>
    </row>
    <row r="13" spans="1:116" x14ac:dyDescent="0.25">
      <c r="A13" s="58"/>
      <c r="C13" s="72"/>
      <c r="E13" t="s">
        <v>56</v>
      </c>
      <c r="F13" s="60" t="e">
        <f>F11*1.1</f>
        <v>#DIV/0!</v>
      </c>
      <c r="I13" s="54">
        <f t="shared" si="0"/>
        <v>0</v>
      </c>
      <c r="J13" s="57">
        <v>125</v>
      </c>
      <c r="K13" s="57">
        <f t="shared" si="1"/>
        <v>2.8381135828692533E-2</v>
      </c>
      <c r="L13" s="57">
        <f t="shared" si="2"/>
        <v>0</v>
      </c>
      <c r="M13" s="57"/>
      <c r="N13" s="57" t="e">
        <f t="shared" si="3"/>
        <v>#DIV/0!</v>
      </c>
      <c r="O13" s="57">
        <v>125</v>
      </c>
      <c r="P13" s="57">
        <f t="shared" si="4"/>
        <v>2.8381135828692533E-2</v>
      </c>
      <c r="Q13" s="61" t="e">
        <f t="shared" si="5"/>
        <v>#DIV/0!</v>
      </c>
      <c r="R13" s="57">
        <f t="shared" si="6"/>
        <v>0</v>
      </c>
      <c r="S13" s="57">
        <v>125</v>
      </c>
      <c r="T13" s="57">
        <f t="shared" si="7"/>
        <v>2.8381135828692533E-2</v>
      </c>
      <c r="U13" s="61">
        <f t="shared" si="8"/>
        <v>0</v>
      </c>
      <c r="W13" s="62"/>
      <c r="X13" s="74"/>
      <c r="Y13" s="57"/>
      <c r="Z13" s="54">
        <f t="shared" si="9"/>
        <v>1</v>
      </c>
      <c r="AA13" s="57">
        <v>50</v>
      </c>
      <c r="AB13" s="61">
        <v>40</v>
      </c>
      <c r="AC13" s="54">
        <f t="shared" si="10"/>
        <v>1</v>
      </c>
      <c r="AD13" s="57">
        <v>65</v>
      </c>
      <c r="AE13" s="61">
        <v>50</v>
      </c>
      <c r="AF13" s="57">
        <f t="shared" si="11"/>
        <v>1</v>
      </c>
      <c r="AG13" s="57">
        <v>80</v>
      </c>
      <c r="AH13" s="61">
        <v>100</v>
      </c>
      <c r="AJ13" s="82">
        <v>90</v>
      </c>
      <c r="AK13" s="83" t="e">
        <f t="shared" si="12"/>
        <v>#DIV/0!</v>
      </c>
      <c r="AL13" s="84" t="s">
        <v>139</v>
      </c>
      <c r="AM13" s="85" t="e">
        <f t="shared" si="13"/>
        <v>#DIV/0!</v>
      </c>
      <c r="AN13" s="84" t="s">
        <v>139</v>
      </c>
      <c r="AO13" s="83" t="e">
        <f t="shared" si="14"/>
        <v>#DIV/0!</v>
      </c>
      <c r="AP13" s="86" t="s">
        <v>139</v>
      </c>
      <c r="AS13" s="54"/>
      <c r="AT13" s="57"/>
      <c r="AU13" s="57"/>
      <c r="AV13" s="57"/>
      <c r="AW13" s="30"/>
      <c r="AX13" s="54"/>
      <c r="AY13" s="57"/>
      <c r="AZ13" s="57"/>
      <c r="BA13" s="57"/>
      <c r="BB13" s="61"/>
      <c r="BC13" s="54"/>
      <c r="BD13" s="57"/>
      <c r="BE13" s="57"/>
      <c r="BF13" s="57"/>
      <c r="BG13" s="61"/>
      <c r="BH13" s="54">
        <v>2.0009999999999999</v>
      </c>
      <c r="BI13" s="57">
        <f t="shared" si="21"/>
        <v>1</v>
      </c>
      <c r="BJ13" s="57" t="s">
        <v>129</v>
      </c>
      <c r="BK13" s="57">
        <f t="shared" si="22"/>
        <v>1</v>
      </c>
      <c r="BL13" s="61">
        <v>2</v>
      </c>
      <c r="BN13" s="50"/>
      <c r="BO13" s="34"/>
      <c r="BP13" s="51"/>
      <c r="BQ13" s="34" t="e">
        <f t="shared" si="23"/>
        <v>#N/A</v>
      </c>
      <c r="BR13" s="56" t="s">
        <v>140</v>
      </c>
      <c r="BS13" s="34">
        <v>125</v>
      </c>
      <c r="BT13" s="53"/>
      <c r="BU13" s="70">
        <f t="shared" si="24"/>
        <v>0</v>
      </c>
      <c r="BV13" s="56" t="s">
        <v>140</v>
      </c>
      <c r="BW13" s="34">
        <v>32</v>
      </c>
      <c r="BX13" s="55">
        <v>12.5</v>
      </c>
      <c r="BY13" s="51"/>
      <c r="BZ13" s="34"/>
      <c r="CA13" s="56"/>
      <c r="CB13" s="34"/>
      <c r="CC13" s="51"/>
      <c r="CD13" s="34" t="e">
        <f t="shared" si="25"/>
        <v>#N/A</v>
      </c>
      <c r="CE13" s="56" t="s">
        <v>140</v>
      </c>
      <c r="CF13" s="34">
        <v>125</v>
      </c>
      <c r="CG13" s="51"/>
      <c r="CH13" s="34" t="e">
        <f t="shared" si="26"/>
        <v>#N/A</v>
      </c>
      <c r="CI13" s="31">
        <v>10</v>
      </c>
      <c r="CJ13" s="76" t="s">
        <v>135</v>
      </c>
      <c r="CK13" s="34" t="e">
        <f>IF($E$14=CM13,1,0)</f>
        <v>#N/A</v>
      </c>
      <c r="CL13" s="31">
        <v>10</v>
      </c>
      <c r="CM13" s="76" t="s">
        <v>135</v>
      </c>
      <c r="CN13" s="34" t="e">
        <f>IF($E$14=CP13,1,0)</f>
        <v>#N/A</v>
      </c>
      <c r="CO13" s="31">
        <v>10</v>
      </c>
      <c r="CP13" s="76" t="s">
        <v>135</v>
      </c>
      <c r="CQ13" s="53"/>
      <c r="CR13" s="57"/>
      <c r="CS13" s="76"/>
      <c r="CT13" s="57"/>
      <c r="CU13" s="53"/>
      <c r="CV13" s="51"/>
      <c r="CW13" s="34"/>
      <c r="CX13" s="56"/>
      <c r="CY13" s="34"/>
      <c r="CZ13" s="53"/>
      <c r="DA13" s="34"/>
      <c r="DB13" s="56"/>
      <c r="DC13" s="34"/>
      <c r="DD13" s="53"/>
      <c r="DE13" s="34"/>
      <c r="DF13" s="56"/>
      <c r="DG13" s="34"/>
      <c r="DH13" s="53"/>
      <c r="DI13" s="34"/>
      <c r="DJ13" s="56"/>
      <c r="DK13" s="55"/>
    </row>
    <row r="14" spans="1:116" x14ac:dyDescent="0.25">
      <c r="A14" s="58" t="s">
        <v>31</v>
      </c>
      <c r="B14" s="1">
        <f>'ol4'!O28</f>
        <v>0</v>
      </c>
      <c r="C14" s="1"/>
      <c r="E14" s="1" t="e">
        <f>VLOOKUP(1,IF(B15="TOP-SD",AK4:AL13,IF(B15="Yonos MAXO-D",AM4:AN13,IF(B15="Stratos-D",AO4:AP13,0))),2,0)</f>
        <v>#N/A</v>
      </c>
      <c r="F14" s="1"/>
      <c r="I14" s="54">
        <f t="shared" si="0"/>
        <v>0</v>
      </c>
      <c r="J14" s="57">
        <v>150</v>
      </c>
      <c r="K14" s="57">
        <f t="shared" si="1"/>
        <v>2.6925299052784474E-2</v>
      </c>
      <c r="L14" s="57">
        <f t="shared" si="2"/>
        <v>0</v>
      </c>
      <c r="M14" s="57"/>
      <c r="N14" s="57" t="e">
        <f t="shared" si="3"/>
        <v>#DIV/0!</v>
      </c>
      <c r="O14" s="57">
        <v>150</v>
      </c>
      <c r="P14" s="57">
        <f t="shared" si="4"/>
        <v>2.6925299052784474E-2</v>
      </c>
      <c r="Q14" s="61" t="e">
        <f t="shared" si="5"/>
        <v>#DIV/0!</v>
      </c>
      <c r="R14" s="57">
        <f t="shared" si="6"/>
        <v>0</v>
      </c>
      <c r="S14" s="57">
        <v>150</v>
      </c>
      <c r="T14" s="57">
        <f t="shared" si="7"/>
        <v>2.6925299052784474E-2</v>
      </c>
      <c r="U14" s="61">
        <f t="shared" si="8"/>
        <v>0</v>
      </c>
      <c r="W14" s="54"/>
      <c r="X14" s="57"/>
      <c r="Y14" s="57"/>
      <c r="Z14" s="54">
        <f t="shared" si="9"/>
        <v>1</v>
      </c>
      <c r="AA14" s="57">
        <v>65</v>
      </c>
      <c r="AB14" s="61">
        <v>50</v>
      </c>
      <c r="AC14" s="54">
        <f t="shared" si="10"/>
        <v>1</v>
      </c>
      <c r="AD14" s="57">
        <v>65</v>
      </c>
      <c r="AE14" s="61">
        <v>63</v>
      </c>
      <c r="AF14" s="57">
        <f t="shared" si="11"/>
        <v>1</v>
      </c>
      <c r="AG14" s="57">
        <v>100</v>
      </c>
      <c r="AH14" s="61">
        <v>160</v>
      </c>
      <c r="AS14" s="54"/>
      <c r="AT14" s="57"/>
      <c r="AU14" s="57"/>
      <c r="AV14" s="57"/>
      <c r="AW14" s="30"/>
      <c r="AX14" s="54"/>
      <c r="AY14" s="57"/>
      <c r="AZ14" s="57"/>
      <c r="BA14" s="57"/>
      <c r="BB14" s="61"/>
      <c r="BC14" s="54"/>
      <c r="BD14" s="57"/>
      <c r="BE14" s="57"/>
      <c r="BF14" s="57"/>
      <c r="BG14" s="61"/>
      <c r="BH14" s="57"/>
      <c r="BI14" s="57"/>
      <c r="BJ14" s="57"/>
      <c r="BK14" s="57"/>
      <c r="BL14" s="61"/>
      <c r="BN14" s="50"/>
      <c r="BO14" s="34"/>
      <c r="BP14" s="51"/>
      <c r="BQ14" s="34" t="e">
        <f t="shared" si="23"/>
        <v>#N/A</v>
      </c>
      <c r="BR14" s="56" t="s">
        <v>141</v>
      </c>
      <c r="BS14" s="34">
        <v>150</v>
      </c>
      <c r="BT14" s="53"/>
      <c r="BU14" s="70">
        <f t="shared" si="24"/>
        <v>0</v>
      </c>
      <c r="BV14" s="56" t="s">
        <v>141</v>
      </c>
      <c r="BW14" s="34">
        <v>32</v>
      </c>
      <c r="BX14" s="55">
        <v>16</v>
      </c>
      <c r="BY14" s="51"/>
      <c r="BZ14" s="34"/>
      <c r="CA14" s="56"/>
      <c r="CB14" s="34"/>
      <c r="CC14" s="51"/>
      <c r="CD14" s="34" t="e">
        <f t="shared" si="25"/>
        <v>#N/A</v>
      </c>
      <c r="CE14" s="56" t="s">
        <v>141</v>
      </c>
      <c r="CF14" s="34">
        <v>150</v>
      </c>
      <c r="CG14" s="51"/>
      <c r="CH14" s="34" t="e">
        <f t="shared" si="26"/>
        <v>#N/A</v>
      </c>
      <c r="CI14" s="31">
        <v>11</v>
      </c>
      <c r="CJ14" s="76" t="s">
        <v>139</v>
      </c>
      <c r="CK14" s="34" t="e">
        <f>IF($E$14=CM14,1,0)</f>
        <v>#N/A</v>
      </c>
      <c r="CL14" s="31">
        <v>11</v>
      </c>
      <c r="CM14" s="76" t="s">
        <v>139</v>
      </c>
      <c r="CN14" s="34" t="e">
        <f>IF($E$14=CP14,1,0)</f>
        <v>#N/A</v>
      </c>
      <c r="CO14" s="31">
        <v>11</v>
      </c>
      <c r="CP14" s="76" t="s">
        <v>139</v>
      </c>
      <c r="CQ14" s="53"/>
      <c r="CR14" s="57"/>
      <c r="CS14" s="76"/>
      <c r="CT14" s="57"/>
      <c r="CU14" s="53"/>
      <c r="CV14" s="51"/>
      <c r="CW14" s="34"/>
      <c r="CX14" s="56"/>
      <c r="CY14" s="34"/>
      <c r="CZ14" s="53"/>
      <c r="DA14" s="34"/>
      <c r="DB14" s="56"/>
      <c r="DC14" s="34"/>
      <c r="DD14" s="53"/>
      <c r="DE14" s="34"/>
      <c r="DF14" s="56"/>
      <c r="DG14" s="34"/>
      <c r="DH14" s="53"/>
      <c r="DI14" s="34"/>
      <c r="DJ14" s="56"/>
      <c r="DK14" s="55"/>
    </row>
    <row r="15" spans="1:116" x14ac:dyDescent="0.25">
      <c r="A15" s="58" t="s">
        <v>32</v>
      </c>
      <c r="B15" s="1">
        <f>'ol4'!I28</f>
        <v>0</v>
      </c>
      <c r="C15" s="1"/>
      <c r="I15" s="54">
        <f t="shared" si="0"/>
        <v>0</v>
      </c>
      <c r="J15" s="57">
        <v>200</v>
      </c>
      <c r="K15" s="57">
        <f t="shared" si="1"/>
        <v>2.4846042519733526E-2</v>
      </c>
      <c r="L15" s="57">
        <f t="shared" si="2"/>
        <v>0</v>
      </c>
      <c r="M15" s="57"/>
      <c r="N15" s="57" t="e">
        <f t="shared" si="3"/>
        <v>#DIV/0!</v>
      </c>
      <c r="O15" s="57">
        <v>200</v>
      </c>
      <c r="P15" s="57">
        <f t="shared" si="4"/>
        <v>2.4846042519733526E-2</v>
      </c>
      <c r="Q15" s="61" t="e">
        <f t="shared" si="5"/>
        <v>#DIV/0!</v>
      </c>
      <c r="R15" s="57">
        <f t="shared" si="6"/>
        <v>0</v>
      </c>
      <c r="S15" s="57">
        <v>200</v>
      </c>
      <c r="T15" s="57">
        <f t="shared" si="7"/>
        <v>2.4846042519733526E-2</v>
      </c>
      <c r="U15" s="61">
        <f t="shared" si="8"/>
        <v>0</v>
      </c>
      <c r="W15" s="54"/>
      <c r="X15" s="57"/>
      <c r="Y15" s="57"/>
      <c r="Z15" s="54">
        <f t="shared" si="9"/>
        <v>1</v>
      </c>
      <c r="AA15" s="57">
        <v>65</v>
      </c>
      <c r="AB15" s="61">
        <v>63</v>
      </c>
      <c r="AC15" s="54">
        <f t="shared" si="10"/>
        <v>1</v>
      </c>
      <c r="AD15" s="57">
        <v>80</v>
      </c>
      <c r="AE15" s="61">
        <v>80</v>
      </c>
      <c r="AF15" s="57">
        <f t="shared" si="11"/>
        <v>1</v>
      </c>
      <c r="AG15" s="57">
        <v>125</v>
      </c>
      <c r="AH15" s="61">
        <v>250</v>
      </c>
      <c r="AS15" s="54"/>
      <c r="AT15" s="57"/>
      <c r="AU15" s="57"/>
      <c r="AV15" s="57"/>
      <c r="AW15" s="30"/>
      <c r="AX15" s="54"/>
      <c r="AY15" s="57"/>
      <c r="AZ15" s="57"/>
      <c r="BA15" s="57"/>
      <c r="BB15" s="61"/>
      <c r="BC15" s="54"/>
      <c r="BD15" s="57"/>
      <c r="BE15" s="57"/>
      <c r="BF15" s="57"/>
      <c r="BG15" s="61"/>
      <c r="BH15" s="57"/>
      <c r="BI15" s="57"/>
      <c r="BJ15" s="57"/>
      <c r="BK15" s="57"/>
      <c r="BL15" s="61"/>
      <c r="BN15" s="50"/>
      <c r="BO15" s="34"/>
      <c r="BP15" s="51"/>
      <c r="BQ15" s="34" t="e">
        <f t="shared" si="23"/>
        <v>#N/A</v>
      </c>
      <c r="BR15" s="56" t="s">
        <v>142</v>
      </c>
      <c r="BS15" s="34">
        <v>200</v>
      </c>
      <c r="BT15" s="53"/>
      <c r="BU15" s="70">
        <f t="shared" si="24"/>
        <v>0</v>
      </c>
      <c r="BV15" s="56" t="s">
        <v>142</v>
      </c>
      <c r="BW15" s="34">
        <v>40</v>
      </c>
      <c r="BX15" s="55">
        <v>20</v>
      </c>
      <c r="BY15" s="51"/>
      <c r="BZ15" s="34"/>
      <c r="CA15" s="56"/>
      <c r="CB15" s="34"/>
      <c r="CC15" s="51"/>
      <c r="CD15" s="34" t="e">
        <f t="shared" si="25"/>
        <v>#N/A</v>
      </c>
      <c r="CE15" s="56" t="s">
        <v>142</v>
      </c>
      <c r="CF15" s="34">
        <v>200</v>
      </c>
      <c r="CG15" s="51"/>
      <c r="CH15" s="34"/>
      <c r="CI15" s="31"/>
      <c r="CJ15" s="57"/>
      <c r="CK15" s="57"/>
      <c r="CL15" s="57"/>
      <c r="CM15" s="57"/>
      <c r="CN15" s="57"/>
      <c r="CO15" s="57"/>
      <c r="CP15" s="57"/>
      <c r="CQ15" s="53"/>
      <c r="CR15" s="57"/>
      <c r="CS15" s="57"/>
      <c r="CT15" s="57"/>
      <c r="CU15" s="53"/>
      <c r="CV15" s="51"/>
      <c r="CW15" s="34"/>
      <c r="CX15" s="56"/>
      <c r="CY15" s="34"/>
      <c r="CZ15" s="53"/>
      <c r="DA15" s="34"/>
      <c r="DB15" s="56"/>
      <c r="DC15" s="34"/>
      <c r="DD15" s="53"/>
      <c r="DE15" s="34"/>
      <c r="DF15" s="56"/>
      <c r="DG15" s="34"/>
      <c r="DH15" s="53"/>
      <c r="DI15" s="34"/>
      <c r="DJ15" s="56"/>
      <c r="DK15" s="55"/>
    </row>
    <row r="16" spans="1:116" x14ac:dyDescent="0.25">
      <c r="A16" s="58" t="s">
        <v>143</v>
      </c>
      <c r="B16" s="1">
        <f>'ol4'!U28</f>
        <v>0</v>
      </c>
      <c r="C16" s="1"/>
      <c r="E16" t="s">
        <v>144</v>
      </c>
      <c r="F16">
        <f>IF(B18="Отопление",11.7,IF(B18="Вентиляция",8.6,30))*B4/6</f>
        <v>0</v>
      </c>
      <c r="I16" s="54">
        <f t="shared" si="0"/>
        <v>0</v>
      </c>
      <c r="J16" s="57">
        <v>250</v>
      </c>
      <c r="K16" s="57">
        <f t="shared" si="1"/>
        <v>2.339473539768467E-2</v>
      </c>
      <c r="L16" s="57">
        <f t="shared" si="2"/>
        <v>0</v>
      </c>
      <c r="M16" s="57"/>
      <c r="N16" s="57" t="e">
        <f t="shared" si="3"/>
        <v>#DIV/0!</v>
      </c>
      <c r="O16" s="57">
        <v>250</v>
      </c>
      <c r="P16" s="57">
        <f t="shared" si="4"/>
        <v>2.339473539768467E-2</v>
      </c>
      <c r="Q16" s="61" t="e">
        <f t="shared" si="5"/>
        <v>#DIV/0!</v>
      </c>
      <c r="R16" s="57">
        <f t="shared" si="6"/>
        <v>0</v>
      </c>
      <c r="S16" s="57">
        <v>250</v>
      </c>
      <c r="T16" s="57">
        <f t="shared" si="7"/>
        <v>2.339473539768467E-2</v>
      </c>
      <c r="U16" s="61">
        <f t="shared" si="8"/>
        <v>0</v>
      </c>
      <c r="W16" s="54"/>
      <c r="X16" s="57"/>
      <c r="Y16" s="57"/>
      <c r="Z16" s="54">
        <f t="shared" si="9"/>
        <v>1</v>
      </c>
      <c r="AA16" s="57">
        <v>80</v>
      </c>
      <c r="AB16" s="61">
        <v>80</v>
      </c>
      <c r="AC16" s="54">
        <f t="shared" si="10"/>
        <v>1</v>
      </c>
      <c r="AD16" s="57">
        <v>80</v>
      </c>
      <c r="AE16" s="61">
        <v>100</v>
      </c>
      <c r="AF16" s="57">
        <f t="shared" si="11"/>
        <v>1</v>
      </c>
      <c r="AG16" s="57">
        <v>150</v>
      </c>
      <c r="AH16" s="61">
        <v>400</v>
      </c>
      <c r="AS16" s="83"/>
      <c r="AT16" s="87"/>
      <c r="AU16" s="87"/>
      <c r="AV16" s="87"/>
      <c r="AW16" s="88"/>
      <c r="AX16" s="83"/>
      <c r="AY16" s="87"/>
      <c r="AZ16" s="87"/>
      <c r="BA16" s="87"/>
      <c r="BB16" s="89"/>
      <c r="BC16" s="83"/>
      <c r="BD16" s="87"/>
      <c r="BE16" s="87"/>
      <c r="BF16" s="87"/>
      <c r="BG16" s="89"/>
      <c r="BH16" s="87"/>
      <c r="BI16" s="87"/>
      <c r="BJ16" s="87"/>
      <c r="BK16" s="87"/>
      <c r="BL16" s="89"/>
      <c r="BN16" s="50"/>
      <c r="BO16" s="34"/>
      <c r="BP16" s="51"/>
      <c r="BQ16" s="34"/>
      <c r="BR16" s="56"/>
      <c r="BS16" s="34"/>
      <c r="BT16" s="53"/>
      <c r="BU16" s="70">
        <f t="shared" si="24"/>
        <v>0</v>
      </c>
      <c r="BV16" s="56" t="s">
        <v>145</v>
      </c>
      <c r="BW16" s="34">
        <v>40</v>
      </c>
      <c r="BX16" s="55">
        <v>25</v>
      </c>
      <c r="BY16" s="51"/>
      <c r="BZ16" s="34"/>
      <c r="CA16" s="56"/>
      <c r="CB16" s="34"/>
      <c r="CC16" s="53"/>
      <c r="CD16" s="57"/>
      <c r="CE16" s="57"/>
      <c r="CF16" s="57"/>
      <c r="CG16" s="53"/>
      <c r="CH16" s="34"/>
      <c r="CI16" s="57"/>
      <c r="CJ16" s="57"/>
      <c r="CK16" s="57"/>
      <c r="CL16" s="57"/>
      <c r="CM16" s="57"/>
      <c r="CN16" s="57"/>
      <c r="CO16" s="57"/>
      <c r="CP16" s="57"/>
      <c r="CQ16" s="53"/>
      <c r="CR16" s="57"/>
      <c r="CS16" s="57"/>
      <c r="CT16" s="57"/>
      <c r="CU16" s="53"/>
      <c r="CV16" s="53"/>
      <c r="CW16" s="57"/>
      <c r="CX16" s="57"/>
      <c r="CY16" s="57"/>
      <c r="CZ16" s="53"/>
      <c r="DA16" s="57"/>
      <c r="DB16" s="57"/>
      <c r="DC16" s="57"/>
      <c r="DD16" s="53"/>
      <c r="DE16" s="57"/>
      <c r="DF16" s="57"/>
      <c r="DG16" s="57"/>
      <c r="DH16" s="53"/>
      <c r="DI16" s="57"/>
      <c r="DJ16" s="57"/>
      <c r="DK16" s="61"/>
    </row>
    <row r="17" spans="1:115" x14ac:dyDescent="0.25">
      <c r="A17" s="58" t="s">
        <v>69</v>
      </c>
      <c r="B17" s="1" t="str">
        <f>'ol4'!AA28</f>
        <v>Учтен в БОВ-1</v>
      </c>
      <c r="C17" s="1"/>
      <c r="E17" t="s">
        <v>52</v>
      </c>
      <c r="F17" t="e">
        <f>VLOOKUP(1,R4:U17,2,0)</f>
        <v>#N/A</v>
      </c>
      <c r="I17" s="54">
        <f t="shared" si="0"/>
        <v>0</v>
      </c>
      <c r="J17" s="57">
        <v>300</v>
      </c>
      <c r="K17" s="57">
        <f t="shared" si="1"/>
        <v>2.2301284149115197E-2</v>
      </c>
      <c r="L17" s="57">
        <f t="shared" si="2"/>
        <v>0</v>
      </c>
      <c r="M17" s="57"/>
      <c r="N17" s="57" t="e">
        <f t="shared" si="3"/>
        <v>#DIV/0!</v>
      </c>
      <c r="O17" s="57">
        <v>300</v>
      </c>
      <c r="P17" s="57">
        <f t="shared" si="4"/>
        <v>2.2301284149115197E-2</v>
      </c>
      <c r="Q17" s="61" t="e">
        <f t="shared" si="5"/>
        <v>#DIV/0!</v>
      </c>
      <c r="R17" s="57">
        <f t="shared" si="6"/>
        <v>0</v>
      </c>
      <c r="S17" s="57">
        <v>300</v>
      </c>
      <c r="T17" s="57">
        <f t="shared" si="7"/>
        <v>2.2301284149115197E-2</v>
      </c>
      <c r="U17" s="61">
        <f t="shared" si="8"/>
        <v>0</v>
      </c>
      <c r="W17" s="54"/>
      <c r="X17" s="57"/>
      <c r="Y17" s="57"/>
      <c r="Z17" s="54">
        <f t="shared" si="9"/>
        <v>1</v>
      </c>
      <c r="AA17" s="57">
        <v>80</v>
      </c>
      <c r="AB17" s="61">
        <v>100</v>
      </c>
      <c r="AC17" s="54">
        <f t="shared" si="10"/>
        <v>1</v>
      </c>
      <c r="AD17" s="57">
        <v>100</v>
      </c>
      <c r="AE17" s="61">
        <v>125</v>
      </c>
      <c r="AF17" s="57"/>
      <c r="AG17" s="57"/>
      <c r="AH17" s="61"/>
      <c r="AS17" s="57"/>
      <c r="AT17" s="57"/>
      <c r="AU17" s="57"/>
      <c r="BN17" s="50"/>
      <c r="BO17" s="34"/>
      <c r="BP17" s="51"/>
      <c r="BQ17" s="34"/>
      <c r="BR17" s="56"/>
      <c r="BS17" s="34"/>
      <c r="BT17" s="53"/>
      <c r="BU17" s="70">
        <f t="shared" si="24"/>
        <v>0</v>
      </c>
      <c r="BV17" s="56" t="s">
        <v>146</v>
      </c>
      <c r="BW17" s="34">
        <v>50</v>
      </c>
      <c r="BX17" s="55">
        <v>31.5</v>
      </c>
      <c r="BY17" s="51"/>
      <c r="BZ17" s="34"/>
      <c r="CA17" s="56"/>
      <c r="CB17" s="34"/>
      <c r="CC17" s="53"/>
      <c r="CD17" s="57"/>
      <c r="CE17" s="57"/>
      <c r="CF17" s="57"/>
      <c r="CG17" s="53"/>
      <c r="CH17" s="34"/>
      <c r="CI17" s="57"/>
      <c r="CJ17" s="57"/>
      <c r="CK17" s="57"/>
      <c r="CL17" s="57"/>
      <c r="CM17" s="57"/>
      <c r="CN17" s="57"/>
      <c r="CO17" s="57"/>
      <c r="CP17" s="57"/>
      <c r="CQ17" s="53"/>
      <c r="CR17" s="57"/>
      <c r="CS17" s="57"/>
      <c r="CT17" s="57"/>
      <c r="CU17" s="53"/>
      <c r="CV17" s="53"/>
      <c r="CW17" s="57"/>
      <c r="CX17" s="57"/>
      <c r="CY17" s="57"/>
      <c r="CZ17" s="53"/>
      <c r="DA17" s="57"/>
      <c r="DB17" s="57"/>
      <c r="DC17" s="57"/>
      <c r="DD17" s="53"/>
      <c r="DE17" s="57"/>
      <c r="DF17" s="57"/>
      <c r="DG17" s="57"/>
      <c r="DH17" s="53"/>
      <c r="DI17" s="57"/>
      <c r="DJ17" s="57"/>
      <c r="DK17" s="61"/>
    </row>
    <row r="18" spans="1:115" x14ac:dyDescent="0.25">
      <c r="A18" s="58" t="s">
        <v>147</v>
      </c>
      <c r="B18" s="1" t="str">
        <f>'ol4'!A15</f>
        <v>Вентиляция</v>
      </c>
      <c r="C18" s="1"/>
      <c r="I18" s="54"/>
      <c r="J18" s="57"/>
      <c r="K18" s="57"/>
      <c r="L18" s="57"/>
      <c r="M18" s="57"/>
      <c r="N18" s="57"/>
      <c r="O18" s="57"/>
      <c r="P18" s="57"/>
      <c r="Q18" s="61"/>
      <c r="R18" s="57"/>
      <c r="S18" s="57"/>
      <c r="T18" s="57"/>
      <c r="U18" s="61"/>
      <c r="W18" s="54"/>
      <c r="X18" s="57"/>
      <c r="Y18" s="57"/>
      <c r="Z18" s="54">
        <f t="shared" si="9"/>
        <v>1</v>
      </c>
      <c r="AA18" s="57">
        <v>100</v>
      </c>
      <c r="AB18" s="61">
        <v>125</v>
      </c>
      <c r="AC18" s="54">
        <f t="shared" si="10"/>
        <v>1</v>
      </c>
      <c r="AD18" s="57">
        <v>100</v>
      </c>
      <c r="AE18" s="61">
        <v>160</v>
      </c>
      <c r="AF18" s="57"/>
      <c r="AG18" s="57"/>
      <c r="AH18" s="61"/>
      <c r="BN18" s="50"/>
      <c r="BO18" s="34"/>
      <c r="BP18" s="51"/>
      <c r="BQ18" s="34"/>
      <c r="BR18" s="56"/>
      <c r="BS18" s="34"/>
      <c r="BT18" s="53"/>
      <c r="BU18" s="70">
        <f t="shared" si="24"/>
        <v>0</v>
      </c>
      <c r="BV18" s="56" t="s">
        <v>148</v>
      </c>
      <c r="BW18" s="34">
        <v>50</v>
      </c>
      <c r="BX18" s="55">
        <v>40</v>
      </c>
      <c r="BY18" s="51"/>
      <c r="BZ18" s="34"/>
      <c r="CA18" s="56"/>
      <c r="CB18" s="34"/>
      <c r="CC18" s="53"/>
      <c r="CD18" s="57"/>
      <c r="CE18" s="57"/>
      <c r="CF18" s="57"/>
      <c r="CG18" s="53"/>
      <c r="CH18" s="34"/>
      <c r="CI18" s="57"/>
      <c r="CJ18" s="57"/>
      <c r="CK18" s="57"/>
      <c r="CL18" s="57"/>
      <c r="CM18" s="57"/>
      <c r="CN18" s="57"/>
      <c r="CO18" s="57"/>
      <c r="CP18" s="57"/>
      <c r="CQ18" s="53"/>
      <c r="CR18" s="57"/>
      <c r="CS18" s="57"/>
      <c r="CT18" s="57"/>
      <c r="CU18" s="53"/>
      <c r="CV18" s="53"/>
      <c r="CW18" s="57"/>
      <c r="CX18" s="57"/>
      <c r="CY18" s="57"/>
      <c r="CZ18" s="53"/>
      <c r="DA18" s="57"/>
      <c r="DB18" s="57"/>
      <c r="DC18" s="57"/>
      <c r="DD18" s="53"/>
      <c r="DE18" s="57"/>
      <c r="DF18" s="57"/>
      <c r="DG18" s="57"/>
      <c r="DH18" s="53"/>
      <c r="DI18" s="57"/>
      <c r="DJ18" s="57"/>
      <c r="DK18" s="61"/>
    </row>
    <row r="19" spans="1:115" x14ac:dyDescent="0.25">
      <c r="A19" s="58"/>
      <c r="C19" s="72"/>
      <c r="I19" s="54"/>
      <c r="J19" s="90"/>
      <c r="K19" s="57"/>
      <c r="L19" s="57"/>
      <c r="M19" s="57"/>
      <c r="N19" s="57"/>
      <c r="O19" s="57"/>
      <c r="P19" s="57"/>
      <c r="Q19" s="61"/>
      <c r="R19" s="57"/>
      <c r="S19" s="57"/>
      <c r="T19" s="57"/>
      <c r="U19" s="61"/>
      <c r="W19" s="54"/>
      <c r="X19" s="57"/>
      <c r="Y19" s="57"/>
      <c r="Z19" s="54">
        <f t="shared" si="9"/>
        <v>1</v>
      </c>
      <c r="AA19" s="57">
        <v>100</v>
      </c>
      <c r="AB19" s="61">
        <v>160</v>
      </c>
      <c r="AC19" s="54">
        <f t="shared" si="10"/>
        <v>1</v>
      </c>
      <c r="AD19" s="57">
        <v>125</v>
      </c>
      <c r="AE19" s="61">
        <v>200</v>
      </c>
      <c r="AF19" s="57"/>
      <c r="AG19" s="57"/>
      <c r="AH19" s="61"/>
      <c r="BN19" s="50"/>
      <c r="BO19" s="34"/>
      <c r="BP19" s="51"/>
      <c r="BQ19" s="34"/>
      <c r="BR19" s="56"/>
      <c r="BS19" s="34"/>
      <c r="BT19" s="53"/>
      <c r="BU19" s="70">
        <f t="shared" si="24"/>
        <v>0</v>
      </c>
      <c r="BV19" s="56" t="s">
        <v>149</v>
      </c>
      <c r="BW19" s="34">
        <v>65</v>
      </c>
      <c r="BX19" s="55">
        <v>50</v>
      </c>
      <c r="BY19" s="51"/>
      <c r="BZ19" s="34"/>
      <c r="CA19" s="56"/>
      <c r="CB19" s="34"/>
      <c r="CC19" s="53"/>
      <c r="CD19" s="57"/>
      <c r="CE19" s="57"/>
      <c r="CF19" s="57"/>
      <c r="CG19" s="53"/>
      <c r="CH19" s="57"/>
      <c r="CI19" s="57"/>
      <c r="CJ19" s="57"/>
      <c r="CK19" s="57"/>
      <c r="CL19" s="57"/>
      <c r="CM19" s="57"/>
      <c r="CN19" s="57"/>
      <c r="CO19" s="57"/>
      <c r="CP19" s="57"/>
      <c r="CQ19" s="53"/>
      <c r="CR19" s="57"/>
      <c r="CS19" s="57"/>
      <c r="CT19" s="57"/>
      <c r="CU19" s="53"/>
      <c r="CV19" s="53"/>
      <c r="CW19" s="57"/>
      <c r="CX19" s="57"/>
      <c r="CY19" s="57"/>
      <c r="CZ19" s="53"/>
      <c r="DA19" s="57"/>
      <c r="DB19" s="57"/>
      <c r="DC19" s="57"/>
      <c r="DD19" s="53"/>
      <c r="DE19" s="57"/>
      <c r="DF19" s="57"/>
      <c r="DG19" s="57"/>
      <c r="DH19" s="53"/>
      <c r="DI19" s="57"/>
      <c r="DJ19" s="57"/>
      <c r="DK19" s="61"/>
    </row>
    <row r="20" spans="1:115" x14ac:dyDescent="0.25">
      <c r="A20" s="58"/>
      <c r="C20" s="72"/>
      <c r="I20" s="54"/>
      <c r="J20" s="90" t="s">
        <v>150</v>
      </c>
      <c r="K20" s="57">
        <v>958.4</v>
      </c>
      <c r="L20" s="57"/>
      <c r="M20" s="57"/>
      <c r="N20" s="57"/>
      <c r="O20" s="57"/>
      <c r="P20" s="57"/>
      <c r="Q20" s="61"/>
      <c r="R20" s="57"/>
      <c r="S20" s="57"/>
      <c r="T20" s="57"/>
      <c r="U20" s="61"/>
      <c r="W20" s="54"/>
      <c r="X20" s="57"/>
      <c r="Y20" s="57"/>
      <c r="Z20" s="54">
        <f t="shared" si="9"/>
        <v>1</v>
      </c>
      <c r="AA20" s="57">
        <v>125</v>
      </c>
      <c r="AB20" s="61">
        <v>250</v>
      </c>
      <c r="AC20" s="54">
        <f t="shared" si="10"/>
        <v>1</v>
      </c>
      <c r="AD20" s="57">
        <v>125</v>
      </c>
      <c r="AE20" s="61">
        <v>250</v>
      </c>
      <c r="AF20" s="57"/>
      <c r="AG20" s="57"/>
      <c r="AH20" s="61"/>
      <c r="BN20" s="50"/>
      <c r="BO20" s="34"/>
      <c r="BP20" s="51"/>
      <c r="BQ20" s="34"/>
      <c r="BR20" s="56"/>
      <c r="BS20" s="34"/>
      <c r="BT20" s="53"/>
      <c r="BU20" s="70">
        <f t="shared" si="24"/>
        <v>0</v>
      </c>
      <c r="BV20" s="56" t="s">
        <v>151</v>
      </c>
      <c r="BW20" s="34">
        <v>65</v>
      </c>
      <c r="BX20" s="55">
        <v>63</v>
      </c>
      <c r="BY20" s="51"/>
      <c r="BZ20" s="34"/>
      <c r="CA20" s="56"/>
      <c r="CB20" s="34"/>
      <c r="CC20" s="53"/>
      <c r="CD20" s="57"/>
      <c r="CE20" s="57"/>
      <c r="CF20" s="57"/>
      <c r="CG20" s="53"/>
      <c r="CH20" s="57"/>
      <c r="CI20" s="57"/>
      <c r="CJ20" s="57"/>
      <c r="CK20" s="57"/>
      <c r="CL20" s="57"/>
      <c r="CM20" s="57"/>
      <c r="CN20" s="57"/>
      <c r="CO20" s="57"/>
      <c r="CP20" s="57"/>
      <c r="CQ20" s="53"/>
      <c r="CR20" s="57"/>
      <c r="CS20" s="57"/>
      <c r="CT20" s="57"/>
      <c r="CU20" s="53"/>
      <c r="CV20" s="53"/>
      <c r="CW20" s="57"/>
      <c r="CX20" s="57"/>
      <c r="CY20" s="57"/>
      <c r="CZ20" s="53"/>
      <c r="DA20" s="57"/>
      <c r="DB20" s="57"/>
      <c r="DC20" s="57"/>
      <c r="DD20" s="53"/>
      <c r="DE20" s="57"/>
      <c r="DF20" s="57"/>
      <c r="DG20" s="57"/>
      <c r="DH20" s="53"/>
      <c r="DI20" s="57"/>
      <c r="DJ20" s="57"/>
      <c r="DK20" s="61"/>
    </row>
    <row r="21" spans="1:115" x14ac:dyDescent="0.25">
      <c r="I21" s="54"/>
      <c r="J21" s="90" t="s">
        <v>152</v>
      </c>
      <c r="K21" s="57">
        <v>0.5</v>
      </c>
      <c r="L21" s="57"/>
      <c r="M21" s="57"/>
      <c r="N21" s="57"/>
      <c r="O21" s="57"/>
      <c r="P21" s="57"/>
      <c r="Q21" s="61"/>
      <c r="R21" s="57"/>
      <c r="S21" s="57"/>
      <c r="T21" s="57"/>
      <c r="U21" s="61"/>
      <c r="W21" s="54"/>
      <c r="X21" s="57"/>
      <c r="Y21" s="57"/>
      <c r="Z21" s="54">
        <f t="shared" si="9"/>
        <v>1</v>
      </c>
      <c r="AA21" s="57">
        <v>150</v>
      </c>
      <c r="AB21" s="61">
        <v>315</v>
      </c>
      <c r="AC21" s="54">
        <f t="shared" si="10"/>
        <v>1</v>
      </c>
      <c r="AD21" s="57">
        <v>150</v>
      </c>
      <c r="AE21" s="61">
        <v>315</v>
      </c>
      <c r="AF21" s="57"/>
      <c r="AG21" s="57"/>
      <c r="AH21" s="61"/>
      <c r="BN21" s="50"/>
      <c r="BO21" s="34"/>
      <c r="BP21" s="51"/>
      <c r="BQ21" s="34"/>
      <c r="BR21" s="56"/>
      <c r="BS21" s="34"/>
      <c r="BT21" s="53"/>
      <c r="BU21" s="70">
        <f t="shared" si="24"/>
        <v>0</v>
      </c>
      <c r="BV21" s="56" t="s">
        <v>153</v>
      </c>
      <c r="BW21" s="34">
        <v>80</v>
      </c>
      <c r="BX21" s="55">
        <v>80</v>
      </c>
      <c r="BY21" s="51"/>
      <c r="BZ21" s="34"/>
      <c r="CA21" s="56"/>
      <c r="CB21" s="34"/>
      <c r="CC21" s="53"/>
      <c r="CD21" s="57"/>
      <c r="CE21" s="57"/>
      <c r="CF21" s="57"/>
      <c r="CG21" s="53"/>
      <c r="CH21" s="57"/>
      <c r="CI21" s="57"/>
      <c r="CJ21" s="57"/>
      <c r="CK21" s="57"/>
      <c r="CL21" s="57"/>
      <c r="CM21" s="57"/>
      <c r="CN21" s="57"/>
      <c r="CO21" s="57"/>
      <c r="CP21" s="57"/>
      <c r="CQ21" s="53"/>
      <c r="CR21" s="57"/>
      <c r="CS21" s="57"/>
      <c r="CT21" s="57"/>
      <c r="CU21" s="53"/>
      <c r="CV21" s="53"/>
      <c r="CW21" s="57"/>
      <c r="CX21" s="57"/>
      <c r="CY21" s="57"/>
      <c r="CZ21" s="53"/>
      <c r="DA21" s="57"/>
      <c r="DB21" s="57"/>
      <c r="DC21" s="57"/>
      <c r="DD21" s="53"/>
      <c r="DE21" s="57"/>
      <c r="DF21" s="57"/>
      <c r="DG21" s="57"/>
      <c r="DH21" s="53"/>
      <c r="DI21" s="57"/>
      <c r="DJ21" s="57"/>
      <c r="DK21" s="61"/>
    </row>
    <row r="22" spans="1:115" x14ac:dyDescent="0.25">
      <c r="I22" s="83"/>
      <c r="J22" s="91"/>
      <c r="K22" s="87"/>
      <c r="L22" s="87"/>
      <c r="M22" s="87"/>
      <c r="N22" s="87"/>
      <c r="O22" s="87"/>
      <c r="P22" s="87"/>
      <c r="Q22" s="89"/>
      <c r="R22" s="87"/>
      <c r="S22" s="87"/>
      <c r="T22" s="87"/>
      <c r="U22" s="89"/>
      <c r="W22" s="83"/>
      <c r="X22" s="87"/>
      <c r="Y22" s="87"/>
      <c r="Z22" s="83"/>
      <c r="AA22" s="87"/>
      <c r="AB22" s="89"/>
      <c r="AC22" s="83">
        <f t="shared" si="10"/>
        <v>1</v>
      </c>
      <c r="AD22" s="87">
        <v>150</v>
      </c>
      <c r="AE22" s="89">
        <v>400</v>
      </c>
      <c r="AF22" s="87"/>
      <c r="AG22" s="87"/>
      <c r="AH22" s="89"/>
      <c r="BN22" s="50"/>
      <c r="BO22" s="34"/>
      <c r="BP22" s="51"/>
      <c r="BQ22" s="34"/>
      <c r="BR22" s="56"/>
      <c r="BS22" s="34"/>
      <c r="BT22" s="53"/>
      <c r="BU22" s="70">
        <f t="shared" si="24"/>
        <v>0</v>
      </c>
      <c r="BV22" s="56" t="s">
        <v>154</v>
      </c>
      <c r="BW22" s="34">
        <v>80</v>
      </c>
      <c r="BX22" s="55">
        <v>100</v>
      </c>
      <c r="BY22" s="51"/>
      <c r="BZ22" s="34"/>
      <c r="CA22" s="56"/>
      <c r="CB22" s="34"/>
      <c r="CC22" s="53"/>
      <c r="CD22" s="57"/>
      <c r="CE22" s="57"/>
      <c r="CF22" s="57"/>
      <c r="CG22" s="53"/>
      <c r="CH22" s="57"/>
      <c r="CI22" s="57"/>
      <c r="CJ22" s="57"/>
      <c r="CK22" s="57"/>
      <c r="CL22" s="57"/>
      <c r="CM22" s="57"/>
      <c r="CN22" s="57"/>
      <c r="CO22" s="57"/>
      <c r="CP22" s="57"/>
      <c r="CQ22" s="53"/>
      <c r="CR22" s="57"/>
      <c r="CS22" s="57"/>
      <c r="CT22" s="57"/>
      <c r="CU22" s="53"/>
      <c r="CV22" s="53"/>
      <c r="CW22" s="57"/>
      <c r="CX22" s="57"/>
      <c r="CY22" s="57"/>
      <c r="CZ22" s="53"/>
      <c r="DA22" s="57"/>
      <c r="DB22" s="57"/>
      <c r="DC22" s="57"/>
      <c r="DD22" s="53"/>
      <c r="DE22" s="57"/>
      <c r="DF22" s="57"/>
      <c r="DG22" s="57"/>
      <c r="DH22" s="53"/>
      <c r="DI22" s="57"/>
      <c r="DJ22" s="57"/>
      <c r="DK22" s="61"/>
    </row>
    <row r="23" spans="1:115" x14ac:dyDescent="0.25">
      <c r="BN23" s="50"/>
      <c r="BO23" s="34"/>
      <c r="BP23" s="51"/>
      <c r="BQ23" s="34"/>
      <c r="BR23" s="56"/>
      <c r="BS23" s="34"/>
      <c r="BT23" s="53"/>
      <c r="BU23" s="70">
        <f t="shared" si="24"/>
        <v>0</v>
      </c>
      <c r="BV23" s="56" t="s">
        <v>155</v>
      </c>
      <c r="BW23" s="34">
        <v>100</v>
      </c>
      <c r="BX23" s="55">
        <v>125</v>
      </c>
      <c r="BY23" s="51"/>
      <c r="BZ23" s="34"/>
      <c r="CA23" s="56"/>
      <c r="CB23" s="34"/>
      <c r="CC23" s="53"/>
      <c r="CD23" s="57"/>
      <c r="CE23" s="57"/>
      <c r="CF23" s="57"/>
      <c r="CG23" s="53"/>
      <c r="CH23" s="57"/>
      <c r="CI23" s="57"/>
      <c r="CJ23" s="57"/>
      <c r="CK23" s="57"/>
      <c r="CL23" s="57"/>
      <c r="CM23" s="57"/>
      <c r="CN23" s="57"/>
      <c r="CO23" s="57"/>
      <c r="CP23" s="57"/>
      <c r="CQ23" s="53"/>
      <c r="CR23" s="57"/>
      <c r="CS23" s="57"/>
      <c r="CT23" s="57"/>
      <c r="CU23" s="53"/>
      <c r="CV23" s="53"/>
      <c r="CW23" s="57"/>
      <c r="CX23" s="57"/>
      <c r="CY23" s="57"/>
      <c r="CZ23" s="53"/>
      <c r="DA23" s="57"/>
      <c r="DB23" s="57"/>
      <c r="DC23" s="57"/>
      <c r="DD23" s="53"/>
      <c r="DE23" s="57"/>
      <c r="DF23" s="57"/>
      <c r="DG23" s="57"/>
      <c r="DH23" s="53"/>
      <c r="DI23" s="57"/>
      <c r="DJ23" s="57"/>
      <c r="DK23" s="61"/>
    </row>
    <row r="24" spans="1:115" x14ac:dyDescent="0.25">
      <c r="BN24" s="50"/>
      <c r="BO24" s="34"/>
      <c r="BP24" s="51"/>
      <c r="BQ24" s="34"/>
      <c r="BR24" s="56"/>
      <c r="BS24" s="34"/>
      <c r="BT24" s="53"/>
      <c r="BU24" s="70">
        <f t="shared" si="24"/>
        <v>0</v>
      </c>
      <c r="BV24" s="56" t="s">
        <v>156</v>
      </c>
      <c r="BW24" s="34">
        <v>100</v>
      </c>
      <c r="BX24" s="55">
        <v>160</v>
      </c>
      <c r="BY24" s="51"/>
      <c r="BZ24" s="34"/>
      <c r="CA24" s="56"/>
      <c r="CB24" s="34"/>
      <c r="CC24" s="53"/>
      <c r="CD24" s="57"/>
      <c r="CE24" s="57"/>
      <c r="CF24" s="57"/>
      <c r="CG24" s="53"/>
      <c r="CH24" s="57"/>
      <c r="CI24" s="57"/>
      <c r="CJ24" s="57"/>
      <c r="CK24" s="57"/>
      <c r="CL24" s="57"/>
      <c r="CM24" s="57"/>
      <c r="CN24" s="57"/>
      <c r="CO24" s="57"/>
      <c r="CP24" s="57"/>
      <c r="CQ24" s="53"/>
      <c r="CR24" s="57"/>
      <c r="CS24" s="57"/>
      <c r="CT24" s="57"/>
      <c r="CU24" s="53"/>
      <c r="CV24" s="53"/>
      <c r="CW24" s="57"/>
      <c r="CX24" s="57"/>
      <c r="CY24" s="57"/>
      <c r="CZ24" s="53"/>
      <c r="DA24" s="57"/>
      <c r="DB24" s="57"/>
      <c r="DC24" s="57"/>
      <c r="DD24" s="53"/>
      <c r="DE24" s="57"/>
      <c r="DF24" s="57"/>
      <c r="DG24" s="57"/>
      <c r="DH24" s="53"/>
      <c r="DI24" s="57"/>
      <c r="DJ24" s="57"/>
      <c r="DK24" s="61"/>
    </row>
    <row r="25" spans="1:115" x14ac:dyDescent="0.25">
      <c r="BN25" s="50"/>
      <c r="BO25" s="34"/>
      <c r="BP25" s="51"/>
      <c r="BQ25" s="34"/>
      <c r="BR25" s="56"/>
      <c r="BS25" s="34"/>
      <c r="BT25" s="53"/>
      <c r="BU25" s="70">
        <f t="shared" si="24"/>
        <v>0</v>
      </c>
      <c r="BV25" s="56" t="s">
        <v>157</v>
      </c>
      <c r="BW25" s="34">
        <v>125</v>
      </c>
      <c r="BX25" s="55">
        <v>250</v>
      </c>
      <c r="BY25" s="51"/>
      <c r="BZ25" s="34"/>
      <c r="CA25" s="56"/>
      <c r="CB25" s="34"/>
      <c r="CC25" s="53"/>
      <c r="CD25" s="57"/>
      <c r="CE25" s="57"/>
      <c r="CF25" s="57"/>
      <c r="CG25" s="53"/>
      <c r="CH25" s="57"/>
      <c r="CI25" s="57"/>
      <c r="CJ25" s="57"/>
      <c r="CK25" s="57"/>
      <c r="CL25" s="57"/>
      <c r="CM25" s="57"/>
      <c r="CN25" s="57"/>
      <c r="CO25" s="57"/>
      <c r="CP25" s="57"/>
      <c r="CQ25" s="53"/>
      <c r="CR25" s="57"/>
      <c r="CS25" s="57"/>
      <c r="CT25" s="57"/>
      <c r="CU25" s="53"/>
      <c r="CV25" s="53"/>
      <c r="CW25" s="57"/>
      <c r="CX25" s="57"/>
      <c r="CY25" s="57"/>
      <c r="CZ25" s="53"/>
      <c r="DA25" s="57"/>
      <c r="DB25" s="57"/>
      <c r="DC25" s="57"/>
      <c r="DD25" s="53"/>
      <c r="DE25" s="57"/>
      <c r="DF25" s="57"/>
      <c r="DG25" s="57"/>
      <c r="DH25" s="53"/>
      <c r="DI25" s="57"/>
      <c r="DJ25" s="57"/>
      <c r="DK25" s="61"/>
    </row>
    <row r="26" spans="1:115" x14ac:dyDescent="0.25">
      <c r="BN26" s="92"/>
      <c r="BO26" s="93"/>
      <c r="BP26" s="94"/>
      <c r="BQ26" s="93"/>
      <c r="BR26" s="95"/>
      <c r="BS26" s="93"/>
      <c r="BT26" s="85"/>
      <c r="BU26" s="82">
        <f t="shared" si="24"/>
        <v>0</v>
      </c>
      <c r="BV26" s="95" t="s">
        <v>158</v>
      </c>
      <c r="BW26" s="93">
        <v>150</v>
      </c>
      <c r="BX26" s="96">
        <v>315</v>
      </c>
      <c r="BY26" s="94"/>
      <c r="BZ26" s="93"/>
      <c r="CA26" s="95"/>
      <c r="CB26" s="93"/>
      <c r="CC26" s="85"/>
      <c r="CD26" s="87"/>
      <c r="CE26" s="87"/>
      <c r="CF26" s="87"/>
      <c r="CG26" s="85"/>
      <c r="CH26" s="87"/>
      <c r="CI26" s="87"/>
      <c r="CJ26" s="87"/>
      <c r="CK26" s="87"/>
      <c r="CL26" s="87"/>
      <c r="CM26" s="87"/>
      <c r="CN26" s="87"/>
      <c r="CO26" s="87"/>
      <c r="CP26" s="87"/>
      <c r="CQ26" s="85"/>
      <c r="CR26" s="87"/>
      <c r="CS26" s="87"/>
      <c r="CT26" s="87"/>
      <c r="CU26" s="85"/>
      <c r="CV26" s="85"/>
      <c r="CW26" s="87"/>
      <c r="CX26" s="87"/>
      <c r="CY26" s="87"/>
      <c r="CZ26" s="85"/>
      <c r="DA26" s="87"/>
      <c r="DB26" s="87"/>
      <c r="DC26" s="87"/>
      <c r="DD26" s="85"/>
      <c r="DE26" s="87"/>
      <c r="DF26" s="87"/>
      <c r="DG26" s="87"/>
      <c r="DH26" s="85"/>
      <c r="DI26" s="87"/>
      <c r="DJ26" s="87"/>
      <c r="DK26" s="89"/>
    </row>
  </sheetData>
  <mergeCells count="28">
    <mergeCell ref="B16:C16"/>
    <mergeCell ref="B17:C17"/>
    <mergeCell ref="B18:C18"/>
    <mergeCell ref="BC3:BG3"/>
    <mergeCell ref="BH3:BL3"/>
    <mergeCell ref="B14:C14"/>
    <mergeCell ref="E14:F14"/>
    <mergeCell ref="B15:C15"/>
    <mergeCell ref="Z3:AB3"/>
    <mergeCell ref="AC3:AE3"/>
    <mergeCell ref="AF3:AH3"/>
    <mergeCell ref="AS3:AW3"/>
    <mergeCell ref="AX3:BB3"/>
    <mergeCell ref="CR2:CT2"/>
    <mergeCell ref="CW2:CY2"/>
    <mergeCell ref="DA2:DC2"/>
    <mergeCell ref="DE2:DG2"/>
    <mergeCell ref="DI2:DK2"/>
    <mergeCell ref="BR2:BS2"/>
    <mergeCell ref="BV2:BX2"/>
    <mergeCell ref="CA2:CB2"/>
    <mergeCell ref="CE2:CF2"/>
    <mergeCell ref="CI2:CP2"/>
    <mergeCell ref="I2:Q2"/>
    <mergeCell ref="W2:AH2"/>
    <mergeCell ref="AJ2:AM2"/>
    <mergeCell ref="AS2:BL2"/>
    <mergeCell ref="BN2:BO2"/>
  </mergeCells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DL26"/>
  <sheetViews>
    <sheetView zoomScale="85" zoomScaleNormal="85" workbookViewId="0">
      <selection activeCell="F4" sqref="F4"/>
    </sheetView>
  </sheetViews>
  <sheetFormatPr defaultRowHeight="15" x14ac:dyDescent="0.25"/>
  <cols>
    <col min="1" max="1" width="7.7109375" customWidth="1"/>
    <col min="2" max="2" width="8" customWidth="1"/>
    <col min="3" max="4" width="8.7109375" customWidth="1"/>
    <col min="5" max="6" width="12.5703125" customWidth="1"/>
    <col min="7" max="8" width="8.7109375" customWidth="1"/>
    <col min="9" max="9" width="9.140625" customWidth="1"/>
    <col min="10" max="10" width="6" customWidth="1"/>
    <col min="11" max="12" width="8" customWidth="1"/>
    <col min="13" max="13" width="4.7109375" customWidth="1"/>
    <col min="14" max="14" width="6" customWidth="1"/>
    <col min="15" max="17" width="9.140625" customWidth="1"/>
    <col min="18" max="18" width="6" customWidth="1"/>
    <col min="19" max="35" width="9.140625" customWidth="1"/>
    <col min="36" max="37" width="9.85546875" customWidth="1"/>
    <col min="38" max="38" width="15.7109375" customWidth="1"/>
    <col min="39" max="39" width="9.140625" customWidth="1"/>
    <col min="40" max="40" width="25.140625" customWidth="1"/>
    <col min="41" max="41" width="11" customWidth="1"/>
    <col min="42" max="42" width="18.28515625" customWidth="1"/>
    <col min="43" max="48" width="9.140625" customWidth="1"/>
    <col min="49" max="49" width="9.140625" style="15" customWidth="1"/>
    <col min="50" max="64" width="9.140625" customWidth="1"/>
    <col min="65" max="65" width="8.7109375" customWidth="1"/>
    <col min="66" max="66" width="4.85546875" customWidth="1"/>
    <col min="67" max="67" width="12.85546875" customWidth="1"/>
    <col min="68" max="68" width="3.28515625" customWidth="1"/>
    <col min="69" max="69" width="11.28515625" customWidth="1"/>
    <col min="70" max="71" width="6.28515625" customWidth="1"/>
    <col min="72" max="72" width="3.5703125" customWidth="1"/>
    <col min="73" max="73" width="8.28515625" customWidth="1"/>
    <col min="74" max="76" width="6.140625" customWidth="1"/>
    <col min="77" max="77" width="3.28515625" customWidth="1"/>
    <col min="78" max="78" width="9.5703125" customWidth="1"/>
    <col min="79" max="79" width="6.140625" customWidth="1"/>
    <col min="80" max="80" width="15.28515625" customWidth="1"/>
    <col min="81" max="81" width="3.28515625" customWidth="1"/>
    <col min="82" max="82" width="8.7109375" customWidth="1"/>
    <col min="83" max="84" width="6.28515625" customWidth="1"/>
    <col min="85" max="85" width="3.28515625" customWidth="1"/>
    <col min="86" max="86" width="9.5703125" customWidth="1"/>
    <col min="87" max="87" width="6.140625" customWidth="1"/>
    <col min="88" max="88" width="16.85546875" customWidth="1"/>
    <col min="89" max="89" width="8.5703125" customWidth="1"/>
    <col min="90" max="90" width="7" customWidth="1"/>
    <col min="91" max="91" width="25.140625" customWidth="1"/>
    <col min="92" max="92" width="8.5703125" customWidth="1"/>
    <col min="93" max="93" width="6.7109375" customWidth="1"/>
    <col min="94" max="94" width="18.28515625" customWidth="1"/>
    <col min="95" max="95" width="3.5703125" customWidth="1"/>
    <col min="96" max="96" width="8.5703125" customWidth="1"/>
    <col min="97" max="97" width="5.85546875" customWidth="1"/>
    <col min="98" max="98" width="16.140625" customWidth="1"/>
    <col min="99" max="99" width="3.7109375" customWidth="1"/>
    <col min="100" max="100" width="3.28515625" customWidth="1"/>
    <col min="101" max="101" width="8.5703125" customWidth="1"/>
    <col min="102" max="102" width="6.28515625" customWidth="1"/>
    <col min="103" max="103" width="11.42578125"/>
    <col min="104" max="104" width="3.5703125" customWidth="1"/>
    <col min="105" max="105" width="8.7109375" customWidth="1"/>
    <col min="106" max="106" width="6.28515625" customWidth="1"/>
    <col min="107" max="107" width="11.42578125"/>
    <col min="108" max="108" width="3.5703125" customWidth="1"/>
    <col min="109" max="109" width="8.7109375" customWidth="1"/>
    <col min="110" max="110" width="6.28515625" customWidth="1"/>
    <col min="111" max="111" width="11.42578125"/>
    <col min="112" max="112" width="3.5703125" customWidth="1"/>
    <col min="113" max="113" width="8.5703125" customWidth="1"/>
    <col min="114" max="114" width="6.28515625" customWidth="1"/>
    <col min="115" max="115" width="13.7109375" customWidth="1"/>
    <col min="116" max="116" width="3.5703125" customWidth="1"/>
    <col min="117" max="1025" width="8.7109375" customWidth="1"/>
  </cols>
  <sheetData>
    <row r="2" spans="1:116" x14ac:dyDescent="0.25">
      <c r="B2" t="s">
        <v>29</v>
      </c>
      <c r="I2" s="7" t="s">
        <v>30</v>
      </c>
      <c r="J2" s="7"/>
      <c r="K2" s="7"/>
      <c r="L2" s="7"/>
      <c r="M2" s="7"/>
      <c r="N2" s="7"/>
      <c r="O2" s="7"/>
      <c r="P2" s="7"/>
      <c r="Q2" s="7"/>
      <c r="R2" s="34"/>
      <c r="S2" s="34"/>
      <c r="T2" s="34"/>
      <c r="U2" s="34"/>
      <c r="W2" s="7" t="s">
        <v>31</v>
      </c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J2" s="7" t="s">
        <v>32</v>
      </c>
      <c r="AK2" s="7"/>
      <c r="AL2" s="7"/>
      <c r="AM2" s="7"/>
      <c r="AN2" s="35" t="s">
        <v>33</v>
      </c>
      <c r="AO2" s="35" t="s">
        <v>34</v>
      </c>
      <c r="AP2" s="36" t="s">
        <v>35</v>
      </c>
      <c r="AS2" s="6" t="s">
        <v>36</v>
      </c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N2" s="13" t="s">
        <v>37</v>
      </c>
      <c r="BO2" s="13"/>
      <c r="BP2" s="18"/>
      <c r="BQ2" s="37"/>
      <c r="BR2" s="5" t="s">
        <v>38</v>
      </c>
      <c r="BS2" s="5"/>
      <c r="BT2" s="38"/>
      <c r="BU2" s="39"/>
      <c r="BV2" s="4" t="s">
        <v>39</v>
      </c>
      <c r="BW2" s="4"/>
      <c r="BX2" s="4"/>
      <c r="BY2" s="18"/>
      <c r="BZ2" s="37"/>
      <c r="CA2" s="5" t="s">
        <v>40</v>
      </c>
      <c r="CB2" s="5"/>
      <c r="CC2" s="18"/>
      <c r="CD2" s="37"/>
      <c r="CE2" s="5" t="s">
        <v>41</v>
      </c>
      <c r="CF2" s="5"/>
      <c r="CG2" s="18"/>
      <c r="CH2" s="37"/>
      <c r="CI2" s="3" t="s">
        <v>42</v>
      </c>
      <c r="CJ2" s="3"/>
      <c r="CK2" s="3"/>
      <c r="CL2" s="3"/>
      <c r="CM2" s="3"/>
      <c r="CN2" s="3"/>
      <c r="CO2" s="3"/>
      <c r="CP2" s="3"/>
      <c r="CQ2" s="38"/>
      <c r="CR2" s="14" t="s">
        <v>43</v>
      </c>
      <c r="CS2" s="14"/>
      <c r="CT2" s="14"/>
      <c r="CU2" s="40"/>
      <c r="CV2" s="18"/>
      <c r="CW2" s="14" t="s">
        <v>44</v>
      </c>
      <c r="CX2" s="14"/>
      <c r="CY2" s="14"/>
      <c r="CZ2" s="38"/>
      <c r="DA2" s="14" t="s">
        <v>45</v>
      </c>
      <c r="DB2" s="14"/>
      <c r="DC2" s="14"/>
      <c r="DD2" s="38"/>
      <c r="DE2" s="14" t="s">
        <v>46</v>
      </c>
      <c r="DF2" s="14"/>
      <c r="DG2" s="14"/>
      <c r="DH2" s="38"/>
      <c r="DI2" s="14" t="s">
        <v>47</v>
      </c>
      <c r="DJ2" s="14"/>
      <c r="DK2" s="14"/>
      <c r="DL2" s="41"/>
    </row>
    <row r="3" spans="1:116" x14ac:dyDescent="0.25">
      <c r="I3" s="42"/>
      <c r="J3" s="43" t="s">
        <v>48</v>
      </c>
      <c r="K3" s="44" t="s">
        <v>49</v>
      </c>
      <c r="L3" s="43" t="s">
        <v>50</v>
      </c>
      <c r="M3" s="43"/>
      <c r="N3" s="43"/>
      <c r="O3" s="43" t="s">
        <v>51</v>
      </c>
      <c r="P3" s="44" t="s">
        <v>49</v>
      </c>
      <c r="Q3" s="45" t="s">
        <v>50</v>
      </c>
      <c r="R3" s="43"/>
      <c r="S3" s="43" t="s">
        <v>52</v>
      </c>
      <c r="T3" s="44" t="s">
        <v>49</v>
      </c>
      <c r="U3" s="45" t="s">
        <v>50</v>
      </c>
      <c r="W3" s="42" t="s">
        <v>53</v>
      </c>
      <c r="X3" s="43" t="s">
        <v>54</v>
      </c>
      <c r="Y3" s="45" t="s">
        <v>55</v>
      </c>
      <c r="Z3" s="7" t="s">
        <v>53</v>
      </c>
      <c r="AA3" s="7"/>
      <c r="AB3" s="7"/>
      <c r="AC3" s="7" t="s">
        <v>54</v>
      </c>
      <c r="AD3" s="7"/>
      <c r="AE3" s="7"/>
      <c r="AF3" s="7" t="s">
        <v>55</v>
      </c>
      <c r="AG3" s="7"/>
      <c r="AH3" s="7"/>
      <c r="AJ3" s="46" t="s">
        <v>56</v>
      </c>
      <c r="AK3" s="47"/>
      <c r="AL3" s="48"/>
      <c r="AM3" s="48"/>
      <c r="AN3" s="49"/>
      <c r="AO3" s="49"/>
      <c r="AP3" s="49"/>
      <c r="AS3" s="7" t="s">
        <v>57</v>
      </c>
      <c r="AT3" s="7"/>
      <c r="AU3" s="7"/>
      <c r="AV3" s="7"/>
      <c r="AW3" s="7"/>
      <c r="AX3" s="2" t="s">
        <v>58</v>
      </c>
      <c r="AY3" s="2"/>
      <c r="AZ3" s="2"/>
      <c r="BA3" s="2"/>
      <c r="BB3" s="2"/>
      <c r="BC3" s="7" t="s">
        <v>59</v>
      </c>
      <c r="BD3" s="7"/>
      <c r="BE3" s="7"/>
      <c r="BF3" s="7"/>
      <c r="BG3" s="7"/>
      <c r="BH3" s="7" t="s">
        <v>60</v>
      </c>
      <c r="BI3" s="7"/>
      <c r="BJ3" s="7"/>
      <c r="BK3" s="7"/>
      <c r="BL3" s="7"/>
      <c r="BN3" s="50" t="s">
        <v>61</v>
      </c>
      <c r="BO3" s="34" t="s">
        <v>62</v>
      </c>
      <c r="BP3" s="51"/>
      <c r="BQ3" s="34"/>
      <c r="BR3" s="52" t="s">
        <v>61</v>
      </c>
      <c r="BS3" s="31" t="s">
        <v>63</v>
      </c>
      <c r="BT3" s="53"/>
      <c r="BU3" s="54"/>
      <c r="BV3" s="52" t="s">
        <v>61</v>
      </c>
      <c r="BW3" s="31" t="s">
        <v>63</v>
      </c>
      <c r="BX3" s="55" t="s">
        <v>64</v>
      </c>
      <c r="BY3" s="51"/>
      <c r="BZ3" s="34"/>
      <c r="CA3" s="56" t="s">
        <v>61</v>
      </c>
      <c r="CB3" s="34" t="s">
        <v>65</v>
      </c>
      <c r="CC3" s="51"/>
      <c r="CD3" s="34"/>
      <c r="CE3" s="52" t="s">
        <v>61</v>
      </c>
      <c r="CF3" s="31" t="s">
        <v>63</v>
      </c>
      <c r="CG3" s="51"/>
      <c r="CH3" s="34"/>
      <c r="CI3" s="52" t="s">
        <v>61</v>
      </c>
      <c r="CJ3" s="34" t="s">
        <v>66</v>
      </c>
      <c r="CK3" s="34"/>
      <c r="CL3" s="34"/>
      <c r="CM3" s="34" t="s">
        <v>66</v>
      </c>
      <c r="CN3" s="34"/>
      <c r="CO3" s="34"/>
      <c r="CP3" s="34" t="s">
        <v>66</v>
      </c>
      <c r="CQ3" s="53"/>
      <c r="CR3" s="57"/>
      <c r="CS3" s="56" t="s">
        <v>61</v>
      </c>
      <c r="CT3" s="34" t="s">
        <v>66</v>
      </c>
      <c r="CU3" s="53"/>
      <c r="CV3" s="51"/>
      <c r="CW3" s="34"/>
      <c r="CX3" s="52" t="s">
        <v>61</v>
      </c>
      <c r="CY3" s="31" t="s">
        <v>67</v>
      </c>
      <c r="CZ3" s="53"/>
      <c r="DA3" s="34"/>
      <c r="DB3" s="52" t="s">
        <v>61</v>
      </c>
      <c r="DC3" s="31" t="s">
        <v>68</v>
      </c>
      <c r="DD3" s="53"/>
      <c r="DE3" s="34"/>
      <c r="DF3" s="52" t="s">
        <v>61</v>
      </c>
      <c r="DG3" s="31" t="s">
        <v>68</v>
      </c>
      <c r="DH3" s="53"/>
      <c r="DI3" s="34"/>
      <c r="DJ3" s="52" t="s">
        <v>61</v>
      </c>
      <c r="DK3" s="30" t="s">
        <v>69</v>
      </c>
    </row>
    <row r="4" spans="1:116" x14ac:dyDescent="0.25">
      <c r="A4" s="58" t="s">
        <v>70</v>
      </c>
      <c r="B4" s="59">
        <f>'ol4'!C14</f>
        <v>0.2</v>
      </c>
      <c r="C4" t="s">
        <v>71</v>
      </c>
      <c r="E4" t="s">
        <v>72</v>
      </c>
      <c r="F4" s="60">
        <f>B4*1000/(B5-B6)</f>
        <v>3.3333333333333335</v>
      </c>
      <c r="I4" s="54">
        <f t="shared" ref="I4:I17" si="0">IF($B$12&lt;12,(IF((L4&gt;4)*AND(L4&lt;16),2,0)),IF((L4&gt;4)*AND(L4&lt;20),2,0))</f>
        <v>0</v>
      </c>
      <c r="J4" s="57">
        <v>15</v>
      </c>
      <c r="K4" s="57">
        <f t="shared" ref="K4:K17" si="1">1/POWER(1.14+2*LOG10((J4/1000)/($K$21/1000)),2)</f>
        <v>5.9655827422120798E-2</v>
      </c>
      <c r="L4" s="57">
        <f t="shared" ref="L4:L17" si="2">0.00638*K4*POWER($F$4,2)/(POWER(J4/1000,5)*$K$20)</f>
        <v>5810.693160344681</v>
      </c>
      <c r="M4" s="57"/>
      <c r="N4" s="57">
        <f t="shared" ref="N4:N17" si="3">IF((Q4&gt;4)*AND(Q4&lt;20),1,0)</f>
        <v>0</v>
      </c>
      <c r="O4" s="57">
        <v>15</v>
      </c>
      <c r="P4" s="57">
        <f t="shared" ref="P4:P17" si="4">1/POWER(1.14+2*LOG10((O4/1000)/($K$21/1000)),2)</f>
        <v>5.9655827422120798E-2</v>
      </c>
      <c r="Q4" s="61">
        <f t="shared" ref="Q4:Q17" si="5">0.00638*P4*POWER($F$11,2)/(POWER(O4/1000,5)*$K$20)</f>
        <v>33469.592603585355</v>
      </c>
      <c r="R4" s="57">
        <f t="shared" ref="R4:R17" si="6">IF((U4&gt;4)*AND(U4&lt;20),1,0)</f>
        <v>0</v>
      </c>
      <c r="S4" s="57">
        <v>15</v>
      </c>
      <c r="T4" s="57">
        <f t="shared" ref="T4:T17" si="7">1/POWER(1.14+2*LOG10((S4/1000)/($K$21/1000)),2)</f>
        <v>5.9655827422120798E-2</v>
      </c>
      <c r="U4" s="61">
        <f t="shared" ref="U4:U17" si="8">0.00638*T4*POWER($F$16,2)/(POWER(S4/1000,5)*$K$20)</f>
        <v>79.54257867195831</v>
      </c>
      <c r="W4" s="62" t="s">
        <v>73</v>
      </c>
      <c r="X4" s="57">
        <f>IF(B12=0,0,IF(B12&gt;12,3,1.8))</f>
        <v>3</v>
      </c>
      <c r="Y4" s="57"/>
      <c r="Z4" s="63">
        <f t="shared" ref="Z4:Z21" si="9">IF(AB4&gt;$X$5,1,0)</f>
        <v>0</v>
      </c>
      <c r="AA4" s="64">
        <v>15</v>
      </c>
      <c r="AB4" s="65">
        <v>1.6</v>
      </c>
      <c r="AC4" s="63">
        <f t="shared" ref="AC4:AC22" si="10">IF(AE4&gt;$X$5,1,0)</f>
        <v>0</v>
      </c>
      <c r="AD4" s="64">
        <v>15</v>
      </c>
      <c r="AE4" s="65">
        <v>1.6</v>
      </c>
      <c r="AF4" s="57">
        <f t="shared" ref="AF4:AF16" si="11">IF(AH4&gt;$X$5,1,0)</f>
        <v>0</v>
      </c>
      <c r="AG4" s="57">
        <v>15</v>
      </c>
      <c r="AH4" s="61">
        <v>1.6</v>
      </c>
      <c r="AJ4" s="66">
        <v>4</v>
      </c>
      <c r="AK4" s="63">
        <f t="shared" ref="AK4:AK13" si="12">IF($F$13&lt;AJ4,1,0)</f>
        <v>0</v>
      </c>
      <c r="AL4" s="65" t="s">
        <v>74</v>
      </c>
      <c r="AM4" s="67">
        <f t="shared" ref="AM4:AM13" si="13">IF($F$13&lt;AJ4,1,0)</f>
        <v>0</v>
      </c>
      <c r="AN4" s="68" t="s">
        <v>75</v>
      </c>
      <c r="AO4" s="63">
        <f t="shared" ref="AO4:AO13" si="14">IF($F$13&lt;AJ4,1,0)</f>
        <v>0</v>
      </c>
      <c r="AP4" s="69" t="s">
        <v>76</v>
      </c>
      <c r="AS4" s="63">
        <v>0.1</v>
      </c>
      <c r="AT4" s="64">
        <f t="shared" ref="AT4:AT11" si="15">IF($B$4&lt;AS4,1,0)</f>
        <v>0</v>
      </c>
      <c r="AU4" s="64" t="s">
        <v>77</v>
      </c>
      <c r="AV4" s="64">
        <f t="shared" ref="AV4:AV11" si="16">IF($B$4&lt;AS4,1,0)</f>
        <v>0</v>
      </c>
      <c r="AW4" s="17">
        <v>1</v>
      </c>
      <c r="AX4" s="63">
        <v>0.1</v>
      </c>
      <c r="AY4" s="64">
        <f t="shared" ref="AY4:AY11" si="17">IF($B$4&lt;AX4,1,0)</f>
        <v>0</v>
      </c>
      <c r="AZ4" s="64" t="s">
        <v>77</v>
      </c>
      <c r="BA4" s="64">
        <f t="shared" ref="BA4:BA11" si="18">IF($B$4&lt;AX4,1,0)</f>
        <v>0</v>
      </c>
      <c r="BB4" s="17">
        <v>1</v>
      </c>
      <c r="BC4" s="54">
        <v>0.14000000000000001</v>
      </c>
      <c r="BD4" s="57">
        <f t="shared" ref="BD4:BD10" si="19">IF($B$4&lt;BC4,1,0)</f>
        <v>0</v>
      </c>
      <c r="BE4" s="64" t="s">
        <v>77</v>
      </c>
      <c r="BF4" s="57">
        <f t="shared" ref="BF4:BF10" si="20">IF($B$4&lt;BC4,1,0)</f>
        <v>0</v>
      </c>
      <c r="BG4" s="55">
        <v>1</v>
      </c>
      <c r="BH4" s="57">
        <v>0.05</v>
      </c>
      <c r="BI4" s="57">
        <f t="shared" ref="BI4:BI13" si="21">IF($B$4&lt;BH4,1,0)</f>
        <v>0</v>
      </c>
      <c r="BJ4" s="57" t="s">
        <v>77</v>
      </c>
      <c r="BK4" s="57">
        <f t="shared" ref="BK4:BK13" si="22">IF($B$4&lt;BH4,1,0)</f>
        <v>0</v>
      </c>
      <c r="BL4" s="61">
        <v>1</v>
      </c>
      <c r="BN4" s="50" t="s">
        <v>78</v>
      </c>
      <c r="BO4" s="34" t="s">
        <v>79</v>
      </c>
      <c r="BP4" s="51"/>
      <c r="BQ4" s="34">
        <f t="shared" ref="BQ4:BQ15" si="23">IF($F$5=BS4,1,0)</f>
        <v>0</v>
      </c>
      <c r="BR4" s="56" t="s">
        <v>80</v>
      </c>
      <c r="BS4" s="34">
        <v>15</v>
      </c>
      <c r="BT4" s="53"/>
      <c r="BU4" s="70">
        <f t="shared" ref="BU4:BU26" si="24">IF($F$7=BX4,1,0)</f>
        <v>0</v>
      </c>
      <c r="BV4" s="56" t="s">
        <v>80</v>
      </c>
      <c r="BW4" s="34">
        <v>15</v>
      </c>
      <c r="BX4" s="55">
        <v>0.63</v>
      </c>
      <c r="BY4" s="51"/>
      <c r="BZ4" s="34">
        <f>IF($B$14=CB4,1,0)</f>
        <v>0</v>
      </c>
      <c r="CA4" s="56" t="s">
        <v>78</v>
      </c>
      <c r="CB4" s="34" t="s">
        <v>53</v>
      </c>
      <c r="CC4" s="51"/>
      <c r="CD4" s="34">
        <f t="shared" ref="CD4:CD15" si="25">IF($F$12=CF4,1,0)</f>
        <v>0</v>
      </c>
      <c r="CE4" s="56" t="s">
        <v>80</v>
      </c>
      <c r="CF4" s="34">
        <v>15</v>
      </c>
      <c r="CG4" s="51"/>
      <c r="CH4" s="34">
        <f t="shared" ref="CH4:CH14" si="26">IF($E$14=CJ4,1,0)</f>
        <v>0</v>
      </c>
      <c r="CI4" s="31">
        <v>1</v>
      </c>
      <c r="CJ4" s="31" t="s">
        <v>74</v>
      </c>
      <c r="CK4" s="31">
        <f t="shared" ref="CK4:CK10" si="27">IF($E$14=CM4,1,0)</f>
        <v>0</v>
      </c>
      <c r="CL4" s="31">
        <v>1</v>
      </c>
      <c r="CM4" s="71" t="s">
        <v>75</v>
      </c>
      <c r="CN4" s="71">
        <f t="shared" ref="CN4:CN10" si="28">IF($E$14=CP4,1,0)</f>
        <v>0</v>
      </c>
      <c r="CO4" s="31">
        <v>1</v>
      </c>
      <c r="CP4" s="71" t="s">
        <v>76</v>
      </c>
      <c r="CQ4" s="53"/>
      <c r="CR4">
        <f>IF(OR(E14="DPL 80/115-2,2/2",E14="DPL 100/175-3/4"),1,0)</f>
        <v>0</v>
      </c>
      <c r="CS4" s="15">
        <v>5</v>
      </c>
      <c r="CU4" s="53"/>
      <c r="CV4" s="51"/>
      <c r="CW4" s="34">
        <f t="shared" ref="CW4:CW10" si="29">IF($E$9=CY4,1,0)</f>
        <v>1</v>
      </c>
      <c r="CX4" s="56" t="s">
        <v>81</v>
      </c>
      <c r="CY4" s="57" t="s">
        <v>82</v>
      </c>
      <c r="CZ4" s="53"/>
      <c r="DA4" s="34">
        <f t="shared" ref="DA4:DA9" si="30">IF($F$9=DC4,1,0)</f>
        <v>1</v>
      </c>
      <c r="DB4" s="56" t="s">
        <v>81</v>
      </c>
      <c r="DC4" s="57" t="s">
        <v>82</v>
      </c>
      <c r="DD4" s="53"/>
      <c r="DE4" s="34">
        <f>IF($B$16=DG4,1,0)</f>
        <v>1</v>
      </c>
      <c r="DF4" s="56" t="s">
        <v>78</v>
      </c>
      <c r="DG4" s="34" t="s">
        <v>83</v>
      </c>
      <c r="DH4" s="53"/>
      <c r="DI4" s="34">
        <f>IF($B$17=DK4,1,0)</f>
        <v>1</v>
      </c>
      <c r="DJ4" s="56" t="s">
        <v>78</v>
      </c>
      <c r="DK4" s="61" t="s">
        <v>84</v>
      </c>
    </row>
    <row r="5" spans="1:116" x14ac:dyDescent="0.25">
      <c r="A5" s="58" t="s">
        <v>85</v>
      </c>
      <c r="B5" s="59">
        <f>'ol4'!N13</f>
        <v>130</v>
      </c>
      <c r="C5" s="72" t="s">
        <v>86</v>
      </c>
      <c r="E5" t="s">
        <v>48</v>
      </c>
      <c r="F5" s="73">
        <f>VLOOKUP(2,I4:L17,2,0)</f>
        <v>50</v>
      </c>
      <c r="I5" s="54">
        <f t="shared" si="0"/>
        <v>0</v>
      </c>
      <c r="J5" s="57">
        <v>20</v>
      </c>
      <c r="K5" s="57">
        <f t="shared" si="1"/>
        <v>5.2990299783484442E-2</v>
      </c>
      <c r="L5" s="57">
        <f t="shared" si="2"/>
        <v>1224.8354919463238</v>
      </c>
      <c r="M5" s="57"/>
      <c r="N5" s="57">
        <f t="shared" si="3"/>
        <v>0</v>
      </c>
      <c r="O5" s="57">
        <v>20</v>
      </c>
      <c r="P5" s="57">
        <f t="shared" si="4"/>
        <v>5.2990299783484442E-2</v>
      </c>
      <c r="Q5" s="61">
        <f t="shared" si="5"/>
        <v>7055.0524336108247</v>
      </c>
      <c r="R5" s="57">
        <f t="shared" si="6"/>
        <v>1</v>
      </c>
      <c r="S5" s="57">
        <v>20</v>
      </c>
      <c r="T5" s="57">
        <f t="shared" si="7"/>
        <v>5.2990299783484442E-2</v>
      </c>
      <c r="U5" s="61">
        <f t="shared" si="8"/>
        <v>16.766773049253221</v>
      </c>
      <c r="W5" s="62" t="s">
        <v>87</v>
      </c>
      <c r="X5" s="74">
        <f>F4/SQRT(0.1*X4)</f>
        <v>6.0858061945018456</v>
      </c>
      <c r="Y5" s="74"/>
      <c r="Z5" s="54">
        <f t="shared" si="9"/>
        <v>0</v>
      </c>
      <c r="AA5" s="57">
        <v>15</v>
      </c>
      <c r="AB5" s="61">
        <v>2.5</v>
      </c>
      <c r="AC5" s="54">
        <f t="shared" si="10"/>
        <v>0</v>
      </c>
      <c r="AD5" s="57">
        <v>15</v>
      </c>
      <c r="AE5" s="61">
        <v>2.5</v>
      </c>
      <c r="AF5" s="57">
        <f t="shared" si="11"/>
        <v>0</v>
      </c>
      <c r="AG5" s="57">
        <v>15</v>
      </c>
      <c r="AH5" s="61">
        <v>2.5</v>
      </c>
      <c r="AJ5" s="70">
        <v>6</v>
      </c>
      <c r="AK5" s="54">
        <f t="shared" si="12"/>
        <v>0</v>
      </c>
      <c r="AL5" s="61" t="s">
        <v>88</v>
      </c>
      <c r="AM5" s="53">
        <f t="shared" si="13"/>
        <v>0</v>
      </c>
      <c r="AN5" s="53" t="s">
        <v>89</v>
      </c>
      <c r="AO5" s="54">
        <f t="shared" si="14"/>
        <v>0</v>
      </c>
      <c r="AP5" s="75" t="s">
        <v>90</v>
      </c>
      <c r="AS5" s="54">
        <v>0.25</v>
      </c>
      <c r="AT5" s="57">
        <f t="shared" si="15"/>
        <v>1</v>
      </c>
      <c r="AU5" s="57" t="s">
        <v>91</v>
      </c>
      <c r="AV5" s="57">
        <f t="shared" si="16"/>
        <v>1</v>
      </c>
      <c r="AW5" s="30">
        <v>1</v>
      </c>
      <c r="AX5" s="54">
        <v>0.25</v>
      </c>
      <c r="AY5" s="57">
        <f t="shared" si="17"/>
        <v>1</v>
      </c>
      <c r="AZ5" s="57" t="s">
        <v>91</v>
      </c>
      <c r="BA5" s="57">
        <f t="shared" si="18"/>
        <v>1</v>
      </c>
      <c r="BB5" s="30">
        <v>1</v>
      </c>
      <c r="BC5" s="54">
        <v>0.45</v>
      </c>
      <c r="BD5" s="57">
        <f t="shared" si="19"/>
        <v>1</v>
      </c>
      <c r="BE5" s="57" t="s">
        <v>92</v>
      </c>
      <c r="BF5" s="57">
        <f t="shared" si="20"/>
        <v>1</v>
      </c>
      <c r="BG5" s="55">
        <v>1</v>
      </c>
      <c r="BH5" s="57">
        <v>0.09</v>
      </c>
      <c r="BI5" s="57">
        <f t="shared" si="21"/>
        <v>0</v>
      </c>
      <c r="BJ5" s="57" t="s">
        <v>93</v>
      </c>
      <c r="BK5" s="57">
        <f t="shared" si="22"/>
        <v>0</v>
      </c>
      <c r="BL5" s="61">
        <v>1</v>
      </c>
      <c r="BN5" s="50" t="s">
        <v>94</v>
      </c>
      <c r="BO5" s="34" t="s">
        <v>95</v>
      </c>
      <c r="BP5" s="51"/>
      <c r="BQ5" s="34">
        <f t="shared" si="23"/>
        <v>0</v>
      </c>
      <c r="BR5" s="56" t="s">
        <v>96</v>
      </c>
      <c r="BS5" s="34">
        <v>20</v>
      </c>
      <c r="BT5" s="53"/>
      <c r="BU5" s="70">
        <f t="shared" si="24"/>
        <v>0</v>
      </c>
      <c r="BV5" s="56" t="s">
        <v>96</v>
      </c>
      <c r="BW5" s="34">
        <v>15</v>
      </c>
      <c r="BX5" s="55">
        <v>1.25</v>
      </c>
      <c r="BY5" s="51"/>
      <c r="BZ5" s="34">
        <f>IF($B$14=CB5,1,0)</f>
        <v>0</v>
      </c>
      <c r="CA5" s="56" t="s">
        <v>94</v>
      </c>
      <c r="CB5" s="34" t="s">
        <v>55</v>
      </c>
      <c r="CC5" s="51"/>
      <c r="CD5" s="34">
        <f t="shared" si="25"/>
        <v>0</v>
      </c>
      <c r="CE5" s="56" t="s">
        <v>96</v>
      </c>
      <c r="CF5" s="34">
        <v>20</v>
      </c>
      <c r="CG5" s="51"/>
      <c r="CH5" s="34">
        <f t="shared" si="26"/>
        <v>0</v>
      </c>
      <c r="CI5" s="31">
        <v>2</v>
      </c>
      <c r="CJ5" s="31" t="s">
        <v>88</v>
      </c>
      <c r="CK5" s="31">
        <f t="shared" si="27"/>
        <v>0</v>
      </c>
      <c r="CL5" s="31">
        <v>2</v>
      </c>
      <c r="CM5" s="31" t="s">
        <v>89</v>
      </c>
      <c r="CN5" s="71">
        <f t="shared" si="28"/>
        <v>0</v>
      </c>
      <c r="CO5" s="31">
        <v>2</v>
      </c>
      <c r="CP5" s="71" t="s">
        <v>90</v>
      </c>
      <c r="CQ5" s="53"/>
      <c r="CR5" s="57">
        <f>IF($B$15=CT5,1,0)</f>
        <v>0</v>
      </c>
      <c r="CS5" s="31">
        <v>1</v>
      </c>
      <c r="CT5" s="31" t="s">
        <v>33</v>
      </c>
      <c r="CU5" s="53"/>
      <c r="CV5" s="51"/>
      <c r="CW5" s="34">
        <f t="shared" si="29"/>
        <v>0</v>
      </c>
      <c r="CX5" s="56" t="s">
        <v>78</v>
      </c>
      <c r="CY5" s="34" t="s">
        <v>77</v>
      </c>
      <c r="CZ5" s="53"/>
      <c r="DA5" s="34">
        <f t="shared" si="30"/>
        <v>0</v>
      </c>
      <c r="DB5" s="56" t="s">
        <v>78</v>
      </c>
      <c r="DC5" s="34">
        <v>1</v>
      </c>
      <c r="DD5" s="53"/>
      <c r="DE5" s="34">
        <f>IF($B$16=DG5,1,0)</f>
        <v>0</v>
      </c>
      <c r="DF5" s="56" t="s">
        <v>94</v>
      </c>
      <c r="DG5" s="34" t="s">
        <v>55</v>
      </c>
      <c r="DH5" s="53"/>
      <c r="DI5" s="34">
        <f>IF($B$17=DK5,1,0)</f>
        <v>0</v>
      </c>
      <c r="DJ5" s="56" t="s">
        <v>81</v>
      </c>
      <c r="DK5" s="55" t="s">
        <v>97</v>
      </c>
    </row>
    <row r="6" spans="1:116" x14ac:dyDescent="0.25">
      <c r="A6" s="58" t="s">
        <v>98</v>
      </c>
      <c r="B6" s="59">
        <f>IF(OR('ol4'!C24="зависимая",'ol4'!C24=0),'ol4'!R13,IF(('ol4'!R13-B8)&lt;5,B8+5,'ol4'!R13))</f>
        <v>70</v>
      </c>
      <c r="C6" s="72" t="s">
        <v>86</v>
      </c>
      <c r="E6" t="s">
        <v>99</v>
      </c>
      <c r="F6" s="73">
        <f>VLOOKUP(1,IF(B14="IMI Hydronic",Z4:AB21,IF(B14="Siemens",AC4:AE22,AF4:AH16)),2,0)</f>
        <v>20</v>
      </c>
      <c r="I6" s="54">
        <f t="shared" si="0"/>
        <v>0</v>
      </c>
      <c r="J6" s="57">
        <v>25</v>
      </c>
      <c r="K6" s="57">
        <f t="shared" si="1"/>
        <v>4.8560427292756572E-2</v>
      </c>
      <c r="L6" s="57">
        <f t="shared" si="2"/>
        <v>367.80177466478125</v>
      </c>
      <c r="M6" s="57"/>
      <c r="N6" s="57">
        <f t="shared" si="3"/>
        <v>0</v>
      </c>
      <c r="O6" s="57">
        <v>25</v>
      </c>
      <c r="P6" s="57">
        <f t="shared" si="4"/>
        <v>4.8560427292756572E-2</v>
      </c>
      <c r="Q6" s="61">
        <f t="shared" si="5"/>
        <v>2118.5382220691395</v>
      </c>
      <c r="R6" s="57">
        <f t="shared" si="6"/>
        <v>1</v>
      </c>
      <c r="S6" s="57">
        <v>25</v>
      </c>
      <c r="T6" s="57">
        <f t="shared" si="7"/>
        <v>4.8560427292756572E-2</v>
      </c>
      <c r="U6" s="61">
        <f t="shared" si="8"/>
        <v>5.0348384933861885</v>
      </c>
      <c r="W6" s="54"/>
      <c r="X6" s="57"/>
      <c r="Y6" s="57"/>
      <c r="Z6" s="54">
        <f t="shared" si="9"/>
        <v>0</v>
      </c>
      <c r="AA6" s="57">
        <v>15</v>
      </c>
      <c r="AB6" s="61">
        <v>4</v>
      </c>
      <c r="AC6" s="54">
        <f t="shared" si="10"/>
        <v>0</v>
      </c>
      <c r="AD6" s="57">
        <v>15</v>
      </c>
      <c r="AE6" s="61">
        <v>4</v>
      </c>
      <c r="AF6" s="57">
        <f t="shared" si="11"/>
        <v>0</v>
      </c>
      <c r="AG6" s="57">
        <v>15</v>
      </c>
      <c r="AH6" s="61">
        <v>4</v>
      </c>
      <c r="AJ6" s="70">
        <v>10</v>
      </c>
      <c r="AK6" s="54">
        <f t="shared" si="12"/>
        <v>1</v>
      </c>
      <c r="AL6" s="61" t="s">
        <v>100</v>
      </c>
      <c r="AM6" s="53">
        <f t="shared" si="13"/>
        <v>1</v>
      </c>
      <c r="AN6" s="53" t="s">
        <v>101</v>
      </c>
      <c r="AO6" s="54">
        <f t="shared" si="14"/>
        <v>1</v>
      </c>
      <c r="AP6" s="75" t="s">
        <v>102</v>
      </c>
      <c r="AR6" s="57"/>
      <c r="AS6" s="54">
        <v>0.67</v>
      </c>
      <c r="AT6" s="57">
        <f t="shared" si="15"/>
        <v>1</v>
      </c>
      <c r="AU6" s="57" t="s">
        <v>92</v>
      </c>
      <c r="AV6" s="57">
        <f t="shared" si="16"/>
        <v>1</v>
      </c>
      <c r="AW6" s="30">
        <v>1</v>
      </c>
      <c r="AX6" s="54">
        <v>0.57499999999999996</v>
      </c>
      <c r="AY6" s="57">
        <f t="shared" si="17"/>
        <v>1</v>
      </c>
      <c r="AZ6" s="57" t="s">
        <v>92</v>
      </c>
      <c r="BA6" s="57">
        <f t="shared" si="18"/>
        <v>1</v>
      </c>
      <c r="BB6" s="30">
        <v>1</v>
      </c>
      <c r="BC6" s="54">
        <v>0.71</v>
      </c>
      <c r="BD6" s="57">
        <f t="shared" si="19"/>
        <v>1</v>
      </c>
      <c r="BE6" s="57" t="s">
        <v>92</v>
      </c>
      <c r="BF6" s="57">
        <f t="shared" si="20"/>
        <v>1</v>
      </c>
      <c r="BG6" s="55">
        <v>2</v>
      </c>
      <c r="BH6">
        <v>0.3</v>
      </c>
      <c r="BI6" s="57">
        <f t="shared" si="21"/>
        <v>1</v>
      </c>
      <c r="BJ6" s="57" t="s">
        <v>92</v>
      </c>
      <c r="BK6" s="57">
        <f t="shared" si="22"/>
        <v>1</v>
      </c>
      <c r="BL6" s="61">
        <v>1</v>
      </c>
      <c r="BN6" s="50"/>
      <c r="BO6" s="34"/>
      <c r="BP6" s="51"/>
      <c r="BQ6" s="34">
        <f t="shared" si="23"/>
        <v>0</v>
      </c>
      <c r="BR6" s="56" t="s">
        <v>103</v>
      </c>
      <c r="BS6" s="34">
        <v>25</v>
      </c>
      <c r="BT6" s="53"/>
      <c r="BU6" s="70">
        <f t="shared" si="24"/>
        <v>0</v>
      </c>
      <c r="BV6" s="56" t="s">
        <v>103</v>
      </c>
      <c r="BW6" s="34">
        <v>15</v>
      </c>
      <c r="BX6" s="55">
        <v>1.6</v>
      </c>
      <c r="BY6" s="51"/>
      <c r="BZ6" s="34">
        <f>IF($B$14=CB6,1,0)</f>
        <v>1</v>
      </c>
      <c r="CA6" s="56" t="s">
        <v>104</v>
      </c>
      <c r="CB6" s="34" t="s">
        <v>54</v>
      </c>
      <c r="CC6" s="51"/>
      <c r="CD6" s="34">
        <f t="shared" si="25"/>
        <v>0</v>
      </c>
      <c r="CE6" s="56" t="s">
        <v>103</v>
      </c>
      <c r="CF6" s="34">
        <v>25</v>
      </c>
      <c r="CG6" s="51"/>
      <c r="CH6" s="34">
        <f t="shared" si="26"/>
        <v>0</v>
      </c>
      <c r="CI6" s="31">
        <v>3</v>
      </c>
      <c r="CJ6" s="31" t="s">
        <v>100</v>
      </c>
      <c r="CK6" s="31">
        <f t="shared" si="27"/>
        <v>1</v>
      </c>
      <c r="CL6" s="31">
        <v>3</v>
      </c>
      <c r="CM6" s="31" t="s">
        <v>101</v>
      </c>
      <c r="CN6" s="71">
        <f t="shared" si="28"/>
        <v>0</v>
      </c>
      <c r="CO6" s="31">
        <v>3</v>
      </c>
      <c r="CP6" s="71" t="s">
        <v>102</v>
      </c>
      <c r="CQ6" s="53"/>
      <c r="CR6" s="57">
        <f>IF($B$15=CT6,1,0)</f>
        <v>1</v>
      </c>
      <c r="CS6" s="31">
        <v>2</v>
      </c>
      <c r="CT6" s="31" t="s">
        <v>34</v>
      </c>
      <c r="CU6" s="53"/>
      <c r="CV6" s="51"/>
      <c r="CW6" s="34">
        <f t="shared" si="29"/>
        <v>0</v>
      </c>
      <c r="CX6" s="56" t="s">
        <v>94</v>
      </c>
      <c r="CY6" s="34" t="s">
        <v>91</v>
      </c>
      <c r="CZ6" s="53"/>
      <c r="DA6" s="34">
        <f t="shared" si="30"/>
        <v>0</v>
      </c>
      <c r="DB6" s="56" t="s">
        <v>94</v>
      </c>
      <c r="DC6" s="34">
        <v>2</v>
      </c>
      <c r="DD6" s="53"/>
      <c r="DE6" s="34">
        <f>IF($B$16=DG6,1,0)</f>
        <v>0</v>
      </c>
      <c r="DF6" s="56" t="s">
        <v>104</v>
      </c>
      <c r="DG6" s="76" t="s">
        <v>54</v>
      </c>
      <c r="DH6" s="53"/>
      <c r="DI6" s="34"/>
      <c r="DJ6" s="56"/>
      <c r="DK6" s="55"/>
    </row>
    <row r="7" spans="1:116" x14ac:dyDescent="0.25">
      <c r="A7" s="58" t="s">
        <v>105</v>
      </c>
      <c r="B7" s="59">
        <f>'ol4'!N14</f>
        <v>95</v>
      </c>
      <c r="C7" s="72" t="s">
        <v>86</v>
      </c>
      <c r="E7" t="s">
        <v>106</v>
      </c>
      <c r="F7" s="73">
        <f>VLOOKUP(1,IF(B14="IMI Hydronic",Z4:AB21,IF(B14="Siemens",AC4:AE22,AF4:AH16)),3,0)</f>
        <v>6.3</v>
      </c>
      <c r="I7" s="54">
        <f t="shared" si="0"/>
        <v>0</v>
      </c>
      <c r="J7" s="57">
        <v>32</v>
      </c>
      <c r="K7" s="57">
        <f t="shared" si="1"/>
        <v>4.4277322004702871E-2</v>
      </c>
      <c r="L7" s="57">
        <f t="shared" si="2"/>
        <v>97.60292175071794</v>
      </c>
      <c r="M7" s="57"/>
      <c r="N7" s="57">
        <f t="shared" si="3"/>
        <v>0</v>
      </c>
      <c r="O7" s="57">
        <v>32</v>
      </c>
      <c r="P7" s="57">
        <f t="shared" si="4"/>
        <v>4.4277322004702871E-2</v>
      </c>
      <c r="Q7" s="61">
        <f t="shared" si="5"/>
        <v>562.19282928413531</v>
      </c>
      <c r="R7" s="57">
        <f t="shared" si="6"/>
        <v>0</v>
      </c>
      <c r="S7" s="57">
        <v>32</v>
      </c>
      <c r="T7" s="57">
        <f t="shared" si="7"/>
        <v>4.4277322004702871E-2</v>
      </c>
      <c r="U7" s="61">
        <f t="shared" si="8"/>
        <v>1.3360863958455773</v>
      </c>
      <c r="W7" s="54"/>
      <c r="X7" s="57"/>
      <c r="Y7" s="57"/>
      <c r="Z7" s="54">
        <f t="shared" si="9"/>
        <v>1</v>
      </c>
      <c r="AA7" s="57">
        <v>20</v>
      </c>
      <c r="AB7" s="61">
        <v>6.3</v>
      </c>
      <c r="AC7" s="54">
        <f t="shared" si="10"/>
        <v>1</v>
      </c>
      <c r="AD7" s="57">
        <v>20</v>
      </c>
      <c r="AE7" s="61">
        <v>6.3</v>
      </c>
      <c r="AF7" s="57">
        <f t="shared" si="11"/>
        <v>1</v>
      </c>
      <c r="AG7" s="57">
        <v>20</v>
      </c>
      <c r="AH7" s="61">
        <v>6.3</v>
      </c>
      <c r="AJ7" s="70">
        <v>14</v>
      </c>
      <c r="AK7" s="54">
        <f t="shared" si="12"/>
        <v>1</v>
      </c>
      <c r="AL7" s="61" t="s">
        <v>107</v>
      </c>
      <c r="AM7" s="53">
        <f t="shared" si="13"/>
        <v>1</v>
      </c>
      <c r="AN7" s="53" t="s">
        <v>108</v>
      </c>
      <c r="AO7" s="54">
        <f t="shared" si="14"/>
        <v>1</v>
      </c>
      <c r="AP7" s="53" t="s">
        <v>109</v>
      </c>
      <c r="AR7" s="57"/>
      <c r="AS7" s="54">
        <v>1</v>
      </c>
      <c r="AT7" s="57">
        <f t="shared" si="15"/>
        <v>1</v>
      </c>
      <c r="AU7" s="57" t="s">
        <v>92</v>
      </c>
      <c r="AV7" s="57">
        <f t="shared" si="16"/>
        <v>1</v>
      </c>
      <c r="AW7" s="30">
        <v>2</v>
      </c>
      <c r="AX7" s="54">
        <v>0.9</v>
      </c>
      <c r="AY7" s="57">
        <f t="shared" si="17"/>
        <v>1</v>
      </c>
      <c r="AZ7" s="57" t="s">
        <v>92</v>
      </c>
      <c r="BA7" s="57">
        <f t="shared" si="18"/>
        <v>1</v>
      </c>
      <c r="BB7" s="30">
        <v>2</v>
      </c>
      <c r="BC7" s="54">
        <v>0.95</v>
      </c>
      <c r="BD7" s="57">
        <f t="shared" si="19"/>
        <v>1</v>
      </c>
      <c r="BE7" s="57" t="s">
        <v>92</v>
      </c>
      <c r="BF7" s="57">
        <f t="shared" si="20"/>
        <v>1</v>
      </c>
      <c r="BG7" s="77">
        <v>3</v>
      </c>
      <c r="BH7">
        <v>0.48</v>
      </c>
      <c r="BI7" s="57">
        <f t="shared" si="21"/>
        <v>1</v>
      </c>
      <c r="BJ7" s="57" t="s">
        <v>92</v>
      </c>
      <c r="BK7" s="57">
        <f t="shared" si="22"/>
        <v>1</v>
      </c>
      <c r="BL7" s="61">
        <v>2</v>
      </c>
      <c r="BN7" s="50"/>
      <c r="BO7" s="34"/>
      <c r="BP7" s="51"/>
      <c r="BQ7" s="34">
        <f t="shared" si="23"/>
        <v>0</v>
      </c>
      <c r="BR7" s="56" t="s">
        <v>110</v>
      </c>
      <c r="BS7" s="34">
        <v>32</v>
      </c>
      <c r="BT7" s="53"/>
      <c r="BU7" s="70">
        <f t="shared" si="24"/>
        <v>0</v>
      </c>
      <c r="BV7" s="56" t="s">
        <v>110</v>
      </c>
      <c r="BW7" s="34">
        <v>15</v>
      </c>
      <c r="BX7" s="55">
        <v>2.5</v>
      </c>
      <c r="BY7" s="51"/>
      <c r="BZ7" s="34"/>
      <c r="CA7" s="56"/>
      <c r="CB7" s="34"/>
      <c r="CC7" s="51"/>
      <c r="CD7" s="34">
        <f t="shared" si="25"/>
        <v>0</v>
      </c>
      <c r="CE7" s="56" t="s">
        <v>110</v>
      </c>
      <c r="CF7" s="34">
        <v>32</v>
      </c>
      <c r="CG7" s="51"/>
      <c r="CH7" s="34">
        <f t="shared" si="26"/>
        <v>0</v>
      </c>
      <c r="CI7" s="76">
        <v>4</v>
      </c>
      <c r="CJ7" s="31" t="s">
        <v>107</v>
      </c>
      <c r="CK7" s="31">
        <f t="shared" si="27"/>
        <v>0</v>
      </c>
      <c r="CL7" s="76">
        <v>4</v>
      </c>
      <c r="CM7" s="31" t="s">
        <v>108</v>
      </c>
      <c r="CN7" s="71">
        <f t="shared" si="28"/>
        <v>0</v>
      </c>
      <c r="CO7" s="76">
        <v>4</v>
      </c>
      <c r="CP7" s="31" t="s">
        <v>109</v>
      </c>
      <c r="CQ7" s="53"/>
      <c r="CR7" s="57">
        <f>IF($B$15=CT7,1,0)</f>
        <v>0</v>
      </c>
      <c r="CS7" s="31">
        <v>3</v>
      </c>
      <c r="CT7" s="76" t="s">
        <v>35</v>
      </c>
      <c r="CU7" s="53"/>
      <c r="CV7" s="51"/>
      <c r="CW7" s="34">
        <f t="shared" si="29"/>
        <v>0</v>
      </c>
      <c r="CX7" s="56" t="s">
        <v>104</v>
      </c>
      <c r="CY7" s="76" t="s">
        <v>93</v>
      </c>
      <c r="CZ7" s="53"/>
      <c r="DA7" s="34">
        <f t="shared" si="30"/>
        <v>0</v>
      </c>
      <c r="DB7" s="56" t="s">
        <v>104</v>
      </c>
      <c r="DC7" s="34">
        <v>3</v>
      </c>
      <c r="DD7" s="53"/>
      <c r="DE7" s="34"/>
      <c r="DF7" s="57"/>
      <c r="DG7" s="57"/>
      <c r="DH7" s="53"/>
      <c r="DI7" s="34"/>
      <c r="DJ7" s="56"/>
      <c r="DK7" s="30"/>
    </row>
    <row r="8" spans="1:116" x14ac:dyDescent="0.25">
      <c r="A8" s="58" t="s">
        <v>111</v>
      </c>
      <c r="B8" s="59">
        <f>'ol4'!R14</f>
        <v>70</v>
      </c>
      <c r="C8" s="72" t="s">
        <v>86</v>
      </c>
      <c r="E8" s="78" t="s">
        <v>73</v>
      </c>
      <c r="F8" s="60">
        <f>(F4^2/F7^2)*10</f>
        <v>2.799473698944599</v>
      </c>
      <c r="I8" s="54">
        <f t="shared" si="0"/>
        <v>0</v>
      </c>
      <c r="J8" s="57">
        <v>40</v>
      </c>
      <c r="K8" s="57">
        <f t="shared" si="1"/>
        <v>4.0875226338606248E-2</v>
      </c>
      <c r="L8" s="57">
        <f t="shared" si="2"/>
        <v>29.525113656077632</v>
      </c>
      <c r="M8" s="57"/>
      <c r="N8" s="57">
        <f t="shared" si="3"/>
        <v>0</v>
      </c>
      <c r="O8" s="57">
        <v>40</v>
      </c>
      <c r="P8" s="57">
        <f t="shared" si="4"/>
        <v>4.0875226338606248E-2</v>
      </c>
      <c r="Q8" s="61">
        <f t="shared" si="5"/>
        <v>170.06465465900712</v>
      </c>
      <c r="R8" s="57">
        <f t="shared" si="6"/>
        <v>0</v>
      </c>
      <c r="S8" s="57">
        <v>40</v>
      </c>
      <c r="T8" s="57">
        <f t="shared" si="7"/>
        <v>4.0875226338606248E-2</v>
      </c>
      <c r="U8" s="61">
        <f t="shared" si="8"/>
        <v>0.40416928083804654</v>
      </c>
      <c r="W8" s="62"/>
      <c r="X8" s="57"/>
      <c r="Y8" s="74"/>
      <c r="Z8" s="54">
        <f t="shared" si="9"/>
        <v>1</v>
      </c>
      <c r="AA8" s="57">
        <v>25</v>
      </c>
      <c r="AB8" s="61">
        <v>10</v>
      </c>
      <c r="AC8" s="54">
        <f t="shared" si="10"/>
        <v>1</v>
      </c>
      <c r="AD8" s="57">
        <v>25</v>
      </c>
      <c r="AE8" s="61">
        <v>10</v>
      </c>
      <c r="AF8" s="57">
        <f t="shared" si="11"/>
        <v>1</v>
      </c>
      <c r="AG8" s="57">
        <v>25</v>
      </c>
      <c r="AH8" s="61">
        <v>10</v>
      </c>
      <c r="AJ8" s="70">
        <v>25</v>
      </c>
      <c r="AK8" s="54">
        <f t="shared" si="12"/>
        <v>1</v>
      </c>
      <c r="AL8" s="61" t="s">
        <v>112</v>
      </c>
      <c r="AM8" s="53">
        <f t="shared" si="13"/>
        <v>1</v>
      </c>
      <c r="AN8" s="53" t="s">
        <v>113</v>
      </c>
      <c r="AO8" s="54">
        <f t="shared" si="14"/>
        <v>1</v>
      </c>
      <c r="AP8" s="75" t="s">
        <v>114</v>
      </c>
      <c r="AR8" s="57"/>
      <c r="AS8" s="54">
        <v>1.25</v>
      </c>
      <c r="AT8" s="57">
        <f t="shared" si="15"/>
        <v>1</v>
      </c>
      <c r="AU8" s="57" t="s">
        <v>92</v>
      </c>
      <c r="AV8" s="57">
        <f t="shared" si="16"/>
        <v>1</v>
      </c>
      <c r="AW8" s="30">
        <v>3</v>
      </c>
      <c r="AX8" s="54">
        <v>1.1599999999999999</v>
      </c>
      <c r="AY8" s="57">
        <f t="shared" si="17"/>
        <v>1</v>
      </c>
      <c r="AZ8" s="57" t="s">
        <v>92</v>
      </c>
      <c r="BA8" s="57">
        <f t="shared" si="18"/>
        <v>1</v>
      </c>
      <c r="BB8" s="30">
        <v>3</v>
      </c>
      <c r="BC8" s="54">
        <v>1.25</v>
      </c>
      <c r="BD8" s="57">
        <f t="shared" si="19"/>
        <v>1</v>
      </c>
      <c r="BE8" s="57" t="s">
        <v>92</v>
      </c>
      <c r="BF8" s="57">
        <f t="shared" si="20"/>
        <v>1</v>
      </c>
      <c r="BG8" s="77">
        <v>4</v>
      </c>
      <c r="BH8">
        <v>0.66</v>
      </c>
      <c r="BI8" s="57">
        <f t="shared" si="21"/>
        <v>1</v>
      </c>
      <c r="BJ8" s="57" t="s">
        <v>92</v>
      </c>
      <c r="BK8" s="57">
        <f t="shared" si="22"/>
        <v>1</v>
      </c>
      <c r="BL8" s="61">
        <v>3</v>
      </c>
      <c r="BN8" s="50"/>
      <c r="BO8" s="34"/>
      <c r="BP8" s="51"/>
      <c r="BQ8" s="34">
        <f t="shared" si="23"/>
        <v>0</v>
      </c>
      <c r="BR8" s="56" t="s">
        <v>115</v>
      </c>
      <c r="BS8" s="34">
        <v>40</v>
      </c>
      <c r="BT8" s="53"/>
      <c r="BU8" s="70">
        <f t="shared" si="24"/>
        <v>0</v>
      </c>
      <c r="BV8" s="56" t="s">
        <v>115</v>
      </c>
      <c r="BW8" s="34">
        <v>15</v>
      </c>
      <c r="BX8" s="55">
        <v>4</v>
      </c>
      <c r="BY8" s="51"/>
      <c r="BZ8" s="34"/>
      <c r="CA8" s="56"/>
      <c r="CB8" s="34"/>
      <c r="CC8" s="51"/>
      <c r="CD8" s="34">
        <f t="shared" si="25"/>
        <v>0</v>
      </c>
      <c r="CE8" s="56" t="s">
        <v>115</v>
      </c>
      <c r="CF8" s="34">
        <v>40</v>
      </c>
      <c r="CG8" s="51"/>
      <c r="CH8" s="34">
        <f t="shared" si="26"/>
        <v>0</v>
      </c>
      <c r="CI8" s="76">
        <v>5</v>
      </c>
      <c r="CJ8" s="31" t="s">
        <v>112</v>
      </c>
      <c r="CK8" s="31">
        <f t="shared" si="27"/>
        <v>0</v>
      </c>
      <c r="CL8" s="76">
        <v>5</v>
      </c>
      <c r="CM8" s="31" t="s">
        <v>113</v>
      </c>
      <c r="CN8" s="71">
        <f t="shared" si="28"/>
        <v>0</v>
      </c>
      <c r="CO8" s="76">
        <v>5</v>
      </c>
      <c r="CP8" s="71" t="s">
        <v>114</v>
      </c>
      <c r="CQ8" s="53"/>
      <c r="CU8" s="53"/>
      <c r="CV8" s="51"/>
      <c r="CW8" s="34">
        <f t="shared" si="29"/>
        <v>0</v>
      </c>
      <c r="CX8" s="56" t="s">
        <v>116</v>
      </c>
      <c r="CY8" s="34" t="s">
        <v>92</v>
      </c>
      <c r="CZ8" s="53"/>
      <c r="DA8" s="34">
        <f t="shared" si="30"/>
        <v>0</v>
      </c>
      <c r="DB8" s="56" t="s">
        <v>116</v>
      </c>
      <c r="DC8" s="34">
        <v>4</v>
      </c>
      <c r="DD8" s="53"/>
      <c r="DE8" s="34"/>
      <c r="DF8" s="56"/>
      <c r="DG8" s="34"/>
      <c r="DH8" s="53"/>
      <c r="DI8" s="34"/>
      <c r="DJ8" s="56"/>
      <c r="DK8" s="55"/>
    </row>
    <row r="9" spans="1:116" x14ac:dyDescent="0.25">
      <c r="A9" s="58" t="s">
        <v>117</v>
      </c>
      <c r="B9" s="59">
        <f>'ol4'!W13*100</f>
        <v>60</v>
      </c>
      <c r="C9" s="72" t="s">
        <v>118</v>
      </c>
      <c r="E9" s="79" t="str">
        <f>IF('ol4'!C24="ЗАВИСИМАЯ","ОТСУТСТВУЕТ",VLOOKUP(1,IF(B5=150,AT4:AU11,IF(B5=130,AY4:AZ11,IF(B5=115,BD4:BE10,IF(B5=105,BI4:BJ13,0)))),2,0))</f>
        <v>ОТСУТСТВУЕТ</v>
      </c>
      <c r="F9" s="73" t="str">
        <f>IF('ol4'!C24="ЗАВИСИМАЯ","ОТСУТСТВУЕТ",VLOOKUP(1,IF(B5=150,AV4:AW11,IF(B5=130,BA4:BB11,IF(B5=115,BF4:BG10,IF(B5=105,BK4:BL13,0)))),2,0))</f>
        <v>ОТСУТСТВУЕТ</v>
      </c>
      <c r="I9" s="54">
        <f t="shared" si="0"/>
        <v>2</v>
      </c>
      <c r="J9" s="57">
        <v>50</v>
      </c>
      <c r="K9" s="57">
        <f t="shared" si="1"/>
        <v>3.7850686611455138E-2</v>
      </c>
      <c r="L9" s="57">
        <f t="shared" si="2"/>
        <v>8.9589085728467328</v>
      </c>
      <c r="M9" s="57"/>
      <c r="N9" s="57">
        <f t="shared" si="3"/>
        <v>0</v>
      </c>
      <c r="O9" s="57">
        <v>50</v>
      </c>
      <c r="P9" s="57">
        <f t="shared" si="4"/>
        <v>3.7850686611455138E-2</v>
      </c>
      <c r="Q9" s="61">
        <f t="shared" si="5"/>
        <v>51.603313379597175</v>
      </c>
      <c r="R9" s="57">
        <f t="shared" si="6"/>
        <v>0</v>
      </c>
      <c r="S9" s="57">
        <v>50</v>
      </c>
      <c r="T9" s="57">
        <f t="shared" si="7"/>
        <v>3.7850686611455138E-2</v>
      </c>
      <c r="U9" s="61">
        <f t="shared" si="8"/>
        <v>0.12263849945369888</v>
      </c>
      <c r="W9" s="62"/>
      <c r="X9" s="74"/>
      <c r="Y9" s="57"/>
      <c r="Z9" s="54">
        <f t="shared" si="9"/>
        <v>1</v>
      </c>
      <c r="AA9" s="57">
        <v>32</v>
      </c>
      <c r="AB9" s="61">
        <v>16</v>
      </c>
      <c r="AC9" s="54">
        <f t="shared" si="10"/>
        <v>1</v>
      </c>
      <c r="AD9" s="57">
        <v>32</v>
      </c>
      <c r="AE9" s="61">
        <v>16</v>
      </c>
      <c r="AF9" s="57">
        <f t="shared" si="11"/>
        <v>1</v>
      </c>
      <c r="AG9" s="57">
        <v>32</v>
      </c>
      <c r="AH9" s="61">
        <v>16</v>
      </c>
      <c r="AJ9" s="70">
        <v>30</v>
      </c>
      <c r="AK9" s="54">
        <f t="shared" si="12"/>
        <v>1</v>
      </c>
      <c r="AL9" s="61" t="s">
        <v>119</v>
      </c>
      <c r="AM9" s="53">
        <f t="shared" si="13"/>
        <v>1</v>
      </c>
      <c r="AN9" s="53" t="s">
        <v>120</v>
      </c>
      <c r="AO9" s="54">
        <f t="shared" si="14"/>
        <v>1</v>
      </c>
      <c r="AP9" s="75" t="s">
        <v>121</v>
      </c>
      <c r="AR9" s="57"/>
      <c r="AS9" s="54">
        <v>1.3</v>
      </c>
      <c r="AT9" s="57">
        <f t="shared" si="15"/>
        <v>1</v>
      </c>
      <c r="AU9" s="57" t="s">
        <v>92</v>
      </c>
      <c r="AV9" s="57">
        <f t="shared" si="16"/>
        <v>1</v>
      </c>
      <c r="AW9" s="30">
        <v>4</v>
      </c>
      <c r="AX9" s="54">
        <v>1.3</v>
      </c>
      <c r="AY9" s="57">
        <f t="shared" si="17"/>
        <v>1</v>
      </c>
      <c r="AZ9" s="57" t="s">
        <v>92</v>
      </c>
      <c r="BA9" s="57">
        <f t="shared" si="18"/>
        <v>1</v>
      </c>
      <c r="BB9" s="30">
        <v>4</v>
      </c>
      <c r="BC9" s="54">
        <v>1.8</v>
      </c>
      <c r="BD9" s="57">
        <f t="shared" si="19"/>
        <v>1</v>
      </c>
      <c r="BE9" s="57" t="s">
        <v>122</v>
      </c>
      <c r="BF9" s="57">
        <f t="shared" si="20"/>
        <v>1</v>
      </c>
      <c r="BG9" s="77">
        <v>2</v>
      </c>
      <c r="BH9" s="57">
        <v>0.91</v>
      </c>
      <c r="BI9" s="57">
        <f t="shared" si="21"/>
        <v>1</v>
      </c>
      <c r="BJ9" s="57" t="s">
        <v>92</v>
      </c>
      <c r="BK9" s="57">
        <f t="shared" si="22"/>
        <v>1</v>
      </c>
      <c r="BL9" s="61">
        <v>4</v>
      </c>
      <c r="BN9" s="50"/>
      <c r="BO9" s="34"/>
      <c r="BP9" s="51"/>
      <c r="BQ9" s="34">
        <f t="shared" si="23"/>
        <v>1</v>
      </c>
      <c r="BR9" s="56" t="s">
        <v>123</v>
      </c>
      <c r="BS9" s="34">
        <v>50</v>
      </c>
      <c r="BT9" s="53"/>
      <c r="BU9" s="70">
        <f t="shared" si="24"/>
        <v>0</v>
      </c>
      <c r="BV9" s="56" t="s">
        <v>123</v>
      </c>
      <c r="BW9" s="34">
        <v>20</v>
      </c>
      <c r="BX9" s="55">
        <v>5</v>
      </c>
      <c r="BY9" s="51"/>
      <c r="BZ9" s="34"/>
      <c r="CA9" s="56"/>
      <c r="CB9" s="34"/>
      <c r="CC9" s="51"/>
      <c r="CD9" s="34">
        <f t="shared" si="25"/>
        <v>0</v>
      </c>
      <c r="CE9" s="56" t="s">
        <v>123</v>
      </c>
      <c r="CF9" s="34">
        <v>50</v>
      </c>
      <c r="CG9" s="51"/>
      <c r="CH9" s="34">
        <f t="shared" si="26"/>
        <v>0</v>
      </c>
      <c r="CI9" s="76">
        <v>6</v>
      </c>
      <c r="CJ9" s="31" t="s">
        <v>119</v>
      </c>
      <c r="CK9" s="31">
        <f t="shared" si="27"/>
        <v>0</v>
      </c>
      <c r="CL9" s="76">
        <v>6</v>
      </c>
      <c r="CM9" s="31" t="s">
        <v>120</v>
      </c>
      <c r="CN9" s="71">
        <f t="shared" si="28"/>
        <v>0</v>
      </c>
      <c r="CO9" s="76">
        <v>6</v>
      </c>
      <c r="CP9" s="71" t="s">
        <v>121</v>
      </c>
      <c r="CQ9" s="53"/>
      <c r="CR9" s="57"/>
      <c r="CS9" s="57"/>
      <c r="CT9" s="57"/>
      <c r="CU9" s="53"/>
      <c r="CV9" s="51"/>
      <c r="CW9" s="34">
        <f t="shared" si="29"/>
        <v>0</v>
      </c>
      <c r="CX9" s="56" t="s">
        <v>124</v>
      </c>
      <c r="CY9" s="34" t="s">
        <v>122</v>
      </c>
      <c r="CZ9" s="53"/>
      <c r="DA9" s="34">
        <f t="shared" si="30"/>
        <v>0</v>
      </c>
      <c r="DB9" s="56" t="s">
        <v>124</v>
      </c>
      <c r="DC9" s="34">
        <v>5</v>
      </c>
      <c r="DD9" s="53"/>
      <c r="DE9" s="34"/>
      <c r="DF9" s="56"/>
      <c r="DG9" s="34"/>
      <c r="DH9" s="53"/>
      <c r="DI9" s="34"/>
      <c r="DJ9" s="56"/>
      <c r="DK9" s="55"/>
    </row>
    <row r="10" spans="1:116" x14ac:dyDescent="0.25">
      <c r="A10" s="58" t="s">
        <v>125</v>
      </c>
      <c r="B10" s="59">
        <f>'ol4'!AC13*100</f>
        <v>40</v>
      </c>
      <c r="C10" s="72" t="s">
        <v>118</v>
      </c>
      <c r="I10" s="54">
        <f t="shared" si="0"/>
        <v>0</v>
      </c>
      <c r="J10" s="57">
        <v>65</v>
      </c>
      <c r="K10" s="57">
        <f t="shared" si="1"/>
        <v>3.4705101432211748E-2</v>
      </c>
      <c r="L10" s="57">
        <f t="shared" si="2"/>
        <v>2.2123707046149717</v>
      </c>
      <c r="M10" s="57"/>
      <c r="N10" s="57">
        <f t="shared" si="3"/>
        <v>1</v>
      </c>
      <c r="O10" s="57">
        <v>65</v>
      </c>
      <c r="P10" s="57">
        <f t="shared" si="4"/>
        <v>3.4705101432211748E-2</v>
      </c>
      <c r="Q10" s="61">
        <f t="shared" si="5"/>
        <v>12.743255258582236</v>
      </c>
      <c r="R10" s="57">
        <f t="shared" si="6"/>
        <v>0</v>
      </c>
      <c r="S10" s="57">
        <v>65</v>
      </c>
      <c r="T10" s="57">
        <f t="shared" si="7"/>
        <v>3.4705101432211748E-2</v>
      </c>
      <c r="U10" s="61">
        <f t="shared" si="8"/>
        <v>3.0285142575474336E-2</v>
      </c>
      <c r="W10" s="54"/>
      <c r="X10" s="57"/>
      <c r="Y10" s="57"/>
      <c r="Z10" s="54">
        <f t="shared" si="9"/>
        <v>1</v>
      </c>
      <c r="AA10" s="57">
        <v>40</v>
      </c>
      <c r="AB10" s="61">
        <v>20</v>
      </c>
      <c r="AC10" s="54">
        <f t="shared" si="10"/>
        <v>1</v>
      </c>
      <c r="AD10" s="57">
        <v>40</v>
      </c>
      <c r="AE10" s="61">
        <v>25</v>
      </c>
      <c r="AF10" s="57">
        <f t="shared" si="11"/>
        <v>1</v>
      </c>
      <c r="AG10" s="57">
        <v>40</v>
      </c>
      <c r="AH10" s="61">
        <v>25</v>
      </c>
      <c r="AJ10" s="70">
        <v>40</v>
      </c>
      <c r="AK10" s="54">
        <f t="shared" si="12"/>
        <v>1</v>
      </c>
      <c r="AL10" s="61" t="s">
        <v>126</v>
      </c>
      <c r="AM10" s="53">
        <f t="shared" si="13"/>
        <v>1</v>
      </c>
      <c r="AN10" s="53" t="s">
        <v>127</v>
      </c>
      <c r="AO10" s="54">
        <f t="shared" si="14"/>
        <v>1</v>
      </c>
      <c r="AP10" s="75" t="s">
        <v>128</v>
      </c>
      <c r="AR10" s="57"/>
      <c r="AS10" s="54">
        <v>1.65</v>
      </c>
      <c r="AT10" s="57">
        <f t="shared" si="15"/>
        <v>1</v>
      </c>
      <c r="AU10" s="57" t="s">
        <v>122</v>
      </c>
      <c r="AV10" s="57">
        <f t="shared" si="16"/>
        <v>1</v>
      </c>
      <c r="AW10" s="30">
        <v>1</v>
      </c>
      <c r="AX10" s="54">
        <v>1.4</v>
      </c>
      <c r="AY10" s="57">
        <f t="shared" si="17"/>
        <v>1</v>
      </c>
      <c r="AZ10" s="57" t="s">
        <v>122</v>
      </c>
      <c r="BA10" s="57">
        <f t="shared" si="18"/>
        <v>1</v>
      </c>
      <c r="BB10" s="30">
        <v>1</v>
      </c>
      <c r="BC10" s="54">
        <v>2.0009999999999999</v>
      </c>
      <c r="BD10" s="57">
        <f t="shared" si="19"/>
        <v>1</v>
      </c>
      <c r="BE10" s="57" t="s">
        <v>129</v>
      </c>
      <c r="BF10" s="57">
        <f t="shared" si="20"/>
        <v>1</v>
      </c>
      <c r="BG10" s="77">
        <v>1</v>
      </c>
      <c r="BH10" s="57">
        <v>1.1000000000000001</v>
      </c>
      <c r="BI10" s="57">
        <f t="shared" si="21"/>
        <v>1</v>
      </c>
      <c r="BJ10" s="57" t="s">
        <v>92</v>
      </c>
      <c r="BK10" s="57">
        <f t="shared" si="22"/>
        <v>1</v>
      </c>
      <c r="BL10" s="61">
        <v>5</v>
      </c>
      <c r="BN10" s="50"/>
      <c r="BO10" s="34"/>
      <c r="BP10" s="51"/>
      <c r="BQ10" s="34">
        <f t="shared" si="23"/>
        <v>0</v>
      </c>
      <c r="BR10" s="56" t="s">
        <v>130</v>
      </c>
      <c r="BS10" s="34">
        <v>65</v>
      </c>
      <c r="BT10" s="53"/>
      <c r="BU10" s="70">
        <f t="shared" si="24"/>
        <v>1</v>
      </c>
      <c r="BV10" s="56" t="s">
        <v>130</v>
      </c>
      <c r="BW10" s="34">
        <v>20</v>
      </c>
      <c r="BX10" s="55">
        <v>6.3</v>
      </c>
      <c r="BY10" s="51"/>
      <c r="BZ10" s="34"/>
      <c r="CA10" s="56"/>
      <c r="CB10" s="34"/>
      <c r="CC10" s="51"/>
      <c r="CD10" s="34">
        <f t="shared" si="25"/>
        <v>1</v>
      </c>
      <c r="CE10" s="56" t="s">
        <v>130</v>
      </c>
      <c r="CF10" s="34">
        <v>65</v>
      </c>
      <c r="CG10" s="51"/>
      <c r="CH10" s="34">
        <f t="shared" si="26"/>
        <v>0</v>
      </c>
      <c r="CI10" s="76">
        <v>7</v>
      </c>
      <c r="CJ10" s="31" t="s">
        <v>126</v>
      </c>
      <c r="CK10" s="31">
        <f t="shared" si="27"/>
        <v>0</v>
      </c>
      <c r="CL10" s="76">
        <v>7</v>
      </c>
      <c r="CM10" s="31" t="s">
        <v>127</v>
      </c>
      <c r="CN10" s="71">
        <f t="shared" si="28"/>
        <v>0</v>
      </c>
      <c r="CO10" s="76">
        <v>7</v>
      </c>
      <c r="CP10" s="71" t="s">
        <v>128</v>
      </c>
      <c r="CQ10" s="53"/>
      <c r="CU10" s="53"/>
      <c r="CV10" s="51"/>
      <c r="CW10" s="34">
        <f t="shared" si="29"/>
        <v>0</v>
      </c>
      <c r="CX10" s="56" t="s">
        <v>131</v>
      </c>
      <c r="CY10" s="34" t="s">
        <v>129</v>
      </c>
      <c r="CZ10" s="53"/>
      <c r="DA10" s="34"/>
      <c r="DB10" s="56"/>
      <c r="DC10" s="34"/>
      <c r="DD10" s="53"/>
      <c r="DE10" s="34"/>
      <c r="DF10" s="56"/>
      <c r="DG10" s="34"/>
      <c r="DH10" s="53"/>
      <c r="DI10" s="34"/>
      <c r="DJ10" s="56"/>
      <c r="DK10" s="55"/>
    </row>
    <row r="11" spans="1:116" x14ac:dyDescent="0.25">
      <c r="A11" s="80" t="s">
        <v>132</v>
      </c>
      <c r="B11" s="59">
        <f>'ol4'!Z14</f>
        <v>0</v>
      </c>
      <c r="C11" s="72" t="s">
        <v>118</v>
      </c>
      <c r="E11" t="s">
        <v>133</v>
      </c>
      <c r="F11" s="60">
        <f>B4*1000/(B7-B8)</f>
        <v>8</v>
      </c>
      <c r="I11" s="54">
        <f t="shared" si="0"/>
        <v>0</v>
      </c>
      <c r="J11" s="57">
        <v>80</v>
      </c>
      <c r="K11" s="57">
        <f t="shared" si="1"/>
        <v>3.248549788373601E-2</v>
      </c>
      <c r="L11" s="57">
        <f t="shared" si="2"/>
        <v>0.73328188543698547</v>
      </c>
      <c r="M11" s="57"/>
      <c r="N11" s="57">
        <f t="shared" si="3"/>
        <v>1</v>
      </c>
      <c r="O11" s="57">
        <v>80</v>
      </c>
      <c r="P11" s="57">
        <f t="shared" si="4"/>
        <v>3.248549788373601E-2</v>
      </c>
      <c r="Q11" s="61">
        <f t="shared" si="5"/>
        <v>4.2237036601170352</v>
      </c>
      <c r="R11" s="57">
        <f t="shared" si="6"/>
        <v>0</v>
      </c>
      <c r="S11" s="57">
        <v>80</v>
      </c>
      <c r="T11" s="57">
        <f t="shared" si="7"/>
        <v>3.248549788373601E-2</v>
      </c>
      <c r="U11" s="61">
        <f t="shared" si="8"/>
        <v>1.0037895729746889E-2</v>
      </c>
      <c r="W11" s="54"/>
      <c r="X11" s="57"/>
      <c r="Y11" s="74"/>
      <c r="Z11" s="54">
        <f t="shared" si="9"/>
        <v>1</v>
      </c>
      <c r="AA11" s="57">
        <v>40</v>
      </c>
      <c r="AB11" s="61">
        <v>25</v>
      </c>
      <c r="AC11" s="54">
        <f t="shared" si="10"/>
        <v>1</v>
      </c>
      <c r="AD11" s="57">
        <v>50</v>
      </c>
      <c r="AE11" s="61">
        <v>31.5</v>
      </c>
      <c r="AF11" s="57">
        <f t="shared" si="11"/>
        <v>1</v>
      </c>
      <c r="AG11" s="57">
        <v>50</v>
      </c>
      <c r="AH11" s="61">
        <v>40</v>
      </c>
      <c r="AJ11" s="70">
        <v>50</v>
      </c>
      <c r="AK11" s="54">
        <f t="shared" si="12"/>
        <v>1</v>
      </c>
      <c r="AL11" s="61" t="s">
        <v>134</v>
      </c>
      <c r="AM11" s="53">
        <f t="shared" si="13"/>
        <v>1</v>
      </c>
      <c r="AN11" s="53" t="s">
        <v>135</v>
      </c>
      <c r="AO11" s="54">
        <f t="shared" si="14"/>
        <v>1</v>
      </c>
      <c r="AP11" s="53" t="s">
        <v>135</v>
      </c>
      <c r="AS11" s="54">
        <v>2.0009999999999999</v>
      </c>
      <c r="AT11" s="57">
        <f t="shared" si="15"/>
        <v>1</v>
      </c>
      <c r="AU11" s="57" t="s">
        <v>122</v>
      </c>
      <c r="AV11" s="57">
        <f t="shared" si="16"/>
        <v>1</v>
      </c>
      <c r="AW11" s="30">
        <v>2</v>
      </c>
      <c r="AX11" s="54">
        <v>2.0009999999999999</v>
      </c>
      <c r="AY11" s="57">
        <f t="shared" si="17"/>
        <v>1</v>
      </c>
      <c r="AZ11" s="57" t="s">
        <v>122</v>
      </c>
      <c r="BA11" s="57">
        <f t="shared" si="18"/>
        <v>1</v>
      </c>
      <c r="BB11" s="30">
        <v>2</v>
      </c>
      <c r="BC11" s="54"/>
      <c r="BD11" s="57"/>
      <c r="BE11" s="57"/>
      <c r="BF11" s="57"/>
      <c r="BG11" s="61"/>
      <c r="BH11" s="57">
        <v>1.3</v>
      </c>
      <c r="BI11" s="57">
        <f t="shared" si="21"/>
        <v>1</v>
      </c>
      <c r="BJ11" s="57" t="s">
        <v>122</v>
      </c>
      <c r="BK11" s="57">
        <f t="shared" si="22"/>
        <v>1</v>
      </c>
      <c r="BL11" s="61">
        <v>2</v>
      </c>
      <c r="BN11" s="50"/>
      <c r="BO11" s="34"/>
      <c r="BP11" s="51"/>
      <c r="BQ11" s="34">
        <f t="shared" si="23"/>
        <v>0</v>
      </c>
      <c r="BR11" s="56" t="s">
        <v>136</v>
      </c>
      <c r="BS11" s="34">
        <v>80</v>
      </c>
      <c r="BT11" s="53"/>
      <c r="BU11" s="70">
        <f t="shared" si="24"/>
        <v>0</v>
      </c>
      <c r="BV11" s="56" t="s">
        <v>136</v>
      </c>
      <c r="BW11" s="34">
        <v>25</v>
      </c>
      <c r="BX11" s="55">
        <v>8</v>
      </c>
      <c r="BY11" s="51"/>
      <c r="BZ11" s="34"/>
      <c r="CA11" s="56"/>
      <c r="CB11" s="34"/>
      <c r="CC11" s="51"/>
      <c r="CD11" s="34">
        <f t="shared" si="25"/>
        <v>0</v>
      </c>
      <c r="CE11" s="56" t="s">
        <v>136</v>
      </c>
      <c r="CF11" s="34">
        <v>80</v>
      </c>
      <c r="CG11" s="51"/>
      <c r="CH11" s="34">
        <f t="shared" si="26"/>
        <v>0</v>
      </c>
      <c r="CI11" s="76">
        <v>8</v>
      </c>
      <c r="CJ11" s="31" t="s">
        <v>134</v>
      </c>
      <c r="CK11" s="31"/>
      <c r="CL11" s="31"/>
      <c r="CM11" s="31"/>
      <c r="CN11" s="31"/>
      <c r="CO11" s="31"/>
      <c r="CP11" s="31"/>
      <c r="CQ11" s="53"/>
      <c r="CU11" s="53"/>
      <c r="CV11" s="51"/>
      <c r="CW11" s="34"/>
      <c r="CX11" s="56"/>
      <c r="CY11" s="34"/>
      <c r="CZ11" s="53"/>
      <c r="DA11" s="34"/>
      <c r="DB11" s="56"/>
      <c r="DC11" s="34"/>
      <c r="DD11" s="53"/>
      <c r="DE11" s="34"/>
      <c r="DF11" s="56"/>
      <c r="DG11" s="34"/>
      <c r="DH11" s="53"/>
      <c r="DI11" s="34"/>
      <c r="DJ11" s="56"/>
      <c r="DK11" s="55"/>
    </row>
    <row r="12" spans="1:116" x14ac:dyDescent="0.25">
      <c r="A12" s="80" t="s">
        <v>137</v>
      </c>
      <c r="B12">
        <f>B9-B10</f>
        <v>20</v>
      </c>
      <c r="C12" s="72" t="s">
        <v>118</v>
      </c>
      <c r="E12" t="s">
        <v>51</v>
      </c>
      <c r="F12" s="73">
        <f>VLOOKUP(1,N4:Q17,2,0)</f>
        <v>65</v>
      </c>
      <c r="I12" s="54">
        <f t="shared" si="0"/>
        <v>0</v>
      </c>
      <c r="J12" s="57">
        <v>100</v>
      </c>
      <c r="K12" s="57">
        <f t="shared" si="1"/>
        <v>3.0329450982592862E-2</v>
      </c>
      <c r="L12" s="57">
        <f t="shared" si="2"/>
        <v>0.22433441994637171</v>
      </c>
      <c r="M12" s="57"/>
      <c r="N12" s="57">
        <f t="shared" si="3"/>
        <v>0</v>
      </c>
      <c r="O12" s="57">
        <v>100</v>
      </c>
      <c r="P12" s="57">
        <f t="shared" si="4"/>
        <v>3.0329450982592862E-2</v>
      </c>
      <c r="Q12" s="61">
        <f t="shared" si="5"/>
        <v>1.2921662588911009</v>
      </c>
      <c r="R12" s="57">
        <f t="shared" si="6"/>
        <v>0</v>
      </c>
      <c r="S12" s="57">
        <v>100</v>
      </c>
      <c r="T12" s="57">
        <f t="shared" si="7"/>
        <v>3.0329450982592862E-2</v>
      </c>
      <c r="U12" s="61">
        <f t="shared" si="8"/>
        <v>3.0709138746458811E-3</v>
      </c>
      <c r="W12" s="62"/>
      <c r="X12" s="57"/>
      <c r="Y12" s="57"/>
      <c r="Z12" s="54">
        <f t="shared" si="9"/>
        <v>1</v>
      </c>
      <c r="AA12" s="57">
        <v>50</v>
      </c>
      <c r="AB12" s="61">
        <v>31.5</v>
      </c>
      <c r="AC12" s="54">
        <f t="shared" si="10"/>
        <v>1</v>
      </c>
      <c r="AD12" s="57">
        <v>50</v>
      </c>
      <c r="AE12" s="61">
        <v>40</v>
      </c>
      <c r="AF12" s="57">
        <f t="shared" si="11"/>
        <v>1</v>
      </c>
      <c r="AG12" s="57">
        <v>65</v>
      </c>
      <c r="AH12" s="61">
        <v>63</v>
      </c>
      <c r="AJ12" s="70">
        <v>60</v>
      </c>
      <c r="AK12" s="54">
        <f t="shared" si="12"/>
        <v>1</v>
      </c>
      <c r="AL12" s="61" t="s">
        <v>135</v>
      </c>
      <c r="AM12" s="53">
        <f t="shared" si="13"/>
        <v>1</v>
      </c>
      <c r="AN12" s="81" t="s">
        <v>135</v>
      </c>
      <c r="AO12" s="54">
        <f t="shared" si="14"/>
        <v>1</v>
      </c>
      <c r="AP12" s="81" t="s">
        <v>135</v>
      </c>
      <c r="AS12" s="54"/>
      <c r="AT12" s="57"/>
      <c r="AU12" s="57"/>
      <c r="AV12" s="57"/>
      <c r="AW12" s="30"/>
      <c r="AX12" s="54"/>
      <c r="AY12" s="57"/>
      <c r="AZ12" s="57"/>
      <c r="BA12" s="57"/>
      <c r="BB12" s="61"/>
      <c r="BC12" s="54"/>
      <c r="BD12" s="57"/>
      <c r="BE12" s="57"/>
      <c r="BF12" s="57"/>
      <c r="BG12" s="61"/>
      <c r="BH12" s="57">
        <v>1.45</v>
      </c>
      <c r="BI12" s="57">
        <f t="shared" si="21"/>
        <v>1</v>
      </c>
      <c r="BJ12" s="57" t="s">
        <v>129</v>
      </c>
      <c r="BK12" s="57">
        <f t="shared" si="22"/>
        <v>1</v>
      </c>
      <c r="BL12" s="61">
        <v>1</v>
      </c>
      <c r="BN12" s="50"/>
      <c r="BO12" s="34"/>
      <c r="BP12" s="51"/>
      <c r="BQ12" s="34">
        <f t="shared" si="23"/>
        <v>0</v>
      </c>
      <c r="BR12" s="56" t="s">
        <v>138</v>
      </c>
      <c r="BS12" s="34">
        <v>100</v>
      </c>
      <c r="BT12" s="53"/>
      <c r="BU12" s="70">
        <f t="shared" si="24"/>
        <v>0</v>
      </c>
      <c r="BV12" s="56" t="s">
        <v>138</v>
      </c>
      <c r="BW12" s="34">
        <v>25</v>
      </c>
      <c r="BX12" s="55">
        <v>10</v>
      </c>
      <c r="BY12" s="51"/>
      <c r="BZ12" s="34"/>
      <c r="CA12" s="56"/>
      <c r="CB12" s="34"/>
      <c r="CC12" s="51"/>
      <c r="CD12" s="34">
        <f t="shared" si="25"/>
        <v>0</v>
      </c>
      <c r="CE12" s="56" t="s">
        <v>138</v>
      </c>
      <c r="CF12" s="34">
        <v>100</v>
      </c>
      <c r="CG12" s="51"/>
      <c r="CH12" s="34">
        <f t="shared" si="26"/>
        <v>0</v>
      </c>
      <c r="CI12" s="31"/>
      <c r="CJ12" s="57"/>
      <c r="CK12" s="57"/>
      <c r="CL12" s="57"/>
      <c r="CM12" s="57"/>
      <c r="CN12" s="57"/>
      <c r="CO12" s="57"/>
      <c r="CP12" s="57"/>
      <c r="CQ12" s="53"/>
      <c r="CU12" s="53"/>
      <c r="CV12" s="51"/>
      <c r="CW12" s="34"/>
      <c r="CX12" s="56"/>
      <c r="CY12" s="34"/>
      <c r="CZ12" s="53"/>
      <c r="DA12" s="34"/>
      <c r="DB12" s="56"/>
      <c r="DC12" s="34"/>
      <c r="DD12" s="53"/>
      <c r="DE12" s="34"/>
      <c r="DF12" s="56"/>
      <c r="DG12" s="34"/>
      <c r="DH12" s="53"/>
      <c r="DI12" s="34"/>
      <c r="DJ12" s="56"/>
      <c r="DK12" s="55"/>
    </row>
    <row r="13" spans="1:116" x14ac:dyDescent="0.25">
      <c r="A13" s="58"/>
      <c r="C13" s="72"/>
      <c r="E13" t="s">
        <v>56</v>
      </c>
      <c r="F13" s="60">
        <f>F11*1.1</f>
        <v>8.8000000000000007</v>
      </c>
      <c r="I13" s="54">
        <f t="shared" si="0"/>
        <v>0</v>
      </c>
      <c r="J13" s="57">
        <v>125</v>
      </c>
      <c r="K13" s="57">
        <f t="shared" si="1"/>
        <v>2.8381135828692533E-2</v>
      </c>
      <c r="L13" s="57">
        <f t="shared" si="2"/>
        <v>6.8787744798793474E-2</v>
      </c>
      <c r="M13" s="57"/>
      <c r="N13" s="57">
        <f t="shared" si="3"/>
        <v>0</v>
      </c>
      <c r="O13" s="57">
        <v>125</v>
      </c>
      <c r="P13" s="57">
        <f t="shared" si="4"/>
        <v>2.8381135828692533E-2</v>
      </c>
      <c r="Q13" s="61">
        <f t="shared" si="5"/>
        <v>0.39621741004105038</v>
      </c>
      <c r="R13" s="57">
        <f t="shared" si="6"/>
        <v>0</v>
      </c>
      <c r="S13" s="57">
        <v>125</v>
      </c>
      <c r="T13" s="57">
        <f t="shared" si="7"/>
        <v>2.8381135828692533E-2</v>
      </c>
      <c r="U13" s="61">
        <f t="shared" si="8"/>
        <v>9.4163543855068353E-4</v>
      </c>
      <c r="W13" s="62"/>
      <c r="X13" s="74"/>
      <c r="Y13" s="57"/>
      <c r="Z13" s="54">
        <f t="shared" si="9"/>
        <v>1</v>
      </c>
      <c r="AA13" s="57">
        <v>50</v>
      </c>
      <c r="AB13" s="61">
        <v>40</v>
      </c>
      <c r="AC13" s="54">
        <f t="shared" si="10"/>
        <v>1</v>
      </c>
      <c r="AD13" s="57">
        <v>65</v>
      </c>
      <c r="AE13" s="61">
        <v>50</v>
      </c>
      <c r="AF13" s="57">
        <f t="shared" si="11"/>
        <v>1</v>
      </c>
      <c r="AG13" s="57">
        <v>80</v>
      </c>
      <c r="AH13" s="61">
        <v>100</v>
      </c>
      <c r="AJ13" s="82">
        <v>90</v>
      </c>
      <c r="AK13" s="83">
        <f t="shared" si="12"/>
        <v>1</v>
      </c>
      <c r="AL13" s="84" t="s">
        <v>139</v>
      </c>
      <c r="AM13" s="85">
        <f t="shared" si="13"/>
        <v>1</v>
      </c>
      <c r="AN13" s="84" t="s">
        <v>139</v>
      </c>
      <c r="AO13" s="83">
        <f t="shared" si="14"/>
        <v>1</v>
      </c>
      <c r="AP13" s="86" t="s">
        <v>139</v>
      </c>
      <c r="AS13" s="54"/>
      <c r="AT13" s="57"/>
      <c r="AU13" s="57"/>
      <c r="AV13" s="57"/>
      <c r="AW13" s="30"/>
      <c r="AX13" s="54"/>
      <c r="AY13" s="57"/>
      <c r="AZ13" s="57"/>
      <c r="BA13" s="57"/>
      <c r="BB13" s="61"/>
      <c r="BC13" s="54"/>
      <c r="BD13" s="57"/>
      <c r="BE13" s="57"/>
      <c r="BF13" s="57"/>
      <c r="BG13" s="61"/>
      <c r="BH13" s="54">
        <v>2.0009999999999999</v>
      </c>
      <c r="BI13" s="57">
        <f t="shared" si="21"/>
        <v>1</v>
      </c>
      <c r="BJ13" s="57" t="s">
        <v>129</v>
      </c>
      <c r="BK13" s="57">
        <f t="shared" si="22"/>
        <v>1</v>
      </c>
      <c r="BL13" s="61">
        <v>2</v>
      </c>
      <c r="BN13" s="50"/>
      <c r="BO13" s="34"/>
      <c r="BP13" s="51"/>
      <c r="BQ13" s="34">
        <f t="shared" si="23"/>
        <v>0</v>
      </c>
      <c r="BR13" s="56" t="s">
        <v>140</v>
      </c>
      <c r="BS13" s="34">
        <v>125</v>
      </c>
      <c r="BT13" s="53"/>
      <c r="BU13" s="70">
        <f t="shared" si="24"/>
        <v>0</v>
      </c>
      <c r="BV13" s="56" t="s">
        <v>140</v>
      </c>
      <c r="BW13" s="34">
        <v>32</v>
      </c>
      <c r="BX13" s="55">
        <v>12.5</v>
      </c>
      <c r="BY13" s="51"/>
      <c r="BZ13" s="34"/>
      <c r="CA13" s="56"/>
      <c r="CB13" s="34"/>
      <c r="CC13" s="51"/>
      <c r="CD13" s="34">
        <f t="shared" si="25"/>
        <v>0</v>
      </c>
      <c r="CE13" s="56" t="s">
        <v>140</v>
      </c>
      <c r="CF13" s="34">
        <v>125</v>
      </c>
      <c r="CG13" s="51"/>
      <c r="CH13" s="34">
        <f t="shared" si="26"/>
        <v>0</v>
      </c>
      <c r="CI13" s="31">
        <v>10</v>
      </c>
      <c r="CJ13" s="76" t="s">
        <v>135</v>
      </c>
      <c r="CK13" s="34">
        <f>IF($E$14=CM13,1,0)</f>
        <v>0</v>
      </c>
      <c r="CL13" s="31">
        <v>10</v>
      </c>
      <c r="CM13" s="76" t="s">
        <v>135</v>
      </c>
      <c r="CN13" s="34">
        <f>IF($E$14=CP13,1,0)</f>
        <v>0</v>
      </c>
      <c r="CO13" s="31">
        <v>10</v>
      </c>
      <c r="CP13" s="76" t="s">
        <v>135</v>
      </c>
      <c r="CQ13" s="53"/>
      <c r="CR13" s="57"/>
      <c r="CS13" s="76"/>
      <c r="CT13" s="57"/>
      <c r="CU13" s="53"/>
      <c r="CV13" s="51"/>
      <c r="CW13" s="34"/>
      <c r="CX13" s="56"/>
      <c r="CY13" s="34"/>
      <c r="CZ13" s="53"/>
      <c r="DA13" s="34"/>
      <c r="DB13" s="56"/>
      <c r="DC13" s="34"/>
      <c r="DD13" s="53"/>
      <c r="DE13" s="34"/>
      <c r="DF13" s="56"/>
      <c r="DG13" s="34"/>
      <c r="DH13" s="53"/>
      <c r="DI13" s="34"/>
      <c r="DJ13" s="56"/>
      <c r="DK13" s="55"/>
    </row>
    <row r="14" spans="1:116" x14ac:dyDescent="0.25">
      <c r="A14" s="58" t="s">
        <v>31</v>
      </c>
      <c r="B14" s="1" t="str">
        <f>'ol4'!O24</f>
        <v>Siemens</v>
      </c>
      <c r="C14" s="1"/>
      <c r="E14" s="1" t="str">
        <f>VLOOKUP(1,IF(B15="TOP-SD",AK4:AL13,IF(B15="Yonos MAXO-D",AM4:AN13,IF(B15="Stratos-D",AO4:AP13,0))),2,0)</f>
        <v>Yonos MAXO-D 50/0,5-12</v>
      </c>
      <c r="F14" s="1"/>
      <c r="I14" s="54">
        <f t="shared" si="0"/>
        <v>0</v>
      </c>
      <c r="J14" s="57">
        <v>150</v>
      </c>
      <c r="K14" s="57">
        <f t="shared" si="1"/>
        <v>2.6925299052784474E-2</v>
      </c>
      <c r="L14" s="57">
        <f t="shared" si="2"/>
        <v>2.6226214237074743E-2</v>
      </c>
      <c r="M14" s="57"/>
      <c r="N14" s="57">
        <f t="shared" si="3"/>
        <v>0</v>
      </c>
      <c r="O14" s="57">
        <v>150</v>
      </c>
      <c r="P14" s="57">
        <f t="shared" si="4"/>
        <v>2.6925299052784474E-2</v>
      </c>
      <c r="Q14" s="61">
        <f t="shared" si="5"/>
        <v>0.15106299400555051</v>
      </c>
      <c r="R14" s="57">
        <f t="shared" si="6"/>
        <v>0</v>
      </c>
      <c r="S14" s="57">
        <v>150</v>
      </c>
      <c r="T14" s="57">
        <f t="shared" si="7"/>
        <v>2.6925299052784474E-2</v>
      </c>
      <c r="U14" s="61">
        <f t="shared" si="8"/>
        <v>3.59010646691316E-4</v>
      </c>
      <c r="W14" s="54"/>
      <c r="X14" s="57"/>
      <c r="Y14" s="57"/>
      <c r="Z14" s="54">
        <f t="shared" si="9"/>
        <v>1</v>
      </c>
      <c r="AA14" s="57">
        <v>65</v>
      </c>
      <c r="AB14" s="61">
        <v>50</v>
      </c>
      <c r="AC14" s="54">
        <f t="shared" si="10"/>
        <v>1</v>
      </c>
      <c r="AD14" s="57">
        <v>65</v>
      </c>
      <c r="AE14" s="61">
        <v>63</v>
      </c>
      <c r="AF14" s="57">
        <f t="shared" si="11"/>
        <v>1</v>
      </c>
      <c r="AG14" s="57">
        <v>100</v>
      </c>
      <c r="AH14" s="61">
        <v>160</v>
      </c>
      <c r="AS14" s="54"/>
      <c r="AT14" s="57"/>
      <c r="AU14" s="57"/>
      <c r="AV14" s="57"/>
      <c r="AW14" s="30"/>
      <c r="AX14" s="54"/>
      <c r="AY14" s="57"/>
      <c r="AZ14" s="57"/>
      <c r="BA14" s="57"/>
      <c r="BB14" s="61"/>
      <c r="BC14" s="54"/>
      <c r="BD14" s="57"/>
      <c r="BE14" s="57"/>
      <c r="BF14" s="57"/>
      <c r="BG14" s="61"/>
      <c r="BH14" s="57"/>
      <c r="BI14" s="57"/>
      <c r="BJ14" s="57"/>
      <c r="BK14" s="57"/>
      <c r="BL14" s="61"/>
      <c r="BN14" s="50"/>
      <c r="BO14" s="34"/>
      <c r="BP14" s="51"/>
      <c r="BQ14" s="34">
        <f t="shared" si="23"/>
        <v>0</v>
      </c>
      <c r="BR14" s="56" t="s">
        <v>141</v>
      </c>
      <c r="BS14" s="34">
        <v>150</v>
      </c>
      <c r="BT14" s="53"/>
      <c r="BU14" s="70">
        <f t="shared" si="24"/>
        <v>0</v>
      </c>
      <c r="BV14" s="56" t="s">
        <v>141</v>
      </c>
      <c r="BW14" s="34">
        <v>32</v>
      </c>
      <c r="BX14" s="55">
        <v>16</v>
      </c>
      <c r="BY14" s="51"/>
      <c r="BZ14" s="34"/>
      <c r="CA14" s="56"/>
      <c r="CB14" s="34"/>
      <c r="CC14" s="51"/>
      <c r="CD14" s="34">
        <f t="shared" si="25"/>
        <v>0</v>
      </c>
      <c r="CE14" s="56" t="s">
        <v>141</v>
      </c>
      <c r="CF14" s="34">
        <v>150</v>
      </c>
      <c r="CG14" s="51"/>
      <c r="CH14" s="34">
        <f t="shared" si="26"/>
        <v>0</v>
      </c>
      <c r="CI14" s="31">
        <v>11</v>
      </c>
      <c r="CJ14" s="76" t="s">
        <v>139</v>
      </c>
      <c r="CK14" s="34">
        <f>IF($E$14=CM14,1,0)</f>
        <v>0</v>
      </c>
      <c r="CL14" s="31">
        <v>11</v>
      </c>
      <c r="CM14" s="76" t="s">
        <v>139</v>
      </c>
      <c r="CN14" s="34">
        <f>IF($E$14=CP14,1,0)</f>
        <v>0</v>
      </c>
      <c r="CO14" s="31">
        <v>11</v>
      </c>
      <c r="CP14" s="76" t="s">
        <v>139</v>
      </c>
      <c r="CQ14" s="53"/>
      <c r="CR14" s="57"/>
      <c r="CS14" s="76"/>
      <c r="CT14" s="57"/>
      <c r="CU14" s="53"/>
      <c r="CV14" s="51"/>
      <c r="CW14" s="34"/>
      <c r="CX14" s="56"/>
      <c r="CY14" s="34"/>
      <c r="CZ14" s="53"/>
      <c r="DA14" s="34"/>
      <c r="DB14" s="56"/>
      <c r="DC14" s="34"/>
      <c r="DD14" s="53"/>
      <c r="DE14" s="34"/>
      <c r="DF14" s="56"/>
      <c r="DG14" s="34"/>
      <c r="DH14" s="53"/>
      <c r="DI14" s="34"/>
      <c r="DJ14" s="56"/>
      <c r="DK14" s="55"/>
    </row>
    <row r="15" spans="1:116" x14ac:dyDescent="0.25">
      <c r="A15" s="58" t="s">
        <v>32</v>
      </c>
      <c r="B15" s="1" t="str">
        <f>'ol4'!I24</f>
        <v>Yonos MAXO-D</v>
      </c>
      <c r="C15" s="1"/>
      <c r="I15" s="54">
        <f t="shared" si="0"/>
        <v>0</v>
      </c>
      <c r="J15" s="57">
        <v>200</v>
      </c>
      <c r="K15" s="57">
        <f t="shared" si="1"/>
        <v>2.4846042519733526E-2</v>
      </c>
      <c r="L15" s="57">
        <f t="shared" si="2"/>
        <v>5.7429972725049488E-3</v>
      </c>
      <c r="M15" s="57"/>
      <c r="N15" s="57">
        <f t="shared" si="3"/>
        <v>0</v>
      </c>
      <c r="O15" s="57">
        <v>200</v>
      </c>
      <c r="P15" s="57">
        <f t="shared" si="4"/>
        <v>2.4846042519733526E-2</v>
      </c>
      <c r="Q15" s="61">
        <f t="shared" si="5"/>
        <v>3.3079664289628503E-2</v>
      </c>
      <c r="R15" s="57">
        <f t="shared" si="6"/>
        <v>0</v>
      </c>
      <c r="S15" s="57">
        <v>200</v>
      </c>
      <c r="T15" s="57">
        <f t="shared" si="7"/>
        <v>2.4846042519733526E-2</v>
      </c>
      <c r="U15" s="61">
        <f t="shared" si="8"/>
        <v>7.8615889663320219E-5</v>
      </c>
      <c r="W15" s="54"/>
      <c r="X15" s="57"/>
      <c r="Y15" s="57"/>
      <c r="Z15" s="54">
        <f t="shared" si="9"/>
        <v>1</v>
      </c>
      <c r="AA15" s="57">
        <v>65</v>
      </c>
      <c r="AB15" s="61">
        <v>63</v>
      </c>
      <c r="AC15" s="54">
        <f t="shared" si="10"/>
        <v>1</v>
      </c>
      <c r="AD15" s="57">
        <v>80</v>
      </c>
      <c r="AE15" s="61">
        <v>80</v>
      </c>
      <c r="AF15" s="57">
        <f t="shared" si="11"/>
        <v>1</v>
      </c>
      <c r="AG15" s="57">
        <v>125</v>
      </c>
      <c r="AH15" s="61">
        <v>250</v>
      </c>
      <c r="AS15" s="54"/>
      <c r="AT15" s="57"/>
      <c r="AU15" s="57"/>
      <c r="AV15" s="57"/>
      <c r="AW15" s="30"/>
      <c r="AX15" s="54"/>
      <c r="AY15" s="57"/>
      <c r="AZ15" s="57"/>
      <c r="BA15" s="57"/>
      <c r="BB15" s="61"/>
      <c r="BC15" s="54"/>
      <c r="BD15" s="57"/>
      <c r="BE15" s="57"/>
      <c r="BF15" s="57"/>
      <c r="BG15" s="61"/>
      <c r="BH15" s="57"/>
      <c r="BI15" s="57"/>
      <c r="BJ15" s="57"/>
      <c r="BK15" s="57"/>
      <c r="BL15" s="61"/>
      <c r="BN15" s="50"/>
      <c r="BO15" s="34"/>
      <c r="BP15" s="51"/>
      <c r="BQ15" s="34">
        <f t="shared" si="23"/>
        <v>0</v>
      </c>
      <c r="BR15" s="56" t="s">
        <v>142</v>
      </c>
      <c r="BS15" s="34">
        <v>200</v>
      </c>
      <c r="BT15" s="53"/>
      <c r="BU15" s="70">
        <f t="shared" si="24"/>
        <v>0</v>
      </c>
      <c r="BV15" s="56" t="s">
        <v>142</v>
      </c>
      <c r="BW15" s="34">
        <v>40</v>
      </c>
      <c r="BX15" s="55">
        <v>20</v>
      </c>
      <c r="BY15" s="51"/>
      <c r="BZ15" s="34"/>
      <c r="CA15" s="56"/>
      <c r="CB15" s="34"/>
      <c r="CC15" s="51"/>
      <c r="CD15" s="34">
        <f t="shared" si="25"/>
        <v>0</v>
      </c>
      <c r="CE15" s="56" t="s">
        <v>142</v>
      </c>
      <c r="CF15" s="34">
        <v>200</v>
      </c>
      <c r="CG15" s="51"/>
      <c r="CH15" s="34"/>
      <c r="CI15" s="31"/>
      <c r="CJ15" s="57"/>
      <c r="CK15" s="57"/>
      <c r="CL15" s="57"/>
      <c r="CM15" s="57"/>
      <c r="CN15" s="57"/>
      <c r="CO15" s="57"/>
      <c r="CP15" s="57"/>
      <c r="CQ15" s="53"/>
      <c r="CR15" s="57"/>
      <c r="CS15" s="57"/>
      <c r="CT15" s="57"/>
      <c r="CU15" s="53"/>
      <c r="CV15" s="51"/>
      <c r="CW15" s="34"/>
      <c r="CX15" s="56"/>
      <c r="CY15" s="34"/>
      <c r="CZ15" s="53"/>
      <c r="DA15" s="34"/>
      <c r="DB15" s="56"/>
      <c r="DC15" s="34"/>
      <c r="DD15" s="53"/>
      <c r="DE15" s="34"/>
      <c r="DF15" s="56"/>
      <c r="DG15" s="34"/>
      <c r="DH15" s="53"/>
      <c r="DI15" s="34"/>
      <c r="DJ15" s="56"/>
      <c r="DK15" s="55"/>
    </row>
    <row r="16" spans="1:116" x14ac:dyDescent="0.25">
      <c r="A16" s="58" t="s">
        <v>143</v>
      </c>
      <c r="B16" s="1" t="str">
        <f>'ol4'!U24</f>
        <v>Segnetics</v>
      </c>
      <c r="C16" s="1"/>
      <c r="E16" t="s">
        <v>144</v>
      </c>
      <c r="F16">
        <f>IF(B18="Отопление",11.7,IF(B18="Вентиляция",8.6,30))*B4/6</f>
        <v>0.38999999999999996</v>
      </c>
      <c r="I16" s="54">
        <f t="shared" si="0"/>
        <v>0</v>
      </c>
      <c r="J16" s="57">
        <v>250</v>
      </c>
      <c r="K16" s="57">
        <f t="shared" si="1"/>
        <v>2.339473539768467E-2</v>
      </c>
      <c r="L16" s="57">
        <f t="shared" si="2"/>
        <v>1.7719418211060299E-3</v>
      </c>
      <c r="M16" s="57"/>
      <c r="N16" s="57">
        <f t="shared" si="3"/>
        <v>0</v>
      </c>
      <c r="O16" s="57">
        <v>250</v>
      </c>
      <c r="P16" s="57">
        <f t="shared" si="4"/>
        <v>2.339473539768467E-2</v>
      </c>
      <c r="Q16" s="61">
        <f t="shared" si="5"/>
        <v>1.020638488957073E-2</v>
      </c>
      <c r="R16" s="57">
        <f t="shared" si="6"/>
        <v>0</v>
      </c>
      <c r="S16" s="57">
        <v>250</v>
      </c>
      <c r="T16" s="57">
        <f t="shared" si="7"/>
        <v>2.339473539768467E-2</v>
      </c>
      <c r="U16" s="61">
        <f t="shared" si="8"/>
        <v>2.425611158912043E-5</v>
      </c>
      <c r="W16" s="54"/>
      <c r="X16" s="57"/>
      <c r="Y16" s="57"/>
      <c r="Z16" s="54">
        <f t="shared" si="9"/>
        <v>1</v>
      </c>
      <c r="AA16" s="57">
        <v>80</v>
      </c>
      <c r="AB16" s="61">
        <v>80</v>
      </c>
      <c r="AC16" s="54">
        <f t="shared" si="10"/>
        <v>1</v>
      </c>
      <c r="AD16" s="57">
        <v>80</v>
      </c>
      <c r="AE16" s="61">
        <v>100</v>
      </c>
      <c r="AF16" s="57">
        <f t="shared" si="11"/>
        <v>1</v>
      </c>
      <c r="AG16" s="57">
        <v>150</v>
      </c>
      <c r="AH16" s="61">
        <v>400</v>
      </c>
      <c r="AS16" s="83"/>
      <c r="AT16" s="87"/>
      <c r="AU16" s="87"/>
      <c r="AV16" s="87"/>
      <c r="AW16" s="88"/>
      <c r="AX16" s="83"/>
      <c r="AY16" s="87"/>
      <c r="AZ16" s="87"/>
      <c r="BA16" s="87"/>
      <c r="BB16" s="89"/>
      <c r="BC16" s="83"/>
      <c r="BD16" s="87"/>
      <c r="BE16" s="87"/>
      <c r="BF16" s="87"/>
      <c r="BG16" s="89"/>
      <c r="BH16" s="87"/>
      <c r="BI16" s="87"/>
      <c r="BJ16" s="87"/>
      <c r="BK16" s="87"/>
      <c r="BL16" s="89"/>
      <c r="BN16" s="50"/>
      <c r="BO16" s="34"/>
      <c r="BP16" s="51"/>
      <c r="BQ16" s="34"/>
      <c r="BR16" s="56"/>
      <c r="BS16" s="34"/>
      <c r="BT16" s="53"/>
      <c r="BU16" s="70">
        <f t="shared" si="24"/>
        <v>0</v>
      </c>
      <c r="BV16" s="56" t="s">
        <v>145</v>
      </c>
      <c r="BW16" s="34">
        <v>40</v>
      </c>
      <c r="BX16" s="55">
        <v>25</v>
      </c>
      <c r="BY16" s="51"/>
      <c r="BZ16" s="34"/>
      <c r="CA16" s="56"/>
      <c r="CB16" s="34"/>
      <c r="CC16" s="53"/>
      <c r="CD16" s="57"/>
      <c r="CE16" s="57"/>
      <c r="CF16" s="57"/>
      <c r="CG16" s="53"/>
      <c r="CH16" s="34"/>
      <c r="CI16" s="57"/>
      <c r="CJ16" s="57"/>
      <c r="CK16" s="57"/>
      <c r="CL16" s="57"/>
      <c r="CM16" s="57"/>
      <c r="CN16" s="57"/>
      <c r="CO16" s="57"/>
      <c r="CP16" s="57"/>
      <c r="CQ16" s="53"/>
      <c r="CR16" s="57"/>
      <c r="CS16" s="57"/>
      <c r="CT16" s="57"/>
      <c r="CU16" s="53"/>
      <c r="CV16" s="53"/>
      <c r="CW16" s="57"/>
      <c r="CX16" s="57"/>
      <c r="CY16" s="57"/>
      <c r="CZ16" s="53"/>
      <c r="DA16" s="57"/>
      <c r="DB16" s="57"/>
      <c r="DC16" s="57"/>
      <c r="DD16" s="53"/>
      <c r="DE16" s="57"/>
      <c r="DF16" s="57"/>
      <c r="DG16" s="57"/>
      <c r="DH16" s="53"/>
      <c r="DI16" s="57"/>
      <c r="DJ16" s="57"/>
      <c r="DK16" s="61"/>
    </row>
    <row r="17" spans="1:115" x14ac:dyDescent="0.25">
      <c r="A17" s="58" t="s">
        <v>69</v>
      </c>
      <c r="B17" s="1" t="str">
        <f>'ol4'!AA24</f>
        <v>Отдельный</v>
      </c>
      <c r="C17" s="1"/>
      <c r="E17" t="s">
        <v>52</v>
      </c>
      <c r="F17">
        <f>VLOOKUP(1,R4:U17,2,0)</f>
        <v>20</v>
      </c>
      <c r="I17" s="54">
        <f t="shared" si="0"/>
        <v>0</v>
      </c>
      <c r="J17" s="57">
        <v>300</v>
      </c>
      <c r="K17" s="57">
        <f t="shared" si="1"/>
        <v>2.2301284149115197E-2</v>
      </c>
      <c r="L17" s="57">
        <f t="shared" si="2"/>
        <v>6.788205196787884E-4</v>
      </c>
      <c r="M17" s="57"/>
      <c r="N17" s="57">
        <f t="shared" si="3"/>
        <v>0</v>
      </c>
      <c r="O17" s="57">
        <v>300</v>
      </c>
      <c r="P17" s="57">
        <f t="shared" si="4"/>
        <v>2.2301284149115197E-2</v>
      </c>
      <c r="Q17" s="61">
        <f t="shared" si="5"/>
        <v>3.9100061933498211E-3</v>
      </c>
      <c r="R17" s="57">
        <f t="shared" si="6"/>
        <v>0</v>
      </c>
      <c r="S17" s="57">
        <v>300</v>
      </c>
      <c r="T17" s="57">
        <f t="shared" si="7"/>
        <v>2.2301284149115197E-2</v>
      </c>
      <c r="U17" s="61">
        <f t="shared" si="8"/>
        <v>9.2923740938829295E-6</v>
      </c>
      <c r="W17" s="54"/>
      <c r="X17" s="57"/>
      <c r="Y17" s="57"/>
      <c r="Z17" s="54">
        <f t="shared" si="9"/>
        <v>1</v>
      </c>
      <c r="AA17" s="57">
        <v>80</v>
      </c>
      <c r="AB17" s="61">
        <v>100</v>
      </c>
      <c r="AC17" s="54">
        <f t="shared" si="10"/>
        <v>1</v>
      </c>
      <c r="AD17" s="57">
        <v>100</v>
      </c>
      <c r="AE17" s="61">
        <v>125</v>
      </c>
      <c r="AF17" s="57"/>
      <c r="AG17" s="57"/>
      <c r="AH17" s="61"/>
      <c r="AS17" s="57"/>
      <c r="AT17" s="57"/>
      <c r="AU17" s="57"/>
      <c r="BN17" s="50"/>
      <c r="BO17" s="34"/>
      <c r="BP17" s="51"/>
      <c r="BQ17" s="34"/>
      <c r="BR17" s="56"/>
      <c r="BS17" s="34"/>
      <c r="BT17" s="53"/>
      <c r="BU17" s="70">
        <f t="shared" si="24"/>
        <v>0</v>
      </c>
      <c r="BV17" s="56" t="s">
        <v>146</v>
      </c>
      <c r="BW17" s="34">
        <v>50</v>
      </c>
      <c r="BX17" s="55">
        <v>31.5</v>
      </c>
      <c r="BY17" s="51"/>
      <c r="BZ17" s="34"/>
      <c r="CA17" s="56"/>
      <c r="CB17" s="34"/>
      <c r="CC17" s="53"/>
      <c r="CD17" s="57"/>
      <c r="CE17" s="57"/>
      <c r="CF17" s="57"/>
      <c r="CG17" s="53"/>
      <c r="CH17" s="34"/>
      <c r="CI17" s="57"/>
      <c r="CJ17" s="57"/>
      <c r="CK17" s="57"/>
      <c r="CL17" s="57"/>
      <c r="CM17" s="57"/>
      <c r="CN17" s="57"/>
      <c r="CO17" s="57"/>
      <c r="CP17" s="57"/>
      <c r="CQ17" s="53"/>
      <c r="CR17" s="57"/>
      <c r="CS17" s="57"/>
      <c r="CT17" s="57"/>
      <c r="CU17" s="53"/>
      <c r="CV17" s="53"/>
      <c r="CW17" s="57"/>
      <c r="CX17" s="57"/>
      <c r="CY17" s="57"/>
      <c r="CZ17" s="53"/>
      <c r="DA17" s="57"/>
      <c r="DB17" s="57"/>
      <c r="DC17" s="57"/>
      <c r="DD17" s="53"/>
      <c r="DE17" s="57"/>
      <c r="DF17" s="57"/>
      <c r="DG17" s="57"/>
      <c r="DH17" s="53"/>
      <c r="DI17" s="57"/>
      <c r="DJ17" s="57"/>
      <c r="DK17" s="61"/>
    </row>
    <row r="18" spans="1:115" x14ac:dyDescent="0.25">
      <c r="A18" s="58" t="s">
        <v>147</v>
      </c>
      <c r="B18" s="1" t="str">
        <f>'ol4'!A14</f>
        <v>Отопление</v>
      </c>
      <c r="C18" s="1"/>
      <c r="I18" s="54"/>
      <c r="J18" s="57"/>
      <c r="K18" s="57"/>
      <c r="L18" s="57"/>
      <c r="M18" s="57"/>
      <c r="N18" s="57"/>
      <c r="O18" s="57"/>
      <c r="P18" s="57"/>
      <c r="Q18" s="61"/>
      <c r="R18" s="57"/>
      <c r="S18" s="57"/>
      <c r="T18" s="57"/>
      <c r="U18" s="61"/>
      <c r="W18" s="54"/>
      <c r="X18" s="57"/>
      <c r="Y18" s="57"/>
      <c r="Z18" s="54">
        <f t="shared" si="9"/>
        <v>1</v>
      </c>
      <c r="AA18" s="57">
        <v>100</v>
      </c>
      <c r="AB18" s="61">
        <v>125</v>
      </c>
      <c r="AC18" s="54">
        <f t="shared" si="10"/>
        <v>1</v>
      </c>
      <c r="AD18" s="57">
        <v>100</v>
      </c>
      <c r="AE18" s="61">
        <v>160</v>
      </c>
      <c r="AF18" s="57"/>
      <c r="AG18" s="57"/>
      <c r="AH18" s="61"/>
      <c r="BN18" s="50"/>
      <c r="BO18" s="34"/>
      <c r="BP18" s="51"/>
      <c r="BQ18" s="34"/>
      <c r="BR18" s="56"/>
      <c r="BS18" s="34"/>
      <c r="BT18" s="53"/>
      <c r="BU18" s="70">
        <f t="shared" si="24"/>
        <v>0</v>
      </c>
      <c r="BV18" s="56" t="s">
        <v>148</v>
      </c>
      <c r="BW18" s="34">
        <v>50</v>
      </c>
      <c r="BX18" s="55">
        <v>40</v>
      </c>
      <c r="BY18" s="51"/>
      <c r="BZ18" s="34"/>
      <c r="CA18" s="56"/>
      <c r="CB18" s="34"/>
      <c r="CC18" s="53"/>
      <c r="CD18" s="57"/>
      <c r="CE18" s="57"/>
      <c r="CF18" s="57"/>
      <c r="CG18" s="53"/>
      <c r="CH18" s="34"/>
      <c r="CI18" s="57"/>
      <c r="CJ18" s="57"/>
      <c r="CK18" s="57"/>
      <c r="CL18" s="57"/>
      <c r="CM18" s="57"/>
      <c r="CN18" s="57"/>
      <c r="CO18" s="57"/>
      <c r="CP18" s="57"/>
      <c r="CQ18" s="53"/>
      <c r="CR18" s="57"/>
      <c r="CS18" s="57"/>
      <c r="CT18" s="57"/>
      <c r="CU18" s="53"/>
      <c r="CV18" s="53"/>
      <c r="CW18" s="57"/>
      <c r="CX18" s="57"/>
      <c r="CY18" s="57"/>
      <c r="CZ18" s="53"/>
      <c r="DA18" s="57"/>
      <c r="DB18" s="57"/>
      <c r="DC18" s="57"/>
      <c r="DD18" s="53"/>
      <c r="DE18" s="57"/>
      <c r="DF18" s="57"/>
      <c r="DG18" s="57"/>
      <c r="DH18" s="53"/>
      <c r="DI18" s="57"/>
      <c r="DJ18" s="57"/>
      <c r="DK18" s="61"/>
    </row>
    <row r="19" spans="1:115" x14ac:dyDescent="0.25">
      <c r="A19" s="58"/>
      <c r="C19" s="72"/>
      <c r="I19" s="54"/>
      <c r="J19" s="90"/>
      <c r="K19" s="57"/>
      <c r="L19" s="57"/>
      <c r="M19" s="57"/>
      <c r="N19" s="57"/>
      <c r="O19" s="57"/>
      <c r="P19" s="57"/>
      <c r="Q19" s="61"/>
      <c r="R19" s="57"/>
      <c r="S19" s="57"/>
      <c r="T19" s="57"/>
      <c r="U19" s="61"/>
      <c r="W19" s="54"/>
      <c r="X19" s="57"/>
      <c r="Y19" s="57"/>
      <c r="Z19" s="54">
        <f t="shared" si="9"/>
        <v>1</v>
      </c>
      <c r="AA19" s="57">
        <v>100</v>
      </c>
      <c r="AB19" s="61">
        <v>160</v>
      </c>
      <c r="AC19" s="54">
        <f t="shared" si="10"/>
        <v>1</v>
      </c>
      <c r="AD19" s="57">
        <v>125</v>
      </c>
      <c r="AE19" s="61">
        <v>200</v>
      </c>
      <c r="AF19" s="57"/>
      <c r="AG19" s="57"/>
      <c r="AH19" s="61"/>
      <c r="BN19" s="50"/>
      <c r="BO19" s="34"/>
      <c r="BP19" s="51"/>
      <c r="BQ19" s="34"/>
      <c r="BR19" s="56"/>
      <c r="BS19" s="34"/>
      <c r="BT19" s="53"/>
      <c r="BU19" s="70">
        <f t="shared" si="24"/>
        <v>0</v>
      </c>
      <c r="BV19" s="56" t="s">
        <v>149</v>
      </c>
      <c r="BW19" s="34">
        <v>65</v>
      </c>
      <c r="BX19" s="55">
        <v>50</v>
      </c>
      <c r="BY19" s="51"/>
      <c r="BZ19" s="34"/>
      <c r="CA19" s="56"/>
      <c r="CB19" s="34"/>
      <c r="CC19" s="53"/>
      <c r="CD19" s="57"/>
      <c r="CE19" s="57"/>
      <c r="CF19" s="57"/>
      <c r="CG19" s="53"/>
      <c r="CH19" s="57"/>
      <c r="CI19" s="57"/>
      <c r="CJ19" s="57"/>
      <c r="CK19" s="57"/>
      <c r="CL19" s="57"/>
      <c r="CM19" s="57"/>
      <c r="CN19" s="57"/>
      <c r="CO19" s="57"/>
      <c r="CP19" s="57"/>
      <c r="CQ19" s="53"/>
      <c r="CR19" s="57"/>
      <c r="CS19" s="57"/>
      <c r="CT19" s="57"/>
      <c r="CU19" s="53"/>
      <c r="CV19" s="53"/>
      <c r="CW19" s="57"/>
      <c r="CX19" s="57"/>
      <c r="CY19" s="57"/>
      <c r="CZ19" s="53"/>
      <c r="DA19" s="57"/>
      <c r="DB19" s="57"/>
      <c r="DC19" s="57"/>
      <c r="DD19" s="53"/>
      <c r="DE19" s="57"/>
      <c r="DF19" s="57"/>
      <c r="DG19" s="57"/>
      <c r="DH19" s="53"/>
      <c r="DI19" s="57"/>
      <c r="DJ19" s="57"/>
      <c r="DK19" s="61"/>
    </row>
    <row r="20" spans="1:115" x14ac:dyDescent="0.25">
      <c r="A20" s="58"/>
      <c r="C20" s="72"/>
      <c r="I20" s="54"/>
      <c r="J20" s="90" t="s">
        <v>150</v>
      </c>
      <c r="K20" s="57">
        <v>958.4</v>
      </c>
      <c r="L20" s="57"/>
      <c r="M20" s="57"/>
      <c r="N20" s="57"/>
      <c r="O20" s="57"/>
      <c r="P20" s="57"/>
      <c r="Q20" s="61"/>
      <c r="R20" s="57"/>
      <c r="S20" s="57"/>
      <c r="T20" s="57"/>
      <c r="U20" s="61"/>
      <c r="W20" s="54"/>
      <c r="X20" s="57"/>
      <c r="Y20" s="57"/>
      <c r="Z20" s="54">
        <f t="shared" si="9"/>
        <v>1</v>
      </c>
      <c r="AA20" s="57">
        <v>125</v>
      </c>
      <c r="AB20" s="61">
        <v>250</v>
      </c>
      <c r="AC20" s="54">
        <f t="shared" si="10"/>
        <v>1</v>
      </c>
      <c r="AD20" s="57">
        <v>125</v>
      </c>
      <c r="AE20" s="61">
        <v>250</v>
      </c>
      <c r="AF20" s="57"/>
      <c r="AG20" s="57"/>
      <c r="AH20" s="61"/>
      <c r="BN20" s="50"/>
      <c r="BO20" s="34"/>
      <c r="BP20" s="51"/>
      <c r="BQ20" s="34"/>
      <c r="BR20" s="56"/>
      <c r="BS20" s="34"/>
      <c r="BT20" s="53"/>
      <c r="BU20" s="70">
        <f t="shared" si="24"/>
        <v>0</v>
      </c>
      <c r="BV20" s="56" t="s">
        <v>151</v>
      </c>
      <c r="BW20" s="34">
        <v>65</v>
      </c>
      <c r="BX20" s="55">
        <v>63</v>
      </c>
      <c r="BY20" s="51"/>
      <c r="BZ20" s="34"/>
      <c r="CA20" s="56"/>
      <c r="CB20" s="34"/>
      <c r="CC20" s="53"/>
      <c r="CD20" s="57"/>
      <c r="CE20" s="57"/>
      <c r="CF20" s="57"/>
      <c r="CG20" s="53"/>
      <c r="CH20" s="57"/>
      <c r="CI20" s="57"/>
      <c r="CJ20" s="57"/>
      <c r="CK20" s="57"/>
      <c r="CL20" s="57"/>
      <c r="CM20" s="57"/>
      <c r="CN20" s="57"/>
      <c r="CO20" s="57"/>
      <c r="CP20" s="57"/>
      <c r="CQ20" s="53"/>
      <c r="CR20" s="57"/>
      <c r="CS20" s="57"/>
      <c r="CT20" s="57"/>
      <c r="CU20" s="53"/>
      <c r="CV20" s="53"/>
      <c r="CW20" s="57"/>
      <c r="CX20" s="57"/>
      <c r="CY20" s="57"/>
      <c r="CZ20" s="53"/>
      <c r="DA20" s="57"/>
      <c r="DB20" s="57"/>
      <c r="DC20" s="57"/>
      <c r="DD20" s="53"/>
      <c r="DE20" s="57"/>
      <c r="DF20" s="57"/>
      <c r="DG20" s="57"/>
      <c r="DH20" s="53"/>
      <c r="DI20" s="57"/>
      <c r="DJ20" s="57"/>
      <c r="DK20" s="61"/>
    </row>
    <row r="21" spans="1:115" x14ac:dyDescent="0.25">
      <c r="I21" s="54"/>
      <c r="J21" s="90" t="s">
        <v>152</v>
      </c>
      <c r="K21" s="57">
        <v>0.5</v>
      </c>
      <c r="L21" s="57"/>
      <c r="M21" s="57"/>
      <c r="N21" s="57"/>
      <c r="O21" s="57"/>
      <c r="P21" s="57"/>
      <c r="Q21" s="61"/>
      <c r="R21" s="57"/>
      <c r="S21" s="57"/>
      <c r="T21" s="57"/>
      <c r="U21" s="61"/>
      <c r="W21" s="54"/>
      <c r="X21" s="57"/>
      <c r="Y21" s="57"/>
      <c r="Z21" s="54">
        <f t="shared" si="9"/>
        <v>1</v>
      </c>
      <c r="AA21" s="57">
        <v>150</v>
      </c>
      <c r="AB21" s="61">
        <v>315</v>
      </c>
      <c r="AC21" s="54">
        <f t="shared" si="10"/>
        <v>1</v>
      </c>
      <c r="AD21" s="57">
        <v>150</v>
      </c>
      <c r="AE21" s="61">
        <v>315</v>
      </c>
      <c r="AF21" s="57"/>
      <c r="AG21" s="57"/>
      <c r="AH21" s="61"/>
      <c r="BN21" s="50"/>
      <c r="BO21" s="34"/>
      <c r="BP21" s="51"/>
      <c r="BQ21" s="34"/>
      <c r="BR21" s="56"/>
      <c r="BS21" s="34"/>
      <c r="BT21" s="53"/>
      <c r="BU21" s="70">
        <f t="shared" si="24"/>
        <v>0</v>
      </c>
      <c r="BV21" s="56" t="s">
        <v>153</v>
      </c>
      <c r="BW21" s="34">
        <v>80</v>
      </c>
      <c r="BX21" s="55">
        <v>80</v>
      </c>
      <c r="BY21" s="51"/>
      <c r="BZ21" s="34"/>
      <c r="CA21" s="56"/>
      <c r="CB21" s="34"/>
      <c r="CC21" s="53"/>
      <c r="CD21" s="57"/>
      <c r="CE21" s="57"/>
      <c r="CF21" s="57"/>
      <c r="CG21" s="53"/>
      <c r="CH21" s="57"/>
      <c r="CI21" s="57"/>
      <c r="CJ21" s="57"/>
      <c r="CK21" s="57"/>
      <c r="CL21" s="57"/>
      <c r="CM21" s="57"/>
      <c r="CN21" s="57"/>
      <c r="CO21" s="57"/>
      <c r="CP21" s="57"/>
      <c r="CQ21" s="53"/>
      <c r="CR21" s="57"/>
      <c r="CS21" s="57"/>
      <c r="CT21" s="57"/>
      <c r="CU21" s="53"/>
      <c r="CV21" s="53"/>
      <c r="CW21" s="57"/>
      <c r="CX21" s="57"/>
      <c r="CY21" s="57"/>
      <c r="CZ21" s="53"/>
      <c r="DA21" s="57"/>
      <c r="DB21" s="57"/>
      <c r="DC21" s="57"/>
      <c r="DD21" s="53"/>
      <c r="DE21" s="57"/>
      <c r="DF21" s="57"/>
      <c r="DG21" s="57"/>
      <c r="DH21" s="53"/>
      <c r="DI21" s="57"/>
      <c r="DJ21" s="57"/>
      <c r="DK21" s="61"/>
    </row>
    <row r="22" spans="1:115" x14ac:dyDescent="0.25">
      <c r="I22" s="83"/>
      <c r="J22" s="91"/>
      <c r="K22" s="87"/>
      <c r="L22" s="87"/>
      <c r="M22" s="87"/>
      <c r="N22" s="87"/>
      <c r="O22" s="87"/>
      <c r="P22" s="87"/>
      <c r="Q22" s="89"/>
      <c r="R22" s="87"/>
      <c r="S22" s="87"/>
      <c r="T22" s="87"/>
      <c r="U22" s="89"/>
      <c r="W22" s="83"/>
      <c r="X22" s="87"/>
      <c r="Y22" s="87"/>
      <c r="Z22" s="83"/>
      <c r="AA22" s="87"/>
      <c r="AB22" s="89"/>
      <c r="AC22" s="83">
        <f t="shared" si="10"/>
        <v>1</v>
      </c>
      <c r="AD22" s="87">
        <v>150</v>
      </c>
      <c r="AE22" s="89">
        <v>400</v>
      </c>
      <c r="AF22" s="87"/>
      <c r="AG22" s="87"/>
      <c r="AH22" s="89"/>
      <c r="BN22" s="50"/>
      <c r="BO22" s="34"/>
      <c r="BP22" s="51"/>
      <c r="BQ22" s="34"/>
      <c r="BR22" s="56"/>
      <c r="BS22" s="34"/>
      <c r="BT22" s="53"/>
      <c r="BU22" s="70">
        <f t="shared" si="24"/>
        <v>0</v>
      </c>
      <c r="BV22" s="56" t="s">
        <v>154</v>
      </c>
      <c r="BW22" s="34">
        <v>80</v>
      </c>
      <c r="BX22" s="55">
        <v>100</v>
      </c>
      <c r="BY22" s="51"/>
      <c r="BZ22" s="34"/>
      <c r="CA22" s="56"/>
      <c r="CB22" s="34"/>
      <c r="CC22" s="53"/>
      <c r="CD22" s="57"/>
      <c r="CE22" s="57"/>
      <c r="CF22" s="57"/>
      <c r="CG22" s="53"/>
      <c r="CH22" s="57"/>
      <c r="CI22" s="57"/>
      <c r="CJ22" s="57"/>
      <c r="CK22" s="57"/>
      <c r="CL22" s="57"/>
      <c r="CM22" s="57"/>
      <c r="CN22" s="57"/>
      <c r="CO22" s="57"/>
      <c r="CP22" s="57"/>
      <c r="CQ22" s="53"/>
      <c r="CR22" s="57"/>
      <c r="CS22" s="57"/>
      <c r="CT22" s="57"/>
      <c r="CU22" s="53"/>
      <c r="CV22" s="53"/>
      <c r="CW22" s="57"/>
      <c r="CX22" s="57"/>
      <c r="CY22" s="57"/>
      <c r="CZ22" s="53"/>
      <c r="DA22" s="57"/>
      <c r="DB22" s="57"/>
      <c r="DC22" s="57"/>
      <c r="DD22" s="53"/>
      <c r="DE22" s="57"/>
      <c r="DF22" s="57"/>
      <c r="DG22" s="57"/>
      <c r="DH22" s="53"/>
      <c r="DI22" s="57"/>
      <c r="DJ22" s="57"/>
      <c r="DK22" s="61"/>
    </row>
    <row r="23" spans="1:115" x14ac:dyDescent="0.25">
      <c r="BN23" s="50"/>
      <c r="BO23" s="34"/>
      <c r="BP23" s="51"/>
      <c r="BQ23" s="34"/>
      <c r="BR23" s="56"/>
      <c r="BS23" s="34"/>
      <c r="BT23" s="53"/>
      <c r="BU23" s="70">
        <f t="shared" si="24"/>
        <v>0</v>
      </c>
      <c r="BV23" s="56" t="s">
        <v>155</v>
      </c>
      <c r="BW23" s="34">
        <v>100</v>
      </c>
      <c r="BX23" s="55">
        <v>125</v>
      </c>
      <c r="BY23" s="51"/>
      <c r="BZ23" s="34"/>
      <c r="CA23" s="56"/>
      <c r="CB23" s="34"/>
      <c r="CC23" s="53"/>
      <c r="CD23" s="57"/>
      <c r="CE23" s="57"/>
      <c r="CF23" s="57"/>
      <c r="CG23" s="53"/>
      <c r="CH23" s="57"/>
      <c r="CI23" s="57"/>
      <c r="CJ23" s="57"/>
      <c r="CK23" s="57"/>
      <c r="CL23" s="57"/>
      <c r="CM23" s="57"/>
      <c r="CN23" s="57"/>
      <c r="CO23" s="57"/>
      <c r="CP23" s="57"/>
      <c r="CQ23" s="53"/>
      <c r="CR23" s="57"/>
      <c r="CS23" s="57"/>
      <c r="CT23" s="57"/>
      <c r="CU23" s="53"/>
      <c r="CV23" s="53"/>
      <c r="CW23" s="57"/>
      <c r="CX23" s="57"/>
      <c r="CY23" s="57"/>
      <c r="CZ23" s="53"/>
      <c r="DA23" s="57"/>
      <c r="DB23" s="57"/>
      <c r="DC23" s="57"/>
      <c r="DD23" s="53"/>
      <c r="DE23" s="57"/>
      <c r="DF23" s="57"/>
      <c r="DG23" s="57"/>
      <c r="DH23" s="53"/>
      <c r="DI23" s="57"/>
      <c r="DJ23" s="57"/>
      <c r="DK23" s="61"/>
    </row>
    <row r="24" spans="1:115" x14ac:dyDescent="0.25">
      <c r="BN24" s="50"/>
      <c r="BO24" s="34"/>
      <c r="BP24" s="51"/>
      <c r="BQ24" s="34"/>
      <c r="BR24" s="56"/>
      <c r="BS24" s="34"/>
      <c r="BT24" s="53"/>
      <c r="BU24" s="70">
        <f t="shared" si="24"/>
        <v>0</v>
      </c>
      <c r="BV24" s="56" t="s">
        <v>156</v>
      </c>
      <c r="BW24" s="34">
        <v>100</v>
      </c>
      <c r="BX24" s="55">
        <v>160</v>
      </c>
      <c r="BY24" s="51"/>
      <c r="BZ24" s="34"/>
      <c r="CA24" s="56"/>
      <c r="CB24" s="34"/>
      <c r="CC24" s="53"/>
      <c r="CD24" s="57"/>
      <c r="CE24" s="57"/>
      <c r="CF24" s="57"/>
      <c r="CG24" s="53"/>
      <c r="CH24" s="57"/>
      <c r="CI24" s="57"/>
      <c r="CJ24" s="57"/>
      <c r="CK24" s="57"/>
      <c r="CL24" s="57"/>
      <c r="CM24" s="57"/>
      <c r="CN24" s="57"/>
      <c r="CO24" s="57"/>
      <c r="CP24" s="57"/>
      <c r="CQ24" s="53"/>
      <c r="CR24" s="57"/>
      <c r="CS24" s="57"/>
      <c r="CT24" s="57"/>
      <c r="CU24" s="53"/>
      <c r="CV24" s="53"/>
      <c r="CW24" s="57"/>
      <c r="CX24" s="57"/>
      <c r="CY24" s="57"/>
      <c r="CZ24" s="53"/>
      <c r="DA24" s="57"/>
      <c r="DB24" s="57"/>
      <c r="DC24" s="57"/>
      <c r="DD24" s="53"/>
      <c r="DE24" s="57"/>
      <c r="DF24" s="57"/>
      <c r="DG24" s="57"/>
      <c r="DH24" s="53"/>
      <c r="DI24" s="57"/>
      <c r="DJ24" s="57"/>
      <c r="DK24" s="61"/>
    </row>
    <row r="25" spans="1:115" x14ac:dyDescent="0.25">
      <c r="BN25" s="50"/>
      <c r="BO25" s="34"/>
      <c r="BP25" s="51"/>
      <c r="BQ25" s="34"/>
      <c r="BR25" s="56"/>
      <c r="BS25" s="34"/>
      <c r="BT25" s="53"/>
      <c r="BU25" s="70">
        <f t="shared" si="24"/>
        <v>0</v>
      </c>
      <c r="BV25" s="56" t="s">
        <v>157</v>
      </c>
      <c r="BW25" s="34">
        <v>125</v>
      </c>
      <c r="BX25" s="55">
        <v>250</v>
      </c>
      <c r="BY25" s="51"/>
      <c r="BZ25" s="34"/>
      <c r="CA25" s="56"/>
      <c r="CB25" s="34"/>
      <c r="CC25" s="53"/>
      <c r="CD25" s="57"/>
      <c r="CE25" s="57"/>
      <c r="CF25" s="57"/>
      <c r="CG25" s="53"/>
      <c r="CH25" s="57"/>
      <c r="CI25" s="57"/>
      <c r="CJ25" s="57"/>
      <c r="CK25" s="57"/>
      <c r="CL25" s="57"/>
      <c r="CM25" s="57"/>
      <c r="CN25" s="57"/>
      <c r="CO25" s="57"/>
      <c r="CP25" s="57"/>
      <c r="CQ25" s="53"/>
      <c r="CR25" s="57"/>
      <c r="CS25" s="57"/>
      <c r="CT25" s="57"/>
      <c r="CU25" s="53"/>
      <c r="CV25" s="53"/>
      <c r="CW25" s="57"/>
      <c r="CX25" s="57"/>
      <c r="CY25" s="57"/>
      <c r="CZ25" s="53"/>
      <c r="DA25" s="57"/>
      <c r="DB25" s="57"/>
      <c r="DC25" s="57"/>
      <c r="DD25" s="53"/>
      <c r="DE25" s="57"/>
      <c r="DF25" s="57"/>
      <c r="DG25" s="57"/>
      <c r="DH25" s="53"/>
      <c r="DI25" s="57"/>
      <c r="DJ25" s="57"/>
      <c r="DK25" s="61"/>
    </row>
    <row r="26" spans="1:115" x14ac:dyDescent="0.25">
      <c r="BN26" s="92"/>
      <c r="BO26" s="93"/>
      <c r="BP26" s="94"/>
      <c r="BQ26" s="93"/>
      <c r="BR26" s="95"/>
      <c r="BS26" s="93"/>
      <c r="BT26" s="85"/>
      <c r="BU26" s="82">
        <f t="shared" si="24"/>
        <v>0</v>
      </c>
      <c r="BV26" s="95" t="s">
        <v>158</v>
      </c>
      <c r="BW26" s="93">
        <v>150</v>
      </c>
      <c r="BX26" s="96">
        <v>315</v>
      </c>
      <c r="BY26" s="94"/>
      <c r="BZ26" s="93"/>
      <c r="CA26" s="95"/>
      <c r="CB26" s="93"/>
      <c r="CC26" s="85"/>
      <c r="CD26" s="87"/>
      <c r="CE26" s="87"/>
      <c r="CF26" s="87"/>
      <c r="CG26" s="85"/>
      <c r="CH26" s="87"/>
      <c r="CI26" s="87"/>
      <c r="CJ26" s="87"/>
      <c r="CK26" s="87"/>
      <c r="CL26" s="87"/>
      <c r="CM26" s="87"/>
      <c r="CN26" s="87"/>
      <c r="CO26" s="87"/>
      <c r="CP26" s="87"/>
      <c r="CQ26" s="85"/>
      <c r="CR26" s="87"/>
      <c r="CS26" s="87"/>
      <c r="CT26" s="87"/>
      <c r="CU26" s="85"/>
      <c r="CV26" s="85"/>
      <c r="CW26" s="87"/>
      <c r="CX26" s="87"/>
      <c r="CY26" s="87"/>
      <c r="CZ26" s="85"/>
      <c r="DA26" s="87"/>
      <c r="DB26" s="87"/>
      <c r="DC26" s="87"/>
      <c r="DD26" s="85"/>
      <c r="DE26" s="87"/>
      <c r="DF26" s="87"/>
      <c r="DG26" s="87"/>
      <c r="DH26" s="85"/>
      <c r="DI26" s="87"/>
      <c r="DJ26" s="87"/>
      <c r="DK26" s="89"/>
    </row>
  </sheetData>
  <mergeCells count="28">
    <mergeCell ref="B16:C16"/>
    <mergeCell ref="B17:C17"/>
    <mergeCell ref="B18:C18"/>
    <mergeCell ref="BC3:BG3"/>
    <mergeCell ref="BH3:BL3"/>
    <mergeCell ref="B14:C14"/>
    <mergeCell ref="E14:F14"/>
    <mergeCell ref="B15:C15"/>
    <mergeCell ref="Z3:AB3"/>
    <mergeCell ref="AC3:AE3"/>
    <mergeCell ref="AF3:AH3"/>
    <mergeCell ref="AS3:AW3"/>
    <mergeCell ref="AX3:BB3"/>
    <mergeCell ref="CR2:CT2"/>
    <mergeCell ref="CW2:CY2"/>
    <mergeCell ref="DA2:DC2"/>
    <mergeCell ref="DE2:DG2"/>
    <mergeCell ref="DI2:DK2"/>
    <mergeCell ref="BR2:BS2"/>
    <mergeCell ref="BV2:BX2"/>
    <mergeCell ref="CA2:CB2"/>
    <mergeCell ref="CE2:CF2"/>
    <mergeCell ref="CI2:CP2"/>
    <mergeCell ref="I2:Q2"/>
    <mergeCell ref="W2:AH2"/>
    <mergeCell ref="AJ2:AM2"/>
    <mergeCell ref="AS2:BL2"/>
    <mergeCell ref="BN2:BO2"/>
  </mergeCells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CJ26"/>
  <sheetViews>
    <sheetView zoomScale="90" zoomScaleNormal="90" workbookViewId="0">
      <selection activeCell="F4" sqref="F4"/>
    </sheetView>
  </sheetViews>
  <sheetFormatPr defaultRowHeight="15" x14ac:dyDescent="0.25"/>
  <cols>
    <col min="1" max="1" width="9" customWidth="1"/>
    <col min="2" max="2" width="6.42578125" customWidth="1"/>
    <col min="3" max="4" width="8.7109375" customWidth="1"/>
    <col min="5" max="5" width="4.85546875" customWidth="1"/>
    <col min="6" max="6" width="10" customWidth="1"/>
    <col min="7" max="8" width="8.7109375" customWidth="1"/>
    <col min="9" max="9" width="9.140625" customWidth="1"/>
    <col min="10" max="10" width="6" customWidth="1"/>
    <col min="11" max="16" width="8" customWidth="1"/>
    <col min="17" max="17" width="8.7109375" customWidth="1"/>
    <col min="18" max="36" width="9.140625" customWidth="1"/>
    <col min="37" max="37" width="8.7109375" customWidth="1"/>
    <col min="38" max="38" width="9.140625" customWidth="1"/>
    <col min="39" max="39" width="5.140625" customWidth="1"/>
    <col min="40" max="40" width="10.140625" customWidth="1"/>
    <col min="41" max="41" width="9.140625" customWidth="1"/>
    <col min="42" max="42" width="5.5703125" customWidth="1"/>
    <col min="43" max="43" width="10.140625" customWidth="1"/>
    <col min="44" max="51" width="8.7109375" customWidth="1"/>
    <col min="52" max="52" width="4.85546875" customWidth="1"/>
    <col min="53" max="53" width="12.85546875" customWidth="1"/>
    <col min="54" max="54" width="3.28515625" customWidth="1"/>
    <col min="55" max="55" width="11.28515625" customWidth="1"/>
    <col min="56" max="57" width="6.28515625" customWidth="1"/>
    <col min="58" max="58" width="3.5703125" customWidth="1"/>
    <col min="59" max="59" width="8.28515625" customWidth="1"/>
    <col min="60" max="61" width="6.140625" customWidth="1"/>
    <col min="62" max="62" width="3.28515625" customWidth="1"/>
    <col min="63" max="63" width="9.5703125" customWidth="1"/>
    <col min="64" max="64" width="6.140625" customWidth="1"/>
    <col min="65" max="65" width="15.28515625" customWidth="1"/>
    <col min="66" max="66" width="3.28515625" customWidth="1"/>
    <col min="67" max="67" width="10.5703125" customWidth="1"/>
    <col min="68" max="68" width="6.28515625" customWidth="1"/>
    <col min="69" max="69" width="11" customWidth="1"/>
    <col min="70" max="70" width="3.28515625" customWidth="1"/>
    <col min="71" max="71" width="8.5703125" customWidth="1"/>
    <col min="72" max="72" width="6.28515625" customWidth="1"/>
    <col min="73" max="76" width="11.42578125"/>
    <col min="77" max="77" width="3.5703125" customWidth="1"/>
    <col min="78" max="78" width="8.7109375" customWidth="1"/>
    <col min="79" max="79" width="6.28515625" customWidth="1"/>
    <col min="80" max="80" width="11.42578125"/>
    <col min="81" max="81" width="3.5703125" customWidth="1"/>
    <col min="82" max="82" width="8.7109375" customWidth="1"/>
    <col min="83" max="83" width="6.28515625" customWidth="1"/>
    <col min="84" max="84" width="11.42578125"/>
    <col min="85" max="85" width="3.5703125" customWidth="1"/>
    <col min="86" max="86" width="8.5703125" customWidth="1"/>
    <col min="87" max="87" width="6.28515625" customWidth="1"/>
    <col min="88" max="88" width="13.7109375" customWidth="1"/>
    <col min="89" max="1025" width="8.7109375" customWidth="1"/>
  </cols>
  <sheetData>
    <row r="2" spans="1:88" x14ac:dyDescent="0.25">
      <c r="B2" t="s">
        <v>1</v>
      </c>
      <c r="I2" s="7" t="s">
        <v>30</v>
      </c>
      <c r="J2" s="7"/>
      <c r="K2" s="7"/>
      <c r="L2" s="7"/>
      <c r="M2" s="7"/>
      <c r="N2" s="7"/>
      <c r="O2" s="7"/>
      <c r="P2" s="7"/>
      <c r="R2" s="7" t="s">
        <v>31</v>
      </c>
      <c r="S2" s="7"/>
      <c r="T2" s="7"/>
      <c r="U2" s="7"/>
      <c r="V2" s="7"/>
      <c r="W2" s="7"/>
      <c r="X2" s="7"/>
      <c r="Y2" s="7"/>
      <c r="Z2" s="7"/>
      <c r="AA2" s="7"/>
      <c r="AB2" s="7"/>
      <c r="AC2" s="7" t="s">
        <v>220</v>
      </c>
      <c r="AD2" s="7"/>
      <c r="AE2" s="7"/>
      <c r="AF2" s="7"/>
      <c r="AG2" s="7"/>
      <c r="AH2" s="7"/>
      <c r="AI2" s="7"/>
      <c r="AJ2" s="7"/>
      <c r="AL2" s="7" t="s">
        <v>221</v>
      </c>
      <c r="AM2" s="7"/>
      <c r="AN2" s="7"/>
      <c r="AO2" s="7"/>
      <c r="AP2" s="7"/>
      <c r="AQ2" s="7"/>
      <c r="AZ2" s="13" t="s">
        <v>37</v>
      </c>
      <c r="BA2" s="13"/>
      <c r="BB2" s="18"/>
      <c r="BC2" s="37"/>
      <c r="BD2" s="5" t="s">
        <v>38</v>
      </c>
      <c r="BE2" s="5"/>
      <c r="BF2" s="38"/>
      <c r="BG2" s="39"/>
      <c r="BH2" s="105" t="s">
        <v>39</v>
      </c>
      <c r="BI2" s="105"/>
      <c r="BJ2" s="18"/>
      <c r="BK2" s="37"/>
      <c r="BL2" s="5" t="s">
        <v>40</v>
      </c>
      <c r="BM2" s="5"/>
      <c r="BN2" s="18"/>
      <c r="BO2" s="37"/>
      <c r="BP2" s="5" t="s">
        <v>41</v>
      </c>
      <c r="BQ2" s="5"/>
      <c r="BR2" s="18"/>
      <c r="BS2" s="14" t="s">
        <v>42</v>
      </c>
      <c r="BT2" s="14"/>
      <c r="BU2" s="14"/>
      <c r="BV2" s="14"/>
      <c r="BW2" s="14"/>
      <c r="BX2" s="14"/>
      <c r="BY2" s="38"/>
      <c r="BZ2" s="14" t="s">
        <v>43</v>
      </c>
      <c r="CA2" s="14"/>
      <c r="CB2" s="14"/>
      <c r="CC2" s="38"/>
      <c r="CD2" s="14" t="s">
        <v>44</v>
      </c>
      <c r="CE2" s="14"/>
      <c r="CF2" s="14"/>
      <c r="CG2" s="38"/>
      <c r="CH2" s="14" t="s">
        <v>45</v>
      </c>
      <c r="CI2" s="14"/>
      <c r="CJ2" s="14"/>
    </row>
    <row r="3" spans="1:88" x14ac:dyDescent="0.25">
      <c r="I3" s="42"/>
      <c r="J3" s="43" t="s">
        <v>48</v>
      </c>
      <c r="K3" s="44" t="s">
        <v>49</v>
      </c>
      <c r="L3" s="45" t="s">
        <v>50</v>
      </c>
      <c r="M3" s="42"/>
      <c r="N3" s="43" t="s">
        <v>222</v>
      </c>
      <c r="O3" s="44" t="s">
        <v>49</v>
      </c>
      <c r="P3" s="45" t="s">
        <v>50</v>
      </c>
      <c r="R3" s="42"/>
      <c r="S3" s="43"/>
      <c r="T3" s="45"/>
      <c r="U3" s="7" t="s">
        <v>223</v>
      </c>
      <c r="V3" s="7"/>
      <c r="W3" s="7"/>
      <c r="X3" s="7"/>
      <c r="Y3" s="7" t="s">
        <v>55</v>
      </c>
      <c r="Z3" s="7"/>
      <c r="AA3" s="7"/>
      <c r="AB3" s="7"/>
      <c r="AC3" s="47"/>
      <c r="AD3" s="47"/>
      <c r="AE3" s="7" t="s">
        <v>55</v>
      </c>
      <c r="AF3" s="7"/>
      <c r="AG3" s="7"/>
      <c r="AH3" s="7" t="s">
        <v>53</v>
      </c>
      <c r="AI3" s="7"/>
      <c r="AJ3" s="7"/>
      <c r="AL3" s="63">
        <f t="shared" ref="AL3:AL10" si="0">IF($F$4&lt;AM3,1,0)</f>
        <v>0</v>
      </c>
      <c r="AM3" s="64">
        <v>2</v>
      </c>
      <c r="AN3" s="65" t="s">
        <v>224</v>
      </c>
      <c r="AO3" s="63">
        <f t="shared" ref="AO3:AO10" si="1">IF($F$14&lt;AP3,1,0)</f>
        <v>1</v>
      </c>
      <c r="AP3" s="64">
        <v>2</v>
      </c>
      <c r="AQ3" s="65" t="s">
        <v>224</v>
      </c>
      <c r="AZ3" s="50" t="s">
        <v>61</v>
      </c>
      <c r="BA3" s="34" t="s">
        <v>62</v>
      </c>
      <c r="BB3" s="51"/>
      <c r="BC3" s="34" t="s">
        <v>161</v>
      </c>
      <c r="BD3" s="52" t="s">
        <v>61</v>
      </c>
      <c r="BE3" s="31" t="s">
        <v>63</v>
      </c>
      <c r="BF3" s="53"/>
      <c r="BG3" s="34" t="s">
        <v>225</v>
      </c>
      <c r="BH3" s="52" t="s">
        <v>61</v>
      </c>
      <c r="BI3" s="31" t="s">
        <v>63</v>
      </c>
      <c r="BJ3" s="51"/>
      <c r="BK3" s="34" t="s">
        <v>226</v>
      </c>
      <c r="BL3" s="56" t="s">
        <v>61</v>
      </c>
      <c r="BM3" s="34" t="s">
        <v>218</v>
      </c>
      <c r="BN3" s="51"/>
      <c r="BO3" s="34" t="s">
        <v>227</v>
      </c>
      <c r="BP3" s="52" t="s">
        <v>61</v>
      </c>
      <c r="BQ3" s="31" t="s">
        <v>218</v>
      </c>
      <c r="BR3" s="51"/>
      <c r="BS3" s="34"/>
      <c r="BT3" s="52" t="s">
        <v>61</v>
      </c>
      <c r="BU3" s="31" t="s">
        <v>223</v>
      </c>
      <c r="BV3" s="31"/>
      <c r="BW3" s="52" t="s">
        <v>61</v>
      </c>
      <c r="BX3" s="31" t="s">
        <v>55</v>
      </c>
      <c r="BY3" s="53"/>
      <c r="BZ3" s="34"/>
      <c r="CA3" s="52" t="s">
        <v>61</v>
      </c>
      <c r="CB3" s="31" t="s">
        <v>31</v>
      </c>
      <c r="CC3" s="53"/>
      <c r="CD3" s="34" t="s">
        <v>228</v>
      </c>
      <c r="CE3" s="52" t="s">
        <v>61</v>
      </c>
      <c r="CF3" s="31" t="s">
        <v>63</v>
      </c>
      <c r="CG3" s="53"/>
      <c r="CH3" s="34"/>
      <c r="CI3" s="52" t="s">
        <v>61</v>
      </c>
      <c r="CJ3" s="17" t="s">
        <v>228</v>
      </c>
    </row>
    <row r="4" spans="1:88" x14ac:dyDescent="0.25">
      <c r="A4" s="58"/>
      <c r="E4" t="s">
        <v>72</v>
      </c>
      <c r="F4" s="102">
        <f>IF('БГ-С'!B4=0,('БОВ (1)'!F4+'БОВ (2)'!F4+'БОВ (3)'!F4+БГ!F4),'БГ-С'!F14)</f>
        <v>13.333333333333334</v>
      </c>
      <c r="I4" s="54">
        <f t="shared" ref="I4:I17" si="2">IF($B$9&lt;12,(IF((L4&gt;4)*AND(L4&lt;16),2,0)),IF((L4&gt;4)*AND(L4&lt;20),2,0))</f>
        <v>0</v>
      </c>
      <c r="J4" s="57">
        <v>15</v>
      </c>
      <c r="K4" s="57">
        <f t="shared" ref="K4:K17" si="3">1/POWER((1.14+2*LOG10((J4/1000)/($K$21/1000))),2)</f>
        <v>5.9655827422120798E-2</v>
      </c>
      <c r="L4" s="61">
        <f t="shared" ref="L4:L17" si="4">0.00638*K4*POWER($F$4,2)/(POWER((J4/1000),5)*$K$20)</f>
        <v>92971.090565514896</v>
      </c>
      <c r="M4" s="63">
        <f t="shared" ref="M4:M17" si="5">IF($B$9&lt;12,(IF((P4&gt;4)*AND(P4&lt;16),2,0)),IF((P4&gt;4)*AND(P4&lt;20),2,0))</f>
        <v>0</v>
      </c>
      <c r="N4" s="64">
        <v>15</v>
      </c>
      <c r="O4" s="64">
        <f t="shared" ref="O4:O17" si="6">1/POWER(1.14+2*LOG10((N4/1000)/($K$21/1000)),2)</f>
        <v>5.9655827422120798E-2</v>
      </c>
      <c r="P4" s="65">
        <f t="shared" ref="P4:P17" si="7">0.00638*O4*POWER($F$14,2)/(POWER(N4/1000,5)*$K$20)</f>
        <v>79.54257867195831</v>
      </c>
      <c r="R4" s="62" t="s">
        <v>73</v>
      </c>
      <c r="S4" s="57">
        <v>3</v>
      </c>
      <c r="T4" s="57"/>
      <c r="U4" s="63">
        <f t="shared" ref="U4:U19" si="8">IF(X4&gt;$S$5,1,0)</f>
        <v>0</v>
      </c>
      <c r="V4" s="64" t="s">
        <v>229</v>
      </c>
      <c r="W4" s="64">
        <v>15</v>
      </c>
      <c r="X4" s="65">
        <v>1.6</v>
      </c>
      <c r="Y4" s="63">
        <f t="shared" ref="Y4:Y14" si="9">IF(AB4&gt;$S$5,1,0)</f>
        <v>0</v>
      </c>
      <c r="Z4" s="64" t="s">
        <v>230</v>
      </c>
      <c r="AA4" s="64">
        <v>15</v>
      </c>
      <c r="AB4" s="65">
        <v>4</v>
      </c>
      <c r="AC4" s="62" t="s">
        <v>231</v>
      </c>
      <c r="AD4" s="57">
        <v>1.5</v>
      </c>
      <c r="AE4" s="54">
        <f t="shared" ref="AE4:AE15" si="10">IF(AG4&gt;$AD$5,1,0)</f>
        <v>0</v>
      </c>
      <c r="AF4" s="64">
        <v>15</v>
      </c>
      <c r="AG4" s="65">
        <v>2.5</v>
      </c>
      <c r="AH4" s="54">
        <f t="shared" ref="AH4:AH14" si="11">IF(AJ4&gt;$AD$5,1,0)</f>
        <v>0</v>
      </c>
      <c r="AI4" s="64">
        <v>15</v>
      </c>
      <c r="AJ4" s="65">
        <v>2</v>
      </c>
      <c r="AL4" s="54">
        <f t="shared" si="0"/>
        <v>0</v>
      </c>
      <c r="AM4" s="57">
        <v>4</v>
      </c>
      <c r="AN4" s="61" t="s">
        <v>232</v>
      </c>
      <c r="AO4" s="54">
        <f t="shared" si="1"/>
        <v>1</v>
      </c>
      <c r="AP4" s="57">
        <v>4</v>
      </c>
      <c r="AQ4" s="61" t="s">
        <v>232</v>
      </c>
      <c r="AZ4" s="50" t="s">
        <v>78</v>
      </c>
      <c r="BA4" s="34" t="s">
        <v>233</v>
      </c>
      <c r="BB4" s="51"/>
      <c r="BC4" s="34">
        <f>IF($F$5=BE4,1,0)</f>
        <v>0</v>
      </c>
      <c r="BD4" s="56" t="s">
        <v>80</v>
      </c>
      <c r="BE4" s="34">
        <v>15</v>
      </c>
      <c r="BF4" s="53"/>
      <c r="BG4" s="34">
        <f t="shared" ref="BG4:BG12" si="12">IF($F$15=BI4,1,0)</f>
        <v>0</v>
      </c>
      <c r="BH4" s="56" t="s">
        <v>78</v>
      </c>
      <c r="BI4" s="34">
        <v>15</v>
      </c>
      <c r="BJ4" s="51"/>
      <c r="BK4" s="34">
        <f t="shared" ref="BK4:BK12" si="13">IF($E$12=BM4,1,0)</f>
        <v>0</v>
      </c>
      <c r="BL4" s="56" t="s">
        <v>78</v>
      </c>
      <c r="BM4" s="34" t="s">
        <v>224</v>
      </c>
      <c r="BN4" s="51"/>
      <c r="BO4" s="34">
        <f t="shared" ref="BO4:BO12" si="14">IF($E$16=BQ4,1,0)</f>
        <v>1</v>
      </c>
      <c r="BP4" s="56" t="s">
        <v>78</v>
      </c>
      <c r="BQ4" s="34" t="s">
        <v>224</v>
      </c>
      <c r="BR4" s="51"/>
      <c r="BS4" s="34">
        <f t="shared" ref="BS4:BS20" si="15">IF($E$9=BU4,1,0)</f>
        <v>0</v>
      </c>
      <c r="BT4" s="56" t="s">
        <v>81</v>
      </c>
      <c r="BU4" s="34"/>
      <c r="BV4">
        <f t="shared" ref="BV4:BV20" si="16">IF($E$9=BX4,1,0)</f>
        <v>0</v>
      </c>
      <c r="BW4" s="56" t="s">
        <v>81</v>
      </c>
      <c r="BX4" s="57" t="s">
        <v>234</v>
      </c>
      <c r="BY4" s="53"/>
      <c r="BZ4" s="34">
        <f>IF($B$12=CB4,1,0)</f>
        <v>0</v>
      </c>
      <c r="CA4" s="56" t="s">
        <v>78</v>
      </c>
      <c r="CB4" s="34" t="s">
        <v>53</v>
      </c>
      <c r="CC4" s="53"/>
      <c r="CD4" s="34">
        <f t="shared" ref="CD4:CD15" si="17">IF($F$10=CF4,1,0)</f>
        <v>0</v>
      </c>
      <c r="CE4" s="56" t="s">
        <v>80</v>
      </c>
      <c r="CF4" s="34">
        <v>15</v>
      </c>
      <c r="CG4" s="53"/>
      <c r="CH4" s="34">
        <f>IF($B$13=CJ4,1,0)</f>
        <v>1</v>
      </c>
      <c r="CI4" s="56" t="s">
        <v>78</v>
      </c>
      <c r="CJ4" s="55" t="s">
        <v>53</v>
      </c>
    </row>
    <row r="5" spans="1:88" x14ac:dyDescent="0.25">
      <c r="A5" s="58"/>
      <c r="C5" s="72"/>
      <c r="E5" t="s">
        <v>48</v>
      </c>
      <c r="F5">
        <f>VLOOKUP(2,I4:L17,2,0)</f>
        <v>80</v>
      </c>
      <c r="I5" s="54">
        <f t="shared" si="2"/>
        <v>0</v>
      </c>
      <c r="J5" s="57">
        <v>20</v>
      </c>
      <c r="K5" s="57">
        <f t="shared" si="3"/>
        <v>5.2990299783484442E-2</v>
      </c>
      <c r="L5" s="61">
        <f t="shared" si="4"/>
        <v>19597.367871141181</v>
      </c>
      <c r="M5" s="54">
        <f t="shared" si="5"/>
        <v>0</v>
      </c>
      <c r="N5" s="57">
        <v>20</v>
      </c>
      <c r="O5" s="57">
        <f t="shared" si="6"/>
        <v>5.2990299783484442E-2</v>
      </c>
      <c r="P5" s="61">
        <f t="shared" si="7"/>
        <v>16.766773049253221</v>
      </c>
      <c r="R5" s="62" t="s">
        <v>87</v>
      </c>
      <c r="S5" s="74">
        <f>F4/SQRT(0.1*S4)</f>
        <v>24.343224778007382</v>
      </c>
      <c r="T5" s="74"/>
      <c r="U5" s="54">
        <f t="shared" si="8"/>
        <v>0</v>
      </c>
      <c r="V5" s="57" t="s">
        <v>235</v>
      </c>
      <c r="W5" s="57">
        <v>15</v>
      </c>
      <c r="X5" s="61">
        <v>2.5</v>
      </c>
      <c r="Y5" s="54">
        <f t="shared" si="9"/>
        <v>0</v>
      </c>
      <c r="Z5" s="57" t="s">
        <v>236</v>
      </c>
      <c r="AA5" s="57">
        <v>20</v>
      </c>
      <c r="AB5" s="61">
        <v>6.3</v>
      </c>
      <c r="AC5" s="62" t="s">
        <v>87</v>
      </c>
      <c r="AD5" s="74">
        <f>F4/SQRT(0.1*AD4)</f>
        <v>34.426518632954817</v>
      </c>
      <c r="AE5" s="54">
        <f t="shared" si="10"/>
        <v>0</v>
      </c>
      <c r="AF5" s="57">
        <v>20</v>
      </c>
      <c r="AG5" s="61">
        <v>5</v>
      </c>
      <c r="AH5" s="54">
        <f t="shared" si="11"/>
        <v>0</v>
      </c>
      <c r="AI5" s="57">
        <v>20</v>
      </c>
      <c r="AJ5" s="61">
        <v>4.5</v>
      </c>
      <c r="AL5" s="54">
        <f t="shared" si="0"/>
        <v>0</v>
      </c>
      <c r="AM5" s="57">
        <v>10</v>
      </c>
      <c r="AN5" s="61" t="s">
        <v>237</v>
      </c>
      <c r="AO5" s="54">
        <f t="shared" si="1"/>
        <v>1</v>
      </c>
      <c r="AP5" s="57">
        <v>10</v>
      </c>
      <c r="AQ5" s="61" t="s">
        <v>237</v>
      </c>
      <c r="AZ5" s="50" t="s">
        <v>94</v>
      </c>
      <c r="BA5" s="34" t="s">
        <v>238</v>
      </c>
      <c r="BB5" s="51"/>
      <c r="BC5" s="34">
        <f t="shared" ref="BC4:BC15" si="18">IF($F$5=BE5,1,0)</f>
        <v>0</v>
      </c>
      <c r="BD5" s="56" t="s">
        <v>96</v>
      </c>
      <c r="BE5" s="34">
        <v>20</v>
      </c>
      <c r="BF5" s="53"/>
      <c r="BG5" s="34">
        <f t="shared" si="12"/>
        <v>0</v>
      </c>
      <c r="BH5" s="56" t="s">
        <v>94</v>
      </c>
      <c r="BI5" s="34">
        <v>20</v>
      </c>
      <c r="BJ5" s="51"/>
      <c r="BK5" s="34">
        <f t="shared" si="13"/>
        <v>0</v>
      </c>
      <c r="BL5" s="56" t="s">
        <v>94</v>
      </c>
      <c r="BM5" s="34" t="s">
        <v>232</v>
      </c>
      <c r="BN5" s="51"/>
      <c r="BO5" s="34">
        <f t="shared" si="14"/>
        <v>0</v>
      </c>
      <c r="BP5" s="56" t="s">
        <v>94</v>
      </c>
      <c r="BQ5" s="34" t="s">
        <v>232</v>
      </c>
      <c r="BR5" s="51"/>
      <c r="BS5" s="34">
        <f t="shared" si="15"/>
        <v>0</v>
      </c>
      <c r="BT5" s="56" t="s">
        <v>80</v>
      </c>
      <c r="BU5" s="34" t="s">
        <v>229</v>
      </c>
      <c r="BV5">
        <f t="shared" si="16"/>
        <v>0</v>
      </c>
      <c r="BW5" s="56" t="s">
        <v>80</v>
      </c>
      <c r="BX5" s="34"/>
      <c r="BY5" s="53"/>
      <c r="BZ5" s="34">
        <f>IF($B$12=CB5,1,0)</f>
        <v>1</v>
      </c>
      <c r="CA5" s="56" t="s">
        <v>94</v>
      </c>
      <c r="CB5" s="34" t="s">
        <v>55</v>
      </c>
      <c r="CC5" s="53"/>
      <c r="CD5" s="34">
        <f t="shared" si="17"/>
        <v>0</v>
      </c>
      <c r="CE5" s="56" t="s">
        <v>96</v>
      </c>
      <c r="CF5" s="34">
        <v>20</v>
      </c>
      <c r="CG5" s="53"/>
      <c r="CH5" s="34">
        <f>IF($B$13=CJ5,1,0)</f>
        <v>0</v>
      </c>
      <c r="CI5" s="56" t="s">
        <v>94</v>
      </c>
      <c r="CJ5" s="55" t="s">
        <v>55</v>
      </c>
    </row>
    <row r="6" spans="1:88" x14ac:dyDescent="0.25">
      <c r="A6" s="58"/>
      <c r="C6" s="72"/>
      <c r="E6" t="s">
        <v>99</v>
      </c>
      <c r="F6" t="str">
        <f>VLOOKUP(1,IF(B12="Danfoss",Y4:AB13,U4:X19),2,0)</f>
        <v>50-32,0</v>
      </c>
      <c r="I6" s="54">
        <f t="shared" si="2"/>
        <v>0</v>
      </c>
      <c r="J6" s="57">
        <v>25</v>
      </c>
      <c r="K6" s="57">
        <f t="shared" si="3"/>
        <v>4.8560427292756572E-2</v>
      </c>
      <c r="L6" s="61">
        <f t="shared" si="4"/>
        <v>5884.8283946365</v>
      </c>
      <c r="M6" s="54">
        <f t="shared" si="5"/>
        <v>2</v>
      </c>
      <c r="N6" s="57">
        <v>25</v>
      </c>
      <c r="O6" s="57">
        <f t="shared" si="6"/>
        <v>4.8560427292756572E-2</v>
      </c>
      <c r="P6" s="61">
        <f t="shared" si="7"/>
        <v>5.0348384933861885</v>
      </c>
      <c r="R6" s="54"/>
      <c r="S6" s="57"/>
      <c r="T6" s="57"/>
      <c r="U6" s="54">
        <f t="shared" si="8"/>
        <v>0</v>
      </c>
      <c r="V6" s="57" t="s">
        <v>239</v>
      </c>
      <c r="W6" s="57">
        <v>20</v>
      </c>
      <c r="X6" s="61">
        <v>4</v>
      </c>
      <c r="Y6" s="54">
        <f t="shared" si="9"/>
        <v>0</v>
      </c>
      <c r="Z6" s="57" t="s">
        <v>240</v>
      </c>
      <c r="AA6" s="57">
        <v>25</v>
      </c>
      <c r="AB6" s="61">
        <v>8</v>
      </c>
      <c r="AC6" s="57"/>
      <c r="AD6" s="57"/>
      <c r="AE6" s="54">
        <f t="shared" si="10"/>
        <v>0</v>
      </c>
      <c r="AF6" s="57">
        <v>25</v>
      </c>
      <c r="AG6" s="61">
        <v>7</v>
      </c>
      <c r="AH6" s="54">
        <f t="shared" si="11"/>
        <v>0</v>
      </c>
      <c r="AI6" s="57">
        <v>25</v>
      </c>
      <c r="AJ6" s="61">
        <v>7</v>
      </c>
      <c r="AL6" s="54">
        <f t="shared" si="0"/>
        <v>1</v>
      </c>
      <c r="AM6" s="57">
        <v>15</v>
      </c>
      <c r="AN6" s="61" t="s">
        <v>241</v>
      </c>
      <c r="AO6" s="54">
        <f t="shared" si="1"/>
        <v>1</v>
      </c>
      <c r="AP6" s="57">
        <v>15</v>
      </c>
      <c r="AQ6" s="61" t="s">
        <v>241</v>
      </c>
      <c r="AZ6" s="50"/>
      <c r="BA6" s="34"/>
      <c r="BB6" s="51"/>
      <c r="BC6" s="34">
        <f t="shared" si="18"/>
        <v>0</v>
      </c>
      <c r="BD6" s="56" t="s">
        <v>103</v>
      </c>
      <c r="BE6" s="34">
        <v>25</v>
      </c>
      <c r="BF6" s="53"/>
      <c r="BG6" s="34">
        <f t="shared" si="12"/>
        <v>1</v>
      </c>
      <c r="BH6" s="56" t="s">
        <v>104</v>
      </c>
      <c r="BI6" s="34">
        <v>25</v>
      </c>
      <c r="BJ6" s="51"/>
      <c r="BK6" s="34">
        <f t="shared" si="13"/>
        <v>0</v>
      </c>
      <c r="BL6" s="56" t="s">
        <v>104</v>
      </c>
      <c r="BM6" s="34" t="s">
        <v>237</v>
      </c>
      <c r="BN6" s="51"/>
      <c r="BO6" s="34">
        <f t="shared" si="14"/>
        <v>0</v>
      </c>
      <c r="BP6" s="56" t="s">
        <v>104</v>
      </c>
      <c r="BQ6" s="34" t="s">
        <v>237</v>
      </c>
      <c r="BR6" s="51"/>
      <c r="BS6" s="34">
        <f t="shared" si="15"/>
        <v>0</v>
      </c>
      <c r="BT6" s="56" t="s">
        <v>96</v>
      </c>
      <c r="BU6" s="34" t="s">
        <v>235</v>
      </c>
      <c r="BV6">
        <f t="shared" si="16"/>
        <v>0</v>
      </c>
      <c r="BW6" s="56" t="s">
        <v>96</v>
      </c>
      <c r="BX6" t="s">
        <v>230</v>
      </c>
      <c r="BY6" s="53"/>
      <c r="BZ6" s="34">
        <f>IF($B$12=CB6,1,0)</f>
        <v>0</v>
      </c>
      <c r="CA6" s="56" t="s">
        <v>104</v>
      </c>
      <c r="CB6" s="76" t="s">
        <v>223</v>
      </c>
      <c r="CC6" s="53"/>
      <c r="CD6" s="34">
        <f t="shared" si="17"/>
        <v>0</v>
      </c>
      <c r="CE6" s="56" t="s">
        <v>103</v>
      </c>
      <c r="CF6" s="76">
        <v>25</v>
      </c>
      <c r="CG6" s="53"/>
      <c r="CH6" s="34">
        <f>IF($B$13=CJ6,1,0)</f>
        <v>0</v>
      </c>
      <c r="CI6" s="56" t="s">
        <v>104</v>
      </c>
      <c r="CJ6" s="30" t="s">
        <v>242</v>
      </c>
    </row>
    <row r="7" spans="1:88" x14ac:dyDescent="0.25">
      <c r="A7" s="58"/>
      <c r="C7" s="72"/>
      <c r="E7" t="s">
        <v>106</v>
      </c>
      <c r="F7">
        <f>VLOOKUP(1,IF(B12="Danfoss",Y4:AB13,U4:X19),3,0)</f>
        <v>50</v>
      </c>
      <c r="I7" s="54">
        <f t="shared" si="2"/>
        <v>0</v>
      </c>
      <c r="J7" s="57">
        <v>32</v>
      </c>
      <c r="K7" s="57">
        <f t="shared" si="3"/>
        <v>4.4277322004702871E-2</v>
      </c>
      <c r="L7" s="61">
        <f t="shared" si="4"/>
        <v>1561.646748011487</v>
      </c>
      <c r="M7" s="54">
        <f t="shared" si="5"/>
        <v>0</v>
      </c>
      <c r="N7" s="57">
        <v>32</v>
      </c>
      <c r="O7" s="57">
        <f t="shared" si="6"/>
        <v>4.4277322004702871E-2</v>
      </c>
      <c r="P7" s="61">
        <f t="shared" si="7"/>
        <v>1.3360863958455773</v>
      </c>
      <c r="R7" s="54"/>
      <c r="S7" s="57"/>
      <c r="T7" s="57"/>
      <c r="U7" s="54">
        <f t="shared" si="8"/>
        <v>0</v>
      </c>
      <c r="V7" s="57" t="s">
        <v>243</v>
      </c>
      <c r="W7" s="57">
        <v>20</v>
      </c>
      <c r="X7" s="61">
        <v>6.3</v>
      </c>
      <c r="Y7" s="54">
        <f t="shared" si="9"/>
        <v>0</v>
      </c>
      <c r="Z7" s="57" t="s">
        <v>244</v>
      </c>
      <c r="AA7" s="57">
        <v>32</v>
      </c>
      <c r="AB7" s="61">
        <v>16</v>
      </c>
      <c r="AC7" s="57"/>
      <c r="AD7" s="57"/>
      <c r="AE7" s="54">
        <f t="shared" si="10"/>
        <v>0</v>
      </c>
      <c r="AF7" s="57">
        <v>32</v>
      </c>
      <c r="AG7" s="61">
        <v>10</v>
      </c>
      <c r="AH7" s="54">
        <f t="shared" si="11"/>
        <v>0</v>
      </c>
      <c r="AI7" s="57">
        <v>32</v>
      </c>
      <c r="AJ7" s="61">
        <v>10</v>
      </c>
      <c r="AL7" s="54">
        <f t="shared" si="0"/>
        <v>1</v>
      </c>
      <c r="AM7" s="57">
        <v>25</v>
      </c>
      <c r="AN7" s="61" t="s">
        <v>245</v>
      </c>
      <c r="AO7" s="54">
        <f t="shared" si="1"/>
        <v>1</v>
      </c>
      <c r="AP7" s="57">
        <v>25</v>
      </c>
      <c r="AQ7" s="61" t="s">
        <v>245</v>
      </c>
      <c r="AZ7" s="50"/>
      <c r="BA7" s="34"/>
      <c r="BB7" s="51"/>
      <c r="BC7" s="34">
        <f t="shared" si="18"/>
        <v>0</v>
      </c>
      <c r="BD7" s="56" t="s">
        <v>110</v>
      </c>
      <c r="BE7" s="34">
        <v>32</v>
      </c>
      <c r="BF7" s="53"/>
      <c r="BG7" s="34">
        <f t="shared" si="12"/>
        <v>0</v>
      </c>
      <c r="BH7" s="56" t="s">
        <v>116</v>
      </c>
      <c r="BI7" s="34">
        <v>32</v>
      </c>
      <c r="BJ7" s="51"/>
      <c r="BK7" s="34">
        <f t="shared" si="13"/>
        <v>1</v>
      </c>
      <c r="BL7" s="56" t="s">
        <v>116</v>
      </c>
      <c r="BM7" s="34" t="s">
        <v>241</v>
      </c>
      <c r="BN7" s="51"/>
      <c r="BO7" s="34">
        <f t="shared" si="14"/>
        <v>0</v>
      </c>
      <c r="BP7" s="56" t="s">
        <v>116</v>
      </c>
      <c r="BQ7" s="34" t="s">
        <v>241</v>
      </c>
      <c r="BR7" s="51"/>
      <c r="BS7" s="34">
        <f t="shared" si="15"/>
        <v>0</v>
      </c>
      <c r="BT7" s="56" t="s">
        <v>103</v>
      </c>
      <c r="BU7" s="76" t="s">
        <v>239</v>
      </c>
      <c r="BV7">
        <f t="shared" si="16"/>
        <v>0</v>
      </c>
      <c r="BW7" s="56" t="s">
        <v>103</v>
      </c>
      <c r="BY7" s="53"/>
      <c r="BZ7" s="34"/>
      <c r="CA7" s="56"/>
      <c r="CB7" s="34"/>
      <c r="CC7" s="53"/>
      <c r="CD7" s="34">
        <f t="shared" si="17"/>
        <v>0</v>
      </c>
      <c r="CE7" s="56" t="s">
        <v>110</v>
      </c>
      <c r="CF7" s="34">
        <v>32</v>
      </c>
      <c r="CG7" s="53"/>
      <c r="CH7" s="34"/>
      <c r="CI7" s="56"/>
      <c r="CJ7" s="30"/>
    </row>
    <row r="8" spans="1:88" x14ac:dyDescent="0.25">
      <c r="A8" s="58"/>
      <c r="C8" s="72"/>
      <c r="E8" s="78" t="s">
        <v>73</v>
      </c>
      <c r="F8" s="102">
        <f>(F4^2/F7^2)*10</f>
        <v>0.71111111111111125</v>
      </c>
      <c r="I8" s="54">
        <f t="shared" si="2"/>
        <v>0</v>
      </c>
      <c r="J8" s="57">
        <v>40</v>
      </c>
      <c r="K8" s="57">
        <f t="shared" si="3"/>
        <v>4.0875226338606248E-2</v>
      </c>
      <c r="L8" s="61">
        <f t="shared" si="4"/>
        <v>472.40181849724212</v>
      </c>
      <c r="M8" s="54">
        <f t="shared" si="5"/>
        <v>0</v>
      </c>
      <c r="N8" s="57">
        <v>40</v>
      </c>
      <c r="O8" s="57">
        <f t="shared" si="6"/>
        <v>4.0875226338606248E-2</v>
      </c>
      <c r="P8" s="61">
        <f t="shared" si="7"/>
        <v>0.40416928083804654</v>
      </c>
      <c r="R8" s="62"/>
      <c r="S8" s="57"/>
      <c r="T8" s="74"/>
      <c r="U8" s="54">
        <f t="shared" si="8"/>
        <v>0</v>
      </c>
      <c r="V8" s="57" t="s">
        <v>246</v>
      </c>
      <c r="W8" s="57">
        <v>25</v>
      </c>
      <c r="X8" s="61">
        <v>10</v>
      </c>
      <c r="Y8" s="54">
        <f t="shared" si="9"/>
        <v>0</v>
      </c>
      <c r="Z8" s="57" t="s">
        <v>247</v>
      </c>
      <c r="AA8" s="57">
        <v>40</v>
      </c>
      <c r="AB8" s="61">
        <v>20</v>
      </c>
      <c r="AC8" s="57"/>
      <c r="AD8" s="57"/>
      <c r="AE8" s="54">
        <f t="shared" si="10"/>
        <v>0</v>
      </c>
      <c r="AF8" s="57">
        <v>40</v>
      </c>
      <c r="AG8" s="61">
        <v>15</v>
      </c>
      <c r="AH8" s="54">
        <f t="shared" si="11"/>
        <v>0</v>
      </c>
      <c r="AI8" s="57">
        <v>40</v>
      </c>
      <c r="AJ8" s="61">
        <v>15</v>
      </c>
      <c r="AL8" s="54">
        <f t="shared" si="0"/>
        <v>1</v>
      </c>
      <c r="AM8" s="57">
        <v>40</v>
      </c>
      <c r="AN8" s="61" t="s">
        <v>248</v>
      </c>
      <c r="AO8" s="54">
        <f t="shared" si="1"/>
        <v>1</v>
      </c>
      <c r="AP8" s="57">
        <v>40</v>
      </c>
      <c r="AQ8" s="61" t="s">
        <v>248</v>
      </c>
      <c r="AZ8" s="50"/>
      <c r="BA8" s="34"/>
      <c r="BB8" s="51"/>
      <c r="BC8" s="34">
        <f t="shared" si="18"/>
        <v>0</v>
      </c>
      <c r="BD8" s="56" t="s">
        <v>115</v>
      </c>
      <c r="BE8" s="34">
        <v>40</v>
      </c>
      <c r="BF8" s="53"/>
      <c r="BG8" s="34">
        <f t="shared" si="12"/>
        <v>0</v>
      </c>
      <c r="BH8" s="56" t="s">
        <v>124</v>
      </c>
      <c r="BI8" s="34">
        <v>40</v>
      </c>
      <c r="BJ8" s="51"/>
      <c r="BK8" s="34">
        <f t="shared" si="13"/>
        <v>0</v>
      </c>
      <c r="BL8" s="56" t="s">
        <v>124</v>
      </c>
      <c r="BM8" s="34" t="s">
        <v>245</v>
      </c>
      <c r="BN8" s="51"/>
      <c r="BO8" s="34">
        <f t="shared" si="14"/>
        <v>0</v>
      </c>
      <c r="BP8" s="56" t="s">
        <v>124</v>
      </c>
      <c r="BQ8" s="34" t="s">
        <v>245</v>
      </c>
      <c r="BR8" s="51"/>
      <c r="BS8" s="34">
        <f t="shared" si="15"/>
        <v>0</v>
      </c>
      <c r="BT8" s="56" t="s">
        <v>110</v>
      </c>
      <c r="BU8" s="34" t="s">
        <v>243</v>
      </c>
      <c r="BV8">
        <f t="shared" si="16"/>
        <v>0</v>
      </c>
      <c r="BW8" s="56" t="s">
        <v>110</v>
      </c>
      <c r="BX8" t="s">
        <v>236</v>
      </c>
      <c r="BY8" s="53"/>
      <c r="BZ8" s="34"/>
      <c r="CA8" s="56"/>
      <c r="CB8" s="34"/>
      <c r="CC8" s="53"/>
      <c r="CD8" s="34">
        <f t="shared" si="17"/>
        <v>0</v>
      </c>
      <c r="CE8" s="56" t="s">
        <v>115</v>
      </c>
      <c r="CF8" s="34">
        <v>40</v>
      </c>
      <c r="CG8" s="53"/>
      <c r="CH8" s="34"/>
      <c r="CI8" s="56"/>
      <c r="CJ8" s="55"/>
    </row>
    <row r="9" spans="1:88" x14ac:dyDescent="0.25">
      <c r="A9" s="80"/>
      <c r="C9" s="72"/>
      <c r="E9" s="1" t="str">
        <f>VLOOKUP(1,IF(B12="Вогез",U4:X19,Y4:AB14),2,0)</f>
        <v>50-32,0</v>
      </c>
      <c r="F9" s="1"/>
      <c r="I9" s="54">
        <f t="shared" si="2"/>
        <v>0</v>
      </c>
      <c r="J9" s="57">
        <v>50</v>
      </c>
      <c r="K9" s="57">
        <f t="shared" si="3"/>
        <v>3.7850686611455138E-2</v>
      </c>
      <c r="L9" s="61">
        <f t="shared" si="4"/>
        <v>143.34253716554772</v>
      </c>
      <c r="M9" s="54">
        <f t="shared" si="5"/>
        <v>0</v>
      </c>
      <c r="N9" s="57">
        <v>50</v>
      </c>
      <c r="O9" s="57">
        <f t="shared" si="6"/>
        <v>3.7850686611455138E-2</v>
      </c>
      <c r="P9" s="61">
        <f t="shared" si="7"/>
        <v>0.12263849945369888</v>
      </c>
      <c r="R9" s="62"/>
      <c r="S9" s="74"/>
      <c r="T9" s="57"/>
      <c r="U9" s="54">
        <f t="shared" si="8"/>
        <v>0</v>
      </c>
      <c r="V9" s="57" t="s">
        <v>244</v>
      </c>
      <c r="W9" s="57">
        <v>32</v>
      </c>
      <c r="X9" s="61">
        <v>16</v>
      </c>
      <c r="Y9" s="54">
        <f t="shared" si="9"/>
        <v>1</v>
      </c>
      <c r="Z9" s="57" t="s">
        <v>249</v>
      </c>
      <c r="AA9" s="57">
        <v>50</v>
      </c>
      <c r="AB9" s="61">
        <v>32</v>
      </c>
      <c r="AC9" s="57"/>
      <c r="AD9" s="57"/>
      <c r="AE9" s="54">
        <f t="shared" si="10"/>
        <v>0</v>
      </c>
      <c r="AF9" s="57">
        <v>50</v>
      </c>
      <c r="AG9" s="61">
        <v>25</v>
      </c>
      <c r="AH9" s="54">
        <f t="shared" si="11"/>
        <v>0</v>
      </c>
      <c r="AI9" s="57">
        <v>50</v>
      </c>
      <c r="AJ9" s="61">
        <v>25</v>
      </c>
      <c r="AL9" s="54">
        <f t="shared" si="0"/>
        <v>1</v>
      </c>
      <c r="AM9" s="57">
        <v>65</v>
      </c>
      <c r="AN9" s="61" t="s">
        <v>250</v>
      </c>
      <c r="AO9" s="54">
        <f t="shared" si="1"/>
        <v>1</v>
      </c>
      <c r="AP9" s="57">
        <v>65</v>
      </c>
      <c r="AQ9" s="61" t="s">
        <v>250</v>
      </c>
      <c r="AZ9" s="50"/>
      <c r="BA9" s="34"/>
      <c r="BB9" s="51"/>
      <c r="BC9" s="34">
        <f t="shared" si="18"/>
        <v>0</v>
      </c>
      <c r="BD9" s="56" t="s">
        <v>123</v>
      </c>
      <c r="BE9" s="34">
        <v>50</v>
      </c>
      <c r="BF9" s="53"/>
      <c r="BG9" s="34">
        <f t="shared" si="12"/>
        <v>0</v>
      </c>
      <c r="BH9" s="56" t="s">
        <v>131</v>
      </c>
      <c r="BI9" s="34">
        <v>50</v>
      </c>
      <c r="BJ9" s="51"/>
      <c r="BK9" s="34">
        <f t="shared" si="13"/>
        <v>0</v>
      </c>
      <c r="BL9" s="56" t="s">
        <v>131</v>
      </c>
      <c r="BM9" s="34" t="s">
        <v>248</v>
      </c>
      <c r="BN9" s="51"/>
      <c r="BO9" s="34">
        <f t="shared" si="14"/>
        <v>0</v>
      </c>
      <c r="BP9" s="56" t="s">
        <v>131</v>
      </c>
      <c r="BQ9" s="34" t="s">
        <v>248</v>
      </c>
      <c r="BR9" s="51"/>
      <c r="BS9" s="34">
        <f t="shared" si="15"/>
        <v>0</v>
      </c>
      <c r="BT9" s="56" t="s">
        <v>115</v>
      </c>
      <c r="BU9" s="34" t="s">
        <v>246</v>
      </c>
      <c r="BV9">
        <f t="shared" si="16"/>
        <v>0</v>
      </c>
      <c r="BW9" s="56" t="s">
        <v>115</v>
      </c>
      <c r="BX9" t="s">
        <v>240</v>
      </c>
      <c r="BY9" s="53"/>
      <c r="BZ9" s="34"/>
      <c r="CA9" s="56"/>
      <c r="CB9" s="34"/>
      <c r="CC9" s="53"/>
      <c r="CD9" s="34">
        <f t="shared" si="17"/>
        <v>0</v>
      </c>
      <c r="CE9" s="56" t="s">
        <v>123</v>
      </c>
      <c r="CF9" s="34">
        <v>50</v>
      </c>
      <c r="CG9" s="53"/>
      <c r="CH9" s="34"/>
      <c r="CI9" s="56"/>
      <c r="CJ9" s="55"/>
    </row>
    <row r="10" spans="1:88" x14ac:dyDescent="0.25">
      <c r="E10" s="78" t="s">
        <v>251</v>
      </c>
      <c r="F10" s="102">
        <f>VLOOKUP(1,IF(B13="Danfoss",AE4:AG15,AH4:AJ14),2,0)</f>
        <v>65</v>
      </c>
      <c r="I10" s="54">
        <f t="shared" si="2"/>
        <v>0</v>
      </c>
      <c r="J10" s="57">
        <v>65</v>
      </c>
      <c r="K10" s="57">
        <f t="shared" si="3"/>
        <v>3.4705101432211748E-2</v>
      </c>
      <c r="L10" s="61">
        <f t="shared" si="4"/>
        <v>35.397931273839546</v>
      </c>
      <c r="M10" s="54">
        <f t="shared" si="5"/>
        <v>0</v>
      </c>
      <c r="N10" s="57">
        <v>65</v>
      </c>
      <c r="O10" s="57">
        <f t="shared" si="6"/>
        <v>3.4705101432211748E-2</v>
      </c>
      <c r="P10" s="61">
        <f t="shared" si="7"/>
        <v>3.0285142575474336E-2</v>
      </c>
      <c r="R10" s="54"/>
      <c r="S10" s="57"/>
      <c r="T10" s="57"/>
      <c r="U10" s="54">
        <f t="shared" si="8"/>
        <v>1</v>
      </c>
      <c r="V10" s="57" t="s">
        <v>252</v>
      </c>
      <c r="W10" s="57">
        <v>40</v>
      </c>
      <c r="X10" s="61">
        <v>25</v>
      </c>
      <c r="Y10" s="54">
        <f t="shared" si="9"/>
        <v>1</v>
      </c>
      <c r="Z10" s="57" t="s">
        <v>253</v>
      </c>
      <c r="AA10" s="57">
        <v>65</v>
      </c>
      <c r="AB10" s="61">
        <v>50</v>
      </c>
      <c r="AC10" s="57"/>
      <c r="AD10" s="57"/>
      <c r="AE10" s="54">
        <f t="shared" si="10"/>
        <v>1</v>
      </c>
      <c r="AF10" s="57">
        <v>65</v>
      </c>
      <c r="AG10" s="61">
        <v>50</v>
      </c>
      <c r="AH10" s="54">
        <f t="shared" si="11"/>
        <v>1</v>
      </c>
      <c r="AI10" s="57">
        <v>65</v>
      </c>
      <c r="AJ10" s="61">
        <v>40</v>
      </c>
      <c r="AL10" s="54">
        <f t="shared" si="0"/>
        <v>1</v>
      </c>
      <c r="AM10" s="57">
        <v>85</v>
      </c>
      <c r="AN10" s="61" t="s">
        <v>254</v>
      </c>
      <c r="AO10" s="83">
        <f t="shared" si="1"/>
        <v>1</v>
      </c>
      <c r="AP10" s="87">
        <v>85</v>
      </c>
      <c r="AQ10" s="89" t="s">
        <v>254</v>
      </c>
      <c r="AZ10" s="50"/>
      <c r="BA10" s="34"/>
      <c r="BB10" s="51"/>
      <c r="BC10" s="34">
        <f t="shared" si="18"/>
        <v>0</v>
      </c>
      <c r="BD10" s="56" t="s">
        <v>130</v>
      </c>
      <c r="BE10" s="34">
        <v>65</v>
      </c>
      <c r="BF10" s="53"/>
      <c r="BG10" s="34">
        <f t="shared" si="12"/>
        <v>0</v>
      </c>
      <c r="BH10" s="56" t="s">
        <v>255</v>
      </c>
      <c r="BI10" s="34">
        <v>65</v>
      </c>
      <c r="BJ10" s="51"/>
      <c r="BK10" s="34">
        <f t="shared" si="13"/>
        <v>0</v>
      </c>
      <c r="BL10" s="56" t="s">
        <v>255</v>
      </c>
      <c r="BM10" s="34" t="s">
        <v>250</v>
      </c>
      <c r="BN10" s="51"/>
      <c r="BO10" s="34">
        <f t="shared" si="14"/>
        <v>0</v>
      </c>
      <c r="BP10" s="56" t="s">
        <v>255</v>
      </c>
      <c r="BQ10" s="34" t="s">
        <v>250</v>
      </c>
      <c r="BR10" s="51"/>
      <c r="BS10" s="34">
        <f t="shared" si="15"/>
        <v>0</v>
      </c>
      <c r="BT10" s="56" t="s">
        <v>123</v>
      </c>
      <c r="BU10" s="34" t="s">
        <v>244</v>
      </c>
      <c r="BV10">
        <f t="shared" si="16"/>
        <v>0</v>
      </c>
      <c r="BW10" s="56" t="s">
        <v>123</v>
      </c>
      <c r="BX10" t="s">
        <v>244</v>
      </c>
      <c r="BY10" s="53"/>
      <c r="BZ10" s="34"/>
      <c r="CA10" s="56"/>
      <c r="CB10" s="34"/>
      <c r="CC10" s="53"/>
      <c r="CD10" s="34">
        <f t="shared" si="17"/>
        <v>1</v>
      </c>
      <c r="CE10" s="56" t="s">
        <v>130</v>
      </c>
      <c r="CF10" s="34">
        <v>65</v>
      </c>
      <c r="CG10" s="53"/>
      <c r="CH10" s="34"/>
      <c r="CI10" s="56"/>
      <c r="CJ10" s="55"/>
    </row>
    <row r="11" spans="1:88" x14ac:dyDescent="0.25">
      <c r="A11" s="72"/>
      <c r="B11" s="72"/>
      <c r="C11" s="72"/>
      <c r="E11" s="78"/>
      <c r="F11" s="102"/>
      <c r="I11" s="54">
        <f t="shared" si="2"/>
        <v>2</v>
      </c>
      <c r="J11" s="57">
        <v>80</v>
      </c>
      <c r="K11" s="57">
        <f t="shared" si="3"/>
        <v>3.248549788373601E-2</v>
      </c>
      <c r="L11" s="61">
        <f t="shared" si="4"/>
        <v>11.732510166991768</v>
      </c>
      <c r="M11" s="54">
        <f t="shared" si="5"/>
        <v>0</v>
      </c>
      <c r="N11" s="57">
        <v>80</v>
      </c>
      <c r="O11" s="57">
        <f t="shared" si="6"/>
        <v>3.248549788373601E-2</v>
      </c>
      <c r="P11" s="61">
        <f t="shared" si="7"/>
        <v>1.0037895729746889E-2</v>
      </c>
      <c r="R11" s="54"/>
      <c r="S11" s="57"/>
      <c r="T11" s="74"/>
      <c r="U11" s="54">
        <f t="shared" si="8"/>
        <v>1</v>
      </c>
      <c r="V11" s="57" t="s">
        <v>249</v>
      </c>
      <c r="W11" s="57">
        <v>50</v>
      </c>
      <c r="X11" s="61">
        <v>32</v>
      </c>
      <c r="Y11" s="54">
        <f t="shared" si="9"/>
        <v>1</v>
      </c>
      <c r="Z11" s="57" t="s">
        <v>256</v>
      </c>
      <c r="AA11" s="57">
        <v>80</v>
      </c>
      <c r="AB11" s="61">
        <v>80</v>
      </c>
      <c r="AC11" s="57"/>
      <c r="AD11" s="57"/>
      <c r="AE11" s="54">
        <f t="shared" si="10"/>
        <v>1</v>
      </c>
      <c r="AF11" s="57">
        <v>80</v>
      </c>
      <c r="AG11" s="61">
        <v>70</v>
      </c>
      <c r="AH11" s="54">
        <f t="shared" si="11"/>
        <v>1</v>
      </c>
      <c r="AI11" s="57">
        <v>80</v>
      </c>
      <c r="AJ11" s="61">
        <v>60</v>
      </c>
      <c r="AL11" s="83">
        <f>IF($F$4&lt;=AM11,1,0)</f>
        <v>1</v>
      </c>
      <c r="AM11" s="87">
        <v>140</v>
      </c>
      <c r="AN11" s="89" t="s">
        <v>257</v>
      </c>
      <c r="AZ11" s="50"/>
      <c r="BA11" s="34"/>
      <c r="BB11" s="51"/>
      <c r="BC11" s="34">
        <f t="shared" si="18"/>
        <v>1</v>
      </c>
      <c r="BD11" s="56" t="s">
        <v>136</v>
      </c>
      <c r="BE11" s="34">
        <v>80</v>
      </c>
      <c r="BF11" s="53"/>
      <c r="BG11" s="34">
        <f t="shared" si="12"/>
        <v>0</v>
      </c>
      <c r="BH11" s="56" t="s">
        <v>258</v>
      </c>
      <c r="BI11" s="34">
        <v>80</v>
      </c>
      <c r="BJ11" s="51"/>
      <c r="BK11" s="34">
        <f t="shared" si="13"/>
        <v>0</v>
      </c>
      <c r="BL11" s="56" t="s">
        <v>258</v>
      </c>
      <c r="BM11" s="34" t="s">
        <v>254</v>
      </c>
      <c r="BN11" s="51"/>
      <c r="BO11" s="34">
        <f t="shared" si="14"/>
        <v>0</v>
      </c>
      <c r="BP11" s="56" t="s">
        <v>258</v>
      </c>
      <c r="BQ11" s="34" t="s">
        <v>254</v>
      </c>
      <c r="BR11" s="51"/>
      <c r="BS11" s="34">
        <f t="shared" si="15"/>
        <v>0</v>
      </c>
      <c r="BT11" s="56" t="s">
        <v>130</v>
      </c>
      <c r="BU11" s="34" t="s">
        <v>252</v>
      </c>
      <c r="BV11">
        <f t="shared" si="16"/>
        <v>0</v>
      </c>
      <c r="BW11" s="56" t="s">
        <v>130</v>
      </c>
      <c r="BX11" t="s">
        <v>247</v>
      </c>
      <c r="BY11" s="53"/>
      <c r="BZ11" s="34"/>
      <c r="CA11" s="56"/>
      <c r="CB11" s="34"/>
      <c r="CC11" s="53"/>
      <c r="CD11" s="34">
        <f t="shared" si="17"/>
        <v>0</v>
      </c>
      <c r="CE11" s="56" t="s">
        <v>136</v>
      </c>
      <c r="CF11" s="34">
        <v>80</v>
      </c>
      <c r="CG11" s="53"/>
      <c r="CH11" s="34"/>
      <c r="CI11" s="56"/>
      <c r="CJ11" s="55"/>
    </row>
    <row r="12" spans="1:88" x14ac:dyDescent="0.25">
      <c r="A12" s="58" t="s">
        <v>31</v>
      </c>
      <c r="B12" s="1" t="str">
        <f>'ol4'!R20</f>
        <v>Danfoss</v>
      </c>
      <c r="C12" s="1"/>
      <c r="E12" s="1" t="str">
        <f>VLOOKUP(1,AL3:AN11,3,0)</f>
        <v>РС50-36</v>
      </c>
      <c r="F12" s="1"/>
      <c r="I12" s="54">
        <f t="shared" si="2"/>
        <v>0</v>
      </c>
      <c r="J12" s="57">
        <v>100</v>
      </c>
      <c r="K12" s="57">
        <f t="shared" si="3"/>
        <v>3.0329450982592862E-2</v>
      </c>
      <c r="L12" s="61">
        <f t="shared" si="4"/>
        <v>3.5893507191419474</v>
      </c>
      <c r="M12" s="54">
        <f t="shared" si="5"/>
        <v>0</v>
      </c>
      <c r="N12" s="57">
        <v>100</v>
      </c>
      <c r="O12" s="57">
        <f t="shared" si="6"/>
        <v>3.0329450982592862E-2</v>
      </c>
      <c r="P12" s="61">
        <f t="shared" si="7"/>
        <v>3.0709138746458811E-3</v>
      </c>
      <c r="R12" s="54"/>
      <c r="S12" s="57"/>
      <c r="T12" s="57"/>
      <c r="U12" s="54">
        <f t="shared" si="8"/>
        <v>1</v>
      </c>
      <c r="V12" s="57" t="s">
        <v>259</v>
      </c>
      <c r="W12" s="57">
        <v>65</v>
      </c>
      <c r="X12" s="61">
        <v>40</v>
      </c>
      <c r="Y12" s="54">
        <f t="shared" si="9"/>
        <v>1</v>
      </c>
      <c r="Z12" s="57" t="s">
        <v>260</v>
      </c>
      <c r="AA12" s="57">
        <v>100</v>
      </c>
      <c r="AB12" s="61">
        <v>125</v>
      </c>
      <c r="AC12" s="57"/>
      <c r="AD12" s="57"/>
      <c r="AE12" s="54">
        <f t="shared" si="10"/>
        <v>1</v>
      </c>
      <c r="AF12" s="57">
        <v>100</v>
      </c>
      <c r="AG12" s="61">
        <v>100</v>
      </c>
      <c r="AH12" s="54">
        <f t="shared" si="11"/>
        <v>1</v>
      </c>
      <c r="AI12" s="57">
        <v>100</v>
      </c>
      <c r="AJ12" s="61">
        <v>100</v>
      </c>
      <c r="AZ12" s="50"/>
      <c r="BA12" s="34"/>
      <c r="BB12" s="51"/>
      <c r="BC12" s="34">
        <f t="shared" si="18"/>
        <v>0</v>
      </c>
      <c r="BD12" s="56" t="s">
        <v>138</v>
      </c>
      <c r="BE12" s="34">
        <v>100</v>
      </c>
      <c r="BF12" s="53"/>
      <c r="BG12" s="34">
        <f t="shared" si="12"/>
        <v>0</v>
      </c>
      <c r="BH12" s="56" t="s">
        <v>261</v>
      </c>
      <c r="BI12" s="34">
        <v>100</v>
      </c>
      <c r="BJ12" s="51"/>
      <c r="BK12" s="34">
        <f t="shared" si="13"/>
        <v>0</v>
      </c>
      <c r="BL12" s="56" t="s">
        <v>261</v>
      </c>
      <c r="BM12" s="34" t="s">
        <v>257</v>
      </c>
      <c r="BN12" s="51"/>
      <c r="BO12" s="34">
        <f t="shared" si="14"/>
        <v>0</v>
      </c>
      <c r="BP12" s="56" t="s">
        <v>261</v>
      </c>
      <c r="BQ12" s="34" t="s">
        <v>257</v>
      </c>
      <c r="BR12" s="51"/>
      <c r="BS12" s="34">
        <f t="shared" si="15"/>
        <v>1</v>
      </c>
      <c r="BT12" s="56" t="s">
        <v>136</v>
      </c>
      <c r="BU12" s="34" t="s">
        <v>249</v>
      </c>
      <c r="BV12">
        <f t="shared" si="16"/>
        <v>1</v>
      </c>
      <c r="BW12" s="56" t="s">
        <v>136</v>
      </c>
      <c r="BX12" t="s">
        <v>249</v>
      </c>
      <c r="BY12" s="53"/>
      <c r="BZ12" s="34"/>
      <c r="CA12" s="56"/>
      <c r="CB12" s="34"/>
      <c r="CC12" s="53"/>
      <c r="CD12" s="34">
        <f t="shared" si="17"/>
        <v>0</v>
      </c>
      <c r="CE12" s="56" t="s">
        <v>138</v>
      </c>
      <c r="CF12" s="34">
        <v>100</v>
      </c>
      <c r="CG12" s="53"/>
      <c r="CH12" s="34"/>
      <c r="CI12" s="56"/>
      <c r="CJ12" s="55"/>
    </row>
    <row r="13" spans="1:88" x14ac:dyDescent="0.25">
      <c r="A13" s="58" t="s">
        <v>228</v>
      </c>
      <c r="B13" s="1" t="str">
        <f>'ol4'!Z20</f>
        <v>IMI Hydronic</v>
      </c>
      <c r="C13" s="1"/>
      <c r="I13" s="54">
        <f t="shared" si="2"/>
        <v>0</v>
      </c>
      <c r="J13" s="57">
        <v>125</v>
      </c>
      <c r="K13" s="57">
        <f t="shared" si="3"/>
        <v>2.8381135828692533E-2</v>
      </c>
      <c r="L13" s="61">
        <f t="shared" si="4"/>
        <v>1.1006039167806956</v>
      </c>
      <c r="M13" s="54">
        <f t="shared" si="5"/>
        <v>0</v>
      </c>
      <c r="N13" s="57">
        <v>125</v>
      </c>
      <c r="O13" s="57">
        <f t="shared" si="6"/>
        <v>2.8381135828692533E-2</v>
      </c>
      <c r="P13" s="61">
        <f t="shared" si="7"/>
        <v>9.4163543855068353E-4</v>
      </c>
      <c r="R13" s="54"/>
      <c r="S13" s="57"/>
      <c r="T13" s="57"/>
      <c r="U13" s="54">
        <f t="shared" si="8"/>
        <v>1</v>
      </c>
      <c r="V13" s="57" t="s">
        <v>262</v>
      </c>
      <c r="W13" s="57">
        <v>80</v>
      </c>
      <c r="X13" s="61">
        <v>63</v>
      </c>
      <c r="Y13" s="54">
        <f t="shared" si="9"/>
        <v>1</v>
      </c>
      <c r="Z13" s="57" t="s">
        <v>263</v>
      </c>
      <c r="AA13" s="57">
        <v>125</v>
      </c>
      <c r="AB13" s="61">
        <v>160</v>
      </c>
      <c r="AC13" s="57"/>
      <c r="AD13" s="57"/>
      <c r="AE13" s="54">
        <f t="shared" si="10"/>
        <v>1</v>
      </c>
      <c r="AF13" s="57">
        <v>125</v>
      </c>
      <c r="AG13" s="61">
        <v>150</v>
      </c>
      <c r="AH13" s="54">
        <f t="shared" si="11"/>
        <v>1</v>
      </c>
      <c r="AI13" s="57">
        <v>125</v>
      </c>
      <c r="AJ13" s="61">
        <v>150</v>
      </c>
      <c r="AZ13" s="50"/>
      <c r="BA13" s="34"/>
      <c r="BB13" s="51"/>
      <c r="BC13" s="34">
        <f t="shared" si="18"/>
        <v>0</v>
      </c>
      <c r="BD13" s="56" t="s">
        <v>140</v>
      </c>
      <c r="BE13" s="34">
        <v>125</v>
      </c>
      <c r="BF13" s="53"/>
      <c r="BG13" s="34"/>
      <c r="BH13" s="56"/>
      <c r="BI13" s="34"/>
      <c r="BJ13" s="51"/>
      <c r="BK13" s="34"/>
      <c r="BL13" s="56"/>
      <c r="BM13" s="34"/>
      <c r="BN13" s="51"/>
      <c r="BO13" s="34"/>
      <c r="BP13" s="56"/>
      <c r="BQ13" s="34"/>
      <c r="BR13" s="51"/>
      <c r="BS13" s="34">
        <f t="shared" si="15"/>
        <v>0</v>
      </c>
      <c r="BT13" s="56" t="s">
        <v>138</v>
      </c>
      <c r="BU13" s="34" t="s">
        <v>259</v>
      </c>
      <c r="BV13">
        <f t="shared" si="16"/>
        <v>0</v>
      </c>
      <c r="BW13" s="56" t="s">
        <v>138</v>
      </c>
      <c r="BX13" t="s">
        <v>253</v>
      </c>
      <c r="BY13" s="53"/>
      <c r="BZ13" s="34"/>
      <c r="CA13" s="56"/>
      <c r="CB13" s="34"/>
      <c r="CC13" s="53"/>
      <c r="CD13" s="34">
        <f t="shared" si="17"/>
        <v>0</v>
      </c>
      <c r="CE13" s="56" t="s">
        <v>140</v>
      </c>
      <c r="CF13" s="34">
        <v>125</v>
      </c>
      <c r="CG13" s="53"/>
      <c r="CH13" s="34"/>
      <c r="CI13" s="56"/>
      <c r="CJ13" s="55"/>
    </row>
    <row r="14" spans="1:88" x14ac:dyDescent="0.25">
      <c r="A14" s="58"/>
      <c r="C14" s="72"/>
      <c r="E14" t="s">
        <v>144</v>
      </c>
      <c r="F14" s="102">
        <f>'БОВ (1)'!F16+'БОВ (2)'!F16+'БОВ (3)'!F16</f>
        <v>0.38999999999999996</v>
      </c>
      <c r="I14" s="54">
        <f t="shared" si="2"/>
        <v>0</v>
      </c>
      <c r="J14" s="57">
        <v>150</v>
      </c>
      <c r="K14" s="57">
        <f t="shared" si="3"/>
        <v>2.6925299052784474E-2</v>
      </c>
      <c r="L14" s="61">
        <f t="shared" si="4"/>
        <v>0.41961942779319589</v>
      </c>
      <c r="M14" s="54">
        <f t="shared" si="5"/>
        <v>0</v>
      </c>
      <c r="N14" s="57">
        <v>150</v>
      </c>
      <c r="O14" s="57">
        <f t="shared" si="6"/>
        <v>2.6925299052784474E-2</v>
      </c>
      <c r="P14" s="61">
        <f t="shared" si="7"/>
        <v>3.59010646691316E-4</v>
      </c>
      <c r="R14" s="54"/>
      <c r="S14" s="57"/>
      <c r="T14" s="57"/>
      <c r="U14" s="54">
        <f t="shared" si="8"/>
        <v>1</v>
      </c>
      <c r="V14" s="57" t="s">
        <v>264</v>
      </c>
      <c r="W14" s="57">
        <v>100</v>
      </c>
      <c r="X14" s="61">
        <v>100</v>
      </c>
      <c r="Y14" s="54">
        <f t="shared" si="9"/>
        <v>1</v>
      </c>
      <c r="Z14" s="57" t="s">
        <v>234</v>
      </c>
      <c r="AA14" s="57" t="s">
        <v>265</v>
      </c>
      <c r="AB14" s="61">
        <v>400</v>
      </c>
      <c r="AC14" s="57"/>
      <c r="AD14" s="57"/>
      <c r="AE14" s="54">
        <f t="shared" si="10"/>
        <v>1</v>
      </c>
      <c r="AF14" s="57">
        <v>150</v>
      </c>
      <c r="AG14" s="61">
        <v>300</v>
      </c>
      <c r="AH14" s="54">
        <f t="shared" si="11"/>
        <v>1</v>
      </c>
      <c r="AI14" s="57">
        <v>150</v>
      </c>
      <c r="AJ14" s="61">
        <v>400</v>
      </c>
      <c r="AZ14" s="50"/>
      <c r="BA14" s="34"/>
      <c r="BB14" s="51"/>
      <c r="BC14" s="34">
        <f t="shared" si="18"/>
        <v>0</v>
      </c>
      <c r="BD14" s="56" t="s">
        <v>141</v>
      </c>
      <c r="BE14" s="34">
        <v>150</v>
      </c>
      <c r="BF14" s="53"/>
      <c r="BG14" s="34"/>
      <c r="BH14" s="56"/>
      <c r="BI14" s="34"/>
      <c r="BJ14" s="51"/>
      <c r="BK14" s="34"/>
      <c r="BL14" s="56"/>
      <c r="BM14" s="34"/>
      <c r="BN14" s="51"/>
      <c r="BO14" s="34"/>
      <c r="BP14" s="56"/>
      <c r="BQ14" s="34"/>
      <c r="BR14" s="51"/>
      <c r="BS14" s="34">
        <f t="shared" si="15"/>
        <v>0</v>
      </c>
      <c r="BT14" s="56" t="s">
        <v>140</v>
      </c>
      <c r="BU14" s="34" t="s">
        <v>262</v>
      </c>
      <c r="BV14">
        <f t="shared" si="16"/>
        <v>0</v>
      </c>
      <c r="BW14" s="56" t="s">
        <v>140</v>
      </c>
      <c r="BX14" t="s">
        <v>256</v>
      </c>
      <c r="BY14" s="53"/>
      <c r="BZ14" s="34"/>
      <c r="CA14" s="56"/>
      <c r="CB14" s="34"/>
      <c r="CC14" s="53"/>
      <c r="CD14" s="34">
        <f t="shared" si="17"/>
        <v>0</v>
      </c>
      <c r="CE14" s="56" t="s">
        <v>141</v>
      </c>
      <c r="CF14" s="34">
        <v>150</v>
      </c>
      <c r="CG14" s="53"/>
      <c r="CH14" s="34"/>
      <c r="CI14" s="56"/>
      <c r="CJ14" s="55"/>
    </row>
    <row r="15" spans="1:88" x14ac:dyDescent="0.25">
      <c r="C15" s="72"/>
      <c r="E15" t="s">
        <v>48</v>
      </c>
      <c r="F15">
        <f>VLOOKUP(2,M4:P17,2,0)</f>
        <v>25</v>
      </c>
      <c r="I15" s="54">
        <f t="shared" si="2"/>
        <v>0</v>
      </c>
      <c r="J15" s="57">
        <v>200</v>
      </c>
      <c r="K15" s="57">
        <f t="shared" si="3"/>
        <v>2.4846042519733526E-2</v>
      </c>
      <c r="L15" s="61">
        <f t="shared" si="4"/>
        <v>9.1887956360079182E-2</v>
      </c>
      <c r="M15" s="54">
        <f t="shared" si="5"/>
        <v>0</v>
      </c>
      <c r="N15" s="57">
        <v>200</v>
      </c>
      <c r="O15" s="57">
        <f t="shared" si="6"/>
        <v>2.4846042519733526E-2</v>
      </c>
      <c r="P15" s="61">
        <f t="shared" si="7"/>
        <v>7.8615889663320219E-5</v>
      </c>
      <c r="R15" s="54"/>
      <c r="S15" s="57"/>
      <c r="T15" s="57"/>
      <c r="U15" s="54">
        <f t="shared" si="8"/>
        <v>1</v>
      </c>
      <c r="V15" s="57" t="s">
        <v>260</v>
      </c>
      <c r="W15" s="57">
        <v>100</v>
      </c>
      <c r="X15" s="61">
        <v>125</v>
      </c>
      <c r="Y15" s="54"/>
      <c r="Z15" s="57"/>
      <c r="AA15" s="57"/>
      <c r="AB15" s="61"/>
      <c r="AC15" s="57"/>
      <c r="AD15" s="57"/>
      <c r="AE15" s="54">
        <f t="shared" si="10"/>
        <v>1</v>
      </c>
      <c r="AF15" s="57">
        <v>200</v>
      </c>
      <c r="AG15" s="61">
        <v>400</v>
      </c>
      <c r="AH15" s="54"/>
      <c r="AI15" s="57"/>
      <c r="AJ15" s="61"/>
      <c r="AZ15" s="50"/>
      <c r="BA15" s="34"/>
      <c r="BB15" s="51"/>
      <c r="BC15" s="34">
        <f t="shared" si="18"/>
        <v>0</v>
      </c>
      <c r="BD15" s="56" t="s">
        <v>142</v>
      </c>
      <c r="BE15" s="34">
        <v>200</v>
      </c>
      <c r="BF15" s="53"/>
      <c r="BG15" s="34"/>
      <c r="BH15" s="56"/>
      <c r="BI15" s="34"/>
      <c r="BJ15" s="51"/>
      <c r="BK15" s="34"/>
      <c r="BL15" s="56"/>
      <c r="BM15" s="34"/>
      <c r="BN15" s="51"/>
      <c r="BO15" s="34"/>
      <c r="BP15" s="56"/>
      <c r="BQ15" s="34"/>
      <c r="BR15" s="51"/>
      <c r="BS15" s="34">
        <f t="shared" si="15"/>
        <v>0</v>
      </c>
      <c r="BT15" s="56" t="s">
        <v>141</v>
      </c>
      <c r="BU15" s="34" t="s">
        <v>264</v>
      </c>
      <c r="BV15">
        <f t="shared" si="16"/>
        <v>0</v>
      </c>
      <c r="BW15" s="56" t="s">
        <v>141</v>
      </c>
      <c r="BY15" s="53"/>
      <c r="BZ15" s="34"/>
      <c r="CA15" s="56"/>
      <c r="CB15" s="34"/>
      <c r="CC15" s="53"/>
      <c r="CD15" s="34">
        <f t="shared" si="17"/>
        <v>0</v>
      </c>
      <c r="CE15" s="56" t="s">
        <v>142</v>
      </c>
      <c r="CF15" s="34">
        <v>200</v>
      </c>
      <c r="CG15" s="53"/>
      <c r="CH15" s="34"/>
      <c r="CI15" s="56"/>
      <c r="CJ15" s="55"/>
    </row>
    <row r="16" spans="1:88" x14ac:dyDescent="0.25">
      <c r="C16" s="72"/>
      <c r="E16" s="1" t="str">
        <f>VLOOKUP(1,AO3:AQ10,3,0)</f>
        <v>РС20-6</v>
      </c>
      <c r="F16" s="1"/>
      <c r="I16" s="54">
        <f t="shared" si="2"/>
        <v>0</v>
      </c>
      <c r="J16" s="57">
        <v>250</v>
      </c>
      <c r="K16" s="57">
        <f t="shared" si="3"/>
        <v>2.339473539768467E-2</v>
      </c>
      <c r="L16" s="61">
        <f t="shared" si="4"/>
        <v>2.8351069137696479E-2</v>
      </c>
      <c r="M16" s="54">
        <f t="shared" si="5"/>
        <v>0</v>
      </c>
      <c r="N16" s="57">
        <v>250</v>
      </c>
      <c r="O16" s="57">
        <f t="shared" si="6"/>
        <v>2.339473539768467E-2</v>
      </c>
      <c r="P16" s="61">
        <f t="shared" si="7"/>
        <v>2.425611158912043E-5</v>
      </c>
      <c r="R16" s="54"/>
      <c r="S16" s="57"/>
      <c r="T16" s="57"/>
      <c r="U16" s="54">
        <f t="shared" si="8"/>
        <v>1</v>
      </c>
      <c r="V16" s="57" t="s">
        <v>263</v>
      </c>
      <c r="W16" s="57">
        <v>125</v>
      </c>
      <c r="X16" s="61">
        <v>160</v>
      </c>
      <c r="Y16" s="54"/>
      <c r="Z16" s="57"/>
      <c r="AA16" s="57"/>
      <c r="AB16" s="61"/>
      <c r="AC16" s="57"/>
      <c r="AD16" s="57"/>
      <c r="AE16" s="54"/>
      <c r="AF16" s="57"/>
      <c r="AG16" s="61"/>
      <c r="AH16" s="54"/>
      <c r="AI16" s="57"/>
      <c r="AJ16" s="61"/>
      <c r="AZ16" s="50"/>
      <c r="BA16" s="34"/>
      <c r="BB16" s="51"/>
      <c r="BC16" s="34"/>
      <c r="BD16" s="56"/>
      <c r="BE16" s="34"/>
      <c r="BF16" s="53"/>
      <c r="BG16" s="70"/>
      <c r="BH16" s="56"/>
      <c r="BI16" s="34"/>
      <c r="BJ16" s="51"/>
      <c r="BK16" s="34"/>
      <c r="BL16" s="56"/>
      <c r="BM16" s="34"/>
      <c r="BN16" s="53"/>
      <c r="BO16" s="57"/>
      <c r="BP16" s="57"/>
      <c r="BQ16" s="57"/>
      <c r="BR16" s="53"/>
      <c r="BS16" s="34">
        <f t="shared" si="15"/>
        <v>0</v>
      </c>
      <c r="BT16" s="56" t="s">
        <v>142</v>
      </c>
      <c r="BU16" s="34" t="s">
        <v>260</v>
      </c>
      <c r="BV16">
        <f t="shared" si="16"/>
        <v>0</v>
      </c>
      <c r="BW16" s="56" t="s">
        <v>142</v>
      </c>
      <c r="BX16" t="s">
        <v>260</v>
      </c>
      <c r="BY16" s="53"/>
      <c r="BZ16" s="57"/>
      <c r="CA16" s="57"/>
      <c r="CB16" s="57"/>
      <c r="CC16" s="53"/>
      <c r="CD16" s="57"/>
      <c r="CE16" s="57"/>
      <c r="CF16" s="57"/>
      <c r="CG16" s="53"/>
      <c r="CH16" s="57"/>
      <c r="CI16" s="57"/>
      <c r="CJ16" s="61"/>
    </row>
    <row r="17" spans="1:88" x14ac:dyDescent="0.25">
      <c r="A17" s="58"/>
      <c r="C17" s="72"/>
      <c r="I17" s="54">
        <f t="shared" si="2"/>
        <v>0</v>
      </c>
      <c r="J17" s="57">
        <v>300</v>
      </c>
      <c r="K17" s="57">
        <f t="shared" si="3"/>
        <v>2.2301284149115197E-2</v>
      </c>
      <c r="L17" s="61">
        <f t="shared" si="4"/>
        <v>1.0861128314860614E-2</v>
      </c>
      <c r="M17" s="54">
        <f t="shared" si="5"/>
        <v>0</v>
      </c>
      <c r="N17" s="57">
        <v>300</v>
      </c>
      <c r="O17" s="57">
        <f t="shared" si="6"/>
        <v>2.2301284149115197E-2</v>
      </c>
      <c r="P17" s="61">
        <f t="shared" si="7"/>
        <v>9.2923740938829295E-6</v>
      </c>
      <c r="R17" s="54"/>
      <c r="S17" s="57"/>
      <c r="T17" s="57"/>
      <c r="U17" s="54">
        <f t="shared" si="8"/>
        <v>1</v>
      </c>
      <c r="V17" s="57" t="s">
        <v>266</v>
      </c>
      <c r="W17" s="57">
        <v>150</v>
      </c>
      <c r="X17" s="61">
        <v>200</v>
      </c>
      <c r="Y17" s="54"/>
      <c r="Z17" s="57"/>
      <c r="AA17" s="57"/>
      <c r="AB17" s="61"/>
      <c r="AC17" s="57"/>
      <c r="AD17" s="57"/>
      <c r="AE17" s="54"/>
      <c r="AF17" s="57"/>
      <c r="AG17" s="61"/>
      <c r="AH17" s="54"/>
      <c r="AI17" s="57"/>
      <c r="AJ17" s="61"/>
      <c r="AZ17" s="50"/>
      <c r="BA17" s="34"/>
      <c r="BB17" s="51"/>
      <c r="BC17" s="34"/>
      <c r="BD17" s="56"/>
      <c r="BE17" s="34"/>
      <c r="BF17" s="53"/>
      <c r="BG17" s="70"/>
      <c r="BH17" s="56"/>
      <c r="BI17" s="34"/>
      <c r="BJ17" s="51"/>
      <c r="BK17" s="34"/>
      <c r="BL17" s="56"/>
      <c r="BM17" s="34"/>
      <c r="BN17" s="53"/>
      <c r="BO17" s="57"/>
      <c r="BP17" s="57"/>
      <c r="BQ17" s="57"/>
      <c r="BR17" s="53"/>
      <c r="BS17" s="34">
        <f t="shared" si="15"/>
        <v>0</v>
      </c>
      <c r="BT17" s="56" t="s">
        <v>145</v>
      </c>
      <c r="BU17" s="34" t="s">
        <v>263</v>
      </c>
      <c r="BV17">
        <f t="shared" si="16"/>
        <v>0</v>
      </c>
      <c r="BW17" s="56" t="s">
        <v>145</v>
      </c>
      <c r="BX17" t="s">
        <v>263</v>
      </c>
      <c r="BY17" s="53"/>
      <c r="BZ17" s="57"/>
      <c r="CA17" s="57"/>
      <c r="CB17" s="57"/>
      <c r="CC17" s="53"/>
      <c r="CD17" s="57"/>
      <c r="CE17" s="57"/>
      <c r="CF17" s="57"/>
      <c r="CG17" s="53"/>
      <c r="CH17" s="57"/>
      <c r="CI17" s="57"/>
      <c r="CJ17" s="61"/>
    </row>
    <row r="18" spans="1:88" x14ac:dyDescent="0.25">
      <c r="A18" s="58"/>
      <c r="C18" s="72"/>
      <c r="I18" s="54"/>
      <c r="J18" s="57"/>
      <c r="K18" s="57"/>
      <c r="L18" s="61"/>
      <c r="M18" s="54"/>
      <c r="N18" s="57"/>
      <c r="O18" s="57"/>
      <c r="P18" s="61"/>
      <c r="R18" s="54"/>
      <c r="S18" s="57"/>
      <c r="T18" s="57"/>
      <c r="U18" s="54">
        <f t="shared" si="8"/>
        <v>1</v>
      </c>
      <c r="V18" s="57" t="s">
        <v>267</v>
      </c>
      <c r="W18" s="57">
        <v>150</v>
      </c>
      <c r="X18" s="61">
        <v>250</v>
      </c>
      <c r="Y18" s="54"/>
      <c r="Z18" s="57"/>
      <c r="AA18" s="57"/>
      <c r="AB18" s="61"/>
      <c r="AC18" s="57"/>
      <c r="AD18" s="57"/>
      <c r="AE18" s="54"/>
      <c r="AF18" s="57"/>
      <c r="AG18" s="61"/>
      <c r="AH18" s="54"/>
      <c r="AI18" s="57"/>
      <c r="AJ18" s="61"/>
      <c r="AZ18" s="50"/>
      <c r="BA18" s="34"/>
      <c r="BB18" s="51"/>
      <c r="BC18" s="34"/>
      <c r="BD18" s="56"/>
      <c r="BE18" s="34"/>
      <c r="BF18" s="53"/>
      <c r="BG18" s="70"/>
      <c r="BH18" s="56"/>
      <c r="BI18" s="34"/>
      <c r="BJ18" s="51"/>
      <c r="BK18" s="34"/>
      <c r="BL18" s="56"/>
      <c r="BM18" s="34"/>
      <c r="BN18" s="53"/>
      <c r="BO18" s="57"/>
      <c r="BP18" s="57"/>
      <c r="BQ18" s="57"/>
      <c r="BR18" s="53"/>
      <c r="BS18" s="34">
        <f t="shared" si="15"/>
        <v>0</v>
      </c>
      <c r="BT18" s="56" t="s">
        <v>146</v>
      </c>
      <c r="BU18" s="34" t="s">
        <v>266</v>
      </c>
      <c r="BV18">
        <f t="shared" si="16"/>
        <v>0</v>
      </c>
      <c r="BW18" s="56" t="s">
        <v>146</v>
      </c>
      <c r="BX18" s="57"/>
      <c r="BY18" s="53"/>
      <c r="BZ18" s="57"/>
      <c r="CA18" s="57"/>
      <c r="CB18" s="57"/>
      <c r="CC18" s="53"/>
      <c r="CD18" s="57"/>
      <c r="CE18" s="57"/>
      <c r="CF18" s="57"/>
      <c r="CG18" s="53"/>
      <c r="CH18" s="57"/>
      <c r="CI18" s="57"/>
      <c r="CJ18" s="61"/>
    </row>
    <row r="19" spans="1:88" x14ac:dyDescent="0.25">
      <c r="A19" s="58"/>
      <c r="C19" s="72"/>
      <c r="I19" s="54"/>
      <c r="J19" s="90"/>
      <c r="K19" s="57"/>
      <c r="L19" s="61"/>
      <c r="M19" s="54"/>
      <c r="N19" s="57"/>
      <c r="O19" s="57"/>
      <c r="P19" s="61"/>
      <c r="R19" s="83"/>
      <c r="S19" s="87"/>
      <c r="T19" s="87"/>
      <c r="U19" s="83">
        <f t="shared" si="8"/>
        <v>1</v>
      </c>
      <c r="V19" s="87" t="s">
        <v>268</v>
      </c>
      <c r="W19" s="87">
        <v>150</v>
      </c>
      <c r="X19" s="89">
        <v>280</v>
      </c>
      <c r="Y19" s="83"/>
      <c r="Z19" s="87"/>
      <c r="AA19" s="87"/>
      <c r="AB19" s="89"/>
      <c r="AC19" s="87"/>
      <c r="AD19" s="87"/>
      <c r="AE19" s="83"/>
      <c r="AF19" s="87"/>
      <c r="AG19" s="89"/>
      <c r="AH19" s="83"/>
      <c r="AI19" s="87"/>
      <c r="AJ19" s="89"/>
      <c r="AZ19" s="50"/>
      <c r="BA19" s="34"/>
      <c r="BB19" s="51"/>
      <c r="BC19" s="34"/>
      <c r="BD19" s="56"/>
      <c r="BE19" s="34"/>
      <c r="BF19" s="53"/>
      <c r="BG19" s="70"/>
      <c r="BH19" s="56"/>
      <c r="BI19" s="34"/>
      <c r="BJ19" s="51"/>
      <c r="BK19" s="34"/>
      <c r="BL19" s="56"/>
      <c r="BM19" s="34"/>
      <c r="BN19" s="53"/>
      <c r="BO19" s="57"/>
      <c r="BP19" s="57"/>
      <c r="BQ19" s="57"/>
      <c r="BR19" s="53"/>
      <c r="BS19" s="34">
        <f t="shared" si="15"/>
        <v>0</v>
      </c>
      <c r="BT19" s="56" t="s">
        <v>148</v>
      </c>
      <c r="BU19" s="34" t="s">
        <v>267</v>
      </c>
      <c r="BV19">
        <f t="shared" si="16"/>
        <v>0</v>
      </c>
      <c r="BW19" s="56" t="s">
        <v>148</v>
      </c>
      <c r="BX19" s="57"/>
      <c r="BY19" s="53"/>
      <c r="BZ19" s="57"/>
      <c r="CA19" s="57"/>
      <c r="CB19" s="57"/>
      <c r="CC19" s="53"/>
      <c r="CD19" s="57"/>
      <c r="CE19" s="57"/>
      <c r="CF19" s="57"/>
      <c r="CG19" s="53"/>
      <c r="CH19" s="57"/>
      <c r="CI19" s="57"/>
      <c r="CJ19" s="61"/>
    </row>
    <row r="20" spans="1:88" x14ac:dyDescent="0.25">
      <c r="A20" s="58"/>
      <c r="C20" s="72"/>
      <c r="I20" s="54"/>
      <c r="J20" s="90" t="s">
        <v>150</v>
      </c>
      <c r="K20" s="57">
        <v>958.4</v>
      </c>
      <c r="L20" s="61"/>
      <c r="M20" s="54"/>
      <c r="N20" s="57"/>
      <c r="O20" s="57"/>
      <c r="P20" s="61"/>
      <c r="AZ20" s="50"/>
      <c r="BA20" s="34"/>
      <c r="BB20" s="51"/>
      <c r="BC20" s="34"/>
      <c r="BD20" s="56"/>
      <c r="BE20" s="34"/>
      <c r="BF20" s="53"/>
      <c r="BG20" s="70"/>
      <c r="BH20" s="56"/>
      <c r="BI20" s="34"/>
      <c r="BJ20" s="51"/>
      <c r="BK20" s="34"/>
      <c r="BL20" s="56"/>
      <c r="BM20" s="34"/>
      <c r="BN20" s="53"/>
      <c r="BO20" s="57"/>
      <c r="BP20" s="57"/>
      <c r="BQ20" s="57"/>
      <c r="BR20" s="53"/>
      <c r="BS20" s="34">
        <f t="shared" si="15"/>
        <v>0</v>
      </c>
      <c r="BT20" s="56" t="s">
        <v>149</v>
      </c>
      <c r="BU20" s="34" t="s">
        <v>268</v>
      </c>
      <c r="BV20">
        <f t="shared" si="16"/>
        <v>0</v>
      </c>
      <c r="BW20" s="56" t="s">
        <v>149</v>
      </c>
      <c r="BX20" s="57"/>
      <c r="BY20" s="53"/>
      <c r="BZ20" s="57"/>
      <c r="CA20" s="57"/>
      <c r="CB20" s="57"/>
      <c r="CC20" s="53"/>
      <c r="CD20" s="57"/>
      <c r="CE20" s="57"/>
      <c r="CF20" s="57"/>
      <c r="CG20" s="53"/>
      <c r="CH20" s="57"/>
      <c r="CI20" s="57"/>
      <c r="CJ20" s="61"/>
    </row>
    <row r="21" spans="1:88" x14ac:dyDescent="0.25">
      <c r="I21" s="54"/>
      <c r="J21" s="90" t="s">
        <v>152</v>
      </c>
      <c r="K21" s="57">
        <v>0.5</v>
      </c>
      <c r="L21" s="61"/>
      <c r="M21" s="54"/>
      <c r="N21" s="57"/>
      <c r="O21" s="57"/>
      <c r="P21" s="61"/>
      <c r="AZ21" s="50"/>
      <c r="BA21" s="34"/>
      <c r="BB21" s="51"/>
      <c r="BC21" s="34"/>
      <c r="BD21" s="56"/>
      <c r="BE21" s="34"/>
      <c r="BF21" s="53"/>
      <c r="BG21" s="70"/>
      <c r="BH21" s="56"/>
      <c r="BI21" s="34"/>
      <c r="BJ21" s="51"/>
      <c r="BK21" s="34"/>
      <c r="BL21" s="56"/>
      <c r="BM21" s="34"/>
      <c r="BN21" s="53"/>
      <c r="BO21" s="57"/>
      <c r="BP21" s="57"/>
      <c r="BQ21" s="57"/>
      <c r="BR21" s="53"/>
      <c r="BS21" s="57"/>
      <c r="BT21" s="57"/>
      <c r="BU21" s="57"/>
      <c r="BV21" s="57"/>
      <c r="BW21" s="57"/>
      <c r="BX21" s="57"/>
      <c r="BY21" s="53"/>
      <c r="BZ21" s="57"/>
      <c r="CA21" s="57"/>
      <c r="CB21" s="57"/>
      <c r="CC21" s="53"/>
      <c r="CD21" s="57"/>
      <c r="CE21" s="57"/>
      <c r="CF21" s="57"/>
      <c r="CG21" s="53"/>
      <c r="CH21" s="57"/>
      <c r="CI21" s="57"/>
      <c r="CJ21" s="61"/>
    </row>
    <row r="22" spans="1:88" x14ac:dyDescent="0.25">
      <c r="I22" s="83"/>
      <c r="J22" s="91"/>
      <c r="K22" s="87"/>
      <c r="L22" s="89"/>
      <c r="M22" s="83"/>
      <c r="N22" s="87"/>
      <c r="O22" s="87"/>
      <c r="P22" s="89"/>
      <c r="AZ22" s="50"/>
      <c r="BA22" s="34"/>
      <c r="BB22" s="51"/>
      <c r="BC22" s="34"/>
      <c r="BD22" s="56"/>
      <c r="BE22" s="34"/>
      <c r="BF22" s="53"/>
      <c r="BG22" s="70"/>
      <c r="BH22" s="56"/>
      <c r="BI22" s="34"/>
      <c r="BJ22" s="51"/>
      <c r="BK22" s="34"/>
      <c r="BL22" s="56"/>
      <c r="BM22" s="34"/>
      <c r="BN22" s="53"/>
      <c r="BO22" s="57"/>
      <c r="BP22" s="57"/>
      <c r="BQ22" s="57"/>
      <c r="BR22" s="53"/>
      <c r="BS22" s="57"/>
      <c r="BT22" s="57"/>
      <c r="BU22" s="57"/>
      <c r="BV22" s="57"/>
      <c r="BW22" s="57"/>
      <c r="BX22" s="57"/>
      <c r="BY22" s="53"/>
      <c r="BZ22" s="57"/>
      <c r="CA22" s="57"/>
      <c r="CB22" s="57"/>
      <c r="CC22" s="53"/>
      <c r="CD22" s="57"/>
      <c r="CE22" s="57"/>
      <c r="CF22" s="57"/>
      <c r="CG22" s="53"/>
      <c r="CH22" s="57"/>
      <c r="CI22" s="57"/>
      <c r="CJ22" s="61"/>
    </row>
    <row r="23" spans="1:88" x14ac:dyDescent="0.25">
      <c r="AZ23" s="50"/>
      <c r="BA23" s="34"/>
      <c r="BB23" s="51"/>
      <c r="BC23" s="34"/>
      <c r="BD23" s="56"/>
      <c r="BE23" s="34"/>
      <c r="BF23" s="53"/>
      <c r="BG23" s="70"/>
      <c r="BH23" s="56"/>
      <c r="BI23" s="34"/>
      <c r="BJ23" s="51"/>
      <c r="BK23" s="34"/>
      <c r="BL23" s="56"/>
      <c r="BM23" s="34"/>
      <c r="BN23" s="53"/>
      <c r="BO23" s="57"/>
      <c r="BP23" s="57"/>
      <c r="BQ23" s="57"/>
      <c r="BR23" s="53"/>
      <c r="BS23" s="57"/>
      <c r="BT23" s="57"/>
      <c r="BU23" s="57"/>
      <c r="BV23" s="57"/>
      <c r="BW23" s="57"/>
      <c r="BX23" s="57"/>
      <c r="BY23" s="53"/>
      <c r="BZ23" s="57"/>
      <c r="CA23" s="57"/>
      <c r="CB23" s="57"/>
      <c r="CC23" s="53"/>
      <c r="CD23" s="57"/>
      <c r="CE23" s="57"/>
      <c r="CF23" s="57"/>
      <c r="CG23" s="53"/>
      <c r="CH23" s="57"/>
      <c r="CI23" s="57"/>
      <c r="CJ23" s="61"/>
    </row>
    <row r="24" spans="1:88" x14ac:dyDescent="0.25">
      <c r="AZ24" s="50"/>
      <c r="BA24" s="34"/>
      <c r="BB24" s="51"/>
      <c r="BC24" s="34"/>
      <c r="BD24" s="56"/>
      <c r="BE24" s="34"/>
      <c r="BF24" s="53"/>
      <c r="BG24" s="70"/>
      <c r="BH24" s="56"/>
      <c r="BI24" s="34"/>
      <c r="BJ24" s="51"/>
      <c r="BK24" s="34"/>
      <c r="BL24" s="56"/>
      <c r="BM24" s="34"/>
      <c r="BN24" s="53"/>
      <c r="BO24" s="57"/>
      <c r="BP24" s="57"/>
      <c r="BQ24" s="57"/>
      <c r="BR24" s="53"/>
      <c r="BS24" s="57"/>
      <c r="BT24" s="57"/>
      <c r="BU24" s="57"/>
      <c r="BV24" s="57"/>
      <c r="BW24" s="57"/>
      <c r="BX24" s="57"/>
      <c r="BY24" s="53"/>
      <c r="BZ24" s="57"/>
      <c r="CA24" s="57"/>
      <c r="CB24" s="57"/>
      <c r="CC24" s="53"/>
      <c r="CD24" s="57"/>
      <c r="CE24" s="57"/>
      <c r="CF24" s="57"/>
      <c r="CG24" s="53"/>
      <c r="CH24" s="57"/>
      <c r="CI24" s="57"/>
      <c r="CJ24" s="61"/>
    </row>
    <row r="25" spans="1:88" x14ac:dyDescent="0.25">
      <c r="AZ25" s="50"/>
      <c r="BA25" s="34"/>
      <c r="BB25" s="51"/>
      <c r="BC25" s="34"/>
      <c r="BD25" s="56"/>
      <c r="BE25" s="34"/>
      <c r="BF25" s="53"/>
      <c r="BG25" s="70"/>
      <c r="BH25" s="56"/>
      <c r="BI25" s="34"/>
      <c r="BJ25" s="51"/>
      <c r="BK25" s="34"/>
      <c r="BL25" s="56"/>
      <c r="BM25" s="34"/>
      <c r="BN25" s="53"/>
      <c r="BO25" s="57"/>
      <c r="BP25" s="57"/>
      <c r="BQ25" s="57"/>
      <c r="BR25" s="53"/>
      <c r="BS25" s="57"/>
      <c r="BT25" s="57"/>
      <c r="BU25" s="57"/>
      <c r="BV25" s="57"/>
      <c r="BW25" s="57"/>
      <c r="BX25" s="57"/>
      <c r="BY25" s="53"/>
      <c r="BZ25" s="57"/>
      <c r="CA25" s="57"/>
      <c r="CB25" s="57"/>
      <c r="CC25" s="53"/>
      <c r="CD25" s="57"/>
      <c r="CE25" s="57"/>
      <c r="CF25" s="57"/>
      <c r="CG25" s="53"/>
      <c r="CH25" s="57"/>
      <c r="CI25" s="57"/>
      <c r="CJ25" s="61"/>
    </row>
    <row r="26" spans="1:88" x14ac:dyDescent="0.25">
      <c r="AZ26" s="92"/>
      <c r="BA26" s="93"/>
      <c r="BB26" s="94"/>
      <c r="BC26" s="93"/>
      <c r="BD26" s="95"/>
      <c r="BE26" s="93"/>
      <c r="BF26" s="85"/>
      <c r="BG26" s="82"/>
      <c r="BH26" s="95"/>
      <c r="BI26" s="93"/>
      <c r="BJ26" s="94"/>
      <c r="BK26" s="93"/>
      <c r="BL26" s="95"/>
      <c r="BM26" s="93"/>
      <c r="BN26" s="85"/>
      <c r="BO26" s="87"/>
      <c r="BP26" s="87"/>
      <c r="BQ26" s="87"/>
      <c r="BR26" s="85"/>
      <c r="BS26" s="87"/>
      <c r="BT26" s="87"/>
      <c r="BU26" s="87"/>
      <c r="BV26" s="87"/>
      <c r="BW26" s="87"/>
      <c r="BX26" s="87"/>
      <c r="BY26" s="85"/>
      <c r="BZ26" s="87"/>
      <c r="CA26" s="87"/>
      <c r="CB26" s="87"/>
      <c r="CC26" s="85"/>
      <c r="CD26" s="87"/>
      <c r="CE26" s="87"/>
      <c r="CF26" s="87"/>
      <c r="CG26" s="85"/>
      <c r="CH26" s="87"/>
      <c r="CI26" s="87"/>
      <c r="CJ26" s="89"/>
    </row>
  </sheetData>
  <mergeCells count="21">
    <mergeCell ref="E9:F9"/>
    <mergeCell ref="B12:C12"/>
    <mergeCell ref="E12:F12"/>
    <mergeCell ref="B13:C13"/>
    <mergeCell ref="E16:F16"/>
    <mergeCell ref="CD2:CF2"/>
    <mergeCell ref="CH2:CJ2"/>
    <mergeCell ref="U3:X3"/>
    <mergeCell ref="Y3:AB3"/>
    <mergeCell ref="AE3:AG3"/>
    <mergeCell ref="AH3:AJ3"/>
    <mergeCell ref="BD2:BE2"/>
    <mergeCell ref="BL2:BM2"/>
    <mergeCell ref="BP2:BQ2"/>
    <mergeCell ref="BS2:BX2"/>
    <mergeCell ref="BZ2:CB2"/>
    <mergeCell ref="I2:P2"/>
    <mergeCell ref="R2:AB2"/>
    <mergeCell ref="AC2:AJ2"/>
    <mergeCell ref="AL2:AQ2"/>
    <mergeCell ref="AZ2:BA2"/>
  </mergeCells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AMK333"/>
  <sheetViews>
    <sheetView tabSelected="1" topLeftCell="A10" zoomScale="115" zoomScaleNormal="115" workbookViewId="0">
      <selection activeCell="BE5" sqref="BE5"/>
    </sheetView>
  </sheetViews>
  <sheetFormatPr defaultRowHeight="15" x14ac:dyDescent="0.25"/>
  <cols>
    <col min="1" max="1" width="9.140625" style="118" customWidth="1"/>
    <col min="2" max="2" width="4.7109375" style="118" customWidth="1"/>
    <col min="3" max="3" width="1.7109375" style="118" customWidth="1"/>
    <col min="4" max="4" width="3.140625" style="118" customWidth="1"/>
    <col min="5" max="5" width="1.7109375" style="118" customWidth="1"/>
    <col min="6" max="6" width="6.42578125" style="118" bestFit="1" customWidth="1"/>
    <col min="7" max="7" width="1.7109375" style="118" customWidth="1"/>
    <col min="8" max="8" width="4.85546875" style="118" customWidth="1"/>
    <col min="9" max="9" width="1.5703125" style="118" customWidth="1"/>
    <col min="10" max="10" width="4.85546875" style="118" customWidth="1"/>
    <col min="11" max="11" width="1.7109375" style="118" customWidth="1"/>
    <col min="12" max="12" width="3.140625" style="118" customWidth="1"/>
    <col min="13" max="13" width="1.7109375" style="118" customWidth="1"/>
    <col min="14" max="14" width="3.140625" style="118" customWidth="1"/>
    <col min="15" max="15" width="1.5703125" style="118" customWidth="1"/>
    <col min="16" max="16" width="4.85546875" style="118" customWidth="1"/>
    <col min="17" max="17" width="1.7109375" style="118" customWidth="1"/>
    <col min="18" max="18" width="3.140625" style="118" customWidth="1"/>
    <col min="19" max="19" width="1.7109375" style="118" customWidth="1"/>
    <col min="20" max="20" width="3.140625" style="118" customWidth="1"/>
    <col min="21" max="21" width="1.7109375" style="118" customWidth="1"/>
    <col min="22" max="22" width="3.140625" style="118" customWidth="1"/>
    <col min="23" max="23" width="1.7109375" style="118" customWidth="1"/>
    <col min="24" max="24" width="3.140625" style="118" customWidth="1"/>
    <col min="25" max="25" width="1.7109375" style="118" customWidth="1"/>
    <col min="26" max="26" width="3.140625" style="118" customWidth="1"/>
    <col min="27" max="27" width="1.7109375" style="118" customWidth="1"/>
    <col min="28" max="28" width="3.140625" style="118" customWidth="1"/>
    <col min="29" max="29" width="1.5703125" style="118" customWidth="1"/>
    <col min="30" max="30" width="3.5703125" style="118" customWidth="1"/>
    <col min="31" max="31" width="1.7109375" style="118" customWidth="1"/>
    <col min="32" max="32" width="3.140625" style="118" customWidth="1"/>
    <col min="33" max="33" width="1.7109375" style="118" customWidth="1"/>
    <col min="34" max="34" width="3.140625" style="118" customWidth="1"/>
    <col min="35" max="35" width="1.5703125" style="118" customWidth="1"/>
    <col min="36" max="36" width="3.140625" style="118" customWidth="1"/>
    <col min="37" max="37" width="1.7109375" style="118" customWidth="1"/>
    <col min="38" max="38" width="3.140625" style="118" customWidth="1"/>
    <col min="39" max="39" width="1.7109375" style="118" customWidth="1"/>
    <col min="40" max="40" width="3.140625" style="118" customWidth="1"/>
    <col min="41" max="41" width="1.7109375" style="118" customWidth="1"/>
    <col min="42" max="42" width="3.140625" style="118" customWidth="1"/>
    <col min="43" max="1025" width="9.140625" style="118" customWidth="1"/>
  </cols>
  <sheetData>
    <row r="1" spans="1:144" ht="15.75" thickBot="1" x14ac:dyDescent="0.3">
      <c r="A1" s="136" t="s">
        <v>269</v>
      </c>
      <c r="B1" s="136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8" t="s">
        <v>270</v>
      </c>
      <c r="Q1" s="148"/>
      <c r="R1" s="148"/>
      <c r="S1" s="148"/>
      <c r="T1" s="149"/>
      <c r="U1" s="149"/>
      <c r="V1" s="149"/>
      <c r="W1" s="149"/>
      <c r="X1" s="149"/>
      <c r="Y1" s="149"/>
      <c r="Z1" s="149"/>
      <c r="AA1" s="149"/>
      <c r="AB1" s="149"/>
      <c r="AC1" s="149"/>
      <c r="AD1" s="149"/>
      <c r="AE1" s="149"/>
      <c r="AF1" s="119"/>
      <c r="AG1" s="119"/>
      <c r="AH1" s="119"/>
      <c r="AI1" s="119"/>
      <c r="AJ1" s="119"/>
      <c r="AZ1" s="63"/>
      <c r="BA1" s="64"/>
      <c r="BB1" s="64"/>
      <c r="BC1" s="64"/>
      <c r="BD1" s="64"/>
      <c r="BE1" s="64"/>
      <c r="BF1" s="64"/>
      <c r="BG1" s="64"/>
      <c r="BH1" s="64"/>
      <c r="BI1" s="64"/>
      <c r="BJ1" s="64"/>
      <c r="BK1" s="64"/>
      <c r="BL1" s="64"/>
      <c r="BM1" s="64"/>
      <c r="BN1" s="64"/>
      <c r="BO1" s="64"/>
      <c r="BP1" s="64"/>
      <c r="BQ1" s="64"/>
      <c r="BR1" s="64"/>
      <c r="BS1" s="64"/>
      <c r="BT1" s="64"/>
      <c r="BU1" s="64"/>
      <c r="BV1" s="64"/>
      <c r="BW1" s="64"/>
      <c r="BX1" s="64"/>
      <c r="BY1" s="64"/>
      <c r="BZ1" s="64"/>
      <c r="CA1" s="64"/>
      <c r="CB1" s="64"/>
      <c r="CC1" s="64"/>
      <c r="CD1" s="64"/>
      <c r="CE1" s="64"/>
      <c r="CF1" s="64"/>
      <c r="CG1" s="64"/>
      <c r="CH1" s="64"/>
      <c r="CI1" s="64"/>
      <c r="CJ1" s="64"/>
      <c r="CK1" s="64"/>
      <c r="CL1" s="64"/>
      <c r="CM1" s="64"/>
      <c r="CN1" s="64"/>
      <c r="CO1" s="64"/>
      <c r="CP1" s="64"/>
      <c r="CQ1" s="64"/>
      <c r="CR1" s="64"/>
      <c r="CS1" s="64"/>
      <c r="CT1" s="64"/>
      <c r="CU1" s="64"/>
      <c r="CV1" s="64"/>
      <c r="CW1" s="64"/>
      <c r="CX1" s="64"/>
      <c r="CY1" s="64"/>
      <c r="CZ1" s="64"/>
      <c r="DA1" s="64"/>
      <c r="DB1" s="64"/>
      <c r="DC1" s="64"/>
      <c r="DD1" s="64"/>
      <c r="DE1" s="64"/>
      <c r="DF1" s="64"/>
      <c r="DG1" s="64"/>
      <c r="DH1" s="64"/>
      <c r="DI1" s="64"/>
      <c r="DJ1" s="64"/>
      <c r="DK1" s="64"/>
      <c r="DL1" s="64"/>
      <c r="DM1" s="64"/>
      <c r="DN1" s="64"/>
      <c r="DO1" s="64"/>
      <c r="DP1" s="64"/>
      <c r="DQ1" s="64"/>
      <c r="DR1" s="64"/>
      <c r="DS1" s="64"/>
      <c r="DT1" s="64"/>
      <c r="DU1" s="64"/>
      <c r="DV1" s="64"/>
      <c r="DW1" s="64"/>
      <c r="DX1" s="64"/>
      <c r="DY1" s="64"/>
      <c r="DZ1" s="64"/>
      <c r="EA1" s="64"/>
      <c r="EB1" s="64"/>
      <c r="EC1" s="64"/>
      <c r="ED1" s="64"/>
      <c r="EE1" s="64"/>
      <c r="EF1" s="64"/>
      <c r="EG1" s="64"/>
      <c r="EH1" s="64"/>
      <c r="EI1" s="64"/>
      <c r="EJ1" s="64"/>
      <c r="EK1" s="64"/>
      <c r="EL1" s="64"/>
      <c r="EM1" s="64"/>
      <c r="EN1" s="65"/>
    </row>
    <row r="2" spans="1:144" ht="15.75" thickBot="1" x14ac:dyDescent="0.3">
      <c r="A2" s="136"/>
      <c r="B2" s="136"/>
      <c r="C2" s="147"/>
      <c r="D2" s="147"/>
      <c r="E2" s="147"/>
      <c r="F2" s="147"/>
      <c r="G2" s="147"/>
      <c r="H2" s="147"/>
      <c r="I2" s="147"/>
      <c r="J2" s="147"/>
      <c r="K2" s="147"/>
      <c r="L2" s="147"/>
      <c r="M2" s="147"/>
      <c r="N2" s="147"/>
      <c r="O2" s="147"/>
      <c r="P2" s="148"/>
      <c r="Q2" s="148"/>
      <c r="R2" s="148"/>
      <c r="S2" s="148"/>
      <c r="T2" s="149"/>
      <c r="U2" s="149"/>
      <c r="V2" s="149"/>
      <c r="W2" s="149"/>
      <c r="X2" s="149"/>
      <c r="Y2" s="149"/>
      <c r="Z2" s="149"/>
      <c r="AA2" s="149"/>
      <c r="AB2" s="149"/>
      <c r="AC2" s="149"/>
      <c r="AD2" s="149"/>
      <c r="AE2" s="149"/>
      <c r="AF2" s="119"/>
      <c r="AG2" s="119"/>
      <c r="AH2" s="119"/>
      <c r="AI2" s="119"/>
      <c r="AJ2" s="119"/>
      <c r="AW2"/>
      <c r="AX2"/>
      <c r="AY2"/>
      <c r="AZ2" s="54"/>
      <c r="BA2" s="57" t="s">
        <v>1</v>
      </c>
      <c r="BB2" s="57"/>
      <c r="BC2" s="57"/>
      <c r="BD2" s="57"/>
      <c r="BE2" s="57"/>
      <c r="BF2" s="57"/>
      <c r="BG2" s="57"/>
      <c r="BH2" s="7" t="s">
        <v>30</v>
      </c>
      <c r="BI2" s="7"/>
      <c r="BJ2" s="7"/>
      <c r="BK2" s="7"/>
      <c r="BL2" s="7"/>
      <c r="BM2" s="7"/>
      <c r="BN2" s="7"/>
      <c r="BO2" s="7"/>
      <c r="BP2" s="57"/>
      <c r="BQ2" s="7" t="s">
        <v>31</v>
      </c>
      <c r="BR2" s="7"/>
      <c r="BS2" s="7"/>
      <c r="BT2" s="7"/>
      <c r="BU2" s="7"/>
      <c r="BV2" s="7"/>
      <c r="BW2" s="7"/>
      <c r="BX2" s="7"/>
      <c r="BY2" s="7"/>
      <c r="BZ2" s="7"/>
      <c r="CA2" s="7"/>
      <c r="CB2" s="7" t="s">
        <v>220</v>
      </c>
      <c r="CC2" s="7"/>
      <c r="CD2" s="7"/>
      <c r="CE2" s="7"/>
      <c r="CF2" s="7"/>
      <c r="CG2" s="7"/>
      <c r="CH2" s="7"/>
      <c r="CI2" s="7"/>
      <c r="CJ2" s="57"/>
      <c r="CK2" s="7" t="s">
        <v>221</v>
      </c>
      <c r="CL2" s="7"/>
      <c r="CM2" s="7"/>
      <c r="CN2" s="7"/>
      <c r="CO2" s="7"/>
      <c r="CP2" s="7"/>
      <c r="CQ2" s="57"/>
      <c r="CR2" s="57"/>
      <c r="CS2" s="57"/>
      <c r="CT2" s="57"/>
      <c r="CU2" s="57"/>
      <c r="CV2" s="57"/>
      <c r="CW2" s="57"/>
      <c r="CX2" s="57"/>
      <c r="CY2" s="13" t="s">
        <v>37</v>
      </c>
      <c r="CZ2" s="13"/>
      <c r="DA2" s="18"/>
      <c r="DB2" s="37"/>
      <c r="DC2" s="5" t="s">
        <v>38</v>
      </c>
      <c r="DD2" s="5"/>
      <c r="DE2" s="38"/>
      <c r="DF2" s="39"/>
      <c r="DG2" s="105" t="s">
        <v>39</v>
      </c>
      <c r="DH2" s="105"/>
      <c r="DI2" s="18"/>
      <c r="DJ2" s="37"/>
      <c r="DK2" s="5" t="s">
        <v>40</v>
      </c>
      <c r="DL2" s="5"/>
      <c r="DM2" s="18"/>
      <c r="DN2" s="37"/>
      <c r="DO2" s="5" t="s">
        <v>41</v>
      </c>
      <c r="DP2" s="5"/>
      <c r="DQ2" s="18"/>
      <c r="DR2" s="14" t="s">
        <v>42</v>
      </c>
      <c r="DS2" s="14"/>
      <c r="DT2" s="14"/>
      <c r="DU2" s="14"/>
      <c r="DV2" s="14"/>
      <c r="DW2" s="14"/>
      <c r="DX2" s="38"/>
      <c r="DY2" s="14" t="s">
        <v>43</v>
      </c>
      <c r="DZ2" s="14"/>
      <c r="EA2" s="14"/>
      <c r="EB2" s="38"/>
      <c r="EC2" s="14" t="s">
        <v>44</v>
      </c>
      <c r="ED2" s="14"/>
      <c r="EE2" s="14"/>
      <c r="EF2" s="38"/>
      <c r="EG2" s="14" t="s">
        <v>45</v>
      </c>
      <c r="EH2" s="14"/>
      <c r="EI2" s="14"/>
      <c r="EJ2" s="57"/>
      <c r="EK2" s="57"/>
      <c r="EL2" s="57"/>
      <c r="EM2" s="57"/>
      <c r="EN2" s="61"/>
    </row>
    <row r="3" spans="1:144" ht="15" customHeight="1" thickBot="1" x14ac:dyDescent="0.3">
      <c r="A3" s="139" t="s">
        <v>271</v>
      </c>
      <c r="B3" s="139"/>
      <c r="C3" s="150"/>
      <c r="D3" s="150"/>
      <c r="E3" s="150"/>
      <c r="F3" s="150"/>
      <c r="G3" s="150"/>
      <c r="H3" s="150"/>
      <c r="I3" s="150"/>
      <c r="J3" s="150"/>
      <c r="K3" s="150"/>
      <c r="L3" s="150"/>
      <c r="M3" s="150"/>
      <c r="N3" s="150"/>
      <c r="O3" s="150"/>
      <c r="P3" s="151" t="s">
        <v>272</v>
      </c>
      <c r="Q3" s="151"/>
      <c r="R3" s="151"/>
      <c r="S3" s="151"/>
      <c r="T3" s="152"/>
      <c r="U3" s="152"/>
      <c r="V3" s="152"/>
      <c r="W3" s="152"/>
      <c r="X3" s="152"/>
      <c r="Y3" s="152"/>
      <c r="Z3" s="152"/>
      <c r="AA3" s="152"/>
      <c r="AB3" s="152"/>
      <c r="AC3" s="152"/>
      <c r="AD3" s="152"/>
      <c r="AE3" s="152"/>
      <c r="AF3" s="119"/>
      <c r="AG3" s="119"/>
      <c r="AH3" s="119"/>
      <c r="AI3" s="119"/>
      <c r="AJ3" s="119"/>
      <c r="AW3" s="58"/>
      <c r="AX3"/>
      <c r="AY3"/>
      <c r="AZ3" s="54"/>
      <c r="BA3" s="57"/>
      <c r="BB3" s="57"/>
      <c r="BC3" s="57"/>
      <c r="BD3" s="57"/>
      <c r="BE3" s="57"/>
      <c r="BF3" s="57"/>
      <c r="BG3" s="57"/>
      <c r="BH3" s="42"/>
      <c r="BI3" s="43" t="s">
        <v>48</v>
      </c>
      <c r="BJ3" s="44" t="s">
        <v>49</v>
      </c>
      <c r="BK3" s="45" t="s">
        <v>50</v>
      </c>
      <c r="BL3" s="42"/>
      <c r="BM3" s="43" t="s">
        <v>222</v>
      </c>
      <c r="BN3" s="44" t="s">
        <v>49</v>
      </c>
      <c r="BO3" s="45" t="s">
        <v>50</v>
      </c>
      <c r="BP3" s="57"/>
      <c r="BQ3" s="42"/>
      <c r="BR3" s="43"/>
      <c r="BS3" s="45"/>
      <c r="BT3" s="7" t="s">
        <v>223</v>
      </c>
      <c r="BU3" s="7"/>
      <c r="BV3" s="7"/>
      <c r="BW3" s="7"/>
      <c r="BX3" s="7" t="s">
        <v>55</v>
      </c>
      <c r="BY3" s="7"/>
      <c r="BZ3" s="7"/>
      <c r="CA3" s="7"/>
      <c r="CB3" s="47"/>
      <c r="CC3" s="47"/>
      <c r="CD3" s="7" t="s">
        <v>55</v>
      </c>
      <c r="CE3" s="7"/>
      <c r="CF3" s="7"/>
      <c r="CG3" s="7" t="s">
        <v>53</v>
      </c>
      <c r="CH3" s="7"/>
      <c r="CI3" s="7"/>
      <c r="CJ3" s="57"/>
      <c r="CK3" s="63">
        <f t="shared" ref="CK3:CK10" si="0">IF($F$4&lt;CL3,1,0)</f>
        <v>1</v>
      </c>
      <c r="CL3" s="64">
        <v>2</v>
      </c>
      <c r="CM3" s="65" t="s">
        <v>224</v>
      </c>
      <c r="CN3" s="63">
        <f t="shared" ref="CN3:CN10" si="1">IF($F$14&lt;CO3,1,0)</f>
        <v>1</v>
      </c>
      <c r="CO3" s="64">
        <v>2</v>
      </c>
      <c r="CP3" s="65" t="s">
        <v>224</v>
      </c>
      <c r="CQ3" s="57"/>
      <c r="CR3" s="57"/>
      <c r="CS3" s="57"/>
      <c r="CT3" s="57"/>
      <c r="CU3" s="57"/>
      <c r="CV3" s="57"/>
      <c r="CW3" s="57"/>
      <c r="CX3" s="57"/>
      <c r="CY3" s="50" t="s">
        <v>61</v>
      </c>
      <c r="CZ3" s="34" t="s">
        <v>62</v>
      </c>
      <c r="DA3" s="51"/>
      <c r="DB3" s="34" t="s">
        <v>161</v>
      </c>
      <c r="DC3" s="52" t="s">
        <v>61</v>
      </c>
      <c r="DD3" s="31" t="s">
        <v>63</v>
      </c>
      <c r="DE3" s="53"/>
      <c r="DF3" s="34" t="s">
        <v>225</v>
      </c>
      <c r="DG3" s="52" t="s">
        <v>61</v>
      </c>
      <c r="DH3" s="31" t="s">
        <v>63</v>
      </c>
      <c r="DI3" s="51"/>
      <c r="DJ3" s="34" t="s">
        <v>226</v>
      </c>
      <c r="DK3" s="56" t="s">
        <v>61</v>
      </c>
      <c r="DL3" s="34" t="s">
        <v>218</v>
      </c>
      <c r="DM3" s="51"/>
      <c r="DN3" s="34" t="s">
        <v>227</v>
      </c>
      <c r="DO3" s="52" t="s">
        <v>61</v>
      </c>
      <c r="DP3" s="31" t="s">
        <v>218</v>
      </c>
      <c r="DQ3" s="51"/>
      <c r="DR3" s="34"/>
      <c r="DS3" s="52" t="s">
        <v>61</v>
      </c>
      <c r="DT3" s="31" t="s">
        <v>223</v>
      </c>
      <c r="DU3" s="31"/>
      <c r="DV3" s="52" t="s">
        <v>61</v>
      </c>
      <c r="DW3" s="31" t="s">
        <v>55</v>
      </c>
      <c r="DX3" s="53"/>
      <c r="DY3" s="34"/>
      <c r="DZ3" s="52" t="s">
        <v>61</v>
      </c>
      <c r="EA3" s="31" t="s">
        <v>31</v>
      </c>
      <c r="EB3" s="53"/>
      <c r="EC3" s="34" t="s">
        <v>228</v>
      </c>
      <c r="ED3" s="52" t="s">
        <v>61</v>
      </c>
      <c r="EE3" s="31" t="s">
        <v>63</v>
      </c>
      <c r="EF3" s="53"/>
      <c r="EG3" s="34"/>
      <c r="EH3" s="52" t="s">
        <v>61</v>
      </c>
      <c r="EI3" s="17" t="s">
        <v>228</v>
      </c>
      <c r="EJ3" s="57"/>
      <c r="EK3" s="57"/>
      <c r="EL3" s="57"/>
      <c r="EM3" s="57"/>
      <c r="EN3" s="61"/>
    </row>
    <row r="4" spans="1:144" x14ac:dyDescent="0.25">
      <c r="A4" s="139"/>
      <c r="B4" s="139"/>
      <c r="C4" s="150"/>
      <c r="D4" s="150"/>
      <c r="E4" s="150"/>
      <c r="F4" s="150"/>
      <c r="G4" s="150"/>
      <c r="H4" s="150"/>
      <c r="I4" s="150"/>
      <c r="J4" s="150"/>
      <c r="K4" s="150"/>
      <c r="L4" s="150"/>
      <c r="M4" s="150"/>
      <c r="N4" s="150"/>
      <c r="O4" s="150"/>
      <c r="P4" s="151"/>
      <c r="Q4" s="151"/>
      <c r="R4" s="151"/>
      <c r="S4" s="151"/>
      <c r="T4" s="152"/>
      <c r="U4" s="152"/>
      <c r="V4" s="152"/>
      <c r="W4" s="152"/>
      <c r="X4" s="152"/>
      <c r="Y4" s="152"/>
      <c r="Z4" s="152"/>
      <c r="AA4" s="152"/>
      <c r="AB4" s="152"/>
      <c r="AC4" s="152"/>
      <c r="AD4" s="152"/>
      <c r="AE4" s="152"/>
      <c r="AF4" s="119"/>
      <c r="AG4" s="119"/>
      <c r="AH4" s="119"/>
      <c r="AI4" s="119"/>
      <c r="AJ4" s="119"/>
      <c r="AW4" s="58"/>
      <c r="AX4"/>
      <c r="AY4" s="72"/>
      <c r="AZ4" s="170"/>
      <c r="BA4" s="57"/>
      <c r="BB4" s="57"/>
      <c r="BC4" s="57"/>
      <c r="BD4" s="57" t="s">
        <v>72</v>
      </c>
      <c r="BE4" s="74">
        <f>IF(BA47=0,(BE300+BE252+BE202+BE164),BE47)</f>
        <v>13.333333333333334</v>
      </c>
      <c r="BF4" s="57"/>
      <c r="BG4" s="57"/>
      <c r="BH4" s="54">
        <f t="shared" ref="BH4:BH17" si="2">IF($B$9&lt;12,(IF((BK4&gt;4)*AND(BK4&lt;16),2,0)),IF((BK4&gt;4)*AND(BK4&lt;20),2,0))</f>
        <v>0</v>
      </c>
      <c r="BI4" s="57">
        <v>15</v>
      </c>
      <c r="BJ4" s="57">
        <f>1/POWER((1.14+2*LOG10((BI4/1000)/($BJ$21/1000))),2)</f>
        <v>5.9655827422120798E-2</v>
      </c>
      <c r="BK4" s="61">
        <f>0.00638*BJ4*POWER($BE$4,2)/(POWER((BI4/1000),5)*$BJ$20)</f>
        <v>92971.090565514896</v>
      </c>
      <c r="BL4" s="63" t="e">
        <f t="shared" ref="BL4:BL17" si="3">IF($B$9&lt;12,(IF((BO4&gt;4)*AND(BO4&lt;16),2,0)),IF((BO4&gt;4)*AND(BO4&lt;20),2,0))</f>
        <v>#VALUE!</v>
      </c>
      <c r="BM4" s="64">
        <v>15</v>
      </c>
      <c r="BN4" s="64" t="e">
        <f t="shared" ref="BN4:BN17" si="4">1/POWER(1.14+2*LOG10((BM4/1000)/($K$21/1000)),2)</f>
        <v>#VALUE!</v>
      </c>
      <c r="BO4" s="65" t="e">
        <f t="shared" ref="BO4:BO17" si="5">0.00638*BN4*POWER($F$14,2)/(POWER(BM4/1000,5)*$K$20)</f>
        <v>#VALUE!</v>
      </c>
      <c r="BP4" s="57"/>
      <c r="BQ4" s="62" t="s">
        <v>73</v>
      </c>
      <c r="BR4" s="57">
        <v>3</v>
      </c>
      <c r="BS4" s="57"/>
      <c r="BT4" s="63">
        <f t="shared" ref="BT4:BT19" si="6">IF(BW4&gt;$S$5,1,0)</f>
        <v>1</v>
      </c>
      <c r="BU4" s="64" t="s">
        <v>229</v>
      </c>
      <c r="BV4" s="64">
        <v>15</v>
      </c>
      <c r="BW4" s="65">
        <v>1.6</v>
      </c>
      <c r="BX4" s="63">
        <f t="shared" ref="BX4:BX14" si="7">IF(CA4&gt;$S$5,1,0)</f>
        <v>1</v>
      </c>
      <c r="BY4" s="64" t="s">
        <v>230</v>
      </c>
      <c r="BZ4" s="64">
        <v>15</v>
      </c>
      <c r="CA4" s="65">
        <v>4</v>
      </c>
      <c r="CB4" s="62" t="s">
        <v>231</v>
      </c>
      <c r="CC4" s="57">
        <v>1.5</v>
      </c>
      <c r="CD4" s="54">
        <f t="shared" ref="CD4:CD15" si="8">IF(CF4&gt;$AD$5,1,0)</f>
        <v>1</v>
      </c>
      <c r="CE4" s="64">
        <v>15</v>
      </c>
      <c r="CF4" s="65">
        <v>2.5</v>
      </c>
      <c r="CG4" s="54">
        <f t="shared" ref="CG4:CG14" si="9">IF(CI4&gt;$AD$5,1,0)</f>
        <v>1</v>
      </c>
      <c r="CH4" s="64">
        <v>15</v>
      </c>
      <c r="CI4" s="65">
        <v>2</v>
      </c>
      <c r="CJ4" s="57"/>
      <c r="CK4" s="54">
        <f t="shared" si="0"/>
        <v>1</v>
      </c>
      <c r="CL4" s="57">
        <v>4</v>
      </c>
      <c r="CM4" s="61" t="s">
        <v>232</v>
      </c>
      <c r="CN4" s="54">
        <f t="shared" si="1"/>
        <v>1</v>
      </c>
      <c r="CO4" s="57">
        <v>4</v>
      </c>
      <c r="CP4" s="61" t="s">
        <v>232</v>
      </c>
      <c r="CQ4" s="57"/>
      <c r="CR4" s="57"/>
      <c r="CS4" s="57"/>
      <c r="CT4" s="57"/>
      <c r="CU4" s="57"/>
      <c r="CV4" s="57"/>
      <c r="CW4" s="57"/>
      <c r="CX4" s="57"/>
      <c r="CY4" s="50" t="s">
        <v>78</v>
      </c>
      <c r="CZ4" s="34" t="s">
        <v>233</v>
      </c>
      <c r="DA4" s="51"/>
      <c r="DB4" s="34">
        <f>IF($BE$5=DD4,1,0)</f>
        <v>0</v>
      </c>
      <c r="DC4" s="56" t="s">
        <v>80</v>
      </c>
      <c r="DD4" s="34">
        <v>15</v>
      </c>
      <c r="DE4" s="53"/>
      <c r="DF4" s="34">
        <f t="shared" ref="DF4:DF12" si="10">IF($F$15=DH4,1,0)</f>
        <v>0</v>
      </c>
      <c r="DG4" s="56" t="s">
        <v>78</v>
      </c>
      <c r="DH4" s="34">
        <v>15</v>
      </c>
      <c r="DI4" s="51"/>
      <c r="DJ4" s="34">
        <f t="shared" ref="DJ4:DJ12" si="11">IF($E$12=DL4,1,0)</f>
        <v>0</v>
      </c>
      <c r="DK4" s="56" t="s">
        <v>78</v>
      </c>
      <c r="DL4" s="34" t="s">
        <v>224</v>
      </c>
      <c r="DM4" s="51"/>
      <c r="DN4" s="34">
        <f t="shared" ref="DN4:DN12" si="12">IF($E$16=DP4,1,0)</f>
        <v>0</v>
      </c>
      <c r="DO4" s="56" t="s">
        <v>78</v>
      </c>
      <c r="DP4" s="34" t="s">
        <v>224</v>
      </c>
      <c r="DQ4" s="51"/>
      <c r="DR4" s="34">
        <f t="shared" ref="DR4:DR20" si="13">IF($E$9=DT4,1,0)</f>
        <v>1</v>
      </c>
      <c r="DS4" s="56" t="s">
        <v>81</v>
      </c>
      <c r="DT4" s="34"/>
      <c r="DU4" s="57">
        <f t="shared" ref="DU4:DU20" si="14">IF($E$9=DW4,1,0)</f>
        <v>0</v>
      </c>
      <c r="DV4" s="56" t="s">
        <v>81</v>
      </c>
      <c r="DW4" s="57" t="s">
        <v>234</v>
      </c>
      <c r="DX4" s="53"/>
      <c r="DY4" s="34">
        <f>IF($B$12=EA4,1,0)</f>
        <v>0</v>
      </c>
      <c r="DZ4" s="56" t="s">
        <v>78</v>
      </c>
      <c r="EA4" s="34" t="s">
        <v>53</v>
      </c>
      <c r="EB4" s="53"/>
      <c r="EC4" s="34">
        <f t="shared" ref="EC4:EC15" si="15">IF($F$10=EE4,1,0)</f>
        <v>0</v>
      </c>
      <c r="ED4" s="56" t="s">
        <v>80</v>
      </c>
      <c r="EE4" s="34">
        <v>15</v>
      </c>
      <c r="EF4" s="53"/>
      <c r="EG4" s="34">
        <f>IF($B$13=EI4,1,0)</f>
        <v>0</v>
      </c>
      <c r="EH4" s="56" t="s">
        <v>78</v>
      </c>
      <c r="EI4" s="55" t="s">
        <v>53</v>
      </c>
      <c r="EJ4" s="57"/>
      <c r="EK4" s="57"/>
      <c r="EL4" s="57"/>
      <c r="EM4" s="57"/>
      <c r="EN4" s="61"/>
    </row>
    <row r="5" spans="1:144" ht="15" customHeight="1" x14ac:dyDescent="0.25">
      <c r="A5" s="139" t="s">
        <v>273</v>
      </c>
      <c r="B5" s="139"/>
      <c r="C5" s="153"/>
      <c r="D5" s="153"/>
      <c r="E5" s="153"/>
      <c r="F5" s="153"/>
      <c r="G5" s="153"/>
      <c r="H5" s="153"/>
      <c r="I5" s="153"/>
      <c r="J5" s="153"/>
      <c r="K5" s="153"/>
      <c r="L5" s="153"/>
      <c r="M5" s="153"/>
      <c r="N5" s="153"/>
      <c r="O5" s="153"/>
      <c r="P5" s="154" t="s">
        <v>274</v>
      </c>
      <c r="Q5" s="154"/>
      <c r="R5" s="154"/>
      <c r="S5" s="154"/>
      <c r="T5" s="152"/>
      <c r="U5" s="152"/>
      <c r="V5" s="152"/>
      <c r="W5" s="152"/>
      <c r="X5" s="152"/>
      <c r="Y5" s="152"/>
      <c r="Z5" s="152"/>
      <c r="AA5" s="152"/>
      <c r="AB5" s="152"/>
      <c r="AC5" s="152"/>
      <c r="AD5" s="152"/>
      <c r="AE5" s="152"/>
      <c r="AF5" s="119"/>
      <c r="AG5" s="119"/>
      <c r="AH5" s="119"/>
      <c r="AI5" s="119"/>
      <c r="AJ5" s="119"/>
      <c r="AW5" s="58"/>
      <c r="AX5"/>
      <c r="AY5" s="72"/>
      <c r="AZ5" s="170"/>
      <c r="BA5" s="57"/>
      <c r="BB5" s="171"/>
      <c r="BC5" s="57"/>
      <c r="BD5" s="57" t="s">
        <v>48</v>
      </c>
      <c r="BE5" s="57">
        <f>VLOOKUP(2,BH4:BK17,2,0)</f>
        <v>80</v>
      </c>
      <c r="BF5" s="57"/>
      <c r="BG5" s="57"/>
      <c r="BH5" s="54">
        <f t="shared" si="2"/>
        <v>0</v>
      </c>
      <c r="BI5" s="57">
        <v>20</v>
      </c>
      <c r="BJ5" s="57">
        <f t="shared" ref="BJ5:BJ17" si="16">1/POWER((1.14+2*LOG10((BI5/1000)/($BJ$21/1000))),2)</f>
        <v>5.2990299783484442E-2</v>
      </c>
      <c r="BK5" s="61">
        <f t="shared" ref="BK5:BK17" si="17">0.00638*BJ5*POWER($BE$4,2)/(POWER((BI5/1000),5)*$BJ$20)</f>
        <v>19597.367871141181</v>
      </c>
      <c r="BL5" s="54" t="e">
        <f t="shared" si="3"/>
        <v>#VALUE!</v>
      </c>
      <c r="BM5" s="57">
        <v>20</v>
      </c>
      <c r="BN5" s="57" t="e">
        <f t="shared" si="4"/>
        <v>#VALUE!</v>
      </c>
      <c r="BO5" s="61" t="e">
        <f t="shared" si="5"/>
        <v>#VALUE!</v>
      </c>
      <c r="BP5" s="57"/>
      <c r="BQ5" s="62" t="s">
        <v>87</v>
      </c>
      <c r="BR5" s="74">
        <f>BE4/SQRT(0.1*BR4)</f>
        <v>24.343224778007382</v>
      </c>
      <c r="BS5" s="74"/>
      <c r="BT5" s="54">
        <f t="shared" si="6"/>
        <v>1</v>
      </c>
      <c r="BU5" s="57" t="s">
        <v>235</v>
      </c>
      <c r="BV5" s="57">
        <v>15</v>
      </c>
      <c r="BW5" s="61">
        <v>2.5</v>
      </c>
      <c r="BX5" s="54">
        <f t="shared" si="7"/>
        <v>1</v>
      </c>
      <c r="BY5" s="57" t="s">
        <v>236</v>
      </c>
      <c r="BZ5" s="57">
        <v>20</v>
      </c>
      <c r="CA5" s="61">
        <v>6.3</v>
      </c>
      <c r="CB5" s="62" t="s">
        <v>87</v>
      </c>
      <c r="CC5" s="74">
        <f>BE4/SQRT(0.1*CC4)</f>
        <v>34.426518632954817</v>
      </c>
      <c r="CD5" s="54">
        <f t="shared" si="8"/>
        <v>1</v>
      </c>
      <c r="CE5" s="57">
        <v>20</v>
      </c>
      <c r="CF5" s="61">
        <v>5</v>
      </c>
      <c r="CG5" s="54">
        <f t="shared" si="9"/>
        <v>1</v>
      </c>
      <c r="CH5" s="57">
        <v>20</v>
      </c>
      <c r="CI5" s="61">
        <v>4.5</v>
      </c>
      <c r="CJ5" s="57"/>
      <c r="CK5" s="54">
        <f t="shared" si="0"/>
        <v>1</v>
      </c>
      <c r="CL5" s="57">
        <v>10</v>
      </c>
      <c r="CM5" s="61" t="s">
        <v>237</v>
      </c>
      <c r="CN5" s="54">
        <f t="shared" si="1"/>
        <v>1</v>
      </c>
      <c r="CO5" s="57">
        <v>10</v>
      </c>
      <c r="CP5" s="61" t="s">
        <v>237</v>
      </c>
      <c r="CQ5" s="57"/>
      <c r="CR5" s="57"/>
      <c r="CS5" s="57"/>
      <c r="CT5" s="57"/>
      <c r="CU5" s="57"/>
      <c r="CV5" s="57"/>
      <c r="CW5" s="57"/>
      <c r="CX5" s="57"/>
      <c r="CY5" s="50" t="s">
        <v>94</v>
      </c>
      <c r="CZ5" s="34" t="s">
        <v>238</v>
      </c>
      <c r="DA5" s="51"/>
      <c r="DB5" s="34">
        <f t="shared" ref="DB5:DB15" si="18">IF($BE$5=DD5,1,0)</f>
        <v>0</v>
      </c>
      <c r="DC5" s="56" t="s">
        <v>96</v>
      </c>
      <c r="DD5" s="34">
        <v>20</v>
      </c>
      <c r="DE5" s="53"/>
      <c r="DF5" s="34">
        <f t="shared" si="10"/>
        <v>0</v>
      </c>
      <c r="DG5" s="56" t="s">
        <v>94</v>
      </c>
      <c r="DH5" s="34">
        <v>20</v>
      </c>
      <c r="DI5" s="51"/>
      <c r="DJ5" s="34">
        <f t="shared" si="11"/>
        <v>0</v>
      </c>
      <c r="DK5" s="56" t="s">
        <v>94</v>
      </c>
      <c r="DL5" s="34" t="s">
        <v>232</v>
      </c>
      <c r="DM5" s="51"/>
      <c r="DN5" s="34">
        <f t="shared" si="12"/>
        <v>0</v>
      </c>
      <c r="DO5" s="56" t="s">
        <v>94</v>
      </c>
      <c r="DP5" s="34" t="s">
        <v>232</v>
      </c>
      <c r="DQ5" s="51"/>
      <c r="DR5" s="34">
        <f t="shared" si="13"/>
        <v>0</v>
      </c>
      <c r="DS5" s="56" t="s">
        <v>80</v>
      </c>
      <c r="DT5" s="34" t="s">
        <v>229</v>
      </c>
      <c r="DU5" s="57">
        <f t="shared" si="14"/>
        <v>1</v>
      </c>
      <c r="DV5" s="56" t="s">
        <v>80</v>
      </c>
      <c r="DW5" s="34"/>
      <c r="DX5" s="53"/>
      <c r="DY5" s="34">
        <f>IF($B$12=EA5,1,0)</f>
        <v>0</v>
      </c>
      <c r="DZ5" s="56" t="s">
        <v>94</v>
      </c>
      <c r="EA5" s="34" t="s">
        <v>55</v>
      </c>
      <c r="EB5" s="53"/>
      <c r="EC5" s="34">
        <f t="shared" si="15"/>
        <v>0</v>
      </c>
      <c r="ED5" s="56" t="s">
        <v>96</v>
      </c>
      <c r="EE5" s="34">
        <v>20</v>
      </c>
      <c r="EF5" s="53"/>
      <c r="EG5" s="34">
        <f>IF($B$13=EI5,1,0)</f>
        <v>0</v>
      </c>
      <c r="EH5" s="56" t="s">
        <v>94</v>
      </c>
      <c r="EI5" s="55" t="s">
        <v>55</v>
      </c>
      <c r="EJ5" s="57"/>
      <c r="EK5" s="57"/>
      <c r="EL5" s="57"/>
      <c r="EM5" s="57"/>
      <c r="EN5" s="61"/>
    </row>
    <row r="6" spans="1:144" x14ac:dyDescent="0.25">
      <c r="A6" s="139"/>
      <c r="B6" s="139"/>
      <c r="C6" s="153"/>
      <c r="D6" s="153"/>
      <c r="E6" s="153"/>
      <c r="F6" s="153"/>
      <c r="G6" s="153"/>
      <c r="H6" s="153"/>
      <c r="I6" s="153"/>
      <c r="J6" s="153"/>
      <c r="K6" s="153"/>
      <c r="L6" s="153"/>
      <c r="M6" s="153"/>
      <c r="N6" s="153"/>
      <c r="O6" s="153"/>
      <c r="P6" s="154"/>
      <c r="Q6" s="154"/>
      <c r="R6" s="154"/>
      <c r="S6" s="154"/>
      <c r="T6" s="152"/>
      <c r="U6" s="152"/>
      <c r="V6" s="152"/>
      <c r="W6" s="152"/>
      <c r="X6" s="152"/>
      <c r="Y6" s="152"/>
      <c r="Z6" s="152"/>
      <c r="AA6" s="152"/>
      <c r="AB6" s="152"/>
      <c r="AC6" s="152"/>
      <c r="AD6" s="152"/>
      <c r="AE6" s="152"/>
      <c r="AF6" s="119"/>
      <c r="AG6" s="119"/>
      <c r="AH6" s="119"/>
      <c r="AI6" s="119"/>
      <c r="AJ6" s="119"/>
      <c r="AW6" s="58"/>
      <c r="AX6"/>
      <c r="AY6" s="72"/>
      <c r="AZ6" s="170"/>
      <c r="BA6" s="57"/>
      <c r="BB6" s="171"/>
      <c r="BC6" s="57"/>
      <c r="BD6" s="57" t="s">
        <v>99</v>
      </c>
      <c r="BE6" s="57" t="str">
        <f>VLOOKUP(1,IF(BA12="Danfoss",BX4:CA13,BT4:BW19),2,0)</f>
        <v>15-4,0</v>
      </c>
      <c r="BF6" s="57"/>
      <c r="BG6" s="57"/>
      <c r="BH6" s="54">
        <f t="shared" si="2"/>
        <v>0</v>
      </c>
      <c r="BI6" s="57">
        <v>25</v>
      </c>
      <c r="BJ6" s="57">
        <f t="shared" si="16"/>
        <v>4.8560427292756572E-2</v>
      </c>
      <c r="BK6" s="61">
        <f t="shared" si="17"/>
        <v>5884.8283946365</v>
      </c>
      <c r="BL6" s="54" t="e">
        <f t="shared" si="3"/>
        <v>#VALUE!</v>
      </c>
      <c r="BM6" s="57">
        <v>25</v>
      </c>
      <c r="BN6" s="57" t="e">
        <f t="shared" si="4"/>
        <v>#VALUE!</v>
      </c>
      <c r="BO6" s="61" t="e">
        <f t="shared" si="5"/>
        <v>#VALUE!</v>
      </c>
      <c r="BP6" s="57"/>
      <c r="BQ6" s="54"/>
      <c r="BR6" s="57"/>
      <c r="BS6" s="57"/>
      <c r="BT6" s="54">
        <f t="shared" si="6"/>
        <v>1</v>
      </c>
      <c r="BU6" s="57" t="s">
        <v>239</v>
      </c>
      <c r="BV6" s="57">
        <v>20</v>
      </c>
      <c r="BW6" s="61">
        <v>4</v>
      </c>
      <c r="BX6" s="54">
        <f t="shared" si="7"/>
        <v>1</v>
      </c>
      <c r="BY6" s="57" t="s">
        <v>240</v>
      </c>
      <c r="BZ6" s="57">
        <v>25</v>
      </c>
      <c r="CA6" s="61">
        <v>8</v>
      </c>
      <c r="CB6" s="57"/>
      <c r="CC6" s="57"/>
      <c r="CD6" s="54">
        <f t="shared" si="8"/>
        <v>1</v>
      </c>
      <c r="CE6" s="57">
        <v>25</v>
      </c>
      <c r="CF6" s="61">
        <v>7</v>
      </c>
      <c r="CG6" s="54">
        <f t="shared" si="9"/>
        <v>1</v>
      </c>
      <c r="CH6" s="57">
        <v>25</v>
      </c>
      <c r="CI6" s="61">
        <v>7</v>
      </c>
      <c r="CJ6" s="57"/>
      <c r="CK6" s="54">
        <f t="shared" si="0"/>
        <v>1</v>
      </c>
      <c r="CL6" s="57">
        <v>15</v>
      </c>
      <c r="CM6" s="61" t="s">
        <v>241</v>
      </c>
      <c r="CN6" s="54">
        <f t="shared" si="1"/>
        <v>1</v>
      </c>
      <c r="CO6" s="57">
        <v>15</v>
      </c>
      <c r="CP6" s="61" t="s">
        <v>241</v>
      </c>
      <c r="CQ6" s="57"/>
      <c r="CR6" s="57"/>
      <c r="CS6" s="57"/>
      <c r="CT6" s="57"/>
      <c r="CU6" s="57"/>
      <c r="CV6" s="57"/>
      <c r="CW6" s="57"/>
      <c r="CX6" s="57"/>
      <c r="CY6" s="50"/>
      <c r="CZ6" s="34"/>
      <c r="DA6" s="51"/>
      <c r="DB6" s="34">
        <f t="shared" si="18"/>
        <v>0</v>
      </c>
      <c r="DC6" s="56" t="s">
        <v>103</v>
      </c>
      <c r="DD6" s="34">
        <v>25</v>
      </c>
      <c r="DE6" s="53"/>
      <c r="DF6" s="34">
        <f t="shared" si="10"/>
        <v>0</v>
      </c>
      <c r="DG6" s="56" t="s">
        <v>104</v>
      </c>
      <c r="DH6" s="34">
        <v>25</v>
      </c>
      <c r="DI6" s="51"/>
      <c r="DJ6" s="34">
        <f t="shared" si="11"/>
        <v>0</v>
      </c>
      <c r="DK6" s="56" t="s">
        <v>104</v>
      </c>
      <c r="DL6" s="34" t="s">
        <v>237</v>
      </c>
      <c r="DM6" s="51"/>
      <c r="DN6" s="34">
        <f t="shared" si="12"/>
        <v>0</v>
      </c>
      <c r="DO6" s="56" t="s">
        <v>104</v>
      </c>
      <c r="DP6" s="34" t="s">
        <v>237</v>
      </c>
      <c r="DQ6" s="51"/>
      <c r="DR6" s="34">
        <f t="shared" si="13"/>
        <v>0</v>
      </c>
      <c r="DS6" s="56" t="s">
        <v>96</v>
      </c>
      <c r="DT6" s="34" t="s">
        <v>235</v>
      </c>
      <c r="DU6" s="57">
        <f t="shared" si="14"/>
        <v>0</v>
      </c>
      <c r="DV6" s="56" t="s">
        <v>96</v>
      </c>
      <c r="DW6" s="57" t="s">
        <v>230</v>
      </c>
      <c r="DX6" s="53"/>
      <c r="DY6" s="34">
        <f>IF($B$12=EA6,1,0)</f>
        <v>0</v>
      </c>
      <c r="DZ6" s="56" t="s">
        <v>104</v>
      </c>
      <c r="EA6" s="76" t="s">
        <v>223</v>
      </c>
      <c r="EB6" s="53"/>
      <c r="EC6" s="34">
        <f t="shared" si="15"/>
        <v>0</v>
      </c>
      <c r="ED6" s="56" t="s">
        <v>103</v>
      </c>
      <c r="EE6" s="76">
        <v>25</v>
      </c>
      <c r="EF6" s="53"/>
      <c r="EG6" s="34">
        <f>IF($B$13=EI6,1,0)</f>
        <v>0</v>
      </c>
      <c r="EH6" s="56" t="s">
        <v>104</v>
      </c>
      <c r="EI6" s="30" t="s">
        <v>242</v>
      </c>
      <c r="EJ6" s="57"/>
      <c r="EK6" s="57"/>
      <c r="EL6" s="57"/>
      <c r="EM6" s="57"/>
      <c r="EN6" s="61"/>
    </row>
    <row r="7" spans="1:144" x14ac:dyDescent="0.25">
      <c r="A7" s="138" t="s">
        <v>275</v>
      </c>
      <c r="B7" s="138"/>
      <c r="C7" s="155"/>
      <c r="D7" s="155"/>
      <c r="E7" s="155"/>
      <c r="F7" s="155"/>
      <c r="G7" s="155"/>
      <c r="H7" s="155"/>
      <c r="I7" s="155"/>
      <c r="J7" s="155"/>
      <c r="K7" s="155"/>
      <c r="L7" s="155"/>
      <c r="M7" s="155"/>
      <c r="N7" s="155"/>
      <c r="O7" s="155"/>
      <c r="P7" s="155"/>
      <c r="Q7" s="155"/>
      <c r="R7" s="155"/>
      <c r="S7" s="155"/>
      <c r="T7" s="155"/>
      <c r="U7" s="155"/>
      <c r="V7" s="155"/>
      <c r="W7" s="155"/>
      <c r="X7" s="155"/>
      <c r="Y7" s="155"/>
      <c r="Z7" s="155"/>
      <c r="AA7" s="155"/>
      <c r="AB7" s="155"/>
      <c r="AC7" s="155"/>
      <c r="AD7" s="155"/>
      <c r="AE7" s="155"/>
      <c r="AF7" s="119"/>
      <c r="AG7" s="119"/>
      <c r="AH7" s="119"/>
      <c r="AI7" s="119"/>
      <c r="AJ7" s="119"/>
      <c r="AW7" s="58"/>
      <c r="AX7"/>
      <c r="AY7" s="72"/>
      <c r="AZ7" s="170"/>
      <c r="BA7" s="57"/>
      <c r="BB7" s="171"/>
      <c r="BC7" s="57"/>
      <c r="BD7" s="57" t="s">
        <v>106</v>
      </c>
      <c r="BE7" s="57">
        <f>VLOOKUP(1,IF(BA12="Danfoss",BX4:CA13,BT4:BW19),3,0)</f>
        <v>15</v>
      </c>
      <c r="BF7" s="57"/>
      <c r="BG7" s="57"/>
      <c r="BH7" s="54">
        <f t="shared" si="2"/>
        <v>0</v>
      </c>
      <c r="BI7" s="57">
        <v>32</v>
      </c>
      <c r="BJ7" s="57">
        <f t="shared" si="16"/>
        <v>4.4277322004702871E-2</v>
      </c>
      <c r="BK7" s="61">
        <f t="shared" si="17"/>
        <v>1561.646748011487</v>
      </c>
      <c r="BL7" s="54" t="e">
        <f t="shared" si="3"/>
        <v>#VALUE!</v>
      </c>
      <c r="BM7" s="57">
        <v>32</v>
      </c>
      <c r="BN7" s="57" t="e">
        <f t="shared" si="4"/>
        <v>#VALUE!</v>
      </c>
      <c r="BO7" s="61" t="e">
        <f t="shared" si="5"/>
        <v>#VALUE!</v>
      </c>
      <c r="BP7" s="57"/>
      <c r="BQ7" s="54"/>
      <c r="BR7" s="57"/>
      <c r="BS7" s="57"/>
      <c r="BT7" s="54">
        <f t="shared" si="6"/>
        <v>1</v>
      </c>
      <c r="BU7" s="57" t="s">
        <v>243</v>
      </c>
      <c r="BV7" s="57">
        <v>20</v>
      </c>
      <c r="BW7" s="61">
        <v>6.3</v>
      </c>
      <c r="BX7" s="54">
        <f t="shared" si="7"/>
        <v>1</v>
      </c>
      <c r="BY7" s="57" t="s">
        <v>244</v>
      </c>
      <c r="BZ7" s="57">
        <v>32</v>
      </c>
      <c r="CA7" s="61">
        <v>16</v>
      </c>
      <c r="CB7" s="57"/>
      <c r="CC7" s="57"/>
      <c r="CD7" s="54">
        <f t="shared" si="8"/>
        <v>1</v>
      </c>
      <c r="CE7" s="57">
        <v>32</v>
      </c>
      <c r="CF7" s="61">
        <v>10</v>
      </c>
      <c r="CG7" s="54">
        <f t="shared" si="9"/>
        <v>1</v>
      </c>
      <c r="CH7" s="57">
        <v>32</v>
      </c>
      <c r="CI7" s="61">
        <v>10</v>
      </c>
      <c r="CJ7" s="57"/>
      <c r="CK7" s="54">
        <f t="shared" si="0"/>
        <v>1</v>
      </c>
      <c r="CL7" s="57">
        <v>25</v>
      </c>
      <c r="CM7" s="61" t="s">
        <v>245</v>
      </c>
      <c r="CN7" s="54">
        <f t="shared" si="1"/>
        <v>1</v>
      </c>
      <c r="CO7" s="57">
        <v>25</v>
      </c>
      <c r="CP7" s="61" t="s">
        <v>245</v>
      </c>
      <c r="CQ7" s="57"/>
      <c r="CR7" s="57"/>
      <c r="CS7" s="57"/>
      <c r="CT7" s="57"/>
      <c r="CU7" s="57"/>
      <c r="CV7" s="57"/>
      <c r="CW7" s="57"/>
      <c r="CX7" s="57"/>
      <c r="CY7" s="50"/>
      <c r="CZ7" s="34"/>
      <c r="DA7" s="51"/>
      <c r="DB7" s="34">
        <f t="shared" si="18"/>
        <v>0</v>
      </c>
      <c r="DC7" s="56" t="s">
        <v>110</v>
      </c>
      <c r="DD7" s="34">
        <v>32</v>
      </c>
      <c r="DE7" s="53"/>
      <c r="DF7" s="34">
        <f t="shared" si="10"/>
        <v>0</v>
      </c>
      <c r="DG7" s="56" t="s">
        <v>116</v>
      </c>
      <c r="DH7" s="34">
        <v>32</v>
      </c>
      <c r="DI7" s="51"/>
      <c r="DJ7" s="34">
        <f t="shared" si="11"/>
        <v>0</v>
      </c>
      <c r="DK7" s="56" t="s">
        <v>116</v>
      </c>
      <c r="DL7" s="34" t="s">
        <v>241</v>
      </c>
      <c r="DM7" s="51"/>
      <c r="DN7" s="34">
        <f t="shared" si="12"/>
        <v>0</v>
      </c>
      <c r="DO7" s="56" t="s">
        <v>116</v>
      </c>
      <c r="DP7" s="34" t="s">
        <v>241</v>
      </c>
      <c r="DQ7" s="51"/>
      <c r="DR7" s="34">
        <f t="shared" si="13"/>
        <v>0</v>
      </c>
      <c r="DS7" s="56" t="s">
        <v>103</v>
      </c>
      <c r="DT7" s="76" t="s">
        <v>239</v>
      </c>
      <c r="DU7" s="57">
        <f t="shared" si="14"/>
        <v>1</v>
      </c>
      <c r="DV7" s="56" t="s">
        <v>103</v>
      </c>
      <c r="DW7" s="57"/>
      <c r="DX7" s="53"/>
      <c r="DY7" s="34"/>
      <c r="DZ7" s="56"/>
      <c r="EA7" s="34"/>
      <c r="EB7" s="53"/>
      <c r="EC7" s="34">
        <f t="shared" si="15"/>
        <v>0</v>
      </c>
      <c r="ED7" s="56" t="s">
        <v>110</v>
      </c>
      <c r="EE7" s="34">
        <v>32</v>
      </c>
      <c r="EF7" s="53"/>
      <c r="EG7" s="34"/>
      <c r="EH7" s="56"/>
      <c r="EI7" s="30"/>
      <c r="EJ7" s="57"/>
      <c r="EK7" s="57"/>
      <c r="EL7" s="57"/>
      <c r="EM7" s="57"/>
      <c r="EN7" s="61"/>
    </row>
    <row r="8" spans="1:144" x14ac:dyDescent="0.25">
      <c r="A8" s="138"/>
      <c r="B8" s="138"/>
      <c r="C8" s="155"/>
      <c r="D8" s="155"/>
      <c r="E8" s="155"/>
      <c r="F8" s="155"/>
      <c r="G8" s="155"/>
      <c r="H8" s="155"/>
      <c r="I8" s="155"/>
      <c r="J8" s="155"/>
      <c r="K8" s="155"/>
      <c r="L8" s="155"/>
      <c r="M8" s="155"/>
      <c r="N8" s="155"/>
      <c r="O8" s="155"/>
      <c r="P8" s="155"/>
      <c r="Q8" s="155"/>
      <c r="R8" s="155"/>
      <c r="S8" s="155"/>
      <c r="T8" s="155"/>
      <c r="U8" s="155"/>
      <c r="V8" s="155"/>
      <c r="W8" s="155"/>
      <c r="X8" s="155"/>
      <c r="Y8" s="155"/>
      <c r="Z8" s="155"/>
      <c r="AA8" s="155"/>
      <c r="AB8" s="155"/>
      <c r="AC8" s="155"/>
      <c r="AD8" s="155"/>
      <c r="AE8" s="155"/>
      <c r="AF8" s="119"/>
      <c r="AG8" s="119"/>
      <c r="AH8" s="119"/>
      <c r="AI8" s="119"/>
      <c r="AJ8" s="119"/>
      <c r="AW8" s="80"/>
      <c r="AX8"/>
      <c r="AY8" s="72"/>
      <c r="AZ8" s="170"/>
      <c r="BA8" s="57"/>
      <c r="BB8" s="171"/>
      <c r="BC8" s="57"/>
      <c r="BD8" s="78" t="s">
        <v>73</v>
      </c>
      <c r="BE8" s="74">
        <f>(BE4^2/BE7^2)*10</f>
        <v>7.901234567901235</v>
      </c>
      <c r="BF8" s="57"/>
      <c r="BG8" s="57"/>
      <c r="BH8" s="54">
        <f t="shared" si="2"/>
        <v>0</v>
      </c>
      <c r="BI8" s="57">
        <v>40</v>
      </c>
      <c r="BJ8" s="57">
        <f t="shared" si="16"/>
        <v>4.0875226338606248E-2</v>
      </c>
      <c r="BK8" s="61">
        <f t="shared" si="17"/>
        <v>472.40181849724212</v>
      </c>
      <c r="BL8" s="54" t="e">
        <f t="shared" si="3"/>
        <v>#VALUE!</v>
      </c>
      <c r="BM8" s="57">
        <v>40</v>
      </c>
      <c r="BN8" s="57" t="e">
        <f t="shared" si="4"/>
        <v>#VALUE!</v>
      </c>
      <c r="BO8" s="61" t="e">
        <f t="shared" si="5"/>
        <v>#VALUE!</v>
      </c>
      <c r="BP8" s="57"/>
      <c r="BQ8" s="62"/>
      <c r="BR8" s="57"/>
      <c r="BS8" s="74"/>
      <c r="BT8" s="54">
        <f t="shared" si="6"/>
        <v>1</v>
      </c>
      <c r="BU8" s="57" t="s">
        <v>246</v>
      </c>
      <c r="BV8" s="57">
        <v>25</v>
      </c>
      <c r="BW8" s="61">
        <v>10</v>
      </c>
      <c r="BX8" s="54">
        <f t="shared" si="7"/>
        <v>1</v>
      </c>
      <c r="BY8" s="57" t="s">
        <v>247</v>
      </c>
      <c r="BZ8" s="57">
        <v>40</v>
      </c>
      <c r="CA8" s="61">
        <v>20</v>
      </c>
      <c r="CB8" s="57"/>
      <c r="CC8" s="57"/>
      <c r="CD8" s="54">
        <f t="shared" si="8"/>
        <v>1</v>
      </c>
      <c r="CE8" s="57">
        <v>40</v>
      </c>
      <c r="CF8" s="61">
        <v>15</v>
      </c>
      <c r="CG8" s="54">
        <f t="shared" si="9"/>
        <v>1</v>
      </c>
      <c r="CH8" s="57">
        <v>40</v>
      </c>
      <c r="CI8" s="61">
        <v>15</v>
      </c>
      <c r="CJ8" s="57"/>
      <c r="CK8" s="54">
        <f t="shared" si="0"/>
        <v>1</v>
      </c>
      <c r="CL8" s="57">
        <v>40</v>
      </c>
      <c r="CM8" s="61" t="s">
        <v>248</v>
      </c>
      <c r="CN8" s="54">
        <f t="shared" si="1"/>
        <v>1</v>
      </c>
      <c r="CO8" s="57">
        <v>40</v>
      </c>
      <c r="CP8" s="61" t="s">
        <v>248</v>
      </c>
      <c r="CQ8" s="57"/>
      <c r="CR8" s="57"/>
      <c r="CS8" s="57"/>
      <c r="CT8" s="57"/>
      <c r="CU8" s="57"/>
      <c r="CV8" s="57"/>
      <c r="CW8" s="57"/>
      <c r="CX8" s="57"/>
      <c r="CY8" s="50"/>
      <c r="CZ8" s="34"/>
      <c r="DA8" s="51"/>
      <c r="DB8" s="34">
        <f t="shared" si="18"/>
        <v>0</v>
      </c>
      <c r="DC8" s="56" t="s">
        <v>115</v>
      </c>
      <c r="DD8" s="34">
        <v>40</v>
      </c>
      <c r="DE8" s="53"/>
      <c r="DF8" s="34">
        <f t="shared" si="10"/>
        <v>0</v>
      </c>
      <c r="DG8" s="56" t="s">
        <v>124</v>
      </c>
      <c r="DH8" s="34">
        <v>40</v>
      </c>
      <c r="DI8" s="51"/>
      <c r="DJ8" s="34">
        <f t="shared" si="11"/>
        <v>0</v>
      </c>
      <c r="DK8" s="56" t="s">
        <v>124</v>
      </c>
      <c r="DL8" s="34" t="s">
        <v>245</v>
      </c>
      <c r="DM8" s="51"/>
      <c r="DN8" s="34">
        <f t="shared" si="12"/>
        <v>0</v>
      </c>
      <c r="DO8" s="56" t="s">
        <v>124</v>
      </c>
      <c r="DP8" s="34" t="s">
        <v>245</v>
      </c>
      <c r="DQ8" s="51"/>
      <c r="DR8" s="34">
        <f t="shared" si="13"/>
        <v>0</v>
      </c>
      <c r="DS8" s="56" t="s">
        <v>110</v>
      </c>
      <c r="DT8" s="34" t="s">
        <v>243</v>
      </c>
      <c r="DU8" s="57">
        <f t="shared" si="14"/>
        <v>0</v>
      </c>
      <c r="DV8" s="56" t="s">
        <v>110</v>
      </c>
      <c r="DW8" s="57" t="s">
        <v>236</v>
      </c>
      <c r="DX8" s="53"/>
      <c r="DY8" s="34"/>
      <c r="DZ8" s="56"/>
      <c r="EA8" s="34"/>
      <c r="EB8" s="53"/>
      <c r="EC8" s="34">
        <f t="shared" si="15"/>
        <v>0</v>
      </c>
      <c r="ED8" s="56" t="s">
        <v>115</v>
      </c>
      <c r="EE8" s="34">
        <v>40</v>
      </c>
      <c r="EF8" s="53"/>
      <c r="EG8" s="34"/>
      <c r="EH8" s="56"/>
      <c r="EI8" s="55"/>
      <c r="EJ8" s="57"/>
      <c r="EK8" s="57"/>
      <c r="EL8" s="57"/>
      <c r="EM8" s="57"/>
      <c r="EN8" s="61"/>
    </row>
    <row r="9" spans="1:144" x14ac:dyDescent="0.25">
      <c r="A9" s="138"/>
      <c r="B9" s="138"/>
      <c r="C9" s="155"/>
      <c r="D9" s="155"/>
      <c r="E9" s="155"/>
      <c r="F9" s="155"/>
      <c r="G9" s="155"/>
      <c r="H9" s="155"/>
      <c r="I9" s="155"/>
      <c r="J9" s="155"/>
      <c r="K9" s="155"/>
      <c r="L9" s="155"/>
      <c r="M9" s="155"/>
      <c r="N9" s="155"/>
      <c r="O9" s="155"/>
      <c r="P9" s="155"/>
      <c r="Q9" s="155"/>
      <c r="R9" s="155"/>
      <c r="S9" s="155"/>
      <c r="T9" s="155"/>
      <c r="U9" s="155"/>
      <c r="V9" s="155"/>
      <c r="W9" s="155"/>
      <c r="X9" s="155"/>
      <c r="Y9" s="155"/>
      <c r="Z9" s="155"/>
      <c r="AA9" s="155"/>
      <c r="AB9" s="155"/>
      <c r="AC9" s="155"/>
      <c r="AD9" s="155"/>
      <c r="AE9" s="155"/>
      <c r="AF9" s="119"/>
      <c r="AG9" s="119"/>
      <c r="AH9" s="119"/>
      <c r="AI9" s="119"/>
      <c r="AJ9" s="119"/>
      <c r="AW9"/>
      <c r="AX9"/>
      <c r="AY9"/>
      <c r="AZ9" s="172"/>
      <c r="BA9" s="57"/>
      <c r="BB9" s="171"/>
      <c r="BC9" s="57"/>
      <c r="BD9" s="1" t="str">
        <f>VLOOKUP(1,IF(BA12="Вогез",BT4:BW19,BX4:CA14),2,0)</f>
        <v>15-4,0</v>
      </c>
      <c r="BE9" s="1"/>
      <c r="BF9" s="57"/>
      <c r="BG9" s="57"/>
      <c r="BH9" s="54">
        <f t="shared" si="2"/>
        <v>0</v>
      </c>
      <c r="BI9" s="57">
        <v>50</v>
      </c>
      <c r="BJ9" s="57">
        <f t="shared" si="16"/>
        <v>3.7850686611455138E-2</v>
      </c>
      <c r="BK9" s="61">
        <f t="shared" si="17"/>
        <v>143.34253716554772</v>
      </c>
      <c r="BL9" s="54" t="e">
        <f t="shared" si="3"/>
        <v>#VALUE!</v>
      </c>
      <c r="BM9" s="57">
        <v>50</v>
      </c>
      <c r="BN9" s="57" t="e">
        <f t="shared" si="4"/>
        <v>#VALUE!</v>
      </c>
      <c r="BO9" s="61" t="e">
        <f t="shared" si="5"/>
        <v>#VALUE!</v>
      </c>
      <c r="BP9" s="57"/>
      <c r="BQ9" s="62"/>
      <c r="BR9" s="74"/>
      <c r="BS9" s="57"/>
      <c r="BT9" s="54">
        <f t="shared" si="6"/>
        <v>1</v>
      </c>
      <c r="BU9" s="57" t="s">
        <v>244</v>
      </c>
      <c r="BV9" s="57">
        <v>32</v>
      </c>
      <c r="BW9" s="61">
        <v>16</v>
      </c>
      <c r="BX9" s="54">
        <f t="shared" si="7"/>
        <v>1</v>
      </c>
      <c r="BY9" s="57" t="s">
        <v>249</v>
      </c>
      <c r="BZ9" s="57">
        <v>50</v>
      </c>
      <c r="CA9" s="61">
        <v>32</v>
      </c>
      <c r="CB9" s="57"/>
      <c r="CC9" s="57"/>
      <c r="CD9" s="54">
        <f t="shared" si="8"/>
        <v>1</v>
      </c>
      <c r="CE9" s="57">
        <v>50</v>
      </c>
      <c r="CF9" s="61">
        <v>25</v>
      </c>
      <c r="CG9" s="54">
        <f t="shared" si="9"/>
        <v>1</v>
      </c>
      <c r="CH9" s="57">
        <v>50</v>
      </c>
      <c r="CI9" s="61">
        <v>25</v>
      </c>
      <c r="CJ9" s="57"/>
      <c r="CK9" s="54">
        <f t="shared" si="0"/>
        <v>1</v>
      </c>
      <c r="CL9" s="57">
        <v>65</v>
      </c>
      <c r="CM9" s="61" t="s">
        <v>250</v>
      </c>
      <c r="CN9" s="54">
        <f t="shared" si="1"/>
        <v>1</v>
      </c>
      <c r="CO9" s="57">
        <v>65</v>
      </c>
      <c r="CP9" s="61" t="s">
        <v>250</v>
      </c>
      <c r="CQ9" s="57"/>
      <c r="CR9" s="57"/>
      <c r="CS9" s="57"/>
      <c r="CT9" s="57"/>
      <c r="CU9" s="57"/>
      <c r="CV9" s="57"/>
      <c r="CW9" s="57"/>
      <c r="CX9" s="57"/>
      <c r="CY9" s="50"/>
      <c r="CZ9" s="34"/>
      <c r="DA9" s="51"/>
      <c r="DB9" s="34">
        <f t="shared" si="18"/>
        <v>0</v>
      </c>
      <c r="DC9" s="56" t="s">
        <v>123</v>
      </c>
      <c r="DD9" s="34">
        <v>50</v>
      </c>
      <c r="DE9" s="53"/>
      <c r="DF9" s="34">
        <f t="shared" si="10"/>
        <v>0</v>
      </c>
      <c r="DG9" s="56" t="s">
        <v>131</v>
      </c>
      <c r="DH9" s="34">
        <v>50</v>
      </c>
      <c r="DI9" s="51"/>
      <c r="DJ9" s="34">
        <f t="shared" si="11"/>
        <v>0</v>
      </c>
      <c r="DK9" s="56" t="s">
        <v>131</v>
      </c>
      <c r="DL9" s="34" t="s">
        <v>248</v>
      </c>
      <c r="DM9" s="51"/>
      <c r="DN9" s="34">
        <f t="shared" si="12"/>
        <v>0</v>
      </c>
      <c r="DO9" s="56" t="s">
        <v>131</v>
      </c>
      <c r="DP9" s="34" t="s">
        <v>248</v>
      </c>
      <c r="DQ9" s="51"/>
      <c r="DR9" s="34">
        <f t="shared" si="13"/>
        <v>0</v>
      </c>
      <c r="DS9" s="56" t="s">
        <v>115</v>
      </c>
      <c r="DT9" s="34" t="s">
        <v>246</v>
      </c>
      <c r="DU9" s="57">
        <f t="shared" si="14"/>
        <v>0</v>
      </c>
      <c r="DV9" s="56" t="s">
        <v>115</v>
      </c>
      <c r="DW9" s="57" t="s">
        <v>240</v>
      </c>
      <c r="DX9" s="53"/>
      <c r="DY9" s="34"/>
      <c r="DZ9" s="56"/>
      <c r="EA9" s="34"/>
      <c r="EB9" s="53"/>
      <c r="EC9" s="34">
        <f t="shared" si="15"/>
        <v>0</v>
      </c>
      <c r="ED9" s="56" t="s">
        <v>123</v>
      </c>
      <c r="EE9" s="34">
        <v>50</v>
      </c>
      <c r="EF9" s="53"/>
      <c r="EG9" s="34"/>
      <c r="EH9" s="56"/>
      <c r="EI9" s="55"/>
      <c r="EJ9" s="57"/>
      <c r="EK9" s="57"/>
      <c r="EL9" s="57"/>
      <c r="EM9" s="57"/>
      <c r="EN9" s="61"/>
    </row>
    <row r="10" spans="1:144" ht="15" customHeight="1" thickBot="1" x14ac:dyDescent="0.3">
      <c r="A10" s="137" t="s">
        <v>276</v>
      </c>
      <c r="B10" s="137"/>
      <c r="C10" s="143" t="s">
        <v>277</v>
      </c>
      <c r="D10" s="143"/>
      <c r="E10" s="143"/>
      <c r="F10" s="143"/>
      <c r="G10" s="143"/>
      <c r="H10" s="151" t="s">
        <v>278</v>
      </c>
      <c r="I10" s="151"/>
      <c r="J10" s="151"/>
      <c r="K10" s="151"/>
      <c r="L10" s="151"/>
      <c r="M10" s="151" t="s">
        <v>279</v>
      </c>
      <c r="N10" s="151"/>
      <c r="O10" s="151"/>
      <c r="P10" s="151"/>
      <c r="Q10" s="151"/>
      <c r="R10" s="156" t="s">
        <v>287</v>
      </c>
      <c r="S10" s="156"/>
      <c r="T10" s="156"/>
      <c r="U10" s="156"/>
      <c r="V10" s="156"/>
      <c r="W10" s="156"/>
      <c r="X10" s="156"/>
      <c r="Y10" s="144" t="s">
        <v>290</v>
      </c>
      <c r="Z10" s="144"/>
      <c r="AA10" s="144"/>
      <c r="AB10" s="144"/>
      <c r="AC10" s="144"/>
      <c r="AD10" s="144"/>
      <c r="AE10" s="144"/>
      <c r="AF10" s="113"/>
      <c r="AG10" s="113"/>
      <c r="AH10" s="113"/>
      <c r="AI10" s="119"/>
      <c r="AJ10" s="119"/>
      <c r="AW10" s="72"/>
      <c r="AX10" s="72"/>
      <c r="AY10" s="72"/>
      <c r="AZ10" s="54"/>
      <c r="BA10" s="57"/>
      <c r="BB10" s="57"/>
      <c r="BC10" s="57"/>
      <c r="BD10" s="78" t="s">
        <v>251</v>
      </c>
      <c r="BE10" s="74">
        <f>VLOOKUP(1,IF(BA13="Danfoss",CD4:CF15,CG4:CI14),2,0)</f>
        <v>15</v>
      </c>
      <c r="BF10" s="57"/>
      <c r="BG10" s="57"/>
      <c r="BH10" s="54">
        <f t="shared" si="2"/>
        <v>0</v>
      </c>
      <c r="BI10" s="57">
        <v>65</v>
      </c>
      <c r="BJ10" s="57">
        <f t="shared" si="16"/>
        <v>3.4705101432211748E-2</v>
      </c>
      <c r="BK10" s="61">
        <f t="shared" si="17"/>
        <v>35.397931273839546</v>
      </c>
      <c r="BL10" s="54" t="e">
        <f t="shared" si="3"/>
        <v>#VALUE!</v>
      </c>
      <c r="BM10" s="57">
        <v>65</v>
      </c>
      <c r="BN10" s="57" t="e">
        <f t="shared" si="4"/>
        <v>#VALUE!</v>
      </c>
      <c r="BO10" s="61" t="e">
        <f t="shared" si="5"/>
        <v>#VALUE!</v>
      </c>
      <c r="BP10" s="57"/>
      <c r="BQ10" s="54"/>
      <c r="BR10" s="57"/>
      <c r="BS10" s="57"/>
      <c r="BT10" s="54">
        <f t="shared" si="6"/>
        <v>1</v>
      </c>
      <c r="BU10" s="57" t="s">
        <v>252</v>
      </c>
      <c r="BV10" s="57">
        <v>40</v>
      </c>
      <c r="BW10" s="61">
        <v>25</v>
      </c>
      <c r="BX10" s="54">
        <f t="shared" si="7"/>
        <v>1</v>
      </c>
      <c r="BY10" s="57" t="s">
        <v>253</v>
      </c>
      <c r="BZ10" s="57">
        <v>65</v>
      </c>
      <c r="CA10" s="61">
        <v>50</v>
      </c>
      <c r="CB10" s="57"/>
      <c r="CC10" s="57"/>
      <c r="CD10" s="54">
        <f t="shared" si="8"/>
        <v>1</v>
      </c>
      <c r="CE10" s="57">
        <v>65</v>
      </c>
      <c r="CF10" s="61">
        <v>50</v>
      </c>
      <c r="CG10" s="54">
        <f t="shared" si="9"/>
        <v>1</v>
      </c>
      <c r="CH10" s="57">
        <v>65</v>
      </c>
      <c r="CI10" s="61">
        <v>40</v>
      </c>
      <c r="CJ10" s="57"/>
      <c r="CK10" s="54">
        <f t="shared" si="0"/>
        <v>1</v>
      </c>
      <c r="CL10" s="57">
        <v>85</v>
      </c>
      <c r="CM10" s="61" t="s">
        <v>254</v>
      </c>
      <c r="CN10" s="83">
        <f t="shared" si="1"/>
        <v>1</v>
      </c>
      <c r="CO10" s="87">
        <v>85</v>
      </c>
      <c r="CP10" s="89" t="s">
        <v>254</v>
      </c>
      <c r="CQ10" s="57"/>
      <c r="CR10" s="57"/>
      <c r="CS10" s="57"/>
      <c r="CT10" s="57"/>
      <c r="CU10" s="57"/>
      <c r="CV10" s="57"/>
      <c r="CW10" s="57"/>
      <c r="CX10" s="57"/>
      <c r="CY10" s="50"/>
      <c r="CZ10" s="34"/>
      <c r="DA10" s="51"/>
      <c r="DB10" s="34">
        <f t="shared" si="18"/>
        <v>0</v>
      </c>
      <c r="DC10" s="56" t="s">
        <v>130</v>
      </c>
      <c r="DD10" s="34">
        <v>65</v>
      </c>
      <c r="DE10" s="53"/>
      <c r="DF10" s="34">
        <f t="shared" si="10"/>
        <v>0</v>
      </c>
      <c r="DG10" s="56" t="s">
        <v>255</v>
      </c>
      <c r="DH10" s="34">
        <v>65</v>
      </c>
      <c r="DI10" s="51"/>
      <c r="DJ10" s="34">
        <f t="shared" si="11"/>
        <v>0</v>
      </c>
      <c r="DK10" s="56" t="s">
        <v>255</v>
      </c>
      <c r="DL10" s="34" t="s">
        <v>250</v>
      </c>
      <c r="DM10" s="51"/>
      <c r="DN10" s="34">
        <f t="shared" si="12"/>
        <v>0</v>
      </c>
      <c r="DO10" s="56" t="s">
        <v>255</v>
      </c>
      <c r="DP10" s="34" t="s">
        <v>250</v>
      </c>
      <c r="DQ10" s="51"/>
      <c r="DR10" s="34">
        <f t="shared" si="13"/>
        <v>0</v>
      </c>
      <c r="DS10" s="56" t="s">
        <v>123</v>
      </c>
      <c r="DT10" s="34" t="s">
        <v>244</v>
      </c>
      <c r="DU10" s="57">
        <f t="shared" si="14"/>
        <v>0</v>
      </c>
      <c r="DV10" s="56" t="s">
        <v>123</v>
      </c>
      <c r="DW10" s="57" t="s">
        <v>244</v>
      </c>
      <c r="DX10" s="53"/>
      <c r="DY10" s="34"/>
      <c r="DZ10" s="56"/>
      <c r="EA10" s="34"/>
      <c r="EB10" s="53"/>
      <c r="EC10" s="34">
        <f t="shared" si="15"/>
        <v>0</v>
      </c>
      <c r="ED10" s="56" t="s">
        <v>130</v>
      </c>
      <c r="EE10" s="34">
        <v>65</v>
      </c>
      <c r="EF10" s="53"/>
      <c r="EG10" s="34"/>
      <c r="EH10" s="56"/>
      <c r="EI10" s="55"/>
      <c r="EJ10" s="57"/>
      <c r="EK10" s="57"/>
      <c r="EL10" s="57"/>
      <c r="EM10" s="57"/>
      <c r="EN10" s="61"/>
    </row>
    <row r="11" spans="1:144" ht="15.75" thickBot="1" x14ac:dyDescent="0.3">
      <c r="A11" s="137"/>
      <c r="B11" s="137"/>
      <c r="C11" s="157"/>
      <c r="D11" s="157"/>
      <c r="E11" s="157"/>
      <c r="F11" s="157"/>
      <c r="G11" s="157"/>
      <c r="H11" s="158"/>
      <c r="I11" s="158"/>
      <c r="J11" s="158"/>
      <c r="K11" s="158"/>
      <c r="L11" s="158"/>
      <c r="M11" s="159"/>
      <c r="N11" s="159"/>
      <c r="O11" s="159"/>
      <c r="P11" s="159"/>
      <c r="Q11" s="159"/>
      <c r="R11" s="156"/>
      <c r="S11" s="156"/>
      <c r="T11" s="156"/>
      <c r="U11" s="156"/>
      <c r="V11" s="156"/>
      <c r="W11" s="156"/>
      <c r="X11" s="156"/>
      <c r="Y11" s="160"/>
      <c r="Z11" s="160"/>
      <c r="AA11" s="160"/>
      <c r="AB11" s="160"/>
      <c r="AC11" s="160"/>
      <c r="AD11" s="160"/>
      <c r="AE11" s="160"/>
      <c r="AF11" s="113"/>
      <c r="AG11" s="113"/>
      <c r="AH11" s="113"/>
      <c r="AI11" s="119"/>
      <c r="AJ11" s="119"/>
      <c r="AW11" s="58" t="s">
        <v>31</v>
      </c>
      <c r="AX11" s="1">
        <f>'ol4'!BN19</f>
        <v>0</v>
      </c>
      <c r="AY11" s="1"/>
      <c r="AZ11" s="173"/>
      <c r="BA11" s="171"/>
      <c r="BB11" s="171"/>
      <c r="BC11" s="57"/>
      <c r="BD11" s="78"/>
      <c r="BE11" s="74"/>
      <c r="BF11" s="57"/>
      <c r="BG11" s="57"/>
      <c r="BH11" s="54">
        <f t="shared" si="2"/>
        <v>2</v>
      </c>
      <c r="BI11" s="57">
        <v>80</v>
      </c>
      <c r="BJ11" s="57">
        <f t="shared" si="16"/>
        <v>3.248549788373601E-2</v>
      </c>
      <c r="BK11" s="61">
        <f t="shared" si="17"/>
        <v>11.732510166991768</v>
      </c>
      <c r="BL11" s="54" t="e">
        <f t="shared" si="3"/>
        <v>#VALUE!</v>
      </c>
      <c r="BM11" s="57">
        <v>80</v>
      </c>
      <c r="BN11" s="57" t="e">
        <f t="shared" si="4"/>
        <v>#VALUE!</v>
      </c>
      <c r="BO11" s="61" t="e">
        <f t="shared" si="5"/>
        <v>#VALUE!</v>
      </c>
      <c r="BP11" s="57"/>
      <c r="BQ11" s="54"/>
      <c r="BR11" s="57"/>
      <c r="BS11" s="74"/>
      <c r="BT11" s="54">
        <f t="shared" si="6"/>
        <v>1</v>
      </c>
      <c r="BU11" s="57" t="s">
        <v>249</v>
      </c>
      <c r="BV11" s="57">
        <v>50</v>
      </c>
      <c r="BW11" s="61">
        <v>32</v>
      </c>
      <c r="BX11" s="54">
        <f t="shared" si="7"/>
        <v>1</v>
      </c>
      <c r="BY11" s="57" t="s">
        <v>256</v>
      </c>
      <c r="BZ11" s="57">
        <v>80</v>
      </c>
      <c r="CA11" s="61">
        <v>80</v>
      </c>
      <c r="CB11" s="57"/>
      <c r="CC11" s="57"/>
      <c r="CD11" s="54">
        <f t="shared" si="8"/>
        <v>1</v>
      </c>
      <c r="CE11" s="57">
        <v>80</v>
      </c>
      <c r="CF11" s="61">
        <v>70</v>
      </c>
      <c r="CG11" s="54">
        <f t="shared" si="9"/>
        <v>1</v>
      </c>
      <c r="CH11" s="57">
        <v>80</v>
      </c>
      <c r="CI11" s="61">
        <v>60</v>
      </c>
      <c r="CJ11" s="57"/>
      <c r="CK11" s="83">
        <f>IF($F$4&lt;=CL11,1,0)</f>
        <v>1</v>
      </c>
      <c r="CL11" s="87">
        <v>140</v>
      </c>
      <c r="CM11" s="89" t="s">
        <v>257</v>
      </c>
      <c r="CN11" s="57"/>
      <c r="CO11" s="57"/>
      <c r="CP11" s="57"/>
      <c r="CQ11" s="57"/>
      <c r="CR11" s="57"/>
      <c r="CS11" s="57"/>
      <c r="CT11" s="57"/>
      <c r="CU11" s="57"/>
      <c r="CV11" s="57"/>
      <c r="CW11" s="57"/>
      <c r="CX11" s="57"/>
      <c r="CY11" s="50"/>
      <c r="CZ11" s="34"/>
      <c r="DA11" s="51"/>
      <c r="DB11" s="34">
        <f t="shared" si="18"/>
        <v>1</v>
      </c>
      <c r="DC11" s="56" t="s">
        <v>136</v>
      </c>
      <c r="DD11" s="34">
        <v>80</v>
      </c>
      <c r="DE11" s="53"/>
      <c r="DF11" s="34">
        <f t="shared" si="10"/>
        <v>0</v>
      </c>
      <c r="DG11" s="56" t="s">
        <v>258</v>
      </c>
      <c r="DH11" s="34">
        <v>80</v>
      </c>
      <c r="DI11" s="51"/>
      <c r="DJ11" s="34">
        <f t="shared" si="11"/>
        <v>0</v>
      </c>
      <c r="DK11" s="56" t="s">
        <v>258</v>
      </c>
      <c r="DL11" s="34" t="s">
        <v>254</v>
      </c>
      <c r="DM11" s="51"/>
      <c r="DN11" s="34">
        <f t="shared" si="12"/>
        <v>0</v>
      </c>
      <c r="DO11" s="56" t="s">
        <v>258</v>
      </c>
      <c r="DP11" s="34" t="s">
        <v>254</v>
      </c>
      <c r="DQ11" s="51"/>
      <c r="DR11" s="34">
        <f t="shared" si="13"/>
        <v>0</v>
      </c>
      <c r="DS11" s="56" t="s">
        <v>130</v>
      </c>
      <c r="DT11" s="34" t="s">
        <v>252</v>
      </c>
      <c r="DU11" s="57">
        <f t="shared" si="14"/>
        <v>0</v>
      </c>
      <c r="DV11" s="56" t="s">
        <v>130</v>
      </c>
      <c r="DW11" s="57" t="s">
        <v>247</v>
      </c>
      <c r="DX11" s="53"/>
      <c r="DY11" s="34"/>
      <c r="DZ11" s="56"/>
      <c r="EA11" s="34"/>
      <c r="EB11" s="53"/>
      <c r="EC11" s="34">
        <f t="shared" si="15"/>
        <v>0</v>
      </c>
      <c r="ED11" s="56" t="s">
        <v>136</v>
      </c>
      <c r="EE11" s="34">
        <v>80</v>
      </c>
      <c r="EF11" s="53"/>
      <c r="EG11" s="34"/>
      <c r="EH11" s="56"/>
      <c r="EI11" s="55"/>
      <c r="EJ11" s="57"/>
      <c r="EK11" s="57"/>
      <c r="EL11" s="57"/>
      <c r="EM11" s="57"/>
      <c r="EN11" s="61"/>
    </row>
    <row r="12" spans="1:144" ht="15" customHeight="1" x14ac:dyDescent="0.25">
      <c r="A12" s="136"/>
      <c r="B12" s="136"/>
      <c r="C12" s="161" t="s">
        <v>5</v>
      </c>
      <c r="D12" s="161"/>
      <c r="E12" s="161"/>
      <c r="F12" s="161"/>
      <c r="G12" s="161"/>
      <c r="H12" s="161"/>
      <c r="I12" s="161"/>
      <c r="J12" s="161"/>
      <c r="K12" s="161"/>
      <c r="L12" s="148" t="s">
        <v>281</v>
      </c>
      <c r="M12" s="148"/>
      <c r="N12" s="148"/>
      <c r="O12" s="148"/>
      <c r="P12" s="148"/>
      <c r="Q12" s="148"/>
      <c r="R12" s="148"/>
      <c r="S12" s="148"/>
      <c r="T12" s="162" t="s">
        <v>282</v>
      </c>
      <c r="U12" s="162"/>
      <c r="V12" s="162"/>
      <c r="W12" s="162"/>
      <c r="X12" s="162"/>
      <c r="Y12" s="162"/>
      <c r="Z12" s="162"/>
      <c r="AA12" s="162"/>
      <c r="AB12" s="162"/>
      <c r="AC12" s="162"/>
      <c r="AD12" s="162"/>
      <c r="AE12" s="162"/>
      <c r="AF12" s="119"/>
      <c r="AG12" s="119"/>
      <c r="AH12" s="119"/>
      <c r="AI12" s="119"/>
      <c r="AJ12" s="119"/>
      <c r="AW12" s="58" t="s">
        <v>228</v>
      </c>
      <c r="AX12" s="1">
        <f>'ol4'!BV19</f>
        <v>150</v>
      </c>
      <c r="AY12" s="1"/>
      <c r="AZ12" s="170" t="s">
        <v>31</v>
      </c>
      <c r="BA12" s="1" t="str">
        <f>R20</f>
        <v>Danfoss</v>
      </c>
      <c r="BB12" s="1"/>
      <c r="BC12" s="57"/>
      <c r="BD12" s="1" t="str">
        <f>VLOOKUP(1,CK3:CM11,3,0)</f>
        <v>РС20-6</v>
      </c>
      <c r="BE12" s="1"/>
      <c r="BF12" s="57"/>
      <c r="BG12" s="57"/>
      <c r="BH12" s="54">
        <f t="shared" si="2"/>
        <v>0</v>
      </c>
      <c r="BI12" s="57">
        <v>100</v>
      </c>
      <c r="BJ12" s="57">
        <f t="shared" si="16"/>
        <v>3.0329450982592862E-2</v>
      </c>
      <c r="BK12" s="61">
        <f t="shared" si="17"/>
        <v>3.5893507191419474</v>
      </c>
      <c r="BL12" s="54" t="e">
        <f t="shared" si="3"/>
        <v>#VALUE!</v>
      </c>
      <c r="BM12" s="57">
        <v>100</v>
      </c>
      <c r="BN12" s="57" t="e">
        <f t="shared" si="4"/>
        <v>#VALUE!</v>
      </c>
      <c r="BO12" s="61" t="e">
        <f t="shared" si="5"/>
        <v>#VALUE!</v>
      </c>
      <c r="BP12" s="57"/>
      <c r="BQ12" s="54"/>
      <c r="BR12" s="57"/>
      <c r="BS12" s="57"/>
      <c r="BT12" s="54">
        <f t="shared" si="6"/>
        <v>1</v>
      </c>
      <c r="BU12" s="57" t="s">
        <v>259</v>
      </c>
      <c r="BV12" s="57">
        <v>65</v>
      </c>
      <c r="BW12" s="61">
        <v>40</v>
      </c>
      <c r="BX12" s="54">
        <f t="shared" si="7"/>
        <v>1</v>
      </c>
      <c r="BY12" s="57" t="s">
        <v>260</v>
      </c>
      <c r="BZ12" s="57">
        <v>100</v>
      </c>
      <c r="CA12" s="61">
        <v>125</v>
      </c>
      <c r="CB12" s="57"/>
      <c r="CC12" s="57"/>
      <c r="CD12" s="54">
        <f t="shared" si="8"/>
        <v>1</v>
      </c>
      <c r="CE12" s="57">
        <v>100</v>
      </c>
      <c r="CF12" s="61">
        <v>100</v>
      </c>
      <c r="CG12" s="54">
        <f t="shared" si="9"/>
        <v>1</v>
      </c>
      <c r="CH12" s="57">
        <v>100</v>
      </c>
      <c r="CI12" s="61">
        <v>100</v>
      </c>
      <c r="CJ12" s="57"/>
      <c r="CK12" s="57"/>
      <c r="CL12" s="57"/>
      <c r="CM12" s="57"/>
      <c r="CN12" s="57"/>
      <c r="CO12" s="57"/>
      <c r="CP12" s="57"/>
      <c r="CQ12" s="57"/>
      <c r="CR12" s="57"/>
      <c r="CS12" s="57"/>
      <c r="CT12" s="57"/>
      <c r="CU12" s="57"/>
      <c r="CV12" s="57"/>
      <c r="CW12" s="57"/>
      <c r="CX12" s="57"/>
      <c r="CY12" s="50"/>
      <c r="CZ12" s="34"/>
      <c r="DA12" s="51"/>
      <c r="DB12" s="34">
        <f t="shared" si="18"/>
        <v>0</v>
      </c>
      <c r="DC12" s="56" t="s">
        <v>138</v>
      </c>
      <c r="DD12" s="34">
        <v>100</v>
      </c>
      <c r="DE12" s="53"/>
      <c r="DF12" s="34">
        <f t="shared" si="10"/>
        <v>0</v>
      </c>
      <c r="DG12" s="56" t="s">
        <v>261</v>
      </c>
      <c r="DH12" s="34">
        <v>100</v>
      </c>
      <c r="DI12" s="51"/>
      <c r="DJ12" s="34">
        <f t="shared" si="11"/>
        <v>0</v>
      </c>
      <c r="DK12" s="56" t="s">
        <v>261</v>
      </c>
      <c r="DL12" s="34" t="s">
        <v>257</v>
      </c>
      <c r="DM12" s="51"/>
      <c r="DN12" s="34">
        <f t="shared" si="12"/>
        <v>0</v>
      </c>
      <c r="DO12" s="56" t="s">
        <v>261</v>
      </c>
      <c r="DP12" s="34" t="s">
        <v>257</v>
      </c>
      <c r="DQ12" s="51"/>
      <c r="DR12" s="34">
        <f t="shared" si="13"/>
        <v>0</v>
      </c>
      <c r="DS12" s="56" t="s">
        <v>136</v>
      </c>
      <c r="DT12" s="34" t="s">
        <v>249</v>
      </c>
      <c r="DU12" s="57">
        <f t="shared" si="14"/>
        <v>0</v>
      </c>
      <c r="DV12" s="56" t="s">
        <v>136</v>
      </c>
      <c r="DW12" s="57" t="s">
        <v>249</v>
      </c>
      <c r="DX12" s="53"/>
      <c r="DY12" s="34"/>
      <c r="DZ12" s="56"/>
      <c r="EA12" s="34"/>
      <c r="EB12" s="53"/>
      <c r="EC12" s="34">
        <f t="shared" si="15"/>
        <v>0</v>
      </c>
      <c r="ED12" s="56" t="s">
        <v>138</v>
      </c>
      <c r="EE12" s="34">
        <v>100</v>
      </c>
      <c r="EF12" s="53"/>
      <c r="EG12" s="34"/>
      <c r="EH12" s="56"/>
      <c r="EI12" s="55"/>
      <c r="EJ12" s="57"/>
      <c r="EK12" s="57"/>
      <c r="EL12" s="57"/>
      <c r="EM12" s="57"/>
      <c r="EN12" s="61"/>
    </row>
    <row r="13" spans="1:144" x14ac:dyDescent="0.25">
      <c r="A13" s="138" t="s">
        <v>295</v>
      </c>
      <c r="B13" s="138"/>
      <c r="C13" s="143">
        <f>SUM(C14:G17)</f>
        <v>0.60000000000000009</v>
      </c>
      <c r="D13" s="143"/>
      <c r="E13" s="143"/>
      <c r="F13" s="143"/>
      <c r="G13" s="143"/>
      <c r="H13" s="151" t="s">
        <v>71</v>
      </c>
      <c r="I13" s="151"/>
      <c r="J13" s="151"/>
      <c r="K13" s="151"/>
      <c r="L13" s="151" t="s">
        <v>85</v>
      </c>
      <c r="M13" s="151"/>
      <c r="N13" s="163">
        <v>130</v>
      </c>
      <c r="O13" s="163"/>
      <c r="P13" s="151" t="s">
        <v>98</v>
      </c>
      <c r="Q13" s="151"/>
      <c r="R13" s="163">
        <v>70</v>
      </c>
      <c r="S13" s="163"/>
      <c r="T13" s="151" t="s">
        <v>284</v>
      </c>
      <c r="U13" s="151"/>
      <c r="V13" s="151"/>
      <c r="W13" s="163">
        <v>0.6</v>
      </c>
      <c r="X13" s="163"/>
      <c r="Y13" s="163"/>
      <c r="Z13" s="151" t="s">
        <v>285</v>
      </c>
      <c r="AA13" s="151"/>
      <c r="AB13" s="151"/>
      <c r="AC13" s="152">
        <v>0.4</v>
      </c>
      <c r="AD13" s="152"/>
      <c r="AE13" s="152"/>
      <c r="AF13" s="119"/>
      <c r="AG13" s="119"/>
      <c r="AH13" s="119"/>
      <c r="AI13" s="119"/>
      <c r="AJ13" s="119"/>
      <c r="AK13" s="119"/>
      <c r="AL13" s="119"/>
      <c r="AM13" s="119"/>
      <c r="AQ13" s="118">
        <v>150</v>
      </c>
      <c r="AR13" s="118">
        <v>130</v>
      </c>
      <c r="AS13" s="118">
        <v>115</v>
      </c>
      <c r="AT13" s="118">
        <v>105</v>
      </c>
      <c r="AU13" s="118">
        <v>95</v>
      </c>
      <c r="AW13" s="58"/>
      <c r="AX13"/>
      <c r="AY13" s="72"/>
      <c r="AZ13" s="170" t="s">
        <v>228</v>
      </c>
      <c r="BA13" s="1" t="str">
        <f>Z20</f>
        <v>IMI Hydronic</v>
      </c>
      <c r="BB13" s="1"/>
      <c r="BC13" s="57"/>
      <c r="BD13" s="57"/>
      <c r="BE13" s="57"/>
      <c r="BF13" s="57"/>
      <c r="BG13" s="57"/>
      <c r="BH13" s="54">
        <f t="shared" si="2"/>
        <v>0</v>
      </c>
      <c r="BI13" s="57">
        <v>125</v>
      </c>
      <c r="BJ13" s="57">
        <f t="shared" si="16"/>
        <v>2.8381135828692533E-2</v>
      </c>
      <c r="BK13" s="61">
        <f t="shared" si="17"/>
        <v>1.1006039167806956</v>
      </c>
      <c r="BL13" s="54" t="e">
        <f t="shared" si="3"/>
        <v>#VALUE!</v>
      </c>
      <c r="BM13" s="57">
        <v>125</v>
      </c>
      <c r="BN13" s="57" t="e">
        <f t="shared" si="4"/>
        <v>#VALUE!</v>
      </c>
      <c r="BO13" s="61" t="e">
        <f t="shared" si="5"/>
        <v>#VALUE!</v>
      </c>
      <c r="BP13" s="57"/>
      <c r="BQ13" s="54"/>
      <c r="BR13" s="57"/>
      <c r="BS13" s="57"/>
      <c r="BT13" s="54">
        <f t="shared" si="6"/>
        <v>1</v>
      </c>
      <c r="BU13" s="57" t="s">
        <v>262</v>
      </c>
      <c r="BV13" s="57">
        <v>80</v>
      </c>
      <c r="BW13" s="61">
        <v>63</v>
      </c>
      <c r="BX13" s="54">
        <f t="shared" si="7"/>
        <v>1</v>
      </c>
      <c r="BY13" s="57" t="s">
        <v>263</v>
      </c>
      <c r="BZ13" s="57">
        <v>125</v>
      </c>
      <c r="CA13" s="61">
        <v>160</v>
      </c>
      <c r="CB13" s="57"/>
      <c r="CC13" s="57"/>
      <c r="CD13" s="54">
        <f t="shared" si="8"/>
        <v>1</v>
      </c>
      <c r="CE13" s="57">
        <v>125</v>
      </c>
      <c r="CF13" s="61">
        <v>150</v>
      </c>
      <c r="CG13" s="54">
        <f t="shared" si="9"/>
        <v>1</v>
      </c>
      <c r="CH13" s="57">
        <v>125</v>
      </c>
      <c r="CI13" s="61">
        <v>150</v>
      </c>
      <c r="CJ13" s="57"/>
      <c r="CK13" s="57"/>
      <c r="CL13" s="57"/>
      <c r="CM13" s="57"/>
      <c r="CN13" s="57"/>
      <c r="CO13" s="57"/>
      <c r="CP13" s="57"/>
      <c r="CQ13" s="57"/>
      <c r="CR13" s="57"/>
      <c r="CS13" s="57"/>
      <c r="CT13" s="57"/>
      <c r="CU13" s="57"/>
      <c r="CV13" s="57"/>
      <c r="CW13" s="57"/>
      <c r="CX13" s="57"/>
      <c r="CY13" s="50"/>
      <c r="CZ13" s="34"/>
      <c r="DA13" s="51"/>
      <c r="DB13" s="34">
        <f t="shared" si="18"/>
        <v>0</v>
      </c>
      <c r="DC13" s="56" t="s">
        <v>140</v>
      </c>
      <c r="DD13" s="34">
        <v>125</v>
      </c>
      <c r="DE13" s="53"/>
      <c r="DF13" s="34"/>
      <c r="DG13" s="56"/>
      <c r="DH13" s="34"/>
      <c r="DI13" s="51"/>
      <c r="DJ13" s="34"/>
      <c r="DK13" s="56"/>
      <c r="DL13" s="34"/>
      <c r="DM13" s="51"/>
      <c r="DN13" s="34"/>
      <c r="DO13" s="56"/>
      <c r="DP13" s="34"/>
      <c r="DQ13" s="51"/>
      <c r="DR13" s="34">
        <f t="shared" si="13"/>
        <v>0</v>
      </c>
      <c r="DS13" s="56" t="s">
        <v>138</v>
      </c>
      <c r="DT13" s="34" t="s">
        <v>259</v>
      </c>
      <c r="DU13" s="57">
        <f t="shared" si="14"/>
        <v>0</v>
      </c>
      <c r="DV13" s="56" t="s">
        <v>138</v>
      </c>
      <c r="DW13" s="57" t="s">
        <v>253</v>
      </c>
      <c r="DX13" s="53"/>
      <c r="DY13" s="34"/>
      <c r="DZ13" s="56"/>
      <c r="EA13" s="34"/>
      <c r="EB13" s="53"/>
      <c r="EC13" s="34">
        <f t="shared" si="15"/>
        <v>0</v>
      </c>
      <c r="ED13" s="56" t="s">
        <v>140</v>
      </c>
      <c r="EE13" s="34">
        <v>125</v>
      </c>
      <c r="EF13" s="53"/>
      <c r="EG13" s="34"/>
      <c r="EH13" s="56"/>
      <c r="EI13" s="55"/>
      <c r="EJ13" s="57"/>
      <c r="EK13" s="57"/>
      <c r="EL13" s="57"/>
      <c r="EM13" s="57"/>
      <c r="EN13" s="61"/>
    </row>
    <row r="14" spans="1:144" x14ac:dyDescent="0.25">
      <c r="A14" s="138" t="s">
        <v>291</v>
      </c>
      <c r="B14" s="138"/>
      <c r="C14" s="150">
        <v>0.2</v>
      </c>
      <c r="D14" s="150"/>
      <c r="E14" s="150"/>
      <c r="F14" s="150"/>
      <c r="G14" s="150"/>
      <c r="H14" s="151" t="s">
        <v>71</v>
      </c>
      <c r="I14" s="151"/>
      <c r="J14" s="151"/>
      <c r="K14" s="151"/>
      <c r="L14" s="151" t="s">
        <v>105</v>
      </c>
      <c r="M14" s="151"/>
      <c r="N14" s="163">
        <v>95</v>
      </c>
      <c r="O14" s="163"/>
      <c r="P14" s="151" t="s">
        <v>111</v>
      </c>
      <c r="Q14" s="151"/>
      <c r="R14" s="163">
        <v>70</v>
      </c>
      <c r="S14" s="163"/>
      <c r="T14" s="151" t="s">
        <v>296</v>
      </c>
      <c r="U14" s="151"/>
      <c r="V14" s="151"/>
      <c r="W14" s="151"/>
      <c r="X14" s="151"/>
      <c r="Y14" s="151"/>
      <c r="Z14" s="163"/>
      <c r="AA14" s="163"/>
      <c r="AB14" s="163"/>
      <c r="AC14" s="144" t="s">
        <v>118</v>
      </c>
      <c r="AD14" s="144"/>
      <c r="AE14" s="144"/>
      <c r="AF14" s="119"/>
      <c r="AI14" s="119"/>
      <c r="AJ14" s="119" t="s">
        <v>291</v>
      </c>
      <c r="AK14" s="119"/>
      <c r="AL14" s="119"/>
      <c r="AM14" s="119"/>
      <c r="AW14"/>
      <c r="AX14"/>
      <c r="AY14" s="72"/>
      <c r="AZ14" s="170"/>
      <c r="BA14" s="57"/>
      <c r="BB14" s="171"/>
      <c r="BC14" s="57"/>
      <c r="BD14" s="57" t="s">
        <v>144</v>
      </c>
      <c r="BE14" s="74">
        <f>'БОВ (1)'!BE16+'БОВ (2)'!BE16+'БОВ (3)'!BE16</f>
        <v>0</v>
      </c>
      <c r="BF14" s="57"/>
      <c r="BG14" s="57"/>
      <c r="BH14" s="54">
        <f t="shared" si="2"/>
        <v>0</v>
      </c>
      <c r="BI14" s="57">
        <v>150</v>
      </c>
      <c r="BJ14" s="57">
        <f t="shared" si="16"/>
        <v>2.6925299052784474E-2</v>
      </c>
      <c r="BK14" s="61">
        <f t="shared" si="17"/>
        <v>0.41961942779319589</v>
      </c>
      <c r="BL14" s="54" t="e">
        <f t="shared" si="3"/>
        <v>#VALUE!</v>
      </c>
      <c r="BM14" s="57">
        <v>150</v>
      </c>
      <c r="BN14" s="57" t="e">
        <f t="shared" si="4"/>
        <v>#VALUE!</v>
      </c>
      <c r="BO14" s="61" t="e">
        <f t="shared" si="5"/>
        <v>#VALUE!</v>
      </c>
      <c r="BP14" s="57"/>
      <c r="BQ14" s="54"/>
      <c r="BR14" s="57"/>
      <c r="BS14" s="57"/>
      <c r="BT14" s="54">
        <f t="shared" si="6"/>
        <v>1</v>
      </c>
      <c r="BU14" s="57" t="s">
        <v>264</v>
      </c>
      <c r="BV14" s="57">
        <v>100</v>
      </c>
      <c r="BW14" s="61">
        <v>100</v>
      </c>
      <c r="BX14" s="54">
        <f t="shared" si="7"/>
        <v>1</v>
      </c>
      <c r="BY14" s="57" t="s">
        <v>234</v>
      </c>
      <c r="BZ14" s="57" t="s">
        <v>265</v>
      </c>
      <c r="CA14" s="61">
        <v>400</v>
      </c>
      <c r="CB14" s="57"/>
      <c r="CC14" s="57"/>
      <c r="CD14" s="54">
        <f t="shared" si="8"/>
        <v>1</v>
      </c>
      <c r="CE14" s="57">
        <v>150</v>
      </c>
      <c r="CF14" s="61">
        <v>300</v>
      </c>
      <c r="CG14" s="54">
        <f t="shared" si="9"/>
        <v>1</v>
      </c>
      <c r="CH14" s="57">
        <v>150</v>
      </c>
      <c r="CI14" s="61">
        <v>400</v>
      </c>
      <c r="CJ14" s="57"/>
      <c r="CK14" s="57"/>
      <c r="CL14" s="57"/>
      <c r="CM14" s="57"/>
      <c r="CN14" s="57"/>
      <c r="CO14" s="57"/>
      <c r="CP14" s="57"/>
      <c r="CQ14" s="57"/>
      <c r="CR14" s="57"/>
      <c r="CS14" s="57"/>
      <c r="CT14" s="57"/>
      <c r="CU14" s="57"/>
      <c r="CV14" s="57"/>
      <c r="CW14" s="57"/>
      <c r="CX14" s="57"/>
      <c r="CY14" s="50"/>
      <c r="CZ14" s="34"/>
      <c r="DA14" s="51"/>
      <c r="DB14" s="34">
        <f t="shared" si="18"/>
        <v>0</v>
      </c>
      <c r="DC14" s="56" t="s">
        <v>141</v>
      </c>
      <c r="DD14" s="34">
        <v>150</v>
      </c>
      <c r="DE14" s="53"/>
      <c r="DF14" s="34"/>
      <c r="DG14" s="56"/>
      <c r="DH14" s="34"/>
      <c r="DI14" s="51"/>
      <c r="DJ14" s="34"/>
      <c r="DK14" s="56"/>
      <c r="DL14" s="34"/>
      <c r="DM14" s="51"/>
      <c r="DN14" s="34"/>
      <c r="DO14" s="56"/>
      <c r="DP14" s="34"/>
      <c r="DQ14" s="51"/>
      <c r="DR14" s="34">
        <f t="shared" si="13"/>
        <v>0</v>
      </c>
      <c r="DS14" s="56" t="s">
        <v>140</v>
      </c>
      <c r="DT14" s="34" t="s">
        <v>262</v>
      </c>
      <c r="DU14" s="57">
        <f t="shared" si="14"/>
        <v>0</v>
      </c>
      <c r="DV14" s="56" t="s">
        <v>140</v>
      </c>
      <c r="DW14" s="57" t="s">
        <v>256</v>
      </c>
      <c r="DX14" s="53"/>
      <c r="DY14" s="34"/>
      <c r="DZ14" s="56"/>
      <c r="EA14" s="34"/>
      <c r="EB14" s="53"/>
      <c r="EC14" s="34">
        <f t="shared" si="15"/>
        <v>0</v>
      </c>
      <c r="ED14" s="56" t="s">
        <v>141</v>
      </c>
      <c r="EE14" s="34">
        <v>150</v>
      </c>
      <c r="EF14" s="53"/>
      <c r="EG14" s="34"/>
      <c r="EH14" s="56"/>
      <c r="EI14" s="55"/>
      <c r="EJ14" s="57"/>
      <c r="EK14" s="57"/>
      <c r="EL14" s="57"/>
      <c r="EM14" s="57"/>
      <c r="EN14" s="61"/>
    </row>
    <row r="15" spans="1:144" x14ac:dyDescent="0.25">
      <c r="A15" s="138" t="s">
        <v>292</v>
      </c>
      <c r="B15" s="138"/>
      <c r="C15" s="150"/>
      <c r="D15" s="150"/>
      <c r="E15" s="150"/>
      <c r="F15" s="150"/>
      <c r="G15" s="150"/>
      <c r="H15" s="151" t="s">
        <v>71</v>
      </c>
      <c r="I15" s="151"/>
      <c r="J15" s="151"/>
      <c r="K15" s="151"/>
      <c r="L15" s="151" t="s">
        <v>297</v>
      </c>
      <c r="M15" s="151"/>
      <c r="N15" s="163"/>
      <c r="O15" s="163"/>
      <c r="P15" s="151" t="s">
        <v>298</v>
      </c>
      <c r="Q15" s="151"/>
      <c r="R15" s="163"/>
      <c r="S15" s="163"/>
      <c r="T15" s="151" t="s">
        <v>296</v>
      </c>
      <c r="U15" s="151"/>
      <c r="V15" s="151"/>
      <c r="W15" s="151"/>
      <c r="X15" s="151"/>
      <c r="Y15" s="151"/>
      <c r="Z15" s="163"/>
      <c r="AA15" s="163"/>
      <c r="AB15" s="163"/>
      <c r="AC15" s="144" t="s">
        <v>118</v>
      </c>
      <c r="AD15" s="144"/>
      <c r="AE15" s="144"/>
      <c r="AF15" s="119"/>
      <c r="AI15" s="119"/>
      <c r="AJ15" s="119" t="s">
        <v>292</v>
      </c>
      <c r="AK15" s="119"/>
      <c r="AL15" s="119"/>
      <c r="AM15" s="119"/>
      <c r="AW15"/>
      <c r="AX15"/>
      <c r="AY15" s="72"/>
      <c r="AZ15" s="54"/>
      <c r="BA15" s="57"/>
      <c r="BB15" s="171"/>
      <c r="BC15" s="57"/>
      <c r="BD15" s="57" t="s">
        <v>48</v>
      </c>
      <c r="BE15" s="57" t="e">
        <f>VLOOKUP(2,BL4:BO17,2,0)</f>
        <v>#N/A</v>
      </c>
      <c r="BF15" s="57"/>
      <c r="BG15" s="57"/>
      <c r="BH15" s="54">
        <f t="shared" si="2"/>
        <v>0</v>
      </c>
      <c r="BI15" s="57">
        <v>200</v>
      </c>
      <c r="BJ15" s="57">
        <f t="shared" si="16"/>
        <v>2.4846042519733526E-2</v>
      </c>
      <c r="BK15" s="61">
        <f t="shared" si="17"/>
        <v>9.1887956360079182E-2</v>
      </c>
      <c r="BL15" s="54" t="e">
        <f t="shared" si="3"/>
        <v>#VALUE!</v>
      </c>
      <c r="BM15" s="57">
        <v>200</v>
      </c>
      <c r="BN15" s="57" t="e">
        <f t="shared" si="4"/>
        <v>#VALUE!</v>
      </c>
      <c r="BO15" s="61" t="e">
        <f t="shared" si="5"/>
        <v>#VALUE!</v>
      </c>
      <c r="BP15" s="57"/>
      <c r="BQ15" s="54"/>
      <c r="BR15" s="57"/>
      <c r="BS15" s="57"/>
      <c r="BT15" s="54">
        <f t="shared" si="6"/>
        <v>1</v>
      </c>
      <c r="BU15" s="57" t="s">
        <v>260</v>
      </c>
      <c r="BV15" s="57">
        <v>100</v>
      </c>
      <c r="BW15" s="61">
        <v>125</v>
      </c>
      <c r="BX15" s="54"/>
      <c r="BY15" s="57"/>
      <c r="BZ15" s="57"/>
      <c r="CA15" s="61"/>
      <c r="CB15" s="57"/>
      <c r="CC15" s="57"/>
      <c r="CD15" s="54">
        <f t="shared" si="8"/>
        <v>1</v>
      </c>
      <c r="CE15" s="57">
        <v>200</v>
      </c>
      <c r="CF15" s="61">
        <v>400</v>
      </c>
      <c r="CG15" s="54"/>
      <c r="CH15" s="57"/>
      <c r="CI15" s="61"/>
      <c r="CJ15" s="57"/>
      <c r="CK15" s="57"/>
      <c r="CL15" s="57"/>
      <c r="CM15" s="57"/>
      <c r="CN15" s="57"/>
      <c r="CO15" s="57"/>
      <c r="CP15" s="57"/>
      <c r="CQ15" s="57"/>
      <c r="CR15" s="57"/>
      <c r="CS15" s="57"/>
      <c r="CT15" s="57"/>
      <c r="CU15" s="57"/>
      <c r="CV15" s="57"/>
      <c r="CW15" s="57"/>
      <c r="CX15" s="57"/>
      <c r="CY15" s="50"/>
      <c r="CZ15" s="34"/>
      <c r="DA15" s="51"/>
      <c r="DB15" s="34">
        <f t="shared" si="18"/>
        <v>0</v>
      </c>
      <c r="DC15" s="56" t="s">
        <v>142</v>
      </c>
      <c r="DD15" s="34">
        <v>200</v>
      </c>
      <c r="DE15" s="53"/>
      <c r="DF15" s="34"/>
      <c r="DG15" s="56"/>
      <c r="DH15" s="34"/>
      <c r="DI15" s="51"/>
      <c r="DJ15" s="34"/>
      <c r="DK15" s="56"/>
      <c r="DL15" s="34"/>
      <c r="DM15" s="51"/>
      <c r="DN15" s="34"/>
      <c r="DO15" s="56"/>
      <c r="DP15" s="34"/>
      <c r="DQ15" s="51"/>
      <c r="DR15" s="34">
        <f t="shared" si="13"/>
        <v>0</v>
      </c>
      <c r="DS15" s="56" t="s">
        <v>141</v>
      </c>
      <c r="DT15" s="34" t="s">
        <v>264</v>
      </c>
      <c r="DU15" s="57">
        <f t="shared" si="14"/>
        <v>1</v>
      </c>
      <c r="DV15" s="56" t="s">
        <v>141</v>
      </c>
      <c r="DW15" s="57"/>
      <c r="DX15" s="53"/>
      <c r="DY15" s="34"/>
      <c r="DZ15" s="56"/>
      <c r="EA15" s="34"/>
      <c r="EB15" s="53"/>
      <c r="EC15" s="34">
        <f t="shared" si="15"/>
        <v>0</v>
      </c>
      <c r="ED15" s="56" t="s">
        <v>142</v>
      </c>
      <c r="EE15" s="34">
        <v>200</v>
      </c>
      <c r="EF15" s="53"/>
      <c r="EG15" s="34"/>
      <c r="EH15" s="56"/>
      <c r="EI15" s="55"/>
      <c r="EJ15" s="57"/>
      <c r="EK15" s="57"/>
      <c r="EL15" s="57"/>
      <c r="EM15" s="57"/>
      <c r="EN15" s="61"/>
    </row>
    <row r="16" spans="1:144" x14ac:dyDescent="0.25">
      <c r="A16" s="138" t="s">
        <v>291</v>
      </c>
      <c r="B16" s="138"/>
      <c r="C16" s="150"/>
      <c r="D16" s="150"/>
      <c r="E16" s="150"/>
      <c r="F16" s="150"/>
      <c r="G16" s="150"/>
      <c r="H16" s="151" t="s">
        <v>71</v>
      </c>
      <c r="I16" s="151"/>
      <c r="J16" s="151"/>
      <c r="K16" s="151"/>
      <c r="L16" s="151" t="s">
        <v>299</v>
      </c>
      <c r="M16" s="151"/>
      <c r="N16" s="163"/>
      <c r="O16" s="163"/>
      <c r="P16" s="151" t="s">
        <v>300</v>
      </c>
      <c r="Q16" s="151"/>
      <c r="R16" s="163"/>
      <c r="S16" s="163"/>
      <c r="T16" s="151" t="s">
        <v>296</v>
      </c>
      <c r="U16" s="151"/>
      <c r="V16" s="151"/>
      <c r="W16" s="151"/>
      <c r="X16" s="151"/>
      <c r="Y16" s="151"/>
      <c r="Z16" s="163"/>
      <c r="AA16" s="163"/>
      <c r="AB16" s="163"/>
      <c r="AC16" s="144" t="s">
        <v>118</v>
      </c>
      <c r="AD16" s="144"/>
      <c r="AE16" s="144"/>
      <c r="AF16" s="119"/>
      <c r="AI16" s="119"/>
      <c r="AJ16" s="119" t="s">
        <v>301</v>
      </c>
      <c r="AK16" s="119"/>
      <c r="AL16" s="119"/>
      <c r="AM16" s="119"/>
      <c r="AW16" s="58"/>
      <c r="AX16"/>
      <c r="AY16" s="72"/>
      <c r="AZ16" s="54"/>
      <c r="BA16" s="57"/>
      <c r="BB16" s="171"/>
      <c r="BC16" s="57"/>
      <c r="BD16" s="1" t="str">
        <f>VLOOKUP(1,CN3:CP10,3,0)</f>
        <v>РС20-6</v>
      </c>
      <c r="BE16" s="1"/>
      <c r="BF16" s="57"/>
      <c r="BG16" s="57"/>
      <c r="BH16" s="54">
        <f t="shared" si="2"/>
        <v>0</v>
      </c>
      <c r="BI16" s="57">
        <v>250</v>
      </c>
      <c r="BJ16" s="57">
        <f t="shared" si="16"/>
        <v>2.339473539768467E-2</v>
      </c>
      <c r="BK16" s="61">
        <f t="shared" si="17"/>
        <v>2.8351069137696479E-2</v>
      </c>
      <c r="BL16" s="54" t="e">
        <f t="shared" si="3"/>
        <v>#VALUE!</v>
      </c>
      <c r="BM16" s="57">
        <v>250</v>
      </c>
      <c r="BN16" s="57" t="e">
        <f t="shared" si="4"/>
        <v>#VALUE!</v>
      </c>
      <c r="BO16" s="61" t="e">
        <f t="shared" si="5"/>
        <v>#VALUE!</v>
      </c>
      <c r="BP16" s="57"/>
      <c r="BQ16" s="54"/>
      <c r="BR16" s="57"/>
      <c r="BS16" s="57"/>
      <c r="BT16" s="54">
        <f t="shared" si="6"/>
        <v>1</v>
      </c>
      <c r="BU16" s="57" t="s">
        <v>263</v>
      </c>
      <c r="BV16" s="57">
        <v>125</v>
      </c>
      <c r="BW16" s="61">
        <v>160</v>
      </c>
      <c r="BX16" s="54"/>
      <c r="BY16" s="57"/>
      <c r="BZ16" s="57"/>
      <c r="CA16" s="61"/>
      <c r="CB16" s="57"/>
      <c r="CC16" s="57"/>
      <c r="CD16" s="54"/>
      <c r="CE16" s="57"/>
      <c r="CF16" s="61"/>
      <c r="CG16" s="54"/>
      <c r="CH16" s="57"/>
      <c r="CI16" s="61"/>
      <c r="CJ16" s="57"/>
      <c r="CK16" s="57"/>
      <c r="CL16" s="57"/>
      <c r="CM16" s="57"/>
      <c r="CN16" s="57"/>
      <c r="CO16" s="57"/>
      <c r="CP16" s="57"/>
      <c r="CQ16" s="57"/>
      <c r="CR16" s="57"/>
      <c r="CS16" s="57"/>
      <c r="CT16" s="57"/>
      <c r="CU16" s="57"/>
      <c r="CV16" s="57"/>
      <c r="CW16" s="57"/>
      <c r="CX16" s="57"/>
      <c r="CY16" s="50"/>
      <c r="CZ16" s="34"/>
      <c r="DA16" s="51"/>
      <c r="DB16" s="34"/>
      <c r="DC16" s="56"/>
      <c r="DD16" s="34"/>
      <c r="DE16" s="53"/>
      <c r="DF16" s="70"/>
      <c r="DG16" s="56"/>
      <c r="DH16" s="34"/>
      <c r="DI16" s="51"/>
      <c r="DJ16" s="34"/>
      <c r="DK16" s="56"/>
      <c r="DL16" s="34"/>
      <c r="DM16" s="53"/>
      <c r="DN16" s="57"/>
      <c r="DO16" s="57"/>
      <c r="DP16" s="57"/>
      <c r="DQ16" s="53"/>
      <c r="DR16" s="34">
        <f t="shared" si="13"/>
        <v>0</v>
      </c>
      <c r="DS16" s="56" t="s">
        <v>142</v>
      </c>
      <c r="DT16" s="34" t="s">
        <v>260</v>
      </c>
      <c r="DU16" s="57">
        <f t="shared" si="14"/>
        <v>0</v>
      </c>
      <c r="DV16" s="56" t="s">
        <v>142</v>
      </c>
      <c r="DW16" s="57" t="s">
        <v>260</v>
      </c>
      <c r="DX16" s="53"/>
      <c r="DY16" s="57"/>
      <c r="DZ16" s="57"/>
      <c r="EA16" s="57"/>
      <c r="EB16" s="53"/>
      <c r="EC16" s="57"/>
      <c r="ED16" s="57"/>
      <c r="EE16" s="57"/>
      <c r="EF16" s="53"/>
      <c r="EG16" s="57"/>
      <c r="EH16" s="57"/>
      <c r="EI16" s="61"/>
      <c r="EJ16" s="57"/>
      <c r="EK16" s="57"/>
      <c r="EL16" s="57"/>
      <c r="EM16" s="57"/>
      <c r="EN16" s="61"/>
    </row>
    <row r="17" spans="1:144" ht="15.75" thickBot="1" x14ac:dyDescent="0.3">
      <c r="A17" s="146" t="s">
        <v>302</v>
      </c>
      <c r="B17" s="146"/>
      <c r="C17" s="164">
        <v>0.4</v>
      </c>
      <c r="D17" s="164"/>
      <c r="E17" s="164"/>
      <c r="F17" s="164"/>
      <c r="G17" s="164"/>
      <c r="H17" s="140" t="s">
        <v>71</v>
      </c>
      <c r="I17" s="140"/>
      <c r="J17" s="140"/>
      <c r="K17" s="140"/>
      <c r="L17" s="140" t="s">
        <v>178</v>
      </c>
      <c r="M17" s="140"/>
      <c r="N17" s="165"/>
      <c r="O17" s="165"/>
      <c r="P17" s="140" t="s">
        <v>202</v>
      </c>
      <c r="Q17" s="140"/>
      <c r="R17" s="165"/>
      <c r="S17" s="165"/>
      <c r="T17" s="140" t="s">
        <v>303</v>
      </c>
      <c r="U17" s="140"/>
      <c r="V17" s="140"/>
      <c r="W17" s="140"/>
      <c r="X17" s="140"/>
      <c r="Y17" s="140"/>
      <c r="Z17" s="165"/>
      <c r="AA17" s="165"/>
      <c r="AB17" s="165"/>
      <c r="AC17" s="145" t="s">
        <v>289</v>
      </c>
      <c r="AD17" s="145"/>
      <c r="AE17" s="145"/>
      <c r="AF17" s="119"/>
      <c r="AW17" s="58"/>
      <c r="AX17"/>
      <c r="AY17" s="72"/>
      <c r="AZ17" s="170"/>
      <c r="BA17" s="57"/>
      <c r="BB17" s="171"/>
      <c r="BC17" s="57"/>
      <c r="BD17" s="57"/>
      <c r="BE17" s="57"/>
      <c r="BF17" s="57"/>
      <c r="BG17" s="57"/>
      <c r="BH17" s="54">
        <f t="shared" si="2"/>
        <v>0</v>
      </c>
      <c r="BI17" s="57">
        <v>300</v>
      </c>
      <c r="BJ17" s="57">
        <f t="shared" si="16"/>
        <v>2.2301284149115197E-2</v>
      </c>
      <c r="BK17" s="61">
        <f t="shared" si="17"/>
        <v>1.0861128314860614E-2</v>
      </c>
      <c r="BL17" s="54" t="e">
        <f t="shared" si="3"/>
        <v>#VALUE!</v>
      </c>
      <c r="BM17" s="57">
        <v>300</v>
      </c>
      <c r="BN17" s="57" t="e">
        <f t="shared" si="4"/>
        <v>#VALUE!</v>
      </c>
      <c r="BO17" s="61" t="e">
        <f t="shared" si="5"/>
        <v>#VALUE!</v>
      </c>
      <c r="BP17" s="57"/>
      <c r="BQ17" s="54"/>
      <c r="BR17" s="57"/>
      <c r="BS17" s="57"/>
      <c r="BT17" s="54">
        <f t="shared" si="6"/>
        <v>1</v>
      </c>
      <c r="BU17" s="57" t="s">
        <v>266</v>
      </c>
      <c r="BV17" s="57">
        <v>150</v>
      </c>
      <c r="BW17" s="61">
        <v>200</v>
      </c>
      <c r="BX17" s="54"/>
      <c r="BY17" s="57"/>
      <c r="BZ17" s="57"/>
      <c r="CA17" s="61"/>
      <c r="CB17" s="57"/>
      <c r="CC17" s="57"/>
      <c r="CD17" s="54"/>
      <c r="CE17" s="57"/>
      <c r="CF17" s="61"/>
      <c r="CG17" s="54"/>
      <c r="CH17" s="57"/>
      <c r="CI17" s="61"/>
      <c r="CJ17" s="57"/>
      <c r="CK17" s="57"/>
      <c r="CL17" s="57"/>
      <c r="CM17" s="57"/>
      <c r="CN17" s="57"/>
      <c r="CO17" s="57"/>
      <c r="CP17" s="57"/>
      <c r="CQ17" s="57"/>
      <c r="CR17" s="57"/>
      <c r="CS17" s="57"/>
      <c r="CT17" s="57"/>
      <c r="CU17" s="57"/>
      <c r="CV17" s="57"/>
      <c r="CW17" s="57"/>
      <c r="CX17" s="57"/>
      <c r="CY17" s="50"/>
      <c r="CZ17" s="34"/>
      <c r="DA17" s="51"/>
      <c r="DB17" s="34"/>
      <c r="DC17" s="56"/>
      <c r="DD17" s="34"/>
      <c r="DE17" s="53"/>
      <c r="DF17" s="70"/>
      <c r="DG17" s="56"/>
      <c r="DH17" s="34"/>
      <c r="DI17" s="51"/>
      <c r="DJ17" s="34"/>
      <c r="DK17" s="56"/>
      <c r="DL17" s="34"/>
      <c r="DM17" s="53"/>
      <c r="DN17" s="57"/>
      <c r="DO17" s="57"/>
      <c r="DP17" s="57"/>
      <c r="DQ17" s="53"/>
      <c r="DR17" s="34">
        <f t="shared" si="13"/>
        <v>0</v>
      </c>
      <c r="DS17" s="56" t="s">
        <v>145</v>
      </c>
      <c r="DT17" s="34" t="s">
        <v>263</v>
      </c>
      <c r="DU17" s="57">
        <f t="shared" si="14"/>
        <v>0</v>
      </c>
      <c r="DV17" s="56" t="s">
        <v>145</v>
      </c>
      <c r="DW17" s="57" t="s">
        <v>263</v>
      </c>
      <c r="DX17" s="53"/>
      <c r="DY17" s="57"/>
      <c r="DZ17" s="57"/>
      <c r="EA17" s="57"/>
      <c r="EB17" s="53"/>
      <c r="EC17" s="57"/>
      <c r="ED17" s="57"/>
      <c r="EE17" s="57"/>
      <c r="EF17" s="53"/>
      <c r="EG17" s="57"/>
      <c r="EH17" s="57"/>
      <c r="EI17" s="61"/>
      <c r="EJ17" s="57"/>
      <c r="EK17" s="57"/>
      <c r="EL17" s="57"/>
      <c r="EM17" s="57"/>
      <c r="EN17" s="61"/>
    </row>
    <row r="18" spans="1:144" ht="6" customHeight="1" thickBot="1" x14ac:dyDescent="0.3">
      <c r="A18" s="120"/>
      <c r="B18" s="109"/>
      <c r="C18" s="119"/>
      <c r="D18" s="119"/>
      <c r="E18" s="119"/>
      <c r="F18" s="119"/>
      <c r="G18" s="119"/>
      <c r="H18" s="119"/>
      <c r="I18" s="119"/>
      <c r="J18" s="119"/>
      <c r="K18" s="119"/>
      <c r="L18" s="119"/>
      <c r="M18" s="119"/>
      <c r="N18" s="119"/>
      <c r="O18" s="119"/>
      <c r="P18" s="119"/>
      <c r="Q18" s="119"/>
      <c r="R18" s="119"/>
      <c r="S18" s="119"/>
      <c r="T18" s="119"/>
      <c r="U18" s="119"/>
      <c r="V18" s="119"/>
      <c r="W18" s="119"/>
      <c r="X18" s="119"/>
      <c r="Y18" s="119"/>
      <c r="Z18" s="119"/>
      <c r="AA18" s="119"/>
      <c r="AB18" s="119"/>
      <c r="AC18" s="119"/>
      <c r="AD18" s="119"/>
      <c r="AE18" s="121"/>
      <c r="AF18" s="119"/>
      <c r="AW18" s="58"/>
      <c r="AX18"/>
      <c r="AY18" s="72"/>
      <c r="AZ18" s="170"/>
      <c r="BA18" s="57"/>
      <c r="BB18" s="171"/>
      <c r="BC18" s="57"/>
      <c r="BD18" s="57"/>
      <c r="BE18" s="57"/>
      <c r="BF18" s="57"/>
      <c r="BG18" s="57"/>
      <c r="BH18" s="54"/>
      <c r="BI18" s="57"/>
      <c r="BJ18" s="57"/>
      <c r="BK18" s="61"/>
      <c r="BL18" s="54"/>
      <c r="BM18" s="57"/>
      <c r="BN18" s="57"/>
      <c r="BO18" s="61"/>
      <c r="BP18" s="57"/>
      <c r="BQ18" s="54"/>
      <c r="BR18" s="57"/>
      <c r="BS18" s="57"/>
      <c r="BT18" s="54">
        <f t="shared" si="6"/>
        <v>1</v>
      </c>
      <c r="BU18" s="57" t="s">
        <v>267</v>
      </c>
      <c r="BV18" s="57">
        <v>150</v>
      </c>
      <c r="BW18" s="61">
        <v>250</v>
      </c>
      <c r="BX18" s="54"/>
      <c r="BY18" s="57"/>
      <c r="BZ18" s="57"/>
      <c r="CA18" s="61"/>
      <c r="CB18" s="57"/>
      <c r="CC18" s="57"/>
      <c r="CD18" s="54"/>
      <c r="CE18" s="57"/>
      <c r="CF18" s="61"/>
      <c r="CG18" s="54"/>
      <c r="CH18" s="57"/>
      <c r="CI18" s="61"/>
      <c r="CJ18" s="57"/>
      <c r="CK18" s="57"/>
      <c r="CL18" s="57"/>
      <c r="CM18" s="57"/>
      <c r="CN18" s="57"/>
      <c r="CO18" s="57"/>
      <c r="CP18" s="57"/>
      <c r="CQ18" s="57"/>
      <c r="CR18" s="57"/>
      <c r="CS18" s="57"/>
      <c r="CT18" s="57"/>
      <c r="CU18" s="57"/>
      <c r="CV18" s="57"/>
      <c r="CW18" s="57"/>
      <c r="CX18" s="57"/>
      <c r="CY18" s="50"/>
      <c r="CZ18" s="34"/>
      <c r="DA18" s="51"/>
      <c r="DB18" s="34"/>
      <c r="DC18" s="56"/>
      <c r="DD18" s="34"/>
      <c r="DE18" s="53"/>
      <c r="DF18" s="70"/>
      <c r="DG18" s="56"/>
      <c r="DH18" s="34"/>
      <c r="DI18" s="51"/>
      <c r="DJ18" s="34"/>
      <c r="DK18" s="56"/>
      <c r="DL18" s="34"/>
      <c r="DM18" s="53"/>
      <c r="DN18" s="57"/>
      <c r="DO18" s="57"/>
      <c r="DP18" s="57"/>
      <c r="DQ18" s="53"/>
      <c r="DR18" s="34">
        <f t="shared" si="13"/>
        <v>0</v>
      </c>
      <c r="DS18" s="56" t="s">
        <v>146</v>
      </c>
      <c r="DT18" s="34" t="s">
        <v>266</v>
      </c>
      <c r="DU18" s="57">
        <f t="shared" si="14"/>
        <v>1</v>
      </c>
      <c r="DV18" s="56" t="s">
        <v>146</v>
      </c>
      <c r="DW18" s="57"/>
      <c r="DX18" s="53"/>
      <c r="DY18" s="57"/>
      <c r="DZ18" s="57"/>
      <c r="EA18" s="57"/>
      <c r="EB18" s="53"/>
      <c r="EC18" s="57"/>
      <c r="ED18" s="57"/>
      <c r="EE18" s="57"/>
      <c r="EF18" s="53"/>
      <c r="EG18" s="57"/>
      <c r="EH18" s="57"/>
      <c r="EI18" s="61"/>
      <c r="EJ18" s="57"/>
      <c r="EK18" s="57"/>
      <c r="EL18" s="57"/>
      <c r="EM18" s="57"/>
      <c r="EN18" s="61"/>
    </row>
    <row r="19" spans="1:144" ht="12" customHeight="1" thickBot="1" x14ac:dyDescent="0.3">
      <c r="A19" s="142" t="s">
        <v>304</v>
      </c>
      <c r="B19" s="142"/>
      <c r="C19" s="161" t="s">
        <v>288</v>
      </c>
      <c r="D19" s="161"/>
      <c r="E19" s="161"/>
      <c r="F19" s="161"/>
      <c r="G19" s="161"/>
      <c r="H19" s="161"/>
      <c r="I19" s="148" t="s">
        <v>286</v>
      </c>
      <c r="J19" s="148"/>
      <c r="K19" s="148"/>
      <c r="L19" s="148"/>
      <c r="M19" s="148"/>
      <c r="N19" s="148"/>
      <c r="O19" s="148" t="s">
        <v>305</v>
      </c>
      <c r="P19" s="148"/>
      <c r="Q19" s="148"/>
      <c r="R19" s="148"/>
      <c r="S19" s="148"/>
      <c r="T19" s="148"/>
      <c r="U19" s="148"/>
      <c r="V19" s="148"/>
      <c r="W19" s="162" t="s">
        <v>306</v>
      </c>
      <c r="X19" s="162"/>
      <c r="Y19" s="162"/>
      <c r="Z19" s="162"/>
      <c r="AA19" s="162"/>
      <c r="AB19" s="162"/>
      <c r="AC19" s="162"/>
      <c r="AD19" s="162"/>
      <c r="AE19" s="162"/>
      <c r="AF19" s="119"/>
      <c r="AJ19" s="118" t="s">
        <v>307</v>
      </c>
      <c r="AM19" s="118" t="s">
        <v>53</v>
      </c>
      <c r="AR19" s="118" t="s">
        <v>308</v>
      </c>
      <c r="AS19" s="118" t="s">
        <v>309</v>
      </c>
      <c r="AT19" s="118" t="s">
        <v>310</v>
      </c>
      <c r="AU19" s="118" t="s">
        <v>311</v>
      </c>
      <c r="AZ19" s="170"/>
      <c r="BA19" s="57"/>
      <c r="BB19" s="171"/>
      <c r="BC19" s="57"/>
      <c r="BD19" s="57"/>
      <c r="BE19" s="57"/>
      <c r="BF19" s="57"/>
      <c r="BG19" s="57"/>
      <c r="BH19" s="54"/>
      <c r="BI19" s="90"/>
      <c r="BJ19" s="57"/>
      <c r="BK19" s="61"/>
      <c r="BL19" s="54"/>
      <c r="BM19" s="57"/>
      <c r="BN19" s="57"/>
      <c r="BO19" s="61"/>
      <c r="BP19" s="57"/>
      <c r="BQ19" s="83"/>
      <c r="BR19" s="87"/>
      <c r="BS19" s="87"/>
      <c r="BT19" s="83">
        <f t="shared" si="6"/>
        <v>1</v>
      </c>
      <c r="BU19" s="87" t="s">
        <v>268</v>
      </c>
      <c r="BV19" s="87">
        <v>150</v>
      </c>
      <c r="BW19" s="89">
        <v>280</v>
      </c>
      <c r="BX19" s="83"/>
      <c r="BY19" s="87"/>
      <c r="BZ19" s="87"/>
      <c r="CA19" s="89"/>
      <c r="CB19" s="87"/>
      <c r="CC19" s="87"/>
      <c r="CD19" s="83"/>
      <c r="CE19" s="87"/>
      <c r="CF19" s="89"/>
      <c r="CG19" s="83"/>
      <c r="CH19" s="87"/>
      <c r="CI19" s="89"/>
      <c r="CJ19" s="57"/>
      <c r="CK19" s="57"/>
      <c r="CL19" s="57"/>
      <c r="CM19" s="57"/>
      <c r="CN19" s="57"/>
      <c r="CO19" s="57"/>
      <c r="CP19" s="57"/>
      <c r="CQ19" s="57"/>
      <c r="CR19" s="57"/>
      <c r="CS19" s="57"/>
      <c r="CT19" s="57"/>
      <c r="CU19" s="57"/>
      <c r="CV19" s="57"/>
      <c r="CW19" s="57"/>
      <c r="CX19" s="57"/>
      <c r="CY19" s="50"/>
      <c r="CZ19" s="34"/>
      <c r="DA19" s="51"/>
      <c r="DB19" s="34"/>
      <c r="DC19" s="56"/>
      <c r="DD19" s="34"/>
      <c r="DE19" s="53"/>
      <c r="DF19" s="70"/>
      <c r="DG19" s="56"/>
      <c r="DH19" s="34"/>
      <c r="DI19" s="51"/>
      <c r="DJ19" s="34"/>
      <c r="DK19" s="56"/>
      <c r="DL19" s="34"/>
      <c r="DM19" s="53"/>
      <c r="DN19" s="57"/>
      <c r="DO19" s="57"/>
      <c r="DP19" s="57"/>
      <c r="DQ19" s="53"/>
      <c r="DR19" s="34">
        <f t="shared" si="13"/>
        <v>0</v>
      </c>
      <c r="DS19" s="56" t="s">
        <v>148</v>
      </c>
      <c r="DT19" s="34" t="s">
        <v>267</v>
      </c>
      <c r="DU19" s="57">
        <f t="shared" si="14"/>
        <v>1</v>
      </c>
      <c r="DV19" s="56" t="s">
        <v>148</v>
      </c>
      <c r="DW19" s="57"/>
      <c r="DX19" s="53"/>
      <c r="DY19" s="57"/>
      <c r="DZ19" s="57"/>
      <c r="EA19" s="57"/>
      <c r="EB19" s="53"/>
      <c r="EC19" s="57"/>
      <c r="ED19" s="57"/>
      <c r="EE19" s="57"/>
      <c r="EF19" s="53"/>
      <c r="EG19" s="57"/>
      <c r="EH19" s="57"/>
      <c r="EI19" s="61"/>
      <c r="EJ19" s="57"/>
      <c r="EK19" s="57"/>
      <c r="EL19" s="57"/>
      <c r="EM19" s="57"/>
      <c r="EN19" s="61"/>
    </row>
    <row r="20" spans="1:144" ht="15.75" thickBot="1" x14ac:dyDescent="0.3">
      <c r="A20" s="142"/>
      <c r="B20" s="142"/>
      <c r="C20" s="164" t="s">
        <v>307</v>
      </c>
      <c r="D20" s="164"/>
      <c r="E20" s="164"/>
      <c r="F20" s="164"/>
      <c r="G20" s="164"/>
      <c r="H20" s="164"/>
      <c r="I20" s="165" t="s">
        <v>307</v>
      </c>
      <c r="J20" s="165"/>
      <c r="K20" s="165"/>
      <c r="L20" s="165"/>
      <c r="M20" s="165"/>
      <c r="N20" s="165"/>
      <c r="O20" s="165" t="s">
        <v>307</v>
      </c>
      <c r="P20" s="165"/>
      <c r="Q20" s="165"/>
      <c r="R20" s="165" t="s">
        <v>55</v>
      </c>
      <c r="S20" s="165"/>
      <c r="T20" s="165"/>
      <c r="U20" s="165"/>
      <c r="V20" s="165"/>
      <c r="W20" s="165" t="s">
        <v>307</v>
      </c>
      <c r="X20" s="165"/>
      <c r="Y20" s="165"/>
      <c r="Z20" s="166" t="s">
        <v>53</v>
      </c>
      <c r="AA20" s="166"/>
      <c r="AB20" s="166"/>
      <c r="AC20" s="166"/>
      <c r="AD20" s="166"/>
      <c r="AE20" s="166"/>
      <c r="AF20" s="119"/>
      <c r="AJ20" s="118" t="s">
        <v>312</v>
      </c>
      <c r="AL20" s="118" t="s">
        <v>55</v>
      </c>
      <c r="AM20" s="118" t="s">
        <v>55</v>
      </c>
      <c r="AR20" s="118">
        <f>IF(I20&lt;&gt;"Есть",0,IF(AND(I20="Есть",C13&gt;0,N13&gt;0,R13&gt;0,W13&gt;0,AC13&gt;0),2,"X1"))</f>
        <v>2</v>
      </c>
      <c r="AS20" s="118">
        <f>IF(I20&lt;&gt;"Нет",0,IF(AND(I20="Нет",C13&gt;0,N13&gt;0,R13&gt;0,W13&gt;0,AC13&gt;0),1,"X1"))</f>
        <v>0</v>
      </c>
      <c r="AT20" s="118">
        <f>IF(I20&lt;&gt;"Автоматически",0,IF(AND(I20="Автоматически",C13&gt;0,N13&gt;0,R13&gt;0,W13&gt;0,AC13&gt;0),AU20,"X1"))</f>
        <v>0</v>
      </c>
      <c r="AU20" s="118">
        <f>IF(OR(C24="Независимая",C28="Независимая",C32="Независимая"),2,IF(OR(C24="Зависимая",C28="Зависимая",C32="Зависимая"),1,"X1"))</f>
        <v>1</v>
      </c>
      <c r="AZ20" s="170"/>
      <c r="BA20" s="57"/>
      <c r="BB20" s="171"/>
      <c r="BC20" s="57"/>
      <c r="BD20" s="57"/>
      <c r="BE20" s="57"/>
      <c r="BF20" s="57"/>
      <c r="BG20" s="57"/>
      <c r="BH20" s="54"/>
      <c r="BI20" s="90" t="s">
        <v>150</v>
      </c>
      <c r="BJ20" s="57">
        <v>958.4</v>
      </c>
      <c r="BK20" s="61"/>
      <c r="BL20" s="54"/>
      <c r="BM20" s="57"/>
      <c r="BN20" s="57"/>
      <c r="BO20" s="61"/>
      <c r="BP20" s="57"/>
      <c r="BQ20" s="57"/>
      <c r="BR20" s="57"/>
      <c r="BS20" s="57"/>
      <c r="BT20" s="57"/>
      <c r="BU20" s="57"/>
      <c r="BV20" s="57"/>
      <c r="BW20" s="57"/>
      <c r="BX20" s="57"/>
      <c r="BY20" s="57"/>
      <c r="BZ20" s="57"/>
      <c r="CA20" s="57"/>
      <c r="CB20" s="57"/>
      <c r="CC20" s="57"/>
      <c r="CD20" s="57"/>
      <c r="CE20" s="57"/>
      <c r="CF20" s="57"/>
      <c r="CG20" s="57"/>
      <c r="CH20" s="57"/>
      <c r="CI20" s="57"/>
      <c r="CJ20" s="57"/>
      <c r="CK20" s="57"/>
      <c r="CL20" s="57"/>
      <c r="CM20" s="57"/>
      <c r="CN20" s="57"/>
      <c r="CO20" s="57"/>
      <c r="CP20" s="57"/>
      <c r="CQ20" s="57"/>
      <c r="CR20" s="57"/>
      <c r="CS20" s="57"/>
      <c r="CT20" s="57"/>
      <c r="CU20" s="57"/>
      <c r="CV20" s="57"/>
      <c r="CW20" s="57"/>
      <c r="CX20" s="57"/>
      <c r="CY20" s="50"/>
      <c r="CZ20" s="34"/>
      <c r="DA20" s="51"/>
      <c r="DB20" s="34"/>
      <c r="DC20" s="56"/>
      <c r="DD20" s="34"/>
      <c r="DE20" s="53"/>
      <c r="DF20" s="70"/>
      <c r="DG20" s="56"/>
      <c r="DH20" s="34"/>
      <c r="DI20" s="51"/>
      <c r="DJ20" s="34"/>
      <c r="DK20" s="56"/>
      <c r="DL20" s="34"/>
      <c r="DM20" s="53"/>
      <c r="DN20" s="57"/>
      <c r="DO20" s="57"/>
      <c r="DP20" s="57"/>
      <c r="DQ20" s="53"/>
      <c r="DR20" s="34">
        <f t="shared" si="13"/>
        <v>0</v>
      </c>
      <c r="DS20" s="56" t="s">
        <v>149</v>
      </c>
      <c r="DT20" s="34" t="s">
        <v>268</v>
      </c>
      <c r="DU20" s="57">
        <f t="shared" si="14"/>
        <v>1</v>
      </c>
      <c r="DV20" s="56" t="s">
        <v>149</v>
      </c>
      <c r="DW20" s="57"/>
      <c r="DX20" s="53"/>
      <c r="DY20" s="57"/>
      <c r="DZ20" s="57"/>
      <c r="EA20" s="57"/>
      <c r="EB20" s="53"/>
      <c r="EC20" s="57"/>
      <c r="ED20" s="57"/>
      <c r="EE20" s="57"/>
      <c r="EF20" s="53"/>
      <c r="EG20" s="57"/>
      <c r="EH20" s="57"/>
      <c r="EI20" s="61"/>
      <c r="EJ20" s="57"/>
      <c r="EK20" s="57"/>
      <c r="EL20" s="57"/>
      <c r="EM20" s="57"/>
      <c r="EN20" s="61"/>
    </row>
    <row r="21" spans="1:144" ht="15.75" thickBot="1" x14ac:dyDescent="0.3">
      <c r="A21" s="108"/>
      <c r="B21" s="116" t="s">
        <v>1</v>
      </c>
      <c r="C21" s="122" t="s">
        <v>164</v>
      </c>
      <c r="D21" s="122">
        <f>IF(I20="Есть",AR20,IF(I20="Нет",AS20,IF(I20="Автоматически",AT20,"Х1")))</f>
        <v>2</v>
      </c>
      <c r="E21" s="122" t="s">
        <v>164</v>
      </c>
      <c r="F21" s="122" t="str">
        <f>IF(AND(C13&gt;0,N13&gt;0,C20&gt;0,I20&gt;0,R13&gt;0,D37&lt;&gt;"Х1"),VLOOKUP(1,DB4:DD15,2,0),"X2")</f>
        <v>08</v>
      </c>
      <c r="G21" s="122" t="s">
        <v>164</v>
      </c>
      <c r="H21" s="122" t="str">
        <f>IF(D21=1,"00",IF(AND(C13&gt;0,SUM(C14:G16)&gt;0,N13&gt;0,R13&gt;0,I20&gt;0,D37&lt;&gt;"Х1"),VLOOKUP(1,БВ!BG4:BI15,2,0),"X3"))</f>
        <v>3</v>
      </c>
      <c r="I21" s="122" t="s">
        <v>164</v>
      </c>
      <c r="J21" s="122" t="str">
        <f>IF(C20="Нет","0",IF(AND(C13&gt;0,N13&gt;0,R13&gt;0,C20&gt;0,D37&lt;&gt;"Х1"),VLOOKUP(1,БВ!BK4:BM13,2,0),"X4"))</f>
        <v>4</v>
      </c>
      <c r="K21" s="122" t="s">
        <v>164</v>
      </c>
      <c r="L21" s="122" t="str">
        <f>IF(OR(C20="Нет",D21=1),"0",IF(AND(C13&gt;0,N13&gt;0,R13&gt;0,C20&gt;0,D37&lt;&gt;"Х1"),VLOOKUP(1,БВ!BK4:BM13,2,0),"X5"))</f>
        <v>4</v>
      </c>
      <c r="M21" s="122" t="s">
        <v>164</v>
      </c>
      <c r="N21" s="122" t="str">
        <f>IF(O20="Нет","00",IF(AND(C13&gt;0,N13&gt;0,R20&gt;0,R13&gt;0,O20&gt;0),VLOOKUP(1,IF(R20="Вогез",БВ!BS5:BU20,БВ!BV4:BX20),2,0),"X6"))</f>
        <v>08</v>
      </c>
      <c r="O21" s="122" t="s">
        <v>165</v>
      </c>
      <c r="P21" s="122" t="str">
        <f>IF(O20="Нет","0",IF(AND(C13&gt;0,N13&gt;0,R20&gt;0,R13&gt;0,O20&gt;0),VLOOKUP(1,БВ!BZ4:CB6,2,0),"X7"))</f>
        <v>2</v>
      </c>
      <c r="Q21" s="122" t="s">
        <v>164</v>
      </c>
      <c r="R21" s="122" t="str">
        <f>IF(W20="Нет","00",IF(AND(C13&gt;0,N13&gt;0,Z20&gt;0,R13&gt;0,W20&gt;0),VLOOKUP(1,БВ!CD4:CF15,2,0),"X8"))</f>
        <v>07</v>
      </c>
      <c r="S21" s="122" t="s">
        <v>165</v>
      </c>
      <c r="T21" s="122" t="str">
        <f>IF(W20="Нет","0",IF(AND(C13&gt;0,N13&gt;0,Z20&gt;0,R13&gt;0,W20&gt;0),VLOOKUP(1,БВ!CH4:CJ6,2,0),"X9"))</f>
        <v>1</v>
      </c>
      <c r="U21" s="122"/>
      <c r="V21" s="122"/>
      <c r="W21" s="122"/>
      <c r="X21" s="122"/>
      <c r="Y21" s="122"/>
      <c r="Z21" s="123"/>
      <c r="AA21" s="124"/>
      <c r="AB21" s="124"/>
      <c r="AC21" s="124"/>
      <c r="AD21" s="124"/>
      <c r="AE21" s="125"/>
      <c r="AF21" s="119"/>
      <c r="AJ21" s="118" t="s">
        <v>283</v>
      </c>
      <c r="AL21" s="118" t="s">
        <v>223</v>
      </c>
      <c r="AM21" s="118" t="s">
        <v>313</v>
      </c>
      <c r="AZ21" s="54"/>
      <c r="BA21" s="57"/>
      <c r="BB21" s="57"/>
      <c r="BC21" s="57"/>
      <c r="BD21" s="57"/>
      <c r="BE21" s="57"/>
      <c r="BF21" s="57"/>
      <c r="BG21" s="57"/>
      <c r="BH21" s="54"/>
      <c r="BI21" s="90" t="s">
        <v>152</v>
      </c>
      <c r="BJ21" s="57">
        <v>0.5</v>
      </c>
      <c r="BK21" s="61"/>
      <c r="BL21" s="54"/>
      <c r="BM21" s="57"/>
      <c r="BN21" s="57"/>
      <c r="BO21" s="61"/>
      <c r="BP21" s="57"/>
      <c r="BQ21" s="57"/>
      <c r="BR21" s="57"/>
      <c r="BS21" s="57"/>
      <c r="BT21" s="57"/>
      <c r="BU21" s="57"/>
      <c r="BV21" s="57"/>
      <c r="BW21" s="57"/>
      <c r="BX21" s="57"/>
      <c r="BY21" s="57"/>
      <c r="BZ21" s="57"/>
      <c r="CA21" s="57"/>
      <c r="CB21" s="57"/>
      <c r="CC21" s="57"/>
      <c r="CD21" s="57"/>
      <c r="CE21" s="57"/>
      <c r="CF21" s="57"/>
      <c r="CG21" s="57"/>
      <c r="CH21" s="57"/>
      <c r="CI21" s="57"/>
      <c r="CJ21" s="57"/>
      <c r="CK21" s="57"/>
      <c r="CL21" s="57"/>
      <c r="CM21" s="57"/>
      <c r="CN21" s="57"/>
      <c r="CO21" s="57"/>
      <c r="CP21" s="57"/>
      <c r="CQ21" s="57"/>
      <c r="CR21" s="57"/>
      <c r="CS21" s="57"/>
      <c r="CT21" s="57"/>
      <c r="CU21" s="57"/>
      <c r="CV21" s="57"/>
      <c r="CW21" s="57"/>
      <c r="CX21" s="57"/>
      <c r="CY21" s="50"/>
      <c r="CZ21" s="34"/>
      <c r="DA21" s="51"/>
      <c r="DB21" s="34"/>
      <c r="DC21" s="56"/>
      <c r="DD21" s="34"/>
      <c r="DE21" s="53"/>
      <c r="DF21" s="70"/>
      <c r="DG21" s="56"/>
      <c r="DH21" s="34"/>
      <c r="DI21" s="51"/>
      <c r="DJ21" s="34"/>
      <c r="DK21" s="56"/>
      <c r="DL21" s="34"/>
      <c r="DM21" s="53"/>
      <c r="DN21" s="57"/>
      <c r="DO21" s="57"/>
      <c r="DP21" s="57"/>
      <c r="DQ21" s="53"/>
      <c r="DR21" s="57"/>
      <c r="DS21" s="57"/>
      <c r="DT21" s="57"/>
      <c r="DU21" s="57"/>
      <c r="DV21" s="57"/>
      <c r="DW21" s="57"/>
      <c r="DX21" s="53"/>
      <c r="DY21" s="57"/>
      <c r="DZ21" s="57"/>
      <c r="EA21" s="57"/>
      <c r="EB21" s="53"/>
      <c r="EC21" s="57"/>
      <c r="ED21" s="57"/>
      <c r="EE21" s="57"/>
      <c r="EF21" s="53"/>
      <c r="EG21" s="57"/>
      <c r="EH21" s="57"/>
      <c r="EI21" s="61"/>
      <c r="EJ21" s="57"/>
      <c r="EK21" s="57"/>
      <c r="EL21" s="57"/>
      <c r="EM21" s="57"/>
      <c r="EN21" s="61"/>
    </row>
    <row r="22" spans="1:144" ht="5.25" customHeight="1" thickBot="1" x14ac:dyDescent="0.3">
      <c r="A22" s="126"/>
      <c r="B22" s="110"/>
      <c r="C22" s="116"/>
      <c r="D22" s="110"/>
      <c r="E22" s="110"/>
      <c r="F22" s="127"/>
      <c r="G22" s="110"/>
      <c r="H22" s="127"/>
      <c r="I22" s="110"/>
      <c r="J22" s="110"/>
      <c r="K22" s="110"/>
      <c r="L22" s="127"/>
      <c r="M22" s="110"/>
      <c r="N22" s="110"/>
      <c r="O22" s="110"/>
      <c r="P22" s="110"/>
      <c r="Q22" s="110"/>
      <c r="R22" s="110"/>
      <c r="S22" s="110"/>
      <c r="T22" s="110"/>
      <c r="U22" s="110"/>
      <c r="V22" s="110"/>
      <c r="W22" s="110"/>
      <c r="X22" s="110"/>
      <c r="Y22" s="110"/>
      <c r="Z22" s="127"/>
      <c r="AA22" s="119"/>
      <c r="AB22" s="119"/>
      <c r="AC22" s="119"/>
      <c r="AD22" s="119"/>
      <c r="AE22" s="121"/>
      <c r="AF22" s="119"/>
      <c r="AZ22" s="54"/>
      <c r="BA22" s="57"/>
      <c r="BB22" s="57"/>
      <c r="BC22" s="57"/>
      <c r="BD22" s="57"/>
      <c r="BE22" s="57"/>
      <c r="BF22" s="57"/>
      <c r="BG22" s="57"/>
      <c r="BH22" s="83"/>
      <c r="BI22" s="91"/>
      <c r="BJ22" s="87"/>
      <c r="BK22" s="89"/>
      <c r="BL22" s="83"/>
      <c r="BM22" s="87"/>
      <c r="BN22" s="87"/>
      <c r="BO22" s="89"/>
      <c r="BP22" s="57"/>
      <c r="BQ22" s="57"/>
      <c r="BR22" s="57"/>
      <c r="BS22" s="57"/>
      <c r="BT22" s="57"/>
      <c r="BU22" s="57"/>
      <c r="BV22" s="57"/>
      <c r="BW22" s="57"/>
      <c r="BX22" s="57"/>
      <c r="BY22" s="57"/>
      <c r="BZ22" s="57"/>
      <c r="CA22" s="57"/>
      <c r="CB22" s="57"/>
      <c r="CC22" s="57"/>
      <c r="CD22" s="57"/>
      <c r="CE22" s="57"/>
      <c r="CF22" s="57"/>
      <c r="CG22" s="57"/>
      <c r="CH22" s="57"/>
      <c r="CI22" s="57"/>
      <c r="CJ22" s="57"/>
      <c r="CK22" s="57"/>
      <c r="CL22" s="57"/>
      <c r="CM22" s="57"/>
      <c r="CN22" s="57"/>
      <c r="CO22" s="57"/>
      <c r="CP22" s="57"/>
      <c r="CQ22" s="57"/>
      <c r="CR22" s="57"/>
      <c r="CS22" s="57"/>
      <c r="CT22" s="57"/>
      <c r="CU22" s="57"/>
      <c r="CV22" s="57"/>
      <c r="CW22" s="57"/>
      <c r="CX22" s="57"/>
      <c r="CY22" s="50"/>
      <c r="CZ22" s="34"/>
      <c r="DA22" s="51"/>
      <c r="DB22" s="34"/>
      <c r="DC22" s="56"/>
      <c r="DD22" s="34"/>
      <c r="DE22" s="53"/>
      <c r="DF22" s="70"/>
      <c r="DG22" s="56"/>
      <c r="DH22" s="34"/>
      <c r="DI22" s="51"/>
      <c r="DJ22" s="34"/>
      <c r="DK22" s="56"/>
      <c r="DL22" s="34"/>
      <c r="DM22" s="53"/>
      <c r="DN22" s="57"/>
      <c r="DO22" s="57"/>
      <c r="DP22" s="57"/>
      <c r="DQ22" s="53"/>
      <c r="DR22" s="57"/>
      <c r="DS22" s="57"/>
      <c r="DT22" s="57"/>
      <c r="DU22" s="57"/>
      <c r="DV22" s="57"/>
      <c r="DW22" s="57"/>
      <c r="DX22" s="53"/>
      <c r="DY22" s="57"/>
      <c r="DZ22" s="57"/>
      <c r="EA22" s="57"/>
      <c r="EB22" s="53"/>
      <c r="EC22" s="57"/>
      <c r="ED22" s="57"/>
      <c r="EE22" s="57"/>
      <c r="EF22" s="53"/>
      <c r="EG22" s="57"/>
      <c r="EH22" s="57"/>
      <c r="EI22" s="61"/>
      <c r="EJ22" s="57"/>
      <c r="EK22" s="57"/>
      <c r="EL22" s="57"/>
      <c r="EM22" s="57"/>
      <c r="EN22" s="61"/>
    </row>
    <row r="23" spans="1:144" ht="12" customHeight="1" thickBot="1" x14ac:dyDescent="0.3">
      <c r="A23" s="141" t="s">
        <v>314</v>
      </c>
      <c r="B23" s="141"/>
      <c r="C23" s="167" t="s">
        <v>62</v>
      </c>
      <c r="D23" s="167"/>
      <c r="E23" s="167"/>
      <c r="F23" s="167"/>
      <c r="G23" s="167"/>
      <c r="H23" s="167"/>
      <c r="I23" s="148" t="s">
        <v>32</v>
      </c>
      <c r="J23" s="148"/>
      <c r="K23" s="148"/>
      <c r="L23" s="148"/>
      <c r="M23" s="148"/>
      <c r="N23" s="148"/>
      <c r="O23" s="148" t="s">
        <v>315</v>
      </c>
      <c r="P23" s="148"/>
      <c r="Q23" s="148"/>
      <c r="R23" s="148"/>
      <c r="S23" s="148"/>
      <c r="T23" s="148"/>
      <c r="U23" s="148" t="s">
        <v>293</v>
      </c>
      <c r="V23" s="148"/>
      <c r="W23" s="148"/>
      <c r="X23" s="148"/>
      <c r="Y23" s="148"/>
      <c r="Z23" s="148"/>
      <c r="AA23" s="162" t="s">
        <v>316</v>
      </c>
      <c r="AB23" s="162"/>
      <c r="AC23" s="162"/>
      <c r="AD23" s="162"/>
      <c r="AE23" s="162"/>
      <c r="AF23" s="119"/>
      <c r="AJ23" s="118" t="s">
        <v>79</v>
      </c>
      <c r="AK23" s="118" t="s">
        <v>33</v>
      </c>
      <c r="AL23" s="118" t="s">
        <v>53</v>
      </c>
      <c r="AM23" s="118" t="s">
        <v>83</v>
      </c>
      <c r="AN23" s="118" t="s">
        <v>294</v>
      </c>
      <c r="AZ23" s="54"/>
      <c r="BA23" s="57"/>
      <c r="BB23" s="57"/>
      <c r="BC23" s="57"/>
      <c r="BD23" s="57"/>
      <c r="BE23" s="57"/>
      <c r="BF23" s="57"/>
      <c r="BG23" s="57"/>
      <c r="BH23" s="57"/>
      <c r="BI23" s="57"/>
      <c r="BJ23" s="57"/>
      <c r="BK23" s="57"/>
      <c r="BL23" s="57"/>
      <c r="BM23" s="57"/>
      <c r="BN23" s="57"/>
      <c r="BO23" s="57"/>
      <c r="BP23" s="57"/>
      <c r="BQ23" s="57"/>
      <c r="BR23" s="57"/>
      <c r="BS23" s="57"/>
      <c r="BT23" s="57"/>
      <c r="BU23" s="57"/>
      <c r="BV23" s="57"/>
      <c r="BW23" s="57"/>
      <c r="BX23" s="57"/>
      <c r="BY23" s="57"/>
      <c r="BZ23" s="57"/>
      <c r="CA23" s="57"/>
      <c r="CB23" s="57"/>
      <c r="CC23" s="57"/>
      <c r="CD23" s="57"/>
      <c r="CE23" s="57"/>
      <c r="CF23" s="57"/>
      <c r="CG23" s="57"/>
      <c r="CH23" s="57"/>
      <c r="CI23" s="57"/>
      <c r="CJ23" s="57"/>
      <c r="CK23" s="57"/>
      <c r="CL23" s="57"/>
      <c r="CM23" s="57"/>
      <c r="CN23" s="57"/>
      <c r="CO23" s="57"/>
      <c r="CP23" s="57"/>
      <c r="CQ23" s="57"/>
      <c r="CR23" s="57"/>
      <c r="CS23" s="57"/>
      <c r="CT23" s="57"/>
      <c r="CU23" s="57"/>
      <c r="CV23" s="57"/>
      <c r="CW23" s="57"/>
      <c r="CX23" s="57"/>
      <c r="CY23" s="50"/>
      <c r="CZ23" s="34"/>
      <c r="DA23" s="51"/>
      <c r="DB23" s="34"/>
      <c r="DC23" s="56"/>
      <c r="DD23" s="34"/>
      <c r="DE23" s="53"/>
      <c r="DF23" s="70"/>
      <c r="DG23" s="56"/>
      <c r="DH23" s="34"/>
      <c r="DI23" s="51"/>
      <c r="DJ23" s="34"/>
      <c r="DK23" s="56"/>
      <c r="DL23" s="34"/>
      <c r="DM23" s="53"/>
      <c r="DN23" s="57"/>
      <c r="DO23" s="57"/>
      <c r="DP23" s="57"/>
      <c r="DQ23" s="53"/>
      <c r="DR23" s="57"/>
      <c r="DS23" s="57"/>
      <c r="DT23" s="57"/>
      <c r="DU23" s="57"/>
      <c r="DV23" s="57"/>
      <c r="DW23" s="57"/>
      <c r="DX23" s="53"/>
      <c r="DY23" s="57"/>
      <c r="DZ23" s="57"/>
      <c r="EA23" s="57"/>
      <c r="EB23" s="53"/>
      <c r="EC23" s="57"/>
      <c r="ED23" s="57"/>
      <c r="EE23" s="57"/>
      <c r="EF23" s="53"/>
      <c r="EG23" s="57"/>
      <c r="EH23" s="57"/>
      <c r="EI23" s="61"/>
      <c r="EJ23" s="57"/>
      <c r="EK23" s="57"/>
      <c r="EL23" s="57"/>
      <c r="EM23" s="57"/>
      <c r="EN23" s="61"/>
    </row>
    <row r="24" spans="1:144" ht="15.75" thickBot="1" x14ac:dyDescent="0.3">
      <c r="A24" s="141"/>
      <c r="B24" s="141"/>
      <c r="C24" s="168" t="s">
        <v>79</v>
      </c>
      <c r="D24" s="168"/>
      <c r="E24" s="168"/>
      <c r="F24" s="168"/>
      <c r="G24" s="168"/>
      <c r="H24" s="168"/>
      <c r="I24" s="165" t="s">
        <v>34</v>
      </c>
      <c r="J24" s="165"/>
      <c r="K24" s="165"/>
      <c r="L24" s="165"/>
      <c r="M24" s="165"/>
      <c r="N24" s="165"/>
      <c r="O24" s="165" t="s">
        <v>54</v>
      </c>
      <c r="P24" s="165"/>
      <c r="Q24" s="165"/>
      <c r="R24" s="165"/>
      <c r="S24" s="165"/>
      <c r="T24" s="165"/>
      <c r="U24" s="165" t="s">
        <v>83</v>
      </c>
      <c r="V24" s="165"/>
      <c r="W24" s="165"/>
      <c r="X24" s="165"/>
      <c r="Y24" s="165"/>
      <c r="Z24" s="165"/>
      <c r="AA24" s="166" t="s">
        <v>294</v>
      </c>
      <c r="AB24" s="166"/>
      <c r="AC24" s="166"/>
      <c r="AD24" s="166"/>
      <c r="AE24" s="166"/>
      <c r="AF24" s="119"/>
      <c r="AJ24" s="118" t="s">
        <v>95</v>
      </c>
      <c r="AK24" s="118" t="s">
        <v>34</v>
      </c>
      <c r="AL24" s="118" t="s">
        <v>55</v>
      </c>
      <c r="AM24" s="118" t="s">
        <v>55</v>
      </c>
      <c r="AN24" s="118" t="s">
        <v>97</v>
      </c>
      <c r="AZ24" s="54"/>
      <c r="BA24" s="57"/>
      <c r="BB24" s="57"/>
      <c r="BC24" s="57"/>
      <c r="BD24" s="57"/>
      <c r="BE24" s="57"/>
      <c r="BF24" s="57"/>
      <c r="BG24" s="57"/>
      <c r="BH24" s="57"/>
      <c r="BI24" s="57"/>
      <c r="BJ24" s="57"/>
      <c r="BK24" s="57"/>
      <c r="BL24" s="57"/>
      <c r="BM24" s="57"/>
      <c r="BN24" s="57"/>
      <c r="BO24" s="57"/>
      <c r="BP24" s="57"/>
      <c r="BQ24" s="57"/>
      <c r="BR24" s="57"/>
      <c r="BS24" s="57"/>
      <c r="BT24" s="57"/>
      <c r="BU24" s="57"/>
      <c r="BV24" s="57"/>
      <c r="BW24" s="57"/>
      <c r="BX24" s="57"/>
      <c r="BY24" s="57"/>
      <c r="BZ24" s="57"/>
      <c r="CA24" s="57"/>
      <c r="CB24" s="57"/>
      <c r="CC24" s="57"/>
      <c r="CD24" s="57"/>
      <c r="CE24" s="57"/>
      <c r="CF24" s="57"/>
      <c r="CG24" s="57"/>
      <c r="CH24" s="57"/>
      <c r="CI24" s="57"/>
      <c r="CJ24" s="57"/>
      <c r="CK24" s="57"/>
      <c r="CL24" s="57"/>
      <c r="CM24" s="57"/>
      <c r="CN24" s="57"/>
      <c r="CO24" s="57"/>
      <c r="CP24" s="57"/>
      <c r="CQ24" s="57"/>
      <c r="CR24" s="57"/>
      <c r="CS24" s="57"/>
      <c r="CT24" s="57"/>
      <c r="CU24" s="57"/>
      <c r="CV24" s="57"/>
      <c r="CW24" s="57"/>
      <c r="CX24" s="57"/>
      <c r="CY24" s="50"/>
      <c r="CZ24" s="34"/>
      <c r="DA24" s="51"/>
      <c r="DB24" s="34"/>
      <c r="DC24" s="56"/>
      <c r="DD24" s="34"/>
      <c r="DE24" s="53"/>
      <c r="DF24" s="70"/>
      <c r="DG24" s="56"/>
      <c r="DH24" s="34"/>
      <c r="DI24" s="51"/>
      <c r="DJ24" s="34"/>
      <c r="DK24" s="56"/>
      <c r="DL24" s="34"/>
      <c r="DM24" s="53"/>
      <c r="DN24" s="57"/>
      <c r="DO24" s="57"/>
      <c r="DP24" s="57"/>
      <c r="DQ24" s="53"/>
      <c r="DR24" s="57"/>
      <c r="DS24" s="57"/>
      <c r="DT24" s="57"/>
      <c r="DU24" s="57"/>
      <c r="DV24" s="57"/>
      <c r="DW24" s="57"/>
      <c r="DX24" s="53"/>
      <c r="DY24" s="57"/>
      <c r="DZ24" s="57"/>
      <c r="EA24" s="57"/>
      <c r="EB24" s="53"/>
      <c r="EC24" s="57"/>
      <c r="ED24" s="57"/>
      <c r="EE24" s="57"/>
      <c r="EF24" s="53"/>
      <c r="EG24" s="57"/>
      <c r="EH24" s="57"/>
      <c r="EI24" s="61"/>
      <c r="EJ24" s="57"/>
      <c r="EK24" s="57"/>
      <c r="EL24" s="57"/>
      <c r="EM24" s="57"/>
      <c r="EN24" s="61"/>
    </row>
    <row r="25" spans="1:144" ht="15.75" thickBot="1" x14ac:dyDescent="0.3">
      <c r="A25" s="128"/>
      <c r="B25" s="116" t="s">
        <v>29</v>
      </c>
      <c r="C25" s="116" t="s">
        <v>164</v>
      </c>
      <c r="D25" s="116">
        <f>IF(C24="зависимая",1,IF(C24="независимая",2,"Х1"))</f>
        <v>1</v>
      </c>
      <c r="E25" s="116" t="s">
        <v>164</v>
      </c>
      <c r="F25" s="116" t="str">
        <f>IF(AND(C14&gt;0,N13&gt;0,R13&gt;0,N14&gt;0,R14&gt;0),VLOOKUP(1,'БОВ (1)'!BQ4:BS15,2,0),"X2")</f>
        <v>06</v>
      </c>
      <c r="G25" s="116" t="s">
        <v>164</v>
      </c>
      <c r="H25" s="116" t="str">
        <f>IF(AND(C14&gt;0,N13&gt;0,R13&gt;0,N14&gt;0,R14&gt;0,O24&gt;0,W13&gt;0,AC13&gt;0),VLOOKUP(1,'БОВ (1)'!BU4:BX26,2,0),"X3")</f>
        <v>07</v>
      </c>
      <c r="I25" s="116" t="s">
        <v>165</v>
      </c>
      <c r="J25" s="116" t="str">
        <f>IF(O24&gt;0,VLOOKUP(1,'БОВ (1)'!BZ4:CB6,2,0),"X4")</f>
        <v>3</v>
      </c>
      <c r="K25" s="116" t="s">
        <v>164</v>
      </c>
      <c r="L25" s="116" t="str">
        <f>IF(AND(C14&gt;0,N13&gt;0,R13&gt;0,N14&gt;0,R14&gt;0),VLOOKUP(1,'БОВ (1)'!CD4:CF15,2,0),"X5")</f>
        <v>07</v>
      </c>
      <c r="M25" s="116" t="s">
        <v>164</v>
      </c>
      <c r="N25" s="116">
        <f>IF(Z14&gt;5,"X6",IF(AND(C14&gt;0,N13&gt;0,R13&gt;0,N14&gt;0,R14&gt;0,I24&gt;0),VLOOKUP(1,IF('БОВ (1)'!B15="TOP-SD",'БОВ (1)'!CH4:CJ14,IF('БОВ (1)'!B15="Yonos MAXO-D",'БОВ (1)'!CK4:CM14,IF('БОВ (1)'!B15="Stratos-D",'БОВ (1)'!CN4:CP14,0))),2,0),"X6"))</f>
        <v>3</v>
      </c>
      <c r="O25" s="116" t="s">
        <v>165</v>
      </c>
      <c r="P25" s="116">
        <f>IF(I24&gt;0,VLOOKUP(1,'БОВ (1)'!CR4:CT7,2,0),"X7")</f>
        <v>2</v>
      </c>
      <c r="Q25" s="116" t="s">
        <v>164</v>
      </c>
      <c r="R25" s="116" t="str">
        <f>IF(AND(C14&gt;0,N13&gt;0,R13&gt;0,N14&gt;0,R14&gt;0,C24&gt;0),VLOOKUP(1,'БОВ (1)'!CW4:CY10,2,0),"X8")</f>
        <v>0</v>
      </c>
      <c r="S25" s="116" t="s">
        <v>165</v>
      </c>
      <c r="T25" s="116" t="str">
        <f>IF(AND(C14&gt;0,N13&gt;0,R13&gt;0,N14&gt;0,R14&gt;0,C24&gt;0),VLOOKUP(1,'БОВ (1)'!DA4:DC9,2,0),"X9")</f>
        <v>0</v>
      </c>
      <c r="U25" s="116" t="s">
        <v>164</v>
      </c>
      <c r="V25" s="116" t="str">
        <f>IF(U24&gt;0,VLOOKUP(1,'БОВ (1)'!DE4:DG6,2,0),"X10")</f>
        <v>1</v>
      </c>
      <c r="W25" s="116" t="s">
        <v>164</v>
      </c>
      <c r="X25" s="116" t="str">
        <f>IF(AA24&gt;0,VLOOKUP(1,'БОВ (1)'!DI4:DK5,2,0),"X11")</f>
        <v>1</v>
      </c>
      <c r="Y25" s="116"/>
      <c r="Z25" s="129"/>
      <c r="AA25" s="116"/>
      <c r="AB25" s="129"/>
      <c r="AC25" s="116"/>
      <c r="AD25" s="116"/>
      <c r="AE25" s="117"/>
      <c r="AF25" s="127"/>
      <c r="AG25" s="106"/>
      <c r="AH25" s="106"/>
      <c r="AI25" s="106"/>
      <c r="AJ25" s="106"/>
      <c r="AK25" s="106" t="s">
        <v>35</v>
      </c>
      <c r="AL25" s="118" t="s">
        <v>54</v>
      </c>
      <c r="AM25" s="118" t="s">
        <v>54</v>
      </c>
      <c r="AN25" s="106"/>
      <c r="AO25" s="106"/>
      <c r="AP25" s="106"/>
      <c r="AZ25" s="54"/>
      <c r="BA25" s="57"/>
      <c r="BB25" s="57"/>
      <c r="BC25" s="57"/>
      <c r="BD25" s="57"/>
      <c r="BE25" s="57"/>
      <c r="BF25" s="57"/>
      <c r="BG25" s="57"/>
      <c r="BH25" s="57"/>
      <c r="BI25" s="57"/>
      <c r="BJ25" s="57"/>
      <c r="BK25" s="57"/>
      <c r="BL25" s="57"/>
      <c r="BM25" s="57"/>
      <c r="BN25" s="57"/>
      <c r="BO25" s="57"/>
      <c r="BP25" s="57"/>
      <c r="BQ25" s="57"/>
      <c r="BR25" s="57"/>
      <c r="BS25" s="57"/>
      <c r="BT25" s="57"/>
      <c r="BU25" s="57"/>
      <c r="BV25" s="57"/>
      <c r="BW25" s="57"/>
      <c r="BX25" s="57"/>
      <c r="BY25" s="57"/>
      <c r="BZ25" s="57"/>
      <c r="CA25" s="57"/>
      <c r="CB25" s="57"/>
      <c r="CC25" s="57"/>
      <c r="CD25" s="57"/>
      <c r="CE25" s="57"/>
      <c r="CF25" s="57"/>
      <c r="CG25" s="57"/>
      <c r="CH25" s="57"/>
      <c r="CI25" s="57"/>
      <c r="CJ25" s="57"/>
      <c r="CK25" s="57"/>
      <c r="CL25" s="57"/>
      <c r="CM25" s="57"/>
      <c r="CN25" s="57"/>
      <c r="CO25" s="57"/>
      <c r="CP25" s="57"/>
      <c r="CQ25" s="57"/>
      <c r="CR25" s="57"/>
      <c r="CS25" s="57"/>
      <c r="CT25" s="57"/>
      <c r="CU25" s="57"/>
      <c r="CV25" s="57"/>
      <c r="CW25" s="57"/>
      <c r="CX25" s="57"/>
      <c r="CY25" s="50"/>
      <c r="CZ25" s="34"/>
      <c r="DA25" s="51"/>
      <c r="DB25" s="34"/>
      <c r="DC25" s="56"/>
      <c r="DD25" s="34"/>
      <c r="DE25" s="53"/>
      <c r="DF25" s="70"/>
      <c r="DG25" s="56"/>
      <c r="DH25" s="34"/>
      <c r="DI25" s="51"/>
      <c r="DJ25" s="34"/>
      <c r="DK25" s="56"/>
      <c r="DL25" s="34"/>
      <c r="DM25" s="53"/>
      <c r="DN25" s="57"/>
      <c r="DO25" s="57"/>
      <c r="DP25" s="57"/>
      <c r="DQ25" s="53"/>
      <c r="DR25" s="57"/>
      <c r="DS25" s="57"/>
      <c r="DT25" s="57"/>
      <c r="DU25" s="57"/>
      <c r="DV25" s="57"/>
      <c r="DW25" s="57"/>
      <c r="DX25" s="53"/>
      <c r="DY25" s="57"/>
      <c r="DZ25" s="57"/>
      <c r="EA25" s="57"/>
      <c r="EB25" s="53"/>
      <c r="EC25" s="57"/>
      <c r="ED25" s="57"/>
      <c r="EE25" s="57"/>
      <c r="EF25" s="53"/>
      <c r="EG25" s="57"/>
      <c r="EH25" s="57"/>
      <c r="EI25" s="61"/>
      <c r="EJ25" s="57"/>
      <c r="EK25" s="57"/>
      <c r="EL25" s="57"/>
      <c r="EM25" s="57"/>
      <c r="EN25" s="61"/>
    </row>
    <row r="26" spans="1:144" ht="5.25" customHeight="1" thickBot="1" x14ac:dyDescent="0.3">
      <c r="A26" s="126"/>
      <c r="B26" s="116"/>
      <c r="C26" s="110"/>
      <c r="D26" s="110"/>
      <c r="E26" s="110"/>
      <c r="F26" s="127"/>
      <c r="G26" s="110"/>
      <c r="H26" s="127"/>
      <c r="I26" s="110"/>
      <c r="J26" s="110"/>
      <c r="K26" s="110"/>
      <c r="L26" s="127"/>
      <c r="M26" s="110"/>
      <c r="N26" s="110"/>
      <c r="O26" s="110"/>
      <c r="P26" s="110"/>
      <c r="Q26" s="110"/>
      <c r="R26" s="110"/>
      <c r="S26" s="110"/>
      <c r="T26" s="110"/>
      <c r="U26" s="110"/>
      <c r="V26" s="110"/>
      <c r="W26" s="110"/>
      <c r="X26" s="110"/>
      <c r="Y26" s="110"/>
      <c r="Z26" s="127"/>
      <c r="AA26" s="119"/>
      <c r="AB26" s="119"/>
      <c r="AC26" s="119"/>
      <c r="AD26" s="119"/>
      <c r="AE26" s="121"/>
      <c r="AF26" s="119"/>
      <c r="AZ26" s="54"/>
      <c r="BA26" s="57"/>
      <c r="BB26" s="57"/>
      <c r="BC26" s="57"/>
      <c r="BD26" s="57"/>
      <c r="BE26" s="57"/>
      <c r="BF26" s="57"/>
      <c r="BG26" s="57"/>
      <c r="BH26" s="57"/>
      <c r="BI26" s="57"/>
      <c r="BJ26" s="57"/>
      <c r="BK26" s="57"/>
      <c r="BL26" s="57"/>
      <c r="BM26" s="57"/>
      <c r="BN26" s="57"/>
      <c r="BO26" s="57"/>
      <c r="BP26" s="57"/>
      <c r="BQ26" s="57"/>
      <c r="BR26" s="57"/>
      <c r="BS26" s="57"/>
      <c r="BT26" s="57"/>
      <c r="BU26" s="57"/>
      <c r="BV26" s="57"/>
      <c r="BW26" s="57"/>
      <c r="BX26" s="57"/>
      <c r="BY26" s="57"/>
      <c r="BZ26" s="57"/>
      <c r="CA26" s="57"/>
      <c r="CB26" s="57"/>
      <c r="CC26" s="57"/>
      <c r="CD26" s="57"/>
      <c r="CE26" s="57"/>
      <c r="CF26" s="57"/>
      <c r="CG26" s="57"/>
      <c r="CH26" s="57"/>
      <c r="CI26" s="57"/>
      <c r="CJ26" s="57"/>
      <c r="CK26" s="57"/>
      <c r="CL26" s="57"/>
      <c r="CM26" s="57"/>
      <c r="CN26" s="57"/>
      <c r="CO26" s="57"/>
      <c r="CP26" s="57"/>
      <c r="CQ26" s="57"/>
      <c r="CR26" s="57"/>
      <c r="CS26" s="57"/>
      <c r="CT26" s="57"/>
      <c r="CU26" s="57"/>
      <c r="CV26" s="57"/>
      <c r="CW26" s="57"/>
      <c r="CX26" s="57"/>
      <c r="CY26" s="92"/>
      <c r="CZ26" s="93"/>
      <c r="DA26" s="94"/>
      <c r="DB26" s="93"/>
      <c r="DC26" s="95"/>
      <c r="DD26" s="93"/>
      <c r="DE26" s="85"/>
      <c r="DF26" s="82"/>
      <c r="DG26" s="95"/>
      <c r="DH26" s="93"/>
      <c r="DI26" s="94"/>
      <c r="DJ26" s="93"/>
      <c r="DK26" s="95"/>
      <c r="DL26" s="93"/>
      <c r="DM26" s="85"/>
      <c r="DN26" s="87"/>
      <c r="DO26" s="87"/>
      <c r="DP26" s="87"/>
      <c r="DQ26" s="85"/>
      <c r="DR26" s="87"/>
      <c r="DS26" s="87"/>
      <c r="DT26" s="87"/>
      <c r="DU26" s="87"/>
      <c r="DV26" s="87"/>
      <c r="DW26" s="87"/>
      <c r="DX26" s="85"/>
      <c r="DY26" s="87"/>
      <c r="DZ26" s="87"/>
      <c r="EA26" s="87"/>
      <c r="EB26" s="85"/>
      <c r="EC26" s="87"/>
      <c r="ED26" s="87"/>
      <c r="EE26" s="87"/>
      <c r="EF26" s="85"/>
      <c r="EG26" s="87"/>
      <c r="EH26" s="87"/>
      <c r="EI26" s="89"/>
      <c r="EJ26" s="57"/>
      <c r="EK26" s="57"/>
      <c r="EL26" s="57"/>
      <c r="EM26" s="57"/>
      <c r="EN26" s="61"/>
    </row>
    <row r="27" spans="1:144" ht="12" customHeight="1" thickBot="1" x14ac:dyDescent="0.3">
      <c r="A27" s="141" t="s">
        <v>317</v>
      </c>
      <c r="B27" s="141"/>
      <c r="C27" s="167" t="s">
        <v>62</v>
      </c>
      <c r="D27" s="167"/>
      <c r="E27" s="167"/>
      <c r="F27" s="167"/>
      <c r="G27" s="167"/>
      <c r="H27" s="167"/>
      <c r="I27" s="148" t="s">
        <v>32</v>
      </c>
      <c r="J27" s="148"/>
      <c r="K27" s="148"/>
      <c r="L27" s="148"/>
      <c r="M27" s="148"/>
      <c r="N27" s="148"/>
      <c r="O27" s="148" t="s">
        <v>315</v>
      </c>
      <c r="P27" s="148"/>
      <c r="Q27" s="148"/>
      <c r="R27" s="148"/>
      <c r="S27" s="148"/>
      <c r="T27" s="148"/>
      <c r="U27" s="148" t="s">
        <v>293</v>
      </c>
      <c r="V27" s="148"/>
      <c r="W27" s="148"/>
      <c r="X27" s="148"/>
      <c r="Y27" s="148"/>
      <c r="Z27" s="148"/>
      <c r="AA27" s="162" t="s">
        <v>316</v>
      </c>
      <c r="AB27" s="162"/>
      <c r="AC27" s="162"/>
      <c r="AD27" s="162"/>
      <c r="AE27" s="162"/>
      <c r="AF27" s="119"/>
      <c r="AZ27" s="54"/>
      <c r="BA27" s="57"/>
      <c r="BB27" s="57"/>
      <c r="BC27" s="57"/>
      <c r="BD27" s="57"/>
      <c r="BE27" s="57"/>
      <c r="BF27" s="57"/>
      <c r="BG27" s="57"/>
      <c r="BH27" s="57"/>
      <c r="BI27" s="57"/>
      <c r="BJ27" s="57"/>
      <c r="BK27" s="57"/>
      <c r="BL27" s="57"/>
      <c r="BM27" s="57"/>
      <c r="BN27" s="57"/>
      <c r="BO27" s="57"/>
      <c r="BP27" s="57"/>
      <c r="BQ27" s="57"/>
      <c r="BR27" s="57"/>
      <c r="BS27" s="57"/>
      <c r="BT27" s="57"/>
      <c r="BU27" s="57"/>
      <c r="BV27" s="57"/>
      <c r="BW27" s="57"/>
      <c r="BX27" s="57"/>
      <c r="BY27" s="57"/>
      <c r="BZ27" s="57"/>
      <c r="CA27" s="57"/>
      <c r="CB27" s="57"/>
      <c r="CC27" s="57"/>
      <c r="CD27" s="57"/>
      <c r="CE27" s="57"/>
      <c r="CF27" s="57"/>
      <c r="CG27" s="57"/>
      <c r="CH27" s="57"/>
      <c r="CI27" s="57"/>
      <c r="CJ27" s="57"/>
      <c r="CK27" s="57"/>
      <c r="CL27" s="57"/>
      <c r="CM27" s="57"/>
      <c r="CN27" s="57"/>
      <c r="CO27" s="57"/>
      <c r="CP27" s="57"/>
      <c r="CQ27" s="57"/>
      <c r="CR27" s="57"/>
      <c r="CS27" s="57"/>
      <c r="CT27" s="57"/>
      <c r="CU27" s="57"/>
      <c r="CV27" s="57"/>
      <c r="CW27" s="57"/>
      <c r="CX27" s="57"/>
      <c r="CY27" s="57"/>
      <c r="CZ27" s="57"/>
      <c r="DA27" s="57"/>
      <c r="DB27" s="57"/>
      <c r="DC27" s="57"/>
      <c r="DD27" s="57"/>
      <c r="DE27" s="57"/>
      <c r="DF27" s="57"/>
      <c r="DG27" s="57"/>
      <c r="DH27" s="57"/>
      <c r="DI27" s="57"/>
      <c r="DJ27" s="57"/>
      <c r="DK27" s="57"/>
      <c r="DL27" s="57"/>
      <c r="DM27" s="57"/>
      <c r="DN27" s="57"/>
      <c r="DO27" s="57"/>
      <c r="DP27" s="57"/>
      <c r="DQ27" s="57"/>
      <c r="DR27" s="57"/>
      <c r="DS27" s="57"/>
      <c r="DT27" s="57"/>
      <c r="DU27" s="57"/>
      <c r="DV27" s="57"/>
      <c r="DW27" s="57"/>
      <c r="DX27" s="57"/>
      <c r="DY27" s="57"/>
      <c r="DZ27" s="57"/>
      <c r="EA27" s="57"/>
      <c r="EB27" s="57"/>
      <c r="EC27" s="57"/>
      <c r="ED27" s="57"/>
      <c r="EE27" s="57"/>
      <c r="EF27" s="57"/>
      <c r="EG27" s="57"/>
      <c r="EH27" s="57"/>
      <c r="EI27" s="57"/>
      <c r="EJ27" s="57"/>
      <c r="EK27" s="57"/>
      <c r="EL27" s="57"/>
      <c r="EM27" s="57"/>
      <c r="EN27" s="61"/>
    </row>
    <row r="28" spans="1:144" ht="15.75" thickBot="1" x14ac:dyDescent="0.3">
      <c r="A28" s="141"/>
      <c r="B28" s="141"/>
      <c r="C28" s="168"/>
      <c r="D28" s="168"/>
      <c r="E28" s="168"/>
      <c r="F28" s="168"/>
      <c r="G28" s="168"/>
      <c r="H28" s="168"/>
      <c r="I28" s="165"/>
      <c r="J28" s="165"/>
      <c r="K28" s="165"/>
      <c r="L28" s="165"/>
      <c r="M28" s="165"/>
      <c r="N28" s="165"/>
      <c r="O28" s="165"/>
      <c r="P28" s="165"/>
      <c r="Q28" s="165"/>
      <c r="R28" s="165"/>
      <c r="S28" s="165"/>
      <c r="T28" s="165"/>
      <c r="U28" s="165"/>
      <c r="V28" s="165"/>
      <c r="W28" s="165"/>
      <c r="X28" s="165"/>
      <c r="Y28" s="165"/>
      <c r="Z28" s="165"/>
      <c r="AA28" s="166" t="s">
        <v>97</v>
      </c>
      <c r="AB28" s="166"/>
      <c r="AC28" s="166"/>
      <c r="AD28" s="166"/>
      <c r="AE28" s="166"/>
      <c r="AF28" s="119"/>
      <c r="AZ28" s="54"/>
      <c r="BA28" s="174" t="s">
        <v>1</v>
      </c>
      <c r="BB28" s="174"/>
      <c r="BC28" s="174"/>
      <c r="BD28" s="174"/>
      <c r="BE28" s="174"/>
      <c r="BF28" s="57"/>
      <c r="BG28" s="57"/>
      <c r="BH28" s="57"/>
      <c r="BI28" s="57"/>
      <c r="BJ28" s="57"/>
      <c r="BK28" s="57"/>
      <c r="BL28" s="57"/>
      <c r="BM28" s="57"/>
      <c r="BN28" s="57"/>
      <c r="BO28" s="57"/>
      <c r="BP28" s="57"/>
      <c r="BQ28" s="57"/>
      <c r="BR28" s="57"/>
      <c r="BS28" s="57"/>
      <c r="BT28" s="57"/>
      <c r="BU28" s="57"/>
      <c r="BV28" s="57"/>
      <c r="BW28" s="57"/>
      <c r="BX28" s="57"/>
      <c r="BY28" s="57"/>
      <c r="BZ28" s="57"/>
      <c r="CA28" s="57"/>
      <c r="CB28" s="57"/>
      <c r="CC28" s="57"/>
      <c r="CD28" s="57"/>
      <c r="CE28" s="57"/>
      <c r="CF28" s="57"/>
      <c r="CG28" s="57"/>
      <c r="CH28" s="57"/>
      <c r="CI28" s="57"/>
      <c r="CJ28" s="57"/>
      <c r="CK28" s="57"/>
      <c r="CL28" s="57"/>
      <c r="CM28" s="57"/>
      <c r="CN28" s="57"/>
      <c r="CO28" s="57"/>
      <c r="CP28" s="57"/>
      <c r="CQ28" s="57"/>
      <c r="CR28" s="57"/>
      <c r="CS28" s="57"/>
      <c r="CT28" s="57"/>
      <c r="CU28" s="57"/>
      <c r="CV28" s="57"/>
      <c r="CW28" s="57"/>
      <c r="CX28" s="57"/>
      <c r="CY28" s="57"/>
      <c r="CZ28" s="57"/>
      <c r="DA28" s="57"/>
      <c r="DB28" s="57"/>
      <c r="DC28" s="57"/>
      <c r="DD28" s="57"/>
      <c r="DE28" s="57"/>
      <c r="DF28" s="57"/>
      <c r="DG28" s="57"/>
      <c r="DH28" s="57"/>
      <c r="DI28" s="57"/>
      <c r="DJ28" s="57"/>
      <c r="DK28" s="57"/>
      <c r="DL28" s="57"/>
      <c r="DM28" s="57"/>
      <c r="DN28" s="57"/>
      <c r="DO28" s="57"/>
      <c r="DP28" s="57"/>
      <c r="DQ28" s="57"/>
      <c r="DR28" s="57"/>
      <c r="DS28" s="57"/>
      <c r="DT28" s="57"/>
      <c r="DU28" s="57"/>
      <c r="DV28" s="57"/>
      <c r="DW28" s="57"/>
      <c r="DX28" s="57"/>
      <c r="DY28" s="57"/>
      <c r="DZ28" s="57"/>
      <c r="EA28" s="57"/>
      <c r="EB28" s="57"/>
      <c r="EC28" s="57"/>
      <c r="ED28" s="57"/>
      <c r="EE28" s="57"/>
      <c r="EF28" s="57"/>
      <c r="EG28" s="57"/>
      <c r="EH28" s="57"/>
      <c r="EI28" s="57"/>
      <c r="EJ28" s="57"/>
      <c r="EK28" s="57"/>
      <c r="EL28" s="57"/>
      <c r="EM28" s="57"/>
      <c r="EN28" s="61"/>
    </row>
    <row r="29" spans="1:144" ht="15.75" thickBot="1" x14ac:dyDescent="0.3">
      <c r="A29" s="128"/>
      <c r="B29" s="116" t="s">
        <v>159</v>
      </c>
      <c r="C29" s="116" t="s">
        <v>164</v>
      </c>
      <c r="D29" s="116" t="str">
        <f>IF(C28="зависимая",1,IF(C28="независимая",2,"Х1"))</f>
        <v>Х1</v>
      </c>
      <c r="E29" s="116" t="s">
        <v>164</v>
      </c>
      <c r="F29" s="116" t="str">
        <f>IF(AND(C15&gt;0,N13&gt;0,R13&gt;0,N15&gt;0,R15&gt;0),VLOOKUP(1,'БОВ (2)'!BQ4:BS15,2,0),"X2")</f>
        <v>X2</v>
      </c>
      <c r="G29" s="116" t="s">
        <v>164</v>
      </c>
      <c r="H29" s="116" t="str">
        <f>IF(AND(C15&gt;0,N13&gt;0,R13&gt;0,N15&gt;0,R15&gt;0,O28&gt;0,W13&gt;0,AC13&gt;0),VLOOKUP(1,'БОВ (2)'!BU4:BX26,2,0),"X3")</f>
        <v>X3</v>
      </c>
      <c r="I29" s="116" t="s">
        <v>165</v>
      </c>
      <c r="J29" s="116" t="str">
        <f>IF(O28&gt;0,VLOOKUP(1,'БОВ (2)'!BZ4:CB6,2,0),"X4")</f>
        <v>X4</v>
      </c>
      <c r="K29" s="116" t="s">
        <v>164</v>
      </c>
      <c r="L29" s="116" t="str">
        <f>IF(AND(C15&gt;0,N13&gt;0,R13&gt;0,N15&gt;0,R15&gt;0),VLOOKUP(1,'БОВ (2)'!CD4:CF15,2,0),"X5")</f>
        <v>X5</v>
      </c>
      <c r="M29" s="116" t="s">
        <v>164</v>
      </c>
      <c r="N29" s="116" t="str">
        <f>IF(Z15&gt;5,"X6",IF(AND(C15&gt;0,N13&gt;0,R13&gt;0,N15&gt;0,R15&gt;0,I28&gt;0),VLOOKUP(1,IF('БОВ (2)'!B15="TOP-SD",'БОВ (2)'!CH4:CJ14,IF('БОВ (2)'!B15="Yonos MAXO-D",'БОВ (2)'!CK4:CM14,IF('БОВ (2)'!B15="Stratos-D",'БОВ (2)'!CN4:CP14,0))),2,0),"X6"))</f>
        <v>X6</v>
      </c>
      <c r="O29" s="116" t="s">
        <v>165</v>
      </c>
      <c r="P29" s="116" t="str">
        <f>IF(I28&gt;0,VLOOKUP(1,'БОВ (2)'!CR4:CT7,2,0),"X7")</f>
        <v>X7</v>
      </c>
      <c r="Q29" s="116" t="s">
        <v>164</v>
      </c>
      <c r="R29" s="116" t="str">
        <f>IF(AND(C15&gt;0,N13&gt;0,R13&gt;0,N15&gt;0,R15&gt;0,C28&gt;0),VLOOKUP(1,'БОВ (2)'!CW4:CY10,2,0),"X8")</f>
        <v>X8</v>
      </c>
      <c r="S29" s="116" t="s">
        <v>165</v>
      </c>
      <c r="T29" s="116" t="str">
        <f>IF(AND(C15&gt;0,N13&gt;0,R13&gt;0,N15&gt;0,R15&gt;0,C28&gt;0),VLOOKUP(1,'БОВ (2)'!DA4:DC9,2,0),"X9")</f>
        <v>X9</v>
      </c>
      <c r="U29" s="116" t="s">
        <v>164</v>
      </c>
      <c r="V29" s="116" t="str">
        <f>IF(U28&gt;0,VLOOKUP(1,'БОВ (2)'!DE4:DG6,2,0),"X10")</f>
        <v>X10</v>
      </c>
      <c r="W29" s="116" t="s">
        <v>164</v>
      </c>
      <c r="X29" s="116" t="str">
        <f>IF(AA28&gt;0,VLOOKUP(1,'БОВ (2)'!DI4:DK5,2,0),"X11")</f>
        <v>0</v>
      </c>
      <c r="Y29" s="116"/>
      <c r="Z29" s="129"/>
      <c r="AA29" s="116"/>
      <c r="AB29" s="129"/>
      <c r="AC29" s="116"/>
      <c r="AD29" s="116"/>
      <c r="AE29" s="117"/>
      <c r="AF29" s="119"/>
      <c r="AZ29" s="54"/>
      <c r="BA29" s="174"/>
      <c r="BB29" s="174"/>
      <c r="BC29" s="174"/>
      <c r="BD29" s="174"/>
      <c r="BE29" s="174"/>
      <c r="BF29" s="57"/>
      <c r="BG29" s="57"/>
      <c r="BH29" s="57"/>
      <c r="BI29" s="57"/>
      <c r="BJ29" s="57"/>
      <c r="BK29" s="57"/>
      <c r="BL29" s="57"/>
      <c r="BM29" s="57"/>
      <c r="BN29" s="57"/>
      <c r="BO29" s="57"/>
      <c r="BP29" s="57"/>
      <c r="BQ29" s="57"/>
      <c r="BR29" s="57"/>
      <c r="BS29" s="57"/>
      <c r="BT29" s="57"/>
      <c r="BU29" s="57"/>
      <c r="BV29" s="57"/>
      <c r="BW29" s="57"/>
      <c r="BX29" s="57"/>
      <c r="BY29" s="57"/>
      <c r="BZ29" s="57"/>
      <c r="CA29" s="57"/>
      <c r="CB29" s="57"/>
      <c r="CC29" s="57"/>
      <c r="CD29" s="57"/>
      <c r="CE29" s="57"/>
      <c r="CF29" s="57"/>
      <c r="CG29" s="57"/>
      <c r="CH29" s="57"/>
      <c r="CI29" s="57"/>
      <c r="CJ29" s="57"/>
      <c r="CK29" s="57"/>
      <c r="CL29" s="57"/>
      <c r="CM29" s="57"/>
      <c r="CN29" s="57"/>
      <c r="CO29" s="57"/>
      <c r="CP29" s="57"/>
      <c r="CQ29" s="57"/>
      <c r="CR29" s="57"/>
      <c r="CS29" s="57"/>
      <c r="CT29" s="57"/>
      <c r="CU29" s="57"/>
      <c r="CV29" s="57"/>
      <c r="CW29" s="57"/>
      <c r="CX29" s="57"/>
      <c r="CY29" s="57"/>
      <c r="CZ29" s="57"/>
      <c r="DA29" s="57"/>
      <c r="DB29" s="57"/>
      <c r="DC29" s="57"/>
      <c r="DD29" s="57"/>
      <c r="DE29" s="57"/>
      <c r="DF29" s="57"/>
      <c r="DG29" s="57"/>
      <c r="DH29" s="57"/>
      <c r="DI29" s="57"/>
      <c r="DJ29" s="57"/>
      <c r="DK29" s="57"/>
      <c r="DL29" s="57"/>
      <c r="DM29" s="57"/>
      <c r="DN29" s="57"/>
      <c r="DO29" s="57"/>
      <c r="DP29" s="57"/>
      <c r="DQ29" s="57"/>
      <c r="DR29" s="57"/>
      <c r="DS29" s="57"/>
      <c r="DT29" s="57"/>
      <c r="DU29" s="57"/>
      <c r="DV29" s="57"/>
      <c r="DW29" s="57"/>
      <c r="DX29" s="57"/>
      <c r="DY29" s="57"/>
      <c r="DZ29" s="57"/>
      <c r="EA29" s="57"/>
      <c r="EB29" s="57"/>
      <c r="EC29" s="57"/>
      <c r="ED29" s="57"/>
      <c r="EE29" s="57"/>
      <c r="EF29" s="57"/>
      <c r="EG29" s="57"/>
      <c r="EH29" s="57"/>
      <c r="EI29" s="57"/>
      <c r="EJ29" s="57"/>
      <c r="EK29" s="57"/>
      <c r="EL29" s="57"/>
      <c r="EM29" s="57"/>
      <c r="EN29" s="61"/>
    </row>
    <row r="30" spans="1:144" ht="6" customHeight="1" thickBot="1" x14ac:dyDescent="0.3">
      <c r="A30" s="112"/>
      <c r="B30" s="130"/>
      <c r="C30" s="110"/>
      <c r="D30" s="110"/>
      <c r="E30" s="110"/>
      <c r="F30" s="127"/>
      <c r="G30" s="110"/>
      <c r="H30" s="127"/>
      <c r="I30" s="110"/>
      <c r="J30" s="110"/>
      <c r="K30" s="110"/>
      <c r="L30" s="127"/>
      <c r="M30" s="110"/>
      <c r="N30" s="110"/>
      <c r="O30" s="110"/>
      <c r="P30" s="110"/>
      <c r="Q30" s="110"/>
      <c r="R30" s="110"/>
      <c r="S30" s="110"/>
      <c r="T30" s="110"/>
      <c r="U30" s="110"/>
      <c r="V30" s="110"/>
      <c r="W30" s="110"/>
      <c r="X30" s="110"/>
      <c r="Y30" s="110"/>
      <c r="Z30" s="127"/>
      <c r="AA30" s="110"/>
      <c r="AB30" s="127"/>
      <c r="AC30" s="110"/>
      <c r="AD30" s="110"/>
      <c r="AE30" s="107"/>
      <c r="AF30" s="119"/>
      <c r="AZ30" s="54"/>
      <c r="BA30" s="174"/>
      <c r="BB30" s="174"/>
      <c r="BC30" s="174"/>
      <c r="BD30" s="174"/>
      <c r="BE30" s="174"/>
      <c r="BF30" s="57"/>
      <c r="BG30" s="57"/>
      <c r="BH30" s="57"/>
      <c r="BI30" s="57"/>
      <c r="BJ30" s="57"/>
      <c r="BK30" s="57"/>
      <c r="BL30" s="57"/>
      <c r="BM30" s="57"/>
      <c r="BN30" s="57"/>
      <c r="BO30" s="57"/>
      <c r="BP30" s="57"/>
      <c r="BQ30" s="57"/>
      <c r="BR30" s="57"/>
      <c r="BS30" s="57"/>
      <c r="BT30" s="57"/>
      <c r="BU30" s="57"/>
      <c r="BV30" s="57"/>
      <c r="BW30" s="57"/>
      <c r="BX30" s="57"/>
      <c r="BY30" s="57"/>
      <c r="BZ30" s="57"/>
      <c r="CA30" s="57"/>
      <c r="CB30" s="57"/>
      <c r="CC30" s="57"/>
      <c r="CD30" s="57"/>
      <c r="CE30" s="57"/>
      <c r="CF30" s="57"/>
      <c r="CG30" s="57"/>
      <c r="CH30" s="57"/>
      <c r="CI30" s="57"/>
      <c r="CJ30" s="57"/>
      <c r="CK30" s="57"/>
      <c r="CL30" s="57"/>
      <c r="CM30" s="57"/>
      <c r="CN30" s="57"/>
      <c r="CO30" s="57"/>
      <c r="CP30" s="57"/>
      <c r="CQ30" s="57"/>
      <c r="CR30" s="57"/>
      <c r="CS30" s="57"/>
      <c r="CT30" s="57"/>
      <c r="CU30" s="57"/>
      <c r="CV30" s="57"/>
      <c r="CW30" s="57"/>
      <c r="CX30" s="57"/>
      <c r="CY30" s="57"/>
      <c r="CZ30" s="57"/>
      <c r="DA30" s="57"/>
      <c r="DB30" s="57"/>
      <c r="DC30" s="57"/>
      <c r="DD30" s="57"/>
      <c r="DE30" s="57"/>
      <c r="DF30" s="57"/>
      <c r="DG30" s="57"/>
      <c r="DH30" s="57"/>
      <c r="DI30" s="57"/>
      <c r="DJ30" s="57"/>
      <c r="DK30" s="57"/>
      <c r="DL30" s="57"/>
      <c r="DM30" s="57"/>
      <c r="DN30" s="57"/>
      <c r="DO30" s="57"/>
      <c r="DP30" s="57"/>
      <c r="DQ30" s="57"/>
      <c r="DR30" s="57"/>
      <c r="DS30" s="57"/>
      <c r="DT30" s="57"/>
      <c r="DU30" s="57"/>
      <c r="DV30" s="57"/>
      <c r="DW30" s="57"/>
      <c r="DX30" s="57"/>
      <c r="DY30" s="57"/>
      <c r="DZ30" s="57"/>
      <c r="EA30" s="57"/>
      <c r="EB30" s="57"/>
      <c r="EC30" s="57"/>
      <c r="ED30" s="57"/>
      <c r="EE30" s="57"/>
      <c r="EF30" s="57"/>
      <c r="EG30" s="57"/>
      <c r="EH30" s="57"/>
      <c r="EI30" s="57"/>
      <c r="EJ30" s="57"/>
      <c r="EK30" s="57"/>
      <c r="EL30" s="57"/>
      <c r="EM30" s="57"/>
      <c r="EN30" s="61"/>
    </row>
    <row r="31" spans="1:144" ht="12" customHeight="1" thickBot="1" x14ac:dyDescent="0.3">
      <c r="A31" s="141" t="s">
        <v>318</v>
      </c>
      <c r="B31" s="141"/>
      <c r="C31" s="167" t="s">
        <v>62</v>
      </c>
      <c r="D31" s="167"/>
      <c r="E31" s="167"/>
      <c r="F31" s="167"/>
      <c r="G31" s="167"/>
      <c r="H31" s="167"/>
      <c r="I31" s="148" t="s">
        <v>32</v>
      </c>
      <c r="J31" s="148"/>
      <c r="K31" s="148"/>
      <c r="L31" s="148"/>
      <c r="M31" s="148"/>
      <c r="N31" s="148"/>
      <c r="O31" s="148" t="s">
        <v>315</v>
      </c>
      <c r="P31" s="148"/>
      <c r="Q31" s="148"/>
      <c r="R31" s="148"/>
      <c r="S31" s="148"/>
      <c r="T31" s="148"/>
      <c r="U31" s="148" t="s">
        <v>293</v>
      </c>
      <c r="V31" s="148"/>
      <c r="W31" s="148"/>
      <c r="X31" s="148"/>
      <c r="Y31" s="148"/>
      <c r="Z31" s="148"/>
      <c r="AA31" s="162" t="s">
        <v>316</v>
      </c>
      <c r="AB31" s="162"/>
      <c r="AC31" s="162"/>
      <c r="AD31" s="162"/>
      <c r="AE31" s="162"/>
      <c r="AF31" s="119"/>
      <c r="AZ31" s="54"/>
      <c r="BA31" s="174"/>
      <c r="BB31" s="174"/>
      <c r="BC31" s="174"/>
      <c r="BD31" s="174"/>
      <c r="BE31" s="174"/>
      <c r="BF31" s="57"/>
      <c r="BG31" s="57"/>
      <c r="BH31" s="57"/>
      <c r="BI31" s="57"/>
      <c r="BJ31" s="57"/>
      <c r="BK31" s="57"/>
      <c r="BL31" s="57"/>
      <c r="BM31" s="57"/>
      <c r="BN31" s="57"/>
      <c r="BO31" s="57"/>
      <c r="BP31" s="57"/>
      <c r="BQ31" s="57"/>
      <c r="BR31" s="57"/>
      <c r="BS31" s="57"/>
      <c r="BT31" s="57"/>
      <c r="BU31" s="57"/>
      <c r="BV31" s="57"/>
      <c r="BW31" s="57"/>
      <c r="BX31" s="57"/>
      <c r="BY31" s="57"/>
      <c r="BZ31" s="57"/>
      <c r="CA31" s="57"/>
      <c r="CB31" s="57"/>
      <c r="CC31" s="57"/>
      <c r="CD31" s="57"/>
      <c r="CE31" s="57"/>
      <c r="CF31" s="57"/>
      <c r="CG31" s="57"/>
      <c r="CH31" s="57"/>
      <c r="CI31" s="57"/>
      <c r="CJ31" s="57"/>
      <c r="CK31" s="57"/>
      <c r="CL31" s="57"/>
      <c r="CM31" s="57"/>
      <c r="CN31" s="57"/>
      <c r="CO31" s="57"/>
      <c r="CP31" s="57"/>
      <c r="CQ31" s="57"/>
      <c r="CR31" s="57"/>
      <c r="CS31" s="57"/>
      <c r="CT31" s="57"/>
      <c r="CU31" s="57"/>
      <c r="CV31" s="57"/>
      <c r="CW31" s="57"/>
      <c r="CX31" s="57"/>
      <c r="CY31" s="57"/>
      <c r="CZ31" s="57"/>
      <c r="DA31" s="57"/>
      <c r="DB31" s="57"/>
      <c r="DC31" s="57"/>
      <c r="DD31" s="57"/>
      <c r="DE31" s="57"/>
      <c r="DF31" s="57"/>
      <c r="DG31" s="57"/>
      <c r="DH31" s="57"/>
      <c r="DI31" s="57"/>
      <c r="DJ31" s="57"/>
      <c r="DK31" s="57"/>
      <c r="DL31" s="57"/>
      <c r="DM31" s="57"/>
      <c r="DN31" s="57"/>
      <c r="DO31" s="57"/>
      <c r="DP31" s="57"/>
      <c r="DQ31" s="57"/>
      <c r="DR31" s="57"/>
      <c r="DS31" s="57"/>
      <c r="DT31" s="57"/>
      <c r="DU31" s="57"/>
      <c r="DV31" s="57"/>
      <c r="DW31" s="57"/>
      <c r="DX31" s="57"/>
      <c r="DY31" s="57"/>
      <c r="DZ31" s="57"/>
      <c r="EA31" s="57"/>
      <c r="EB31" s="57"/>
      <c r="EC31" s="57"/>
      <c r="ED31" s="57"/>
      <c r="EE31" s="57"/>
      <c r="EF31" s="57"/>
      <c r="EG31" s="57"/>
      <c r="EH31" s="57"/>
      <c r="EI31" s="57"/>
      <c r="EJ31" s="57"/>
      <c r="EK31" s="57"/>
      <c r="EL31" s="57"/>
      <c r="EM31" s="57"/>
      <c r="EN31" s="61"/>
    </row>
    <row r="32" spans="1:144" ht="15.75" thickBot="1" x14ac:dyDescent="0.3">
      <c r="A32" s="141"/>
      <c r="B32" s="141"/>
      <c r="C32" s="168"/>
      <c r="D32" s="168"/>
      <c r="E32" s="168"/>
      <c r="F32" s="168"/>
      <c r="G32" s="168"/>
      <c r="H32" s="168"/>
      <c r="I32" s="165"/>
      <c r="J32" s="165"/>
      <c r="K32" s="165"/>
      <c r="L32" s="165"/>
      <c r="M32" s="165"/>
      <c r="N32" s="165"/>
      <c r="O32" s="165"/>
      <c r="P32" s="165"/>
      <c r="Q32" s="165"/>
      <c r="R32" s="165"/>
      <c r="S32" s="165"/>
      <c r="T32" s="165"/>
      <c r="U32" s="165"/>
      <c r="V32" s="165"/>
      <c r="W32" s="165"/>
      <c r="X32" s="165"/>
      <c r="Y32" s="165"/>
      <c r="Z32" s="165"/>
      <c r="AA32" s="166"/>
      <c r="AB32" s="166"/>
      <c r="AC32" s="166"/>
      <c r="AD32" s="166"/>
      <c r="AE32" s="166"/>
      <c r="AF32" s="119"/>
      <c r="AZ32" s="54"/>
      <c r="BA32" s="57"/>
      <c r="BB32" s="57"/>
      <c r="BC32" s="57"/>
      <c r="BD32" s="57"/>
      <c r="BE32" s="57"/>
      <c r="BF32" s="57"/>
      <c r="BG32" s="57"/>
      <c r="BH32" s="57"/>
      <c r="BI32" s="57"/>
      <c r="BJ32" s="57"/>
      <c r="BK32" s="57"/>
      <c r="BL32" s="57"/>
      <c r="BM32" s="57"/>
      <c r="BN32" s="57"/>
      <c r="BO32" s="57"/>
      <c r="BP32" s="57"/>
      <c r="BQ32" s="57"/>
      <c r="BR32" s="57"/>
      <c r="BS32" s="57"/>
      <c r="BT32" s="57"/>
      <c r="BU32" s="57"/>
      <c r="BV32" s="57"/>
      <c r="BW32" s="57"/>
      <c r="BX32" s="57"/>
      <c r="BY32" s="57"/>
      <c r="BZ32" s="57"/>
      <c r="CA32" s="57"/>
      <c r="CB32" s="57"/>
      <c r="CC32" s="57"/>
      <c r="CD32" s="57"/>
      <c r="CE32" s="57"/>
      <c r="CF32" s="57"/>
      <c r="CG32" s="57"/>
      <c r="CH32" s="57"/>
      <c r="CI32" s="57"/>
      <c r="CJ32" s="57"/>
      <c r="CK32" s="57"/>
      <c r="CL32" s="57"/>
      <c r="CM32" s="57"/>
      <c r="CN32" s="57"/>
      <c r="CO32" s="57"/>
      <c r="CP32" s="57"/>
      <c r="CQ32" s="57"/>
      <c r="CR32" s="57"/>
      <c r="CS32" s="57"/>
      <c r="CT32" s="57"/>
      <c r="CU32" s="57"/>
      <c r="CV32" s="57"/>
      <c r="CW32" s="57"/>
      <c r="CX32" s="57"/>
      <c r="CY32" s="57"/>
      <c r="CZ32" s="57"/>
      <c r="DA32" s="57"/>
      <c r="DB32" s="57"/>
      <c r="DC32" s="57"/>
      <c r="DD32" s="57"/>
      <c r="DE32" s="57"/>
      <c r="DF32" s="57"/>
      <c r="DG32" s="57"/>
      <c r="DH32" s="57"/>
      <c r="DI32" s="57"/>
      <c r="DJ32" s="57"/>
      <c r="DK32" s="57"/>
      <c r="DL32" s="57"/>
      <c r="DM32" s="57"/>
      <c r="DN32" s="57"/>
      <c r="DO32" s="57"/>
      <c r="DP32" s="57"/>
      <c r="DQ32" s="57"/>
      <c r="DR32" s="57"/>
      <c r="DS32" s="57"/>
      <c r="DT32" s="57"/>
      <c r="DU32" s="57"/>
      <c r="DV32" s="57"/>
      <c r="DW32" s="57"/>
      <c r="DX32" s="57"/>
      <c r="DY32" s="57"/>
      <c r="DZ32" s="57"/>
      <c r="EA32" s="57"/>
      <c r="EB32" s="57"/>
      <c r="EC32" s="57"/>
      <c r="ED32" s="57"/>
      <c r="EE32" s="57"/>
      <c r="EF32" s="57"/>
      <c r="EG32" s="57"/>
      <c r="EH32" s="57"/>
      <c r="EI32" s="57"/>
      <c r="EJ32" s="57"/>
      <c r="EK32" s="57"/>
      <c r="EL32" s="57"/>
      <c r="EM32" s="57"/>
      <c r="EN32" s="61"/>
    </row>
    <row r="33" spans="1:173" ht="15.75" thickBot="1" x14ac:dyDescent="0.3">
      <c r="A33" s="114"/>
      <c r="B33" s="122" t="s">
        <v>160</v>
      </c>
      <c r="C33" s="122" t="s">
        <v>164</v>
      </c>
      <c r="D33" s="116" t="str">
        <f>IF(C32="зависимая",1,IF(C32="независимая",2,"Х1"))</f>
        <v>Х1</v>
      </c>
      <c r="E33" s="116" t="s">
        <v>164</v>
      </c>
      <c r="F33" s="116" t="str">
        <f>IF(AND(C16&gt;0,N13&gt;0,R13&gt;0,N16&gt;0,R16&gt;0),VLOOKUP(1,'БОВ (3)'!BQ4:BS15,2,0),"X2")</f>
        <v>X2</v>
      </c>
      <c r="G33" s="116" t="s">
        <v>164</v>
      </c>
      <c r="H33" s="116" t="str">
        <f>IF(AND(C16&gt;0,N13&gt;0,R13&gt;0,N16&gt;0,R16&gt;0,O32&gt;0,W13&gt;0,AC13&gt;0),VLOOKUP(1,'БОВ (3)'!BU4:BX26,2,0),"X3")</f>
        <v>X3</v>
      </c>
      <c r="I33" s="116" t="s">
        <v>165</v>
      </c>
      <c r="J33" s="116" t="str">
        <f>IF(O32&gt;0,VLOOKUP(1,'БОВ (3)'!BZ4:CB6,2,0),"X4")</f>
        <v>X4</v>
      </c>
      <c r="K33" s="116" t="s">
        <v>164</v>
      </c>
      <c r="L33" s="116" t="str">
        <f>IF(AND(C16&gt;0,N13&gt;0,R13&gt;0,N16&gt;0,R16&gt;0),VLOOKUP(1,'БОВ (3)'!CD4:CF15,2,0),"X5")</f>
        <v>X5</v>
      </c>
      <c r="M33" s="116" t="s">
        <v>164</v>
      </c>
      <c r="N33" s="116" t="str">
        <f>IF(Z16&gt;5,"X6",IF(AND(C16&gt;0,N13&gt;0,R13&gt;0,N16&gt;0,R16&gt;0,I32&gt;0),VLOOKUP(1,IF('БОВ (3)'!B15="TOP-SD",'БОВ (3)'!CH4:CJ14,IF('БОВ (3)'!B15="Yonos MAXO-D",'БОВ (3)'!CK4:CM14,IF('БОВ (3)'!B15="Stratos-D",'БОВ (3)'!CN4:CP14,0))),2,0),"X6"))</f>
        <v>X6</v>
      </c>
      <c r="O33" s="116" t="s">
        <v>165</v>
      </c>
      <c r="P33" s="116" t="str">
        <f>IF(I32&gt;0,VLOOKUP(1,'БОВ (3)'!CR4:CT7,2,0),"X7")</f>
        <v>X7</v>
      </c>
      <c r="Q33" s="116" t="s">
        <v>164</v>
      </c>
      <c r="R33" s="116" t="str">
        <f>IF(AND(C13&gt;0,N13&gt;0,R13&gt;0,N16&gt;0,R16&gt;0,C32&gt;0),VLOOKUP(1,'БОВ (3)'!CW4:CY10,2,0),"X8")</f>
        <v>X8</v>
      </c>
      <c r="S33" s="116" t="s">
        <v>165</v>
      </c>
      <c r="T33" s="116" t="str">
        <f>IF(AND(C16&gt;0,N13&gt;0,R13&gt;0,N16&gt;0,R16&gt;0,C32&gt;0),VLOOKUP(1,'БОВ (3)'!DA4:DC9,2,0),"X9")</f>
        <v>X9</v>
      </c>
      <c r="U33" s="116" t="s">
        <v>164</v>
      </c>
      <c r="V33" s="116" t="str">
        <f>IF(U32&gt;0,VLOOKUP(1,'БОВ (3)'!DE4:DG6,2,0),"X10")</f>
        <v>X10</v>
      </c>
      <c r="W33" s="116" t="s">
        <v>164</v>
      </c>
      <c r="X33" s="116" t="str">
        <f>IF(AA32&gt;0,VLOOKUP(1,'БОВ (3)'!DI4:DK5,2,0),"X11")</f>
        <v>X11</v>
      </c>
      <c r="Y33" s="122"/>
      <c r="Z33" s="123"/>
      <c r="AA33" s="122"/>
      <c r="AB33" s="123"/>
      <c r="AC33" s="122"/>
      <c r="AD33" s="122"/>
      <c r="AE33" s="115"/>
      <c r="AF33" s="119"/>
      <c r="AZ33" s="54"/>
      <c r="BA33" s="57"/>
      <c r="BB33" s="57"/>
      <c r="BC33" s="57"/>
      <c r="BD33" s="57"/>
      <c r="BE33" s="57"/>
      <c r="BF33" s="57"/>
      <c r="BG33" s="57"/>
      <c r="BH33" s="57"/>
      <c r="BI33" s="57"/>
      <c r="BJ33" s="57"/>
      <c r="BK33" s="57"/>
      <c r="BL33" s="57"/>
      <c r="BM33" s="57"/>
      <c r="BN33" s="57"/>
      <c r="BO33" s="57"/>
      <c r="BP33" s="57"/>
      <c r="BQ33" s="57"/>
      <c r="BR33" s="57"/>
      <c r="BS33" s="57"/>
      <c r="BT33" s="57"/>
      <c r="BU33" s="57"/>
      <c r="BV33" s="57"/>
      <c r="BW33" s="57"/>
      <c r="BX33" s="57"/>
      <c r="BY33" s="57"/>
      <c r="BZ33" s="57"/>
      <c r="CA33" s="57"/>
      <c r="CB33" s="57"/>
      <c r="CC33" s="57"/>
      <c r="CD33" s="57"/>
      <c r="CE33" s="57"/>
      <c r="CF33" s="57"/>
      <c r="CG33" s="57"/>
      <c r="CH33" s="57"/>
      <c r="CI33" s="57"/>
      <c r="CJ33" s="57"/>
      <c r="CK33" s="57"/>
      <c r="CL33" s="57"/>
      <c r="CM33" s="57"/>
      <c r="CN33" s="57"/>
      <c r="CO33" s="57"/>
      <c r="CP33" s="57"/>
      <c r="CQ33" s="57"/>
      <c r="CR33" s="57"/>
      <c r="CS33" s="57"/>
      <c r="CT33" s="57"/>
      <c r="CU33" s="57"/>
      <c r="CV33" s="57"/>
      <c r="CW33" s="57"/>
      <c r="CX33" s="57"/>
      <c r="CY33" s="57"/>
      <c r="CZ33" s="57"/>
      <c r="DA33" s="57"/>
      <c r="DB33" s="57"/>
      <c r="DC33" s="57"/>
      <c r="DD33" s="57"/>
      <c r="DE33" s="57"/>
      <c r="DF33" s="57"/>
      <c r="DG33" s="57"/>
      <c r="DH33" s="57"/>
      <c r="DI33" s="57"/>
      <c r="DJ33" s="57"/>
      <c r="DK33" s="57"/>
      <c r="DL33" s="57"/>
      <c r="DM33" s="57"/>
      <c r="DN33" s="57"/>
      <c r="DO33" s="57"/>
      <c r="DP33" s="57"/>
      <c r="DQ33" s="57"/>
      <c r="DR33" s="57"/>
      <c r="DS33" s="57"/>
      <c r="DT33" s="57"/>
      <c r="DU33" s="57"/>
      <c r="DV33" s="57"/>
      <c r="DW33" s="57"/>
      <c r="DX33" s="57"/>
      <c r="DY33" s="57"/>
      <c r="DZ33" s="57"/>
      <c r="EA33" s="57"/>
      <c r="EB33" s="57"/>
      <c r="EC33" s="57"/>
      <c r="ED33" s="57"/>
      <c r="EE33" s="57"/>
      <c r="EF33" s="57"/>
      <c r="EG33" s="57"/>
      <c r="EH33" s="57"/>
      <c r="EI33" s="57"/>
      <c r="EJ33" s="57"/>
      <c r="EK33" s="57"/>
      <c r="EL33" s="57"/>
      <c r="EM33" s="57"/>
      <c r="EN33" s="61"/>
    </row>
    <row r="34" spans="1:173" ht="6" customHeight="1" thickBot="1" x14ac:dyDescent="0.3">
      <c r="A34" s="112"/>
      <c r="B34" s="110"/>
      <c r="C34" s="130"/>
      <c r="D34" s="110"/>
      <c r="E34" s="110"/>
      <c r="F34" s="127"/>
      <c r="G34" s="110"/>
      <c r="H34" s="127"/>
      <c r="I34" s="110"/>
      <c r="J34" s="110"/>
      <c r="K34" s="110"/>
      <c r="L34" s="127"/>
      <c r="M34" s="110"/>
      <c r="N34" s="110"/>
      <c r="O34" s="110"/>
      <c r="P34" s="110"/>
      <c r="Q34" s="110"/>
      <c r="R34" s="110"/>
      <c r="S34" s="110"/>
      <c r="T34" s="110"/>
      <c r="U34" s="110"/>
      <c r="V34" s="110"/>
      <c r="W34" s="110"/>
      <c r="X34" s="110"/>
      <c r="Y34" s="110"/>
      <c r="Z34" s="127"/>
      <c r="AA34" s="110"/>
      <c r="AB34" s="127"/>
      <c r="AC34" s="110"/>
      <c r="AD34" s="110"/>
      <c r="AE34" s="107"/>
      <c r="AF34" s="119"/>
      <c r="AZ34" s="54"/>
      <c r="BA34" s="57"/>
      <c r="BB34" s="57"/>
      <c r="BC34" s="57"/>
      <c r="BD34" s="57"/>
      <c r="BE34" s="57"/>
      <c r="BF34" s="57"/>
      <c r="BG34" s="57"/>
      <c r="BH34" s="57"/>
      <c r="BI34" s="57"/>
      <c r="BJ34" s="57"/>
      <c r="BK34" s="57"/>
      <c r="BL34" s="57"/>
      <c r="BM34" s="57"/>
      <c r="BN34" s="57"/>
      <c r="BO34" s="57"/>
      <c r="BP34" s="57"/>
      <c r="BQ34" s="57"/>
      <c r="BR34" s="57"/>
      <c r="BS34" s="57"/>
      <c r="BT34" s="57"/>
      <c r="BU34" s="57"/>
      <c r="BV34" s="57"/>
      <c r="BW34" s="57"/>
      <c r="BX34" s="57"/>
      <c r="BY34" s="57"/>
      <c r="BZ34" s="57"/>
      <c r="CA34" s="57"/>
      <c r="CB34" s="57"/>
      <c r="CC34" s="57"/>
      <c r="CD34" s="57"/>
      <c r="CE34" s="57"/>
      <c r="CF34" s="57"/>
      <c r="CG34" s="57"/>
      <c r="CH34" s="57"/>
      <c r="CI34" s="57"/>
      <c r="CJ34" s="57"/>
      <c r="CK34" s="57"/>
      <c r="CL34" s="57"/>
      <c r="CM34" s="57"/>
      <c r="CN34" s="57"/>
      <c r="CO34" s="57"/>
      <c r="CP34" s="57"/>
      <c r="CQ34" s="57"/>
      <c r="CR34" s="57"/>
      <c r="CS34" s="57"/>
      <c r="CT34" s="57"/>
      <c r="CU34" s="57"/>
      <c r="CV34" s="57"/>
      <c r="CW34" s="57"/>
      <c r="CX34" s="57"/>
      <c r="CY34" s="57"/>
      <c r="CZ34" s="57"/>
      <c r="DA34" s="57"/>
      <c r="DB34" s="57"/>
      <c r="DC34" s="57"/>
      <c r="DD34" s="57"/>
      <c r="DE34" s="57"/>
      <c r="DF34" s="57"/>
      <c r="DG34" s="57"/>
      <c r="DH34" s="57"/>
      <c r="DI34" s="57"/>
      <c r="DJ34" s="57"/>
      <c r="DK34" s="57"/>
      <c r="DL34" s="57"/>
      <c r="DM34" s="57"/>
      <c r="DN34" s="57"/>
      <c r="DO34" s="57"/>
      <c r="DP34" s="57"/>
      <c r="DQ34" s="57"/>
      <c r="DR34" s="57"/>
      <c r="DS34" s="57"/>
      <c r="DT34" s="57"/>
      <c r="DU34" s="57"/>
      <c r="DV34" s="57"/>
      <c r="DW34" s="57"/>
      <c r="DX34" s="57"/>
      <c r="DY34" s="57"/>
      <c r="DZ34" s="57"/>
      <c r="EA34" s="57"/>
      <c r="EB34" s="57"/>
      <c r="EC34" s="57"/>
      <c r="ED34" s="57"/>
      <c r="EE34" s="57"/>
      <c r="EF34" s="57"/>
      <c r="EG34" s="57"/>
      <c r="EH34" s="57"/>
      <c r="EI34" s="57"/>
      <c r="EJ34" s="57"/>
      <c r="EK34" s="57"/>
      <c r="EL34" s="57"/>
      <c r="EM34" s="57"/>
      <c r="EN34" s="61"/>
    </row>
    <row r="35" spans="1:173" ht="12" customHeight="1" thickBot="1" x14ac:dyDescent="0.3">
      <c r="A35" s="141" t="s">
        <v>319</v>
      </c>
      <c r="B35" s="141"/>
      <c r="C35" s="167" t="s">
        <v>62</v>
      </c>
      <c r="D35" s="167"/>
      <c r="E35" s="167"/>
      <c r="F35" s="167"/>
      <c r="G35" s="167"/>
      <c r="H35" s="167"/>
      <c r="I35" s="148" t="s">
        <v>32</v>
      </c>
      <c r="J35" s="148"/>
      <c r="K35" s="148"/>
      <c r="L35" s="148"/>
      <c r="M35" s="148"/>
      <c r="N35" s="148"/>
      <c r="O35" s="148" t="s">
        <v>315</v>
      </c>
      <c r="P35" s="148"/>
      <c r="Q35" s="148"/>
      <c r="R35" s="148"/>
      <c r="S35" s="148"/>
      <c r="T35" s="148"/>
      <c r="U35" s="148" t="s">
        <v>293</v>
      </c>
      <c r="V35" s="148"/>
      <c r="W35" s="148"/>
      <c r="X35" s="148"/>
      <c r="Y35" s="148"/>
      <c r="Z35" s="148"/>
      <c r="AA35" s="162" t="s">
        <v>316</v>
      </c>
      <c r="AB35" s="162"/>
      <c r="AC35" s="162"/>
      <c r="AD35" s="162"/>
      <c r="AE35" s="162"/>
      <c r="AF35" s="119"/>
      <c r="AJ35" s="118" t="s">
        <v>283</v>
      </c>
      <c r="AK35" s="118" t="s">
        <v>191</v>
      </c>
      <c r="AL35" s="131" t="s">
        <v>53</v>
      </c>
      <c r="AR35" s="118" t="s">
        <v>320</v>
      </c>
      <c r="AS35" s="118" t="s">
        <v>321</v>
      </c>
      <c r="AT35" s="118" t="s">
        <v>322</v>
      </c>
      <c r="AZ35" s="54"/>
      <c r="BA35" s="57"/>
      <c r="BB35" s="57"/>
      <c r="BC35" s="57"/>
      <c r="BD35" s="57"/>
      <c r="BE35" s="57"/>
      <c r="BF35" s="57"/>
      <c r="BG35" s="57"/>
      <c r="BH35" s="57"/>
      <c r="BI35" s="57"/>
      <c r="BJ35" s="57"/>
      <c r="BK35" s="57"/>
      <c r="BL35" s="57"/>
      <c r="BM35" s="57"/>
      <c r="BN35" s="57"/>
      <c r="BO35" s="57"/>
      <c r="BP35" s="57"/>
      <c r="BQ35" s="57"/>
      <c r="BR35" s="57"/>
      <c r="BS35" s="57"/>
      <c r="BT35" s="57"/>
      <c r="BU35" s="57"/>
      <c r="BV35" s="57"/>
      <c r="BW35" s="57"/>
      <c r="BX35" s="57"/>
      <c r="BY35" s="57"/>
      <c r="BZ35" s="57"/>
      <c r="CA35" s="57"/>
      <c r="CB35" s="57"/>
      <c r="CC35" s="57"/>
      <c r="CD35" s="57"/>
      <c r="CE35" s="57"/>
      <c r="CF35" s="57"/>
      <c r="CG35" s="57"/>
      <c r="CH35" s="57"/>
      <c r="CI35" s="57"/>
      <c r="CJ35" s="57"/>
      <c r="CK35" s="57"/>
      <c r="CL35" s="57"/>
      <c r="CM35" s="57"/>
      <c r="CN35" s="57"/>
      <c r="CO35" s="57"/>
      <c r="CP35" s="57"/>
      <c r="CQ35" s="57"/>
      <c r="CR35" s="57"/>
      <c r="CS35" s="57"/>
      <c r="CT35" s="57"/>
      <c r="CU35" s="57"/>
      <c r="CV35" s="57"/>
      <c r="CW35" s="57"/>
      <c r="CX35" s="57"/>
      <c r="CY35" s="57"/>
      <c r="CZ35" s="57"/>
      <c r="DA35" s="57"/>
      <c r="DB35" s="57"/>
      <c r="DC35" s="57"/>
      <c r="DD35" s="57"/>
      <c r="DE35" s="57"/>
      <c r="DF35" s="57"/>
      <c r="DG35" s="57"/>
      <c r="DH35" s="57"/>
      <c r="DI35" s="57"/>
      <c r="DJ35" s="57"/>
      <c r="DK35" s="57"/>
      <c r="DL35" s="57"/>
      <c r="DM35" s="57"/>
      <c r="DN35" s="57"/>
      <c r="DO35" s="57"/>
      <c r="DP35" s="57"/>
      <c r="DQ35" s="57"/>
      <c r="DR35" s="57"/>
      <c r="DS35" s="57"/>
      <c r="DT35" s="57"/>
      <c r="DU35" s="57"/>
      <c r="DV35" s="57"/>
      <c r="DW35" s="57"/>
      <c r="DX35" s="57"/>
      <c r="DY35" s="57"/>
      <c r="DZ35" s="57"/>
      <c r="EA35" s="57"/>
      <c r="EB35" s="57"/>
      <c r="EC35" s="57"/>
      <c r="ED35" s="57"/>
      <c r="EE35" s="57"/>
      <c r="EF35" s="57"/>
      <c r="EG35" s="57"/>
      <c r="EH35" s="57"/>
      <c r="EI35" s="57"/>
      <c r="EJ35" s="57"/>
      <c r="EK35" s="57"/>
      <c r="EL35" s="57"/>
      <c r="EM35" s="57"/>
      <c r="EN35" s="61"/>
    </row>
    <row r="36" spans="1:173" ht="15.75" thickBot="1" x14ac:dyDescent="0.3">
      <c r="A36" s="141"/>
      <c r="B36" s="141"/>
      <c r="C36" s="168" t="s">
        <v>283</v>
      </c>
      <c r="D36" s="168"/>
      <c r="E36" s="168"/>
      <c r="F36" s="168"/>
      <c r="G36" s="168"/>
      <c r="H36" s="168"/>
      <c r="I36" s="165"/>
      <c r="J36" s="165"/>
      <c r="K36" s="165"/>
      <c r="L36" s="165"/>
      <c r="M36" s="165"/>
      <c r="N36" s="165"/>
      <c r="O36" s="165"/>
      <c r="P36" s="165"/>
      <c r="Q36" s="165"/>
      <c r="R36" s="165"/>
      <c r="S36" s="165"/>
      <c r="T36" s="165"/>
      <c r="U36" s="165"/>
      <c r="V36" s="165"/>
      <c r="W36" s="165"/>
      <c r="X36" s="165"/>
      <c r="Y36" s="165"/>
      <c r="Z36" s="165"/>
      <c r="AA36" s="166"/>
      <c r="AB36" s="166"/>
      <c r="AC36" s="166"/>
      <c r="AD36" s="166"/>
      <c r="AE36" s="166"/>
      <c r="AF36" s="119"/>
      <c r="AJ36" s="118" t="s">
        <v>323</v>
      </c>
      <c r="AK36" s="106" t="s">
        <v>195</v>
      </c>
      <c r="AL36" s="118" t="s">
        <v>55</v>
      </c>
      <c r="AR36" s="118">
        <f>IF(C36&lt;&gt;"Принуд. Паралл.",0,IF(AND(C36="Принуд. Паралл.",C17&gt;0),1,"Х1"))</f>
        <v>0</v>
      </c>
      <c r="AS36" s="118">
        <f>IF(C36&lt;&gt;"Принудит. Смеш.",0,IF(AND(C36="Принудит. Смеш.",C17&gt;0,SUM(C14:G16)&gt;0,N13&gt;0,R13&gt;0),2,"Х1"))</f>
        <v>0</v>
      </c>
      <c r="AT36" s="118">
        <f>IF(C36&lt;&gt;"Автоматически",0,IF(AND(C36="Автоматически",C17&gt;0,SUM(C14:G16)&gt;0,N13&gt;0,R13&gt;0),IF(AND(C17/(C14+C15+C16)&gt;0.2,C17/(C14+C15+C16)&lt;1),2,1),"Х1"))</f>
        <v>1</v>
      </c>
      <c r="AZ36" s="54"/>
      <c r="BA36" s="57"/>
      <c r="BB36" s="57"/>
      <c r="BC36" s="57"/>
      <c r="BD36" s="57"/>
      <c r="BE36" s="57"/>
      <c r="BF36" s="57"/>
      <c r="BG36" s="57"/>
      <c r="BH36" s="57"/>
      <c r="BI36" s="57"/>
      <c r="BJ36" s="57"/>
      <c r="BK36" s="57"/>
      <c r="BL36" s="57"/>
      <c r="BM36" s="57"/>
      <c r="BN36" s="57"/>
      <c r="BO36" s="57"/>
      <c r="BP36" s="57"/>
      <c r="BQ36" s="57"/>
      <c r="BR36" s="57"/>
      <c r="BS36" s="57"/>
      <c r="BT36" s="57"/>
      <c r="BU36" s="57"/>
      <c r="BV36" s="57"/>
      <c r="BW36" s="57"/>
      <c r="BX36" s="57"/>
      <c r="BY36" s="57"/>
      <c r="BZ36" s="57"/>
      <c r="CA36" s="57"/>
      <c r="CB36" s="57"/>
      <c r="CC36" s="57"/>
      <c r="CD36" s="57"/>
      <c r="CE36" s="57"/>
      <c r="CF36" s="57"/>
      <c r="CG36" s="57"/>
      <c r="CH36" s="57"/>
      <c r="CI36" s="57"/>
      <c r="CJ36" s="57"/>
      <c r="CK36" s="57"/>
      <c r="CL36" s="57"/>
      <c r="CM36" s="57"/>
      <c r="CN36" s="57"/>
      <c r="CO36" s="57"/>
      <c r="CP36" s="57"/>
      <c r="CQ36" s="57"/>
      <c r="CR36" s="57"/>
      <c r="CS36" s="57"/>
      <c r="CT36" s="57"/>
      <c r="CU36" s="57"/>
      <c r="CV36" s="57"/>
      <c r="CW36" s="57"/>
      <c r="CX36" s="57"/>
      <c r="CY36" s="57"/>
      <c r="CZ36" s="57"/>
      <c r="DA36" s="57"/>
      <c r="DB36" s="57"/>
      <c r="DC36" s="57"/>
      <c r="DD36" s="57"/>
      <c r="DE36" s="57"/>
      <c r="DF36" s="57"/>
      <c r="DG36" s="57"/>
      <c r="DH36" s="57"/>
      <c r="DI36" s="57"/>
      <c r="DJ36" s="57"/>
      <c r="DK36" s="57"/>
      <c r="DL36" s="57"/>
      <c r="DM36" s="57"/>
      <c r="DN36" s="57"/>
      <c r="DO36" s="57"/>
      <c r="DP36" s="57"/>
      <c r="DQ36" s="57"/>
      <c r="DR36" s="57"/>
      <c r="DS36" s="57"/>
      <c r="DT36" s="57"/>
      <c r="DU36" s="57"/>
      <c r="DV36" s="57"/>
      <c r="DW36" s="57"/>
      <c r="DX36" s="57"/>
      <c r="DY36" s="57"/>
      <c r="DZ36" s="57"/>
      <c r="EA36" s="57"/>
      <c r="EB36" s="57"/>
      <c r="EC36" s="57"/>
      <c r="ED36" s="57"/>
      <c r="EE36" s="57"/>
      <c r="EF36" s="57"/>
      <c r="EG36" s="57"/>
      <c r="EH36" s="57"/>
      <c r="EI36" s="57"/>
      <c r="EJ36" s="57"/>
      <c r="EK36" s="57"/>
      <c r="EL36" s="57"/>
      <c r="EM36" s="57"/>
      <c r="EN36" s="61"/>
    </row>
    <row r="37" spans="1:173" ht="15.75" thickBot="1" x14ac:dyDescent="0.3">
      <c r="A37" s="120"/>
      <c r="B37" s="122" t="s">
        <v>324</v>
      </c>
      <c r="C37" s="122" t="s">
        <v>164</v>
      </c>
      <c r="D37" s="122">
        <f>IF(C36="Принуд. Паралл.",AR36,IF(C36="Принудит. Смеш.",AS36,IF(C36="Автоматически",AT36,"Х1")))</f>
        <v>1</v>
      </c>
      <c r="E37" s="122" t="s">
        <v>164</v>
      </c>
      <c r="F37" s="122" t="str">
        <f>IF(D37=1,IF(AND(C17&gt;0,N17&gt;0,R17&gt;0),VLOOKUP(1,БГ!BB4:BD15,2,0),"X2"),IF(D37=2,IF(AND(C17&gt;0,N17&gt;0,R17&gt;0,SUM(C14:G16)&gt;0,N13&gt;0,R13&gt;0),VLOOKUP(1,'БГ-С'!BM4:BO15,2,0),"X2"),"X2"))</f>
        <v>X2</v>
      </c>
      <c r="G37" s="122" t="s">
        <v>164</v>
      </c>
      <c r="H37" s="122" t="str">
        <f>IF(D37=1,IF(AND(C17&gt;0,N17&gt;0,R17&gt;0,O36&gt;0),VLOOKUP(1,БГ!BF4:BI26,2,0),"X3"),IF(D37=2,IF(AND(C17&gt;0,N17&gt;0,R17&gt;0,SUM(C14:G16)&gt;0,N13&gt;0,R13&gt;0,O36&gt;0),VLOOKUP(1,'БГ-С'!BQ4:BT26,2,0),"X3"),"X3"))</f>
        <v>X3</v>
      </c>
      <c r="I37" s="122" t="s">
        <v>165</v>
      </c>
      <c r="J37" s="122" t="str">
        <f>IF(D37=1,IF(AND(C17&gt;0,N17&gt;0,R17&gt;0,O36&gt;0),VLOOKUP(1,БГ!BK4:BM6,2,0),"X4"),IF(D37=2,IF(AND(C17&gt;0,N17&gt;0,R17&gt;0,SUM(C14:G16)&gt;0,N13&gt;0,R13&gt;0,O36&gt;0),VLOOKUP(1,'БГ-С'!BV4:BX6,2,0),"X4"),"X4"))</f>
        <v>X4</v>
      </c>
      <c r="K37" s="122" t="s">
        <v>164</v>
      </c>
      <c r="L37" s="122" t="str">
        <f>IF(D37=1,IF(AND(C17&gt;0,N17&gt;0,R17&gt;0),VLOOKUP(1,БГ!BO4:BQ15,2,0),"X5"),IF(D37=2,IF(AND(C17&gt;0,N17&gt;0,R17&gt;0,SUM(C14:G16)&gt;0,N13&gt;0,R13&gt;0),VLOOKUP(1,'БГ-С'!BZ4:CB15,2,0),"X5"),"X5"))</f>
        <v>X5</v>
      </c>
      <c r="M37" s="122" t="s">
        <v>164</v>
      </c>
      <c r="N37" s="122" t="str">
        <f>IF(D37=1,IF(AND(C17&gt;0,N17&gt;0,R17&gt;0),VLOOKUP(1,БГ!BS4:BU15,2,0),"X6"),IF(D37=2,IF(AND(C17&gt;0,N17&gt;0,R17&gt;0,SUM(C14:G16)&gt;0,N13&gt;0,R13&gt;0),VLOOKUP(1,'БГ-С'!CD4:CF15,2,0),"X6"),"X6"))</f>
        <v>X6</v>
      </c>
      <c r="O37" s="122" t="s">
        <v>164</v>
      </c>
      <c r="P37" s="122" t="str">
        <f>IF(D37=1,IF(AND(C17&gt;0,N17&gt;0,R17&gt;0),VLOOKUP(1,БГ!BW4:BY15,2,0),"X7"),IF(D37=2,IF(AND(C17&gt;0,N17&gt;0,R17&gt;0,SUM(C14:G16)&gt;0,N13&gt;0,R13&gt;0),VLOOKUP(1,'БГ-С'!CH4:CJ15,2,0),"X7"),"X7"))</f>
        <v>X7</v>
      </c>
      <c r="Q37" s="122" t="s">
        <v>164</v>
      </c>
      <c r="R37" s="122" t="str">
        <f>IF(D37=1,IF(AND(C17&gt;0,N17&gt;0,R17&gt;0),VLOOKUP(1,БГ!CA4:CC15,2,0),"X8"),IF(D37=2,IF(AND(C17&gt;0,N17&gt;0,R17&gt;0,SUM(C14:G16)&gt;0,N13&gt;0,R13&gt;0),VLOOKUP(1,'БГ-С'!CL4:CN15,2,0),"X8"),"X8"))</f>
        <v>X8</v>
      </c>
      <c r="S37" s="122" t="s">
        <v>164</v>
      </c>
      <c r="T37" s="122" t="str">
        <f>IF(D37=1,IF(AND(C17&gt;0,N17&gt;0,R17&gt;0),VLOOKUP(1,БГ!CE4:CG9,2,0),"X9"),IF(D37=2,IF(AND(C17&gt;0,N17&gt;0,R17&gt;0,SUM(C14:G16)&gt;0,N13&gt;0,R13&gt;0),VLOOKUP(1,'БГ-С'!CP4:CR9,2,0),"X9"),"X9"))</f>
        <v>X9</v>
      </c>
      <c r="U37" s="122" t="s">
        <v>164</v>
      </c>
      <c r="V37" s="122" t="str">
        <f>IF(D37=1,IF(AND(C17&gt;0,N17&gt;0,R17&gt;0,I36&gt;0),VLOOKUP(1,IF(I36="stratos-z",БГ!CI4:CK7,БГ!CL4:CN7),2,0),"X10"),IF(D37=2,IF(AND(C17&gt;0,N17&gt;0,R17&gt;0,SUM(C14:G16)&gt;0,N13&gt;0,R13&gt;0,I36&gt;0),VLOOKUP(1,IF(I36="stratos-z",'БГ-С'!CT4:CV7,'БГ-С'!CW4:CY7),2,0),"X10"),"X10"))</f>
        <v>X10</v>
      </c>
      <c r="W37" s="122" t="s">
        <v>165</v>
      </c>
      <c r="X37" s="122" t="str">
        <f>IF(D37=1,IF(AND(C17&gt;0,N17&gt;0,R17&gt;0,I36&gt;0),VLOOKUP(1,БГ!CP5:CR6,2,0),"X11"),IF(D37=2,IF(AND(C17&gt;0,N17&gt;0,R17&gt;0,SUM(C14:G16)&gt;0,N13&gt;0,R13&gt;0,I36&gt;0),VLOOKUP(1,'БГ-С'!DA5:DC6,2,0),"X11"),"X11"))</f>
        <v>X11</v>
      </c>
      <c r="Y37" s="122" t="s">
        <v>164</v>
      </c>
      <c r="Z37" s="122" t="str">
        <f>IF(D37=1,IF(AND(C17&gt;0,N17&gt;0,R17&gt;0,C17&lt;1.001),VLOOKUP(1,БГ!CU5:CW19,2,0),"X12"),IF(D37=2,IF(AND(C17&gt;0,N17&gt;0,R17&gt;0,SUM(C14:G16)&gt;0,N13&gt;0,R13&gt;0),VLOOKUP(1,'БГ-С'!DF5:DH19,2,0),"X12"),"X12"))</f>
        <v>X12</v>
      </c>
      <c r="AA37" s="124" t="s">
        <v>164</v>
      </c>
      <c r="AB37" s="122" t="str">
        <f>IF(D37=1,IF(U36&gt;0,VLOOKUP(1,БГ!CY4:DA6,2,0),"X13"),IF(D37=2,IF(U36&gt;0,VLOOKUP(1,'БГ-С'!DJ4:DL6,2,0),"X13"),"X13"))</f>
        <v>X13</v>
      </c>
      <c r="AC37" s="124" t="s">
        <v>164</v>
      </c>
      <c r="AD37" s="122" t="str">
        <f>IF(D37=1,IF(AA36&gt;0,VLOOKUP(1,БГ!DC4:DE5,2,0),"X14"),IF(D37=2,IF(AA36&gt;0,VLOOKUP(1,'БГ-С'!DN4:DP5,2,0),"X14"),"X14"))</f>
        <v>X14</v>
      </c>
      <c r="AE37" s="125"/>
      <c r="AF37" s="119"/>
      <c r="AJ37" s="118" t="s">
        <v>325</v>
      </c>
      <c r="AL37" s="118" t="s">
        <v>54</v>
      </c>
      <c r="AZ37" s="54"/>
      <c r="BA37" s="57"/>
      <c r="BB37" s="57"/>
      <c r="BC37" s="57"/>
      <c r="BD37" s="57"/>
      <c r="BE37" s="57"/>
      <c r="BF37" s="57"/>
      <c r="BG37" s="57"/>
      <c r="BH37" s="57"/>
      <c r="BI37" s="57"/>
      <c r="BJ37" s="57"/>
      <c r="BK37" s="57"/>
      <c r="BL37" s="57"/>
      <c r="BM37" s="57"/>
      <c r="BN37" s="57"/>
      <c r="BO37" s="57"/>
      <c r="BP37" s="57"/>
      <c r="BQ37" s="57"/>
      <c r="BR37" s="57"/>
      <c r="BS37" s="57"/>
      <c r="BT37" s="57"/>
      <c r="BU37" s="57"/>
      <c r="BV37" s="57"/>
      <c r="BW37" s="57"/>
      <c r="BX37" s="57"/>
      <c r="BY37" s="57"/>
      <c r="BZ37" s="57"/>
      <c r="CA37" s="57"/>
      <c r="CB37" s="57"/>
      <c r="CC37" s="57"/>
      <c r="CD37" s="57"/>
      <c r="CE37" s="57"/>
      <c r="CF37" s="57"/>
      <c r="CG37" s="57"/>
      <c r="CH37" s="57"/>
      <c r="CI37" s="57"/>
      <c r="CJ37" s="57"/>
      <c r="CK37" s="57"/>
      <c r="CL37" s="57"/>
      <c r="CM37" s="57"/>
      <c r="CN37" s="57"/>
      <c r="CO37" s="57"/>
      <c r="CP37" s="57"/>
      <c r="CQ37" s="57"/>
      <c r="CR37" s="57"/>
      <c r="CS37" s="57"/>
      <c r="CT37" s="57"/>
      <c r="CU37" s="57"/>
      <c r="CV37" s="57"/>
      <c r="CW37" s="57"/>
      <c r="CX37" s="57"/>
      <c r="CY37" s="57"/>
      <c r="CZ37" s="57"/>
      <c r="DA37" s="57"/>
      <c r="DB37" s="57"/>
      <c r="DC37" s="57"/>
      <c r="DD37" s="57"/>
      <c r="DE37" s="57"/>
      <c r="DF37" s="57"/>
      <c r="DG37" s="57"/>
      <c r="DH37" s="57"/>
      <c r="DI37" s="57"/>
      <c r="DJ37" s="57"/>
      <c r="DK37" s="57"/>
      <c r="DL37" s="57"/>
      <c r="DM37" s="57"/>
      <c r="DN37" s="57"/>
      <c r="DO37" s="57"/>
      <c r="DP37" s="57"/>
      <c r="DQ37" s="57"/>
      <c r="DR37" s="57"/>
      <c r="DS37" s="57"/>
      <c r="DT37" s="57"/>
      <c r="DU37" s="57"/>
      <c r="DV37" s="57"/>
      <c r="DW37" s="57"/>
      <c r="DX37" s="57"/>
      <c r="DY37" s="57"/>
      <c r="DZ37" s="57"/>
      <c r="EA37" s="57"/>
      <c r="EB37" s="57"/>
      <c r="EC37" s="57"/>
      <c r="ED37" s="57"/>
      <c r="EE37" s="57"/>
      <c r="EF37" s="57"/>
      <c r="EG37" s="57"/>
      <c r="EH37" s="57"/>
      <c r="EI37" s="57"/>
      <c r="EJ37" s="57"/>
      <c r="EK37" s="57"/>
      <c r="EL37" s="57"/>
      <c r="EM37" s="57"/>
      <c r="EN37" s="61"/>
    </row>
    <row r="38" spans="1:173" ht="6" customHeight="1" thickBot="1" x14ac:dyDescent="0.3">
      <c r="A38" s="112"/>
      <c r="B38" s="130"/>
      <c r="C38" s="110"/>
      <c r="D38" s="110"/>
      <c r="E38" s="110"/>
      <c r="F38" s="127"/>
      <c r="G38" s="110"/>
      <c r="H38" s="127"/>
      <c r="I38" s="110"/>
      <c r="J38" s="110"/>
      <c r="K38" s="110"/>
      <c r="L38" s="127"/>
      <c r="M38" s="110"/>
      <c r="N38" s="110"/>
      <c r="O38" s="110"/>
      <c r="P38" s="110"/>
      <c r="Q38" s="110"/>
      <c r="R38" s="110"/>
      <c r="S38" s="110"/>
      <c r="T38" s="110"/>
      <c r="U38" s="110"/>
      <c r="V38" s="110"/>
      <c r="W38" s="110"/>
      <c r="X38" s="110"/>
      <c r="Y38" s="110"/>
      <c r="Z38" s="127"/>
      <c r="AA38" s="110"/>
      <c r="AB38" s="127"/>
      <c r="AC38" s="110"/>
      <c r="AD38" s="110"/>
      <c r="AE38" s="107"/>
      <c r="AF38" s="119"/>
      <c r="AL38" s="118" t="s">
        <v>326</v>
      </c>
      <c r="AZ38" s="83"/>
      <c r="BA38" s="87"/>
      <c r="BB38" s="87"/>
      <c r="BC38" s="87"/>
      <c r="BD38" s="87"/>
      <c r="BE38" s="87"/>
      <c r="BF38" s="87"/>
      <c r="BG38" s="87"/>
      <c r="BH38" s="87"/>
      <c r="BI38" s="87"/>
      <c r="BJ38" s="87"/>
      <c r="BK38" s="87"/>
      <c r="BL38" s="87"/>
      <c r="BM38" s="87"/>
      <c r="BN38" s="87"/>
      <c r="BO38" s="87"/>
      <c r="BP38" s="87"/>
      <c r="BQ38" s="87"/>
      <c r="BR38" s="87"/>
      <c r="BS38" s="87"/>
      <c r="BT38" s="87"/>
      <c r="BU38" s="87"/>
      <c r="BV38" s="87"/>
      <c r="BW38" s="87"/>
      <c r="BX38" s="87"/>
      <c r="BY38" s="87"/>
      <c r="BZ38" s="87"/>
      <c r="CA38" s="87"/>
      <c r="CB38" s="87"/>
      <c r="CC38" s="87"/>
      <c r="CD38" s="87"/>
      <c r="CE38" s="87"/>
      <c r="CF38" s="87"/>
      <c r="CG38" s="87"/>
      <c r="CH38" s="87"/>
      <c r="CI38" s="87"/>
      <c r="CJ38" s="87"/>
      <c r="CK38" s="87"/>
      <c r="CL38" s="87"/>
      <c r="CM38" s="87"/>
      <c r="CN38" s="87"/>
      <c r="CO38" s="87"/>
      <c r="CP38" s="87"/>
      <c r="CQ38" s="87"/>
      <c r="CR38" s="87"/>
      <c r="CS38" s="87"/>
      <c r="CT38" s="87"/>
      <c r="CU38" s="87"/>
      <c r="CV38" s="87"/>
      <c r="CW38" s="87"/>
      <c r="CX38" s="87"/>
      <c r="CY38" s="87"/>
      <c r="CZ38" s="87"/>
      <c r="DA38" s="87"/>
      <c r="DB38" s="87"/>
      <c r="DC38" s="87"/>
      <c r="DD38" s="87"/>
      <c r="DE38" s="87"/>
      <c r="DF38" s="87"/>
      <c r="DG38" s="87"/>
      <c r="DH38" s="87"/>
      <c r="DI38" s="87"/>
      <c r="DJ38" s="87"/>
      <c r="DK38" s="87"/>
      <c r="DL38" s="87"/>
      <c r="DM38" s="87"/>
      <c r="DN38" s="87"/>
      <c r="DO38" s="87"/>
      <c r="DP38" s="87"/>
      <c r="DQ38" s="87"/>
      <c r="DR38" s="87"/>
      <c r="DS38" s="87"/>
      <c r="DT38" s="87"/>
      <c r="DU38" s="87"/>
      <c r="DV38" s="87"/>
      <c r="DW38" s="87"/>
      <c r="DX38" s="87"/>
      <c r="DY38" s="87"/>
      <c r="DZ38" s="87"/>
      <c r="EA38" s="87"/>
      <c r="EB38" s="87"/>
      <c r="EC38" s="87"/>
      <c r="ED38" s="87"/>
      <c r="EE38" s="87"/>
      <c r="EF38" s="87"/>
      <c r="EG38" s="87"/>
      <c r="EH38" s="87"/>
      <c r="EI38" s="87"/>
      <c r="EJ38" s="87"/>
      <c r="EK38" s="87"/>
      <c r="EL38" s="87"/>
      <c r="EM38" s="87"/>
      <c r="EN38" s="89"/>
    </row>
    <row r="39" spans="1:173" ht="12" customHeight="1" thickBot="1" x14ac:dyDescent="0.3">
      <c r="A39" s="141" t="s">
        <v>327</v>
      </c>
      <c r="B39" s="141"/>
      <c r="C39" s="167" t="s">
        <v>280</v>
      </c>
      <c r="D39" s="167"/>
      <c r="E39" s="167"/>
      <c r="F39" s="167"/>
      <c r="G39" s="167"/>
      <c r="H39" s="167"/>
      <c r="I39" s="148" t="s">
        <v>328</v>
      </c>
      <c r="J39" s="148"/>
      <c r="K39" s="148"/>
      <c r="L39" s="148"/>
      <c r="M39" s="148"/>
      <c r="N39" s="148"/>
      <c r="O39" s="148" t="s">
        <v>329</v>
      </c>
      <c r="P39" s="148"/>
      <c r="Q39" s="148"/>
      <c r="R39" s="148"/>
      <c r="S39" s="148"/>
      <c r="T39" s="148"/>
      <c r="U39" s="148" t="s">
        <v>330</v>
      </c>
      <c r="V39" s="148"/>
      <c r="W39" s="148"/>
      <c r="X39" s="148"/>
      <c r="Y39" s="148"/>
      <c r="Z39" s="148"/>
      <c r="AA39" s="162" t="s">
        <v>331</v>
      </c>
      <c r="AB39" s="162"/>
      <c r="AC39" s="162"/>
      <c r="AD39" s="162"/>
      <c r="AE39" s="162"/>
      <c r="AF39" s="119"/>
      <c r="AJ39" s="118" t="s">
        <v>283</v>
      </c>
      <c r="AK39" s="118" t="s">
        <v>332</v>
      </c>
      <c r="AL39" s="118" t="s">
        <v>333</v>
      </c>
      <c r="AM39" s="118" t="s">
        <v>334</v>
      </c>
    </row>
    <row r="40" spans="1:173" x14ac:dyDescent="0.25">
      <c r="A40" s="141"/>
      <c r="B40" s="141"/>
      <c r="C40" s="168" t="s">
        <v>335</v>
      </c>
      <c r="D40" s="168"/>
      <c r="E40" s="168"/>
      <c r="F40" s="168"/>
      <c r="G40" s="168"/>
      <c r="H40" s="168"/>
      <c r="I40" s="165"/>
      <c r="J40" s="165"/>
      <c r="K40" s="165"/>
      <c r="L40" s="165"/>
      <c r="M40" s="165"/>
      <c r="N40" s="165"/>
      <c r="O40" s="165"/>
      <c r="P40" s="165"/>
      <c r="Q40" s="165"/>
      <c r="R40" s="165"/>
      <c r="S40" s="165"/>
      <c r="T40" s="165"/>
      <c r="U40" s="165"/>
      <c r="V40" s="165"/>
      <c r="W40" s="165"/>
      <c r="X40" s="165"/>
      <c r="Y40" s="165"/>
      <c r="Z40" s="165"/>
      <c r="AA40" s="166"/>
      <c r="AB40" s="166"/>
      <c r="AC40" s="166"/>
      <c r="AD40" s="166"/>
      <c r="AE40" s="166"/>
      <c r="AJ40" s="118" t="s">
        <v>335</v>
      </c>
      <c r="AK40" s="118" t="s">
        <v>336</v>
      </c>
      <c r="AL40" s="118" t="s">
        <v>55</v>
      </c>
      <c r="AM40" s="118" t="s">
        <v>337</v>
      </c>
    </row>
    <row r="41" spans="1:173" ht="12" customHeight="1" x14ac:dyDescent="0.25">
      <c r="A41" s="108"/>
      <c r="B41" s="116" t="s">
        <v>338</v>
      </c>
      <c r="C41" s="116" t="s">
        <v>164</v>
      </c>
      <c r="D41" s="116" t="s">
        <v>37</v>
      </c>
      <c r="E41" s="116" t="s">
        <v>164</v>
      </c>
      <c r="F41" s="129" t="s">
        <v>38</v>
      </c>
      <c r="G41" s="116" t="s">
        <v>165</v>
      </c>
      <c r="H41" s="129" t="s">
        <v>39</v>
      </c>
      <c r="I41" s="116" t="s">
        <v>164</v>
      </c>
      <c r="J41" s="116" t="s">
        <v>40</v>
      </c>
      <c r="K41" s="116" t="s">
        <v>165</v>
      </c>
      <c r="L41" s="129" t="s">
        <v>41</v>
      </c>
      <c r="M41" s="116" t="s">
        <v>164</v>
      </c>
      <c r="N41" s="116" t="s">
        <v>42</v>
      </c>
      <c r="O41" s="109"/>
      <c r="P41" s="109"/>
      <c r="Q41" s="109"/>
      <c r="R41" s="109"/>
      <c r="S41" s="109"/>
      <c r="T41" s="109"/>
      <c r="U41" s="109"/>
      <c r="V41" s="109"/>
      <c r="W41" s="109"/>
      <c r="X41" s="109"/>
      <c r="Y41" s="109"/>
      <c r="Z41" s="109"/>
      <c r="AA41" s="109"/>
      <c r="AB41" s="109"/>
      <c r="AC41" s="109"/>
      <c r="AD41" s="109"/>
      <c r="AE41" s="111"/>
      <c r="AJ41" s="118" t="s">
        <v>339</v>
      </c>
      <c r="AK41" s="118" t="s">
        <v>340</v>
      </c>
      <c r="AM41" s="118" t="s">
        <v>341</v>
      </c>
    </row>
    <row r="42" spans="1:173" ht="6" customHeight="1" x14ac:dyDescent="0.25">
      <c r="A42" s="112"/>
      <c r="B42" s="110"/>
      <c r="C42" s="110"/>
      <c r="D42" s="110"/>
      <c r="E42" s="110"/>
      <c r="F42" s="127"/>
      <c r="G42" s="110"/>
      <c r="H42" s="127"/>
      <c r="I42" s="110"/>
      <c r="J42" s="110"/>
      <c r="K42" s="110"/>
      <c r="L42" s="127"/>
      <c r="M42" s="110"/>
      <c r="N42" s="110"/>
      <c r="O42" s="110"/>
      <c r="P42" s="110"/>
      <c r="Q42" s="110"/>
      <c r="R42" s="110"/>
      <c r="S42" s="110"/>
      <c r="T42" s="110"/>
      <c r="U42" s="110"/>
      <c r="V42" s="110"/>
      <c r="W42" s="110"/>
      <c r="X42" s="110"/>
      <c r="Y42" s="110"/>
      <c r="Z42" s="127"/>
      <c r="AA42" s="110"/>
      <c r="AB42" s="127"/>
      <c r="AC42" s="110"/>
      <c r="AD42" s="110"/>
      <c r="AE42" s="107"/>
      <c r="AF42" s="119"/>
    </row>
    <row r="43" spans="1:173" ht="12" customHeight="1" thickBot="1" x14ac:dyDescent="0.3">
      <c r="A43" s="141" t="s">
        <v>342</v>
      </c>
      <c r="B43" s="141"/>
      <c r="C43" s="167" t="s">
        <v>280</v>
      </c>
      <c r="D43" s="167"/>
      <c r="E43" s="167"/>
      <c r="F43" s="167"/>
      <c r="G43" s="167"/>
      <c r="H43" s="167"/>
      <c r="I43" s="148" t="s">
        <v>328</v>
      </c>
      <c r="J43" s="148"/>
      <c r="K43" s="148"/>
      <c r="L43" s="148"/>
      <c r="M43" s="148"/>
      <c r="N43" s="148"/>
      <c r="O43" s="148" t="s">
        <v>329</v>
      </c>
      <c r="P43" s="148"/>
      <c r="Q43" s="148"/>
      <c r="R43" s="148"/>
      <c r="S43" s="148"/>
      <c r="T43" s="148"/>
      <c r="U43" s="148" t="s">
        <v>330</v>
      </c>
      <c r="V43" s="148"/>
      <c r="W43" s="148"/>
      <c r="X43" s="148"/>
      <c r="Y43" s="148"/>
      <c r="Z43" s="148"/>
      <c r="AA43" s="162" t="s">
        <v>331</v>
      </c>
      <c r="AB43" s="162"/>
      <c r="AC43" s="162"/>
      <c r="AD43" s="162"/>
      <c r="AE43" s="162"/>
    </row>
    <row r="44" spans="1:173" ht="15.75" thickBot="1" x14ac:dyDescent="0.3">
      <c r="A44" s="141"/>
      <c r="B44" s="141"/>
      <c r="C44" s="168"/>
      <c r="D44" s="168"/>
      <c r="E44" s="168"/>
      <c r="F44" s="168"/>
      <c r="G44" s="168"/>
      <c r="H44" s="168"/>
      <c r="I44" s="165"/>
      <c r="J44" s="165"/>
      <c r="K44" s="165"/>
      <c r="L44" s="165"/>
      <c r="M44" s="165"/>
      <c r="N44" s="165"/>
      <c r="O44" s="165"/>
      <c r="P44" s="165"/>
      <c r="Q44" s="165"/>
      <c r="R44" s="165"/>
      <c r="S44" s="165"/>
      <c r="T44" s="165"/>
      <c r="U44" s="165"/>
      <c r="V44" s="165"/>
      <c r="W44" s="165"/>
      <c r="X44" s="165"/>
      <c r="Y44" s="165"/>
      <c r="Z44" s="165"/>
      <c r="AA44" s="166" t="s">
        <v>341</v>
      </c>
      <c r="AB44" s="166"/>
      <c r="AC44" s="166"/>
      <c r="AD44" s="166"/>
      <c r="AE44" s="166"/>
      <c r="AZ44" s="63"/>
      <c r="BA44" s="64"/>
      <c r="BB44" s="64"/>
      <c r="BC44" s="64"/>
      <c r="BD44" s="64"/>
      <c r="BE44" s="64"/>
      <c r="BF44" s="64"/>
      <c r="BG44" s="64"/>
      <c r="BH44" s="64"/>
      <c r="BI44" s="64"/>
      <c r="BJ44" s="64"/>
      <c r="BK44" s="64"/>
      <c r="BL44" s="64"/>
      <c r="BM44" s="64"/>
      <c r="BN44" s="64"/>
      <c r="BO44" s="64"/>
      <c r="BP44" s="64"/>
      <c r="BQ44" s="64"/>
      <c r="BR44" s="64"/>
      <c r="BS44" s="64"/>
      <c r="BT44" s="64"/>
      <c r="BU44" s="64"/>
      <c r="BV44" s="64"/>
      <c r="BW44" s="64"/>
      <c r="BX44" s="64"/>
      <c r="BY44" s="64"/>
      <c r="BZ44" s="64"/>
      <c r="CA44" s="64"/>
      <c r="CB44" s="64"/>
      <c r="CC44" s="64"/>
      <c r="CD44" s="64"/>
      <c r="CE44" s="64"/>
      <c r="CF44" s="64"/>
      <c r="CG44" s="64"/>
      <c r="CH44" s="64"/>
      <c r="CI44" s="64"/>
      <c r="CJ44" s="64"/>
      <c r="CK44" s="64"/>
      <c r="CL44" s="64"/>
      <c r="CM44" s="64"/>
      <c r="CN44" s="64"/>
      <c r="CO44" s="64"/>
      <c r="CP44" s="64"/>
      <c r="CQ44" s="64"/>
      <c r="CR44" s="64"/>
      <c r="CS44" s="64"/>
      <c r="CT44" s="175"/>
      <c r="CU44" s="175"/>
      <c r="CV44" s="64"/>
      <c r="CW44" s="64"/>
      <c r="CX44" s="64"/>
      <c r="CY44" s="64"/>
      <c r="CZ44" s="64"/>
      <c r="DA44" s="64"/>
      <c r="DB44" s="64"/>
      <c r="DC44" s="64"/>
      <c r="DD44" s="64"/>
      <c r="DE44" s="64"/>
      <c r="DF44" s="64"/>
      <c r="DG44" s="64"/>
      <c r="DH44" s="64"/>
      <c r="DI44" s="64"/>
      <c r="DJ44" s="64"/>
      <c r="DK44" s="64"/>
      <c r="DL44" s="64"/>
      <c r="DM44" s="64"/>
      <c r="DN44" s="64"/>
      <c r="DO44" s="64"/>
      <c r="DP44" s="64"/>
      <c r="DQ44" s="64"/>
      <c r="DR44" s="64"/>
      <c r="DS44" s="64"/>
      <c r="DT44" s="64"/>
      <c r="DU44" s="64"/>
      <c r="DV44" s="64"/>
      <c r="DW44" s="64"/>
      <c r="DX44" s="64"/>
      <c r="DY44" s="64"/>
      <c r="DZ44" s="64"/>
      <c r="EA44" s="64"/>
      <c r="EB44" s="64"/>
      <c r="EC44" s="64"/>
      <c r="ED44" s="64"/>
      <c r="EE44" s="64"/>
      <c r="EF44" s="64"/>
      <c r="EG44" s="64"/>
      <c r="EH44" s="64"/>
      <c r="EI44" s="64"/>
      <c r="EJ44" s="64"/>
      <c r="EK44" s="64"/>
      <c r="EL44" s="64"/>
      <c r="EM44" s="64"/>
      <c r="EN44" s="64"/>
      <c r="EO44" s="64"/>
      <c r="EP44" s="64"/>
      <c r="EQ44" s="64"/>
      <c r="ER44" s="64"/>
      <c r="ES44" s="64"/>
      <c r="ET44" s="64"/>
      <c r="EU44" s="64"/>
      <c r="EV44" s="64"/>
      <c r="EW44" s="64"/>
      <c r="EX44" s="64"/>
      <c r="EY44" s="64"/>
      <c r="EZ44" s="64"/>
      <c r="FA44" s="64"/>
      <c r="FB44" s="64"/>
      <c r="FC44" s="64"/>
      <c r="FD44" s="64"/>
      <c r="FE44" s="64"/>
      <c r="FF44" s="64"/>
      <c r="FG44" s="64"/>
      <c r="FH44" s="64"/>
      <c r="FI44" s="64"/>
      <c r="FJ44" s="64"/>
      <c r="FK44" s="64"/>
      <c r="FL44" s="64"/>
      <c r="FM44" s="64"/>
      <c r="FN44" s="64"/>
      <c r="FO44" s="64"/>
      <c r="FP44" s="64"/>
      <c r="FQ44" s="65"/>
    </row>
    <row r="45" spans="1:173" ht="15.75" thickBot="1" x14ac:dyDescent="0.3">
      <c r="A45" s="108"/>
      <c r="B45" s="116" t="s">
        <v>343</v>
      </c>
      <c r="C45" s="116" t="s">
        <v>164</v>
      </c>
      <c r="D45" s="116" t="s">
        <v>37</v>
      </c>
      <c r="E45" s="116" t="s">
        <v>164</v>
      </c>
      <c r="F45" s="129" t="s">
        <v>38</v>
      </c>
      <c r="G45" s="116" t="s">
        <v>165</v>
      </c>
      <c r="H45" s="129" t="s">
        <v>39</v>
      </c>
      <c r="I45" s="116" t="s">
        <v>164</v>
      </c>
      <c r="J45" s="116" t="s">
        <v>40</v>
      </c>
      <c r="K45" s="116" t="s">
        <v>165</v>
      </c>
      <c r="L45" s="129" t="s">
        <v>41</v>
      </c>
      <c r="M45" s="116" t="s">
        <v>164</v>
      </c>
      <c r="N45" s="116" t="s">
        <v>42</v>
      </c>
      <c r="O45" s="109"/>
      <c r="P45" s="109"/>
      <c r="Q45" s="109"/>
      <c r="R45" s="109"/>
      <c r="S45" s="109"/>
      <c r="T45" s="109"/>
      <c r="U45" s="109"/>
      <c r="V45" s="109"/>
      <c r="W45" s="109"/>
      <c r="X45" s="109"/>
      <c r="Y45" s="109"/>
      <c r="Z45" s="109"/>
      <c r="AA45" s="109"/>
      <c r="AB45" s="109"/>
      <c r="AC45" s="109"/>
      <c r="AD45" s="109"/>
      <c r="AE45" s="111"/>
      <c r="AZ45" s="54"/>
      <c r="BA45" s="57" t="s">
        <v>214</v>
      </c>
      <c r="BB45" s="57"/>
      <c r="BC45" s="57"/>
      <c r="BD45" s="57"/>
      <c r="BE45" s="57"/>
      <c r="BF45" s="57"/>
      <c r="BG45" s="57"/>
      <c r="BH45" s="7" t="s">
        <v>30</v>
      </c>
      <c r="BI45" s="7"/>
      <c r="BJ45" s="7"/>
      <c r="BK45" s="7"/>
      <c r="BL45" s="7"/>
      <c r="BM45" s="7"/>
      <c r="BN45" s="7"/>
      <c r="BO45" s="7"/>
      <c r="BP45" s="7"/>
      <c r="BQ45" s="7"/>
      <c r="BR45" s="7"/>
      <c r="BS45" s="7"/>
      <c r="BT45" s="7"/>
      <c r="BU45" s="7"/>
      <c r="BV45" s="7"/>
      <c r="BW45" s="7"/>
      <c r="BX45" s="7"/>
      <c r="BY45" s="7"/>
      <c r="BZ45" s="7"/>
      <c r="CA45" s="7"/>
      <c r="CB45" s="7"/>
      <c r="CC45" s="57"/>
      <c r="CD45" s="7" t="s">
        <v>31</v>
      </c>
      <c r="CE45" s="7"/>
      <c r="CF45" s="7"/>
      <c r="CG45" s="7"/>
      <c r="CH45" s="7"/>
      <c r="CI45" s="7"/>
      <c r="CJ45" s="7"/>
      <c r="CK45" s="7"/>
      <c r="CL45" s="7"/>
      <c r="CM45" s="7"/>
      <c r="CN45" s="7"/>
      <c r="CO45" s="7"/>
      <c r="CP45" s="57"/>
      <c r="CQ45" s="135" t="s">
        <v>168</v>
      </c>
      <c r="CR45" s="135"/>
      <c r="CS45" s="135"/>
      <c r="CT45" s="47"/>
      <c r="CU45" s="48"/>
      <c r="CV45" s="57"/>
      <c r="CW45" s="7" t="s">
        <v>169</v>
      </c>
      <c r="CX45" s="7"/>
      <c r="CY45" s="7"/>
      <c r="CZ45" s="57"/>
      <c r="DA45" s="7" t="s">
        <v>36</v>
      </c>
      <c r="DB45" s="7"/>
      <c r="DC45" s="7"/>
      <c r="DD45" s="7"/>
      <c r="DE45" s="7"/>
      <c r="DF45" s="7"/>
      <c r="DG45" s="57"/>
      <c r="DH45" s="57"/>
      <c r="DI45" s="13" t="s">
        <v>37</v>
      </c>
      <c r="DJ45" s="13"/>
      <c r="DK45" s="18"/>
      <c r="DL45" s="37"/>
      <c r="DM45" s="5" t="s">
        <v>38</v>
      </c>
      <c r="DN45" s="5"/>
      <c r="DO45" s="38"/>
      <c r="DP45" s="39"/>
      <c r="DQ45" s="4" t="s">
        <v>39</v>
      </c>
      <c r="DR45" s="4"/>
      <c r="DS45" s="4"/>
      <c r="DT45" s="18"/>
      <c r="DU45" s="37"/>
      <c r="DV45" s="5" t="s">
        <v>40</v>
      </c>
      <c r="DW45" s="5"/>
      <c r="DX45" s="18"/>
      <c r="DY45" s="37"/>
      <c r="DZ45" s="37" t="s">
        <v>41</v>
      </c>
      <c r="EA45" s="99"/>
      <c r="EB45" s="18"/>
      <c r="EC45" s="37"/>
      <c r="ED45" s="37" t="s">
        <v>42</v>
      </c>
      <c r="EE45" s="99"/>
      <c r="EF45" s="18"/>
      <c r="EG45" s="37"/>
      <c r="EH45" s="5" t="s">
        <v>43</v>
      </c>
      <c r="EI45" s="5"/>
      <c r="EJ45" s="18"/>
      <c r="EK45" s="37"/>
      <c r="EL45" s="5" t="s">
        <v>44</v>
      </c>
      <c r="EM45" s="5"/>
      <c r="EN45" s="18"/>
      <c r="EO45" s="37"/>
      <c r="EP45" s="5" t="s">
        <v>45</v>
      </c>
      <c r="EQ45" s="5"/>
      <c r="ER45" s="18"/>
      <c r="ES45" s="37"/>
      <c r="ET45" s="3" t="s">
        <v>46</v>
      </c>
      <c r="EU45" s="3"/>
      <c r="EV45" s="3"/>
      <c r="EW45" s="3"/>
      <c r="EX45" s="3"/>
      <c r="EY45" s="38"/>
      <c r="EZ45" s="14" t="s">
        <v>47</v>
      </c>
      <c r="FA45" s="14"/>
      <c r="FB45" s="14"/>
      <c r="FC45" s="40"/>
      <c r="FD45" s="18"/>
      <c r="FE45" s="14" t="s">
        <v>170</v>
      </c>
      <c r="FF45" s="14"/>
      <c r="FG45" s="14"/>
      <c r="FH45" s="38"/>
      <c r="FI45" s="14" t="s">
        <v>171</v>
      </c>
      <c r="FJ45" s="14"/>
      <c r="FK45" s="14"/>
      <c r="FL45" s="38"/>
      <c r="FM45" s="14" t="s">
        <v>172</v>
      </c>
      <c r="FN45" s="14"/>
      <c r="FO45" s="14"/>
      <c r="FP45" s="57"/>
      <c r="FQ45" s="61"/>
    </row>
    <row r="46" spans="1:173" ht="13.5" customHeight="1" thickBot="1" x14ac:dyDescent="0.3">
      <c r="A46" s="112"/>
      <c r="B46" s="110"/>
      <c r="C46" s="110"/>
      <c r="D46" s="110"/>
      <c r="E46" s="110"/>
      <c r="F46" s="127"/>
      <c r="G46" s="110"/>
      <c r="H46" s="127"/>
      <c r="I46" s="110"/>
      <c r="J46" s="110"/>
      <c r="K46" s="110"/>
      <c r="L46" s="127"/>
      <c r="M46" s="110"/>
      <c r="N46" s="110"/>
      <c r="O46" s="110"/>
      <c r="P46" s="110"/>
      <c r="Q46" s="110"/>
      <c r="R46" s="110"/>
      <c r="S46" s="110"/>
      <c r="T46" s="110"/>
      <c r="U46" s="110"/>
      <c r="V46" s="110"/>
      <c r="W46" s="110"/>
      <c r="X46" s="110"/>
      <c r="Y46" s="110"/>
      <c r="Z46" s="127"/>
      <c r="AA46" s="110"/>
      <c r="AB46" s="127"/>
      <c r="AC46" s="110"/>
      <c r="AD46" s="110"/>
      <c r="AE46" s="107"/>
      <c r="AF46" s="119"/>
      <c r="AZ46" s="54"/>
      <c r="BA46" s="57"/>
      <c r="BB46" s="57"/>
      <c r="BC46" s="57"/>
      <c r="BD46" s="57"/>
      <c r="BE46" s="57"/>
      <c r="BF46" s="57"/>
      <c r="BG46" s="57"/>
      <c r="BH46" s="42"/>
      <c r="BI46" s="43" t="s">
        <v>48</v>
      </c>
      <c r="BJ46" s="44" t="s">
        <v>49</v>
      </c>
      <c r="BK46" s="43" t="s">
        <v>50</v>
      </c>
      <c r="BL46" s="45"/>
      <c r="BM46" s="42"/>
      <c r="BN46" s="43" t="s">
        <v>215</v>
      </c>
      <c r="BO46" s="44" t="s">
        <v>49</v>
      </c>
      <c r="BP46" s="45" t="s">
        <v>50</v>
      </c>
      <c r="BQ46" s="43"/>
      <c r="BR46" s="43" t="s">
        <v>51</v>
      </c>
      <c r="BS46" s="44" t="s">
        <v>49</v>
      </c>
      <c r="BT46" s="45" t="s">
        <v>50</v>
      </c>
      <c r="BU46" s="43"/>
      <c r="BV46" s="43" t="s">
        <v>173</v>
      </c>
      <c r="BW46" s="44" t="s">
        <v>49</v>
      </c>
      <c r="BX46" s="45" t="s">
        <v>50</v>
      </c>
      <c r="BY46" s="43"/>
      <c r="BZ46" s="43" t="s">
        <v>174</v>
      </c>
      <c r="CA46" s="44"/>
      <c r="CB46" s="45"/>
      <c r="CC46" s="57"/>
      <c r="CD46" s="42" t="s">
        <v>53</v>
      </c>
      <c r="CE46" s="43" t="s">
        <v>54</v>
      </c>
      <c r="CF46" s="45" t="s">
        <v>55</v>
      </c>
      <c r="CG46" s="7" t="s">
        <v>53</v>
      </c>
      <c r="CH46" s="7"/>
      <c r="CI46" s="7"/>
      <c r="CJ46" s="7" t="s">
        <v>54</v>
      </c>
      <c r="CK46" s="7"/>
      <c r="CL46" s="7"/>
      <c r="CM46" s="7" t="s">
        <v>55</v>
      </c>
      <c r="CN46" s="7"/>
      <c r="CO46" s="7"/>
      <c r="CP46" s="57"/>
      <c r="CQ46" s="67" t="s">
        <v>56</v>
      </c>
      <c r="CR46" s="34"/>
      <c r="CS46" s="100"/>
      <c r="CT46" s="34"/>
      <c r="CU46" s="61"/>
      <c r="CV46" s="57"/>
      <c r="CW46" s="54">
        <f t="shared" ref="CW46:CW51" si="19">IF($F$17&lt;CX46,1,0)</f>
        <v>1</v>
      </c>
      <c r="CX46" s="57">
        <v>2</v>
      </c>
      <c r="CY46" s="61" t="s">
        <v>175</v>
      </c>
      <c r="CZ46" s="53"/>
      <c r="DA46" s="66"/>
      <c r="DB46" s="104"/>
      <c r="DC46" s="104" t="s">
        <v>216</v>
      </c>
      <c r="DD46" s="104"/>
      <c r="DE46" s="104" t="s">
        <v>217</v>
      </c>
      <c r="DF46" s="100" t="s">
        <v>218</v>
      </c>
      <c r="DG46" s="57"/>
      <c r="DH46" s="57"/>
      <c r="DI46" s="50" t="s">
        <v>61</v>
      </c>
      <c r="DJ46" s="34" t="s">
        <v>62</v>
      </c>
      <c r="DK46" s="51"/>
      <c r="DL46" s="34" t="s">
        <v>85</v>
      </c>
      <c r="DM46" s="52" t="s">
        <v>61</v>
      </c>
      <c r="DN46" s="31" t="s">
        <v>63</v>
      </c>
      <c r="DO46" s="53"/>
      <c r="DP46" s="54" t="s">
        <v>31</v>
      </c>
      <c r="DQ46" s="52" t="s">
        <v>61</v>
      </c>
      <c r="DR46" s="31" t="s">
        <v>63</v>
      </c>
      <c r="DS46" s="55" t="s">
        <v>64</v>
      </c>
      <c r="DT46" s="51"/>
      <c r="DU46" s="34" t="s">
        <v>31</v>
      </c>
      <c r="DV46" s="56" t="s">
        <v>61</v>
      </c>
      <c r="DW46" s="34" t="s">
        <v>65</v>
      </c>
      <c r="DX46" s="51"/>
      <c r="DY46" s="66" t="s">
        <v>177</v>
      </c>
      <c r="DZ46" s="101" t="s">
        <v>61</v>
      </c>
      <c r="EA46" s="17" t="s">
        <v>63</v>
      </c>
      <c r="EB46" s="51"/>
      <c r="EC46" s="66" t="s">
        <v>98</v>
      </c>
      <c r="ED46" s="101" t="s">
        <v>61</v>
      </c>
      <c r="EE46" s="17" t="s">
        <v>63</v>
      </c>
      <c r="EF46" s="51"/>
      <c r="EG46" s="34" t="s">
        <v>178</v>
      </c>
      <c r="EH46" s="52" t="s">
        <v>61</v>
      </c>
      <c r="EI46" s="31" t="s">
        <v>63</v>
      </c>
      <c r="EJ46" s="51"/>
      <c r="EK46" s="34" t="s">
        <v>179</v>
      </c>
      <c r="EL46" s="52" t="s">
        <v>61</v>
      </c>
      <c r="EM46" s="31" t="s">
        <v>63</v>
      </c>
      <c r="EN46" s="51"/>
      <c r="EO46" s="34" t="s">
        <v>180</v>
      </c>
      <c r="EP46" s="52" t="s">
        <v>61</v>
      </c>
      <c r="EQ46" s="31" t="s">
        <v>63</v>
      </c>
      <c r="ER46" s="51"/>
      <c r="ES46" s="34"/>
      <c r="ET46" s="52" t="s">
        <v>61</v>
      </c>
      <c r="EU46" s="34" t="s">
        <v>66</v>
      </c>
      <c r="EV46" s="34"/>
      <c r="EW46" s="34"/>
      <c r="EX46" s="34" t="s">
        <v>66</v>
      </c>
      <c r="EY46" s="53"/>
      <c r="EZ46" s="57"/>
      <c r="FA46" s="56" t="s">
        <v>61</v>
      </c>
      <c r="FB46" s="34" t="s">
        <v>66</v>
      </c>
      <c r="FC46" s="53"/>
      <c r="FD46" s="51"/>
      <c r="FE46" s="34"/>
      <c r="FF46" s="52" t="s">
        <v>61</v>
      </c>
      <c r="FG46" s="31" t="s">
        <v>67</v>
      </c>
      <c r="FH46" s="53"/>
      <c r="FI46" s="34"/>
      <c r="FJ46" s="52" t="s">
        <v>61</v>
      </c>
      <c r="FK46" s="31" t="s">
        <v>68</v>
      </c>
      <c r="FL46" s="53"/>
      <c r="FM46" s="34"/>
      <c r="FN46" s="52" t="s">
        <v>61</v>
      </c>
      <c r="FO46" s="30" t="s">
        <v>69</v>
      </c>
      <c r="FP46" s="57"/>
      <c r="FQ46" s="61"/>
    </row>
    <row r="47" spans="1:173" ht="18.75" customHeight="1" thickBot="1" x14ac:dyDescent="0.3">
      <c r="A47" s="141" t="s">
        <v>344</v>
      </c>
      <c r="B47" s="141"/>
      <c r="C47" s="167" t="s">
        <v>280</v>
      </c>
      <c r="D47" s="167"/>
      <c r="E47" s="167"/>
      <c r="F47" s="167"/>
      <c r="G47" s="167"/>
      <c r="H47" s="167"/>
      <c r="I47" s="148" t="s">
        <v>328</v>
      </c>
      <c r="J47" s="148"/>
      <c r="K47" s="148"/>
      <c r="L47" s="148"/>
      <c r="M47" s="148"/>
      <c r="N47" s="148"/>
      <c r="O47" s="148" t="s">
        <v>329</v>
      </c>
      <c r="P47" s="148"/>
      <c r="Q47" s="148"/>
      <c r="R47" s="148"/>
      <c r="S47" s="148"/>
      <c r="T47" s="148"/>
      <c r="U47" s="148" t="s">
        <v>330</v>
      </c>
      <c r="V47" s="148"/>
      <c r="W47" s="148"/>
      <c r="X47" s="148"/>
      <c r="Y47" s="148"/>
      <c r="Z47" s="148"/>
      <c r="AA47" s="162" t="s">
        <v>331</v>
      </c>
      <c r="AB47" s="162"/>
      <c r="AC47" s="162"/>
      <c r="AD47" s="162"/>
      <c r="AE47" s="162"/>
      <c r="AZ47" s="170" t="s">
        <v>70</v>
      </c>
      <c r="BA47" s="176">
        <f>IF(D37=2,C17,0)</f>
        <v>0</v>
      </c>
      <c r="BB47" s="57" t="s">
        <v>71</v>
      </c>
      <c r="BC47" s="57"/>
      <c r="BD47" s="57" t="s">
        <v>72</v>
      </c>
      <c r="BE47" s="74">
        <f>BE60*1.2</f>
        <v>0</v>
      </c>
      <c r="BF47" s="57"/>
      <c r="BG47" s="57"/>
      <c r="BH47" s="54" t="e">
        <f t="shared" ref="BH47:BH60" si="20">IF($B$11&lt;12,(IF((BK47&gt;4)*AND(BK47&lt;16),2,0)),IF((BK47&gt;4)*AND(BK47&lt;20),2,0))</f>
        <v>#VALUE!</v>
      </c>
      <c r="BI47" s="57">
        <v>15</v>
      </c>
      <c r="BJ47" s="57" t="e">
        <f t="shared" ref="BJ47:BJ60" si="21">1/POWER(1.14+2*LOG10((BI47/1000)/($K$21/1000)),2)</f>
        <v>#VALUE!</v>
      </c>
      <c r="BK47" s="57" t="e">
        <f t="shared" ref="BK47:BK60" si="22">0.00638*BJ47*POWER($F$4,2)/(POWER(BI47/1000,5)*$K$20)</f>
        <v>#VALUE!</v>
      </c>
      <c r="BL47" s="61"/>
      <c r="BM47" s="54" t="e">
        <f t="shared" ref="BM47:BM60" si="23">IF((BP47&gt;4)*AND(BP47&lt;18),1,0)</f>
        <v>#VALUE!</v>
      </c>
      <c r="BN47" s="57">
        <v>15</v>
      </c>
      <c r="BO47" s="57" t="e">
        <f t="shared" ref="BO47:BO60" si="24">1/POWER(1.14+2*LOG10((BN47/1000)/($K$21/1000)),2)</f>
        <v>#VALUE!</v>
      </c>
      <c r="BP47" s="61" t="e">
        <f t="shared" ref="BP47:BP60" si="25">0.00638*BO47*POWER($F$11,2)/(POWER(BN47/1000,5)*$K$20)</f>
        <v>#VALUE!</v>
      </c>
      <c r="BQ47" s="57" t="e">
        <f t="shared" ref="BQ47:BQ60" si="26">IF((BT47&gt;4)*AND(BT47&lt;16),1,0)</f>
        <v>#VALUE!</v>
      </c>
      <c r="BR47" s="57">
        <v>15</v>
      </c>
      <c r="BS47" s="57" t="e">
        <f t="shared" ref="BS47:BS60" si="27">1/POWER(1.14+2*LOG10((BR47/1000)/($K$21/1000)),2)</f>
        <v>#VALUE!</v>
      </c>
      <c r="BT47" s="61" t="e">
        <f t="shared" ref="BT47:BT60" si="28">0.00638*BS47*POWER($F$14,2)/(POWER(BR47/1000,5)*$K$20)</f>
        <v>#VALUE!</v>
      </c>
      <c r="BU47" s="57" t="e">
        <f t="shared" ref="BU47:BU60" si="29">IF((BX47&gt;4)*AND(BX47&lt;16),1,0)</f>
        <v>#VALUE!</v>
      </c>
      <c r="BV47" s="57">
        <v>15</v>
      </c>
      <c r="BW47" s="57" t="e">
        <f t="shared" ref="BW47:BW60" si="30">1/POWER(1.14+2*LOG10((BV47/1000)/($K$21/1000)),2)</f>
        <v>#VALUE!</v>
      </c>
      <c r="BX47" s="61" t="e">
        <f t="shared" ref="BX47:BX60" si="31">0.00638*BW47*POWER($F$17,2)/(POWER(BV47/1000,5)*$K$20)</f>
        <v>#VALUE!</v>
      </c>
      <c r="BY47" s="57" t="e">
        <f t="shared" ref="BY47:BY60" si="32">BU47</f>
        <v>#VALUE!</v>
      </c>
      <c r="BZ47" s="57">
        <v>15</v>
      </c>
      <c r="CA47" s="57"/>
      <c r="CB47" s="61"/>
      <c r="CC47" s="57"/>
      <c r="CD47" s="62" t="s">
        <v>73</v>
      </c>
      <c r="CE47" s="57">
        <f>IF(BA54&gt;12,3,1.8)</f>
        <v>3</v>
      </c>
      <c r="CF47" s="57"/>
      <c r="CG47" s="63">
        <f t="shared" ref="CG47:CG64" si="33">IF(CI47&gt;$AF$5,1,0)</f>
        <v>1</v>
      </c>
      <c r="CH47" s="64">
        <v>15</v>
      </c>
      <c r="CI47" s="65">
        <v>1.6</v>
      </c>
      <c r="CJ47" s="63">
        <f t="shared" ref="CJ47:CJ65" si="34">IF(CL47&gt;$AF$5,1,0)</f>
        <v>1</v>
      </c>
      <c r="CK47" s="64">
        <v>15</v>
      </c>
      <c r="CL47" s="65">
        <v>1.6</v>
      </c>
      <c r="CM47" s="57">
        <f t="shared" ref="CM47:CM59" si="35">IF(CO47&gt;$AF$5,1,0)</f>
        <v>1</v>
      </c>
      <c r="CN47" s="57">
        <v>15</v>
      </c>
      <c r="CO47" s="61">
        <v>1.6</v>
      </c>
      <c r="CP47" s="57"/>
      <c r="CQ47" s="53">
        <v>1.5</v>
      </c>
      <c r="CR47" s="57">
        <f>IF($F$23&lt;CQ47,1,0)</f>
        <v>1</v>
      </c>
      <c r="CS47" s="61" t="s">
        <v>181</v>
      </c>
      <c r="CT47" s="57">
        <f>IF($F$23&lt;CQ47,1,0)</f>
        <v>1</v>
      </c>
      <c r="CU47" s="103" t="s">
        <v>182</v>
      </c>
      <c r="CV47" s="57"/>
      <c r="CW47" s="54">
        <f t="shared" si="19"/>
        <v>1</v>
      </c>
      <c r="CX47" s="57">
        <v>3</v>
      </c>
      <c r="CY47" s="61" t="s">
        <v>183</v>
      </c>
      <c r="CZ47" s="53"/>
      <c r="DA47" s="57">
        <f t="shared" ref="DA47:DA110" si="36">IF(AND(DB47=1,DD47=1),1,0)</f>
        <v>1</v>
      </c>
      <c r="DB47" s="57">
        <f t="shared" ref="DB47:DB110" si="37">IF(DC47&gt;$B$4,1,0)</f>
        <v>1</v>
      </c>
      <c r="DC47" s="57">
        <v>0.01</v>
      </c>
      <c r="DD47" s="57">
        <f t="shared" ref="DD47:DD110" si="38">IF(DE47&gt;$F$11,1,0)</f>
        <v>1</v>
      </c>
      <c r="DE47" s="57">
        <v>2</v>
      </c>
      <c r="DF47" s="61" t="s">
        <v>176</v>
      </c>
      <c r="DG47" s="57"/>
      <c r="DH47" s="57"/>
      <c r="DI47" s="50" t="s">
        <v>78</v>
      </c>
      <c r="DJ47" s="34" t="s">
        <v>185</v>
      </c>
      <c r="DK47" s="51"/>
      <c r="DL47" s="34">
        <f t="shared" ref="DL47:DL58" si="39">IF($F$5=DN47,1,0)</f>
        <v>0</v>
      </c>
      <c r="DM47" s="56" t="s">
        <v>80</v>
      </c>
      <c r="DN47" s="34">
        <v>15</v>
      </c>
      <c r="DO47" s="53"/>
      <c r="DP47" s="70">
        <f t="shared" ref="DP47:DP69" si="40">IF($F$7=DS47,1,0)</f>
        <v>0</v>
      </c>
      <c r="DQ47" s="56" t="s">
        <v>80</v>
      </c>
      <c r="DR47" s="34">
        <v>15</v>
      </c>
      <c r="DS47" s="55">
        <v>0.63</v>
      </c>
      <c r="DT47" s="51"/>
      <c r="DU47" s="34">
        <f>IF($B$14=DW47,1,0)</f>
        <v>0</v>
      </c>
      <c r="DV47" s="56" t="s">
        <v>78</v>
      </c>
      <c r="DW47" s="34" t="s">
        <v>53</v>
      </c>
      <c r="DX47" s="51"/>
      <c r="DY47" s="70">
        <f t="shared" ref="DY47:DY58" si="41">IF($F$12=EA47,1,0)</f>
        <v>0</v>
      </c>
      <c r="DZ47" s="56" t="s">
        <v>80</v>
      </c>
      <c r="EA47" s="55">
        <v>15</v>
      </c>
      <c r="EB47" s="51"/>
      <c r="EC47" s="70">
        <f t="shared" ref="EC47:EC58" si="42">IF($F$15=EE47,1,0)</f>
        <v>0</v>
      </c>
      <c r="ED47" s="56" t="s">
        <v>80</v>
      </c>
      <c r="EE47" s="55">
        <v>15</v>
      </c>
      <c r="EF47" s="51"/>
      <c r="EG47" s="34">
        <f t="shared" ref="EG47:EG58" si="43">IF($F$18=EI47,1,0)</f>
        <v>0</v>
      </c>
      <c r="EH47" s="56" t="s">
        <v>80</v>
      </c>
      <c r="EI47" s="34">
        <v>15</v>
      </c>
      <c r="EJ47" s="51"/>
      <c r="EK47" s="34">
        <f t="shared" ref="EK47:EK58" si="44">IF($F$22=EM47,1,0)</f>
        <v>0</v>
      </c>
      <c r="EL47" s="56" t="s">
        <v>80</v>
      </c>
      <c r="EM47" s="34">
        <v>15</v>
      </c>
      <c r="EN47" s="51"/>
      <c r="EO47" s="34">
        <f t="shared" ref="EO47:EO52" si="45">IF($E$19=EQ47,1,0)</f>
        <v>0</v>
      </c>
      <c r="EP47" s="56" t="s">
        <v>78</v>
      </c>
      <c r="EQ47" s="61" t="s">
        <v>175</v>
      </c>
      <c r="ER47" s="51"/>
      <c r="ES47" s="34">
        <f>IF($E$24=EU47,1,0)</f>
        <v>0</v>
      </c>
      <c r="ET47" s="31">
        <v>1</v>
      </c>
      <c r="EU47" s="57" t="s">
        <v>181</v>
      </c>
      <c r="EV47" s="31">
        <f>IF($E$24=EX47,1,0)</f>
        <v>0</v>
      </c>
      <c r="EW47" s="31">
        <v>1</v>
      </c>
      <c r="EX47" s="103" t="s">
        <v>182</v>
      </c>
      <c r="EY47" s="53"/>
      <c r="EZ47" s="57"/>
      <c r="FA47" s="31"/>
      <c r="FB47" s="57"/>
      <c r="FC47" s="53"/>
      <c r="FD47" s="51"/>
      <c r="FE47" s="34"/>
      <c r="FF47" s="56"/>
      <c r="FG47" s="57"/>
      <c r="FH47" s="53"/>
      <c r="FI47" s="34">
        <f>IF($B$16=FK47,1,0)</f>
        <v>0</v>
      </c>
      <c r="FJ47" s="56" t="s">
        <v>78</v>
      </c>
      <c r="FK47" s="34" t="s">
        <v>83</v>
      </c>
      <c r="FL47" s="53"/>
      <c r="FM47" s="34">
        <f>IF($B$17=FO47,1,0)</f>
        <v>0</v>
      </c>
      <c r="FN47" s="56" t="s">
        <v>78</v>
      </c>
      <c r="FO47" s="61" t="s">
        <v>84</v>
      </c>
      <c r="FP47" s="57"/>
      <c r="FQ47" s="61"/>
    </row>
    <row r="48" spans="1:173" ht="45.75" thickBot="1" x14ac:dyDescent="0.3">
      <c r="A48" s="141"/>
      <c r="B48" s="141"/>
      <c r="C48" s="168"/>
      <c r="D48" s="168"/>
      <c r="E48" s="168"/>
      <c r="F48" s="168"/>
      <c r="G48" s="168"/>
      <c r="H48" s="168"/>
      <c r="I48" s="165"/>
      <c r="J48" s="165"/>
      <c r="K48" s="165"/>
      <c r="L48" s="165"/>
      <c r="M48" s="165"/>
      <c r="N48" s="165"/>
      <c r="O48" s="165"/>
      <c r="P48" s="165"/>
      <c r="Q48" s="165"/>
      <c r="R48" s="165"/>
      <c r="S48" s="165"/>
      <c r="T48" s="165"/>
      <c r="U48" s="165"/>
      <c r="V48" s="165"/>
      <c r="W48" s="165"/>
      <c r="X48" s="165"/>
      <c r="Y48" s="165"/>
      <c r="Z48" s="165"/>
      <c r="AA48" s="166"/>
      <c r="AB48" s="166"/>
      <c r="AC48" s="166"/>
      <c r="AD48" s="166"/>
      <c r="AE48" s="166"/>
      <c r="AZ48" s="170"/>
      <c r="BA48" s="176"/>
      <c r="BB48" s="171"/>
      <c r="BC48" s="57"/>
      <c r="BD48" s="57" t="s">
        <v>48</v>
      </c>
      <c r="BE48" s="57" t="e">
        <f>VLOOKUP(2,BH47:BK60,2,0)</f>
        <v>#N/A</v>
      </c>
      <c r="BF48" s="57"/>
      <c r="BG48" s="57"/>
      <c r="BH48" s="54" t="e">
        <f t="shared" si="20"/>
        <v>#VALUE!</v>
      </c>
      <c r="BI48" s="57">
        <v>20</v>
      </c>
      <c r="BJ48" s="57" t="e">
        <f t="shared" si="21"/>
        <v>#VALUE!</v>
      </c>
      <c r="BK48" s="57" t="e">
        <f t="shared" si="22"/>
        <v>#VALUE!</v>
      </c>
      <c r="BL48" s="61"/>
      <c r="BM48" s="54" t="e">
        <f t="shared" si="23"/>
        <v>#VALUE!</v>
      </c>
      <c r="BN48" s="57">
        <v>20</v>
      </c>
      <c r="BO48" s="57" t="e">
        <f t="shared" si="24"/>
        <v>#VALUE!</v>
      </c>
      <c r="BP48" s="61" t="e">
        <f t="shared" si="25"/>
        <v>#VALUE!</v>
      </c>
      <c r="BQ48" s="57" t="e">
        <f t="shared" si="26"/>
        <v>#VALUE!</v>
      </c>
      <c r="BR48" s="57">
        <v>20</v>
      </c>
      <c r="BS48" s="57" t="e">
        <f t="shared" si="27"/>
        <v>#VALUE!</v>
      </c>
      <c r="BT48" s="61" t="e">
        <f t="shared" si="28"/>
        <v>#VALUE!</v>
      </c>
      <c r="BU48" s="57" t="e">
        <f t="shared" si="29"/>
        <v>#VALUE!</v>
      </c>
      <c r="BV48" s="57">
        <v>20</v>
      </c>
      <c r="BW48" s="57" t="e">
        <f t="shared" si="30"/>
        <v>#VALUE!</v>
      </c>
      <c r="BX48" s="61" t="e">
        <f t="shared" si="31"/>
        <v>#VALUE!</v>
      </c>
      <c r="BY48" s="57" t="e">
        <f t="shared" si="32"/>
        <v>#VALUE!</v>
      </c>
      <c r="BZ48" s="57">
        <v>15</v>
      </c>
      <c r="CA48" s="57"/>
      <c r="CB48" s="61"/>
      <c r="CC48" s="57"/>
      <c r="CD48" s="62" t="s">
        <v>87</v>
      </c>
      <c r="CE48" s="74">
        <f>BE47/SQRT(0.1*CE47)</f>
        <v>0</v>
      </c>
      <c r="CF48" s="74"/>
      <c r="CG48" s="54">
        <f t="shared" si="33"/>
        <v>1</v>
      </c>
      <c r="CH48" s="57">
        <v>15</v>
      </c>
      <c r="CI48" s="61">
        <v>2.5</v>
      </c>
      <c r="CJ48" s="54">
        <f t="shared" si="34"/>
        <v>1</v>
      </c>
      <c r="CK48" s="57">
        <v>15</v>
      </c>
      <c r="CL48" s="61">
        <v>2.5</v>
      </c>
      <c r="CM48" s="57">
        <f t="shared" si="35"/>
        <v>1</v>
      </c>
      <c r="CN48" s="57">
        <v>15</v>
      </c>
      <c r="CO48" s="61">
        <v>2.5</v>
      </c>
      <c r="CP48" s="57"/>
      <c r="CQ48" s="53">
        <v>4</v>
      </c>
      <c r="CR48" s="57">
        <f>IF($F$23&lt;CQ48,1,0)</f>
        <v>1</v>
      </c>
      <c r="CS48" s="61" t="s">
        <v>186</v>
      </c>
      <c r="CT48" s="57">
        <f>IF($F$23&lt;CQ48,1,0)</f>
        <v>1</v>
      </c>
      <c r="CU48" s="103" t="s">
        <v>187</v>
      </c>
      <c r="CV48" s="57"/>
      <c r="CW48" s="54">
        <f t="shared" si="19"/>
        <v>1</v>
      </c>
      <c r="CX48" s="57">
        <v>5</v>
      </c>
      <c r="CY48" s="61" t="s">
        <v>188</v>
      </c>
      <c r="CZ48" s="53"/>
      <c r="DA48" s="57">
        <f t="shared" si="36"/>
        <v>1</v>
      </c>
      <c r="DB48" s="57">
        <f t="shared" si="37"/>
        <v>1</v>
      </c>
      <c r="DC48" s="57">
        <v>0.02</v>
      </c>
      <c r="DD48" s="57">
        <f t="shared" si="38"/>
        <v>1</v>
      </c>
      <c r="DE48" s="57">
        <v>2</v>
      </c>
      <c r="DF48" s="61" t="s">
        <v>176</v>
      </c>
      <c r="DG48" s="57"/>
      <c r="DH48" s="57"/>
      <c r="DI48" s="50" t="s">
        <v>94</v>
      </c>
      <c r="DJ48" s="34" t="s">
        <v>190</v>
      </c>
      <c r="DK48" s="51"/>
      <c r="DL48" s="34">
        <f t="shared" si="39"/>
        <v>0</v>
      </c>
      <c r="DM48" s="56" t="s">
        <v>96</v>
      </c>
      <c r="DN48" s="34">
        <v>20</v>
      </c>
      <c r="DO48" s="53"/>
      <c r="DP48" s="70">
        <f t="shared" si="40"/>
        <v>0</v>
      </c>
      <c r="DQ48" s="56" t="s">
        <v>96</v>
      </c>
      <c r="DR48" s="34">
        <v>15</v>
      </c>
      <c r="DS48" s="55">
        <v>1.25</v>
      </c>
      <c r="DT48" s="51"/>
      <c r="DU48" s="34">
        <f>IF($B$14=DW48,1,0)</f>
        <v>0</v>
      </c>
      <c r="DV48" s="56" t="s">
        <v>94</v>
      </c>
      <c r="DW48" s="34" t="s">
        <v>55</v>
      </c>
      <c r="DX48" s="51"/>
      <c r="DY48" s="70">
        <f t="shared" si="41"/>
        <v>0</v>
      </c>
      <c r="DZ48" s="56" t="s">
        <v>96</v>
      </c>
      <c r="EA48" s="55">
        <v>20</v>
      </c>
      <c r="EB48" s="51"/>
      <c r="EC48" s="70">
        <f t="shared" si="42"/>
        <v>0</v>
      </c>
      <c r="ED48" s="56" t="s">
        <v>96</v>
      </c>
      <c r="EE48" s="55">
        <v>20</v>
      </c>
      <c r="EF48" s="51"/>
      <c r="EG48" s="34">
        <f t="shared" si="43"/>
        <v>0</v>
      </c>
      <c r="EH48" s="56" t="s">
        <v>96</v>
      </c>
      <c r="EI48" s="34">
        <v>20</v>
      </c>
      <c r="EJ48" s="51"/>
      <c r="EK48" s="34">
        <f t="shared" si="44"/>
        <v>0</v>
      </c>
      <c r="EL48" s="56" t="s">
        <v>96</v>
      </c>
      <c r="EM48" s="34">
        <v>20</v>
      </c>
      <c r="EN48" s="51"/>
      <c r="EO48" s="34">
        <f t="shared" si="45"/>
        <v>0</v>
      </c>
      <c r="EP48" s="56" t="s">
        <v>94</v>
      </c>
      <c r="EQ48" s="61" t="s">
        <v>183</v>
      </c>
      <c r="ER48" s="51"/>
      <c r="ES48" s="34">
        <f>IF($E$24=EU48,1,0)</f>
        <v>1</v>
      </c>
      <c r="ET48" s="31"/>
      <c r="EU48" s="57"/>
      <c r="EV48" s="31">
        <f>IF($E$24=EX48,1,0)</f>
        <v>0</v>
      </c>
      <c r="EW48" s="31">
        <v>2</v>
      </c>
      <c r="EX48" s="103" t="s">
        <v>187</v>
      </c>
      <c r="EY48" s="53"/>
      <c r="EZ48" s="57">
        <f>IF($B$15=FB48,1,0)</f>
        <v>0</v>
      </c>
      <c r="FA48" s="31">
        <v>1</v>
      </c>
      <c r="FB48" s="31" t="s">
        <v>191</v>
      </c>
      <c r="FC48" s="53"/>
      <c r="FD48" s="51"/>
      <c r="FE48" s="34">
        <f t="shared" ref="FE48:FE62" si="46">IF($E$9=FG48,1,0)</f>
        <v>0</v>
      </c>
      <c r="FF48" s="56" t="s">
        <v>80</v>
      </c>
      <c r="FG48" s="61" t="s">
        <v>176</v>
      </c>
      <c r="FH48" s="53"/>
      <c r="FI48" s="34">
        <f>IF($B$16=FK48,1,0)</f>
        <v>0</v>
      </c>
      <c r="FJ48" s="56" t="s">
        <v>94</v>
      </c>
      <c r="FK48" s="34" t="s">
        <v>55</v>
      </c>
      <c r="FL48" s="53"/>
      <c r="FM48" s="34">
        <f>IF($B$17=FO48,1,0)</f>
        <v>0</v>
      </c>
      <c r="FN48" s="56" t="s">
        <v>81</v>
      </c>
      <c r="FO48" s="55" t="s">
        <v>97</v>
      </c>
      <c r="FP48" s="57"/>
      <c r="FQ48" s="61"/>
    </row>
    <row r="49" spans="1:173" ht="39" customHeight="1" thickBot="1" x14ac:dyDescent="0.3">
      <c r="A49" s="120"/>
      <c r="B49" s="122" t="s">
        <v>345</v>
      </c>
      <c r="C49" s="122" t="s">
        <v>164</v>
      </c>
      <c r="D49" s="122" t="s">
        <v>37</v>
      </c>
      <c r="E49" s="122" t="s">
        <v>164</v>
      </c>
      <c r="F49" s="123" t="s">
        <v>38</v>
      </c>
      <c r="G49" s="122" t="s">
        <v>165</v>
      </c>
      <c r="H49" s="123" t="s">
        <v>39</v>
      </c>
      <c r="I49" s="122" t="s">
        <v>164</v>
      </c>
      <c r="J49" s="122" t="s">
        <v>40</v>
      </c>
      <c r="K49" s="122" t="s">
        <v>165</v>
      </c>
      <c r="L49" s="123" t="s">
        <v>41</v>
      </c>
      <c r="M49" s="122" t="s">
        <v>164</v>
      </c>
      <c r="N49" s="122" t="s">
        <v>42</v>
      </c>
      <c r="O49" s="124"/>
      <c r="P49" s="124"/>
      <c r="Q49" s="124"/>
      <c r="R49" s="124"/>
      <c r="S49" s="124"/>
      <c r="T49" s="124"/>
      <c r="U49" s="124"/>
      <c r="V49" s="124"/>
      <c r="W49" s="124"/>
      <c r="X49" s="124"/>
      <c r="Y49" s="124"/>
      <c r="Z49" s="124"/>
      <c r="AA49" s="124"/>
      <c r="AB49" s="124"/>
      <c r="AC49" s="124"/>
      <c r="AD49" s="124"/>
      <c r="AE49" s="125"/>
      <c r="AZ49" s="170"/>
      <c r="BA49" s="176"/>
      <c r="BB49" s="171"/>
      <c r="BC49" s="57"/>
      <c r="BD49" s="57" t="s">
        <v>99</v>
      </c>
      <c r="BE49" s="57">
        <f>VLOOKUP(1,IF(BA57="IMI Hydronic",CG47:CI64,IF(BA57="Siemens",CJ47:CL65,CM47:CO59)),2,0)</f>
        <v>15</v>
      </c>
      <c r="BF49" s="57"/>
      <c r="BG49" s="57"/>
      <c r="BH49" s="54" t="e">
        <f t="shared" si="20"/>
        <v>#VALUE!</v>
      </c>
      <c r="BI49" s="57">
        <v>25</v>
      </c>
      <c r="BJ49" s="57" t="e">
        <f t="shared" si="21"/>
        <v>#VALUE!</v>
      </c>
      <c r="BK49" s="57" t="e">
        <f t="shared" si="22"/>
        <v>#VALUE!</v>
      </c>
      <c r="BL49" s="61"/>
      <c r="BM49" s="54" t="e">
        <f t="shared" si="23"/>
        <v>#VALUE!</v>
      </c>
      <c r="BN49" s="57">
        <v>25</v>
      </c>
      <c r="BO49" s="57" t="e">
        <f t="shared" si="24"/>
        <v>#VALUE!</v>
      </c>
      <c r="BP49" s="61" t="e">
        <f t="shared" si="25"/>
        <v>#VALUE!</v>
      </c>
      <c r="BQ49" s="57" t="e">
        <f t="shared" si="26"/>
        <v>#VALUE!</v>
      </c>
      <c r="BR49" s="57">
        <v>25</v>
      </c>
      <c r="BS49" s="57" t="e">
        <f t="shared" si="27"/>
        <v>#VALUE!</v>
      </c>
      <c r="BT49" s="61" t="e">
        <f t="shared" si="28"/>
        <v>#VALUE!</v>
      </c>
      <c r="BU49" s="57" t="e">
        <f t="shared" si="29"/>
        <v>#VALUE!</v>
      </c>
      <c r="BV49" s="57">
        <v>25</v>
      </c>
      <c r="BW49" s="57" t="e">
        <f t="shared" si="30"/>
        <v>#VALUE!</v>
      </c>
      <c r="BX49" s="61" t="e">
        <f t="shared" si="31"/>
        <v>#VALUE!</v>
      </c>
      <c r="BY49" s="57" t="e">
        <f t="shared" si="32"/>
        <v>#VALUE!</v>
      </c>
      <c r="BZ49" s="57">
        <v>20</v>
      </c>
      <c r="CA49" s="57"/>
      <c r="CB49" s="61"/>
      <c r="CC49" s="57"/>
      <c r="CD49" s="54"/>
      <c r="CE49" s="57"/>
      <c r="CF49" s="57"/>
      <c r="CG49" s="54">
        <f t="shared" si="33"/>
        <v>1</v>
      </c>
      <c r="CH49" s="57">
        <v>15</v>
      </c>
      <c r="CI49" s="61">
        <v>4</v>
      </c>
      <c r="CJ49" s="54">
        <f t="shared" si="34"/>
        <v>1</v>
      </c>
      <c r="CK49" s="57">
        <v>15</v>
      </c>
      <c r="CL49" s="61">
        <v>4</v>
      </c>
      <c r="CM49" s="57">
        <f t="shared" si="35"/>
        <v>1</v>
      </c>
      <c r="CN49" s="57">
        <v>15</v>
      </c>
      <c r="CO49" s="61">
        <v>4</v>
      </c>
      <c r="CP49" s="57"/>
      <c r="CQ49" s="53">
        <v>6</v>
      </c>
      <c r="CR49" s="57">
        <f>IF($F$23&lt;CQ49,1,0)</f>
        <v>1</v>
      </c>
      <c r="CS49" s="61" t="s">
        <v>186</v>
      </c>
      <c r="CT49" s="57">
        <f>IF($F$23&lt;CQ49,1,0)</f>
        <v>1</v>
      </c>
      <c r="CU49" s="103" t="s">
        <v>192</v>
      </c>
      <c r="CV49" s="57"/>
      <c r="CW49" s="54">
        <f t="shared" si="19"/>
        <v>1</v>
      </c>
      <c r="CX49" s="57">
        <v>8</v>
      </c>
      <c r="CY49" s="61" t="s">
        <v>193</v>
      </c>
      <c r="CZ49" s="53"/>
      <c r="DA49" s="57">
        <f t="shared" si="36"/>
        <v>1</v>
      </c>
      <c r="DB49" s="57">
        <f t="shared" si="37"/>
        <v>1</v>
      </c>
      <c r="DC49" s="57">
        <v>0.02</v>
      </c>
      <c r="DD49" s="57">
        <f t="shared" si="38"/>
        <v>1</v>
      </c>
      <c r="DE49" s="57">
        <v>4</v>
      </c>
      <c r="DF49" s="61" t="s">
        <v>201</v>
      </c>
      <c r="DG49" s="57"/>
      <c r="DH49" s="57"/>
      <c r="DI49" s="50"/>
      <c r="DJ49" s="34"/>
      <c r="DK49" s="51"/>
      <c r="DL49" s="34">
        <f t="shared" si="39"/>
        <v>0</v>
      </c>
      <c r="DM49" s="56" t="s">
        <v>103</v>
      </c>
      <c r="DN49" s="34">
        <v>25</v>
      </c>
      <c r="DO49" s="53"/>
      <c r="DP49" s="70">
        <f t="shared" si="40"/>
        <v>0</v>
      </c>
      <c r="DQ49" s="56" t="s">
        <v>103</v>
      </c>
      <c r="DR49" s="34">
        <v>15</v>
      </c>
      <c r="DS49" s="55">
        <v>1.6</v>
      </c>
      <c r="DT49" s="51"/>
      <c r="DU49" s="34">
        <f>IF($B$14=DW49,1,0)</f>
        <v>0</v>
      </c>
      <c r="DV49" s="56" t="s">
        <v>104</v>
      </c>
      <c r="DW49" s="34" t="s">
        <v>54</v>
      </c>
      <c r="DX49" s="51"/>
      <c r="DY49" s="70">
        <f t="shared" si="41"/>
        <v>0</v>
      </c>
      <c r="DZ49" s="56" t="s">
        <v>103</v>
      </c>
      <c r="EA49" s="55">
        <v>25</v>
      </c>
      <c r="EB49" s="51"/>
      <c r="EC49" s="70">
        <f t="shared" si="42"/>
        <v>0</v>
      </c>
      <c r="ED49" s="56" t="s">
        <v>103</v>
      </c>
      <c r="EE49" s="55">
        <v>25</v>
      </c>
      <c r="EF49" s="51"/>
      <c r="EG49" s="34">
        <f t="shared" si="43"/>
        <v>0</v>
      </c>
      <c r="EH49" s="56" t="s">
        <v>103</v>
      </c>
      <c r="EI49" s="34">
        <v>25</v>
      </c>
      <c r="EJ49" s="51"/>
      <c r="EK49" s="34">
        <f t="shared" si="44"/>
        <v>0</v>
      </c>
      <c r="EL49" s="56" t="s">
        <v>103</v>
      </c>
      <c r="EM49" s="34">
        <v>25</v>
      </c>
      <c r="EN49" s="51"/>
      <c r="EO49" s="34">
        <f t="shared" si="45"/>
        <v>0</v>
      </c>
      <c r="EP49" s="56" t="s">
        <v>104</v>
      </c>
      <c r="EQ49" s="61" t="s">
        <v>188</v>
      </c>
      <c r="ER49" s="51"/>
      <c r="ES49" s="34">
        <f>IF($E$24=EU49,1,0)</f>
        <v>0</v>
      </c>
      <c r="ET49" s="31">
        <v>3</v>
      </c>
      <c r="EU49" s="57" t="s">
        <v>186</v>
      </c>
      <c r="EV49" s="31">
        <f>IF($E$24=EX49,1,0)</f>
        <v>0</v>
      </c>
      <c r="EW49" s="31">
        <v>3</v>
      </c>
      <c r="EX49" s="103" t="s">
        <v>192</v>
      </c>
      <c r="EY49" s="53"/>
      <c r="EZ49" s="57">
        <f>IF($B$15=FB49,1,0)</f>
        <v>0</v>
      </c>
      <c r="FA49" s="31">
        <v>2</v>
      </c>
      <c r="FB49" s="76" t="s">
        <v>195</v>
      </c>
      <c r="FC49" s="53"/>
      <c r="FD49" s="51"/>
      <c r="FE49" s="34">
        <f t="shared" si="46"/>
        <v>0</v>
      </c>
      <c r="FF49" s="56" t="s">
        <v>96</v>
      </c>
      <c r="FG49" s="61" t="s">
        <v>196</v>
      </c>
      <c r="FH49" s="53"/>
      <c r="FI49" s="34">
        <f>IF($B$16=FK49,1,0)</f>
        <v>0</v>
      </c>
      <c r="FJ49" s="56" t="s">
        <v>104</v>
      </c>
      <c r="FK49" s="76" t="s">
        <v>54</v>
      </c>
      <c r="FL49" s="53"/>
      <c r="FM49" s="34"/>
      <c r="FN49" s="56"/>
      <c r="FO49" s="55"/>
      <c r="FP49" s="57"/>
      <c r="FQ49" s="61"/>
    </row>
    <row r="50" spans="1:173" ht="13.5" customHeight="1" thickBot="1" x14ac:dyDescent="0.3">
      <c r="A50" s="112"/>
      <c r="B50" s="110"/>
      <c r="C50" s="116"/>
      <c r="D50" s="110"/>
      <c r="E50" s="110"/>
      <c r="F50" s="127"/>
      <c r="G50" s="110"/>
      <c r="H50" s="127"/>
      <c r="I50" s="110"/>
      <c r="J50" s="110"/>
      <c r="K50" s="110"/>
      <c r="L50" s="127"/>
      <c r="M50" s="110"/>
      <c r="N50" s="110"/>
      <c r="O50" s="110"/>
      <c r="P50" s="110"/>
      <c r="Q50" s="110"/>
      <c r="R50" s="110"/>
      <c r="S50" s="110"/>
      <c r="T50" s="110"/>
      <c r="U50" s="110"/>
      <c r="V50" s="110"/>
      <c r="W50" s="110"/>
      <c r="X50" s="110"/>
      <c r="Y50" s="110"/>
      <c r="Z50" s="127"/>
      <c r="AA50" s="110"/>
      <c r="AB50" s="127"/>
      <c r="AC50" s="110"/>
      <c r="AD50" s="110"/>
      <c r="AE50" s="107"/>
      <c r="AF50" s="119"/>
      <c r="AZ50" s="170" t="s">
        <v>178</v>
      </c>
      <c r="BA50" s="176">
        <f>IF((N17-BA51)&lt;5,BA51+5,N17)</f>
        <v>5</v>
      </c>
      <c r="BB50" s="171" t="s">
        <v>86</v>
      </c>
      <c r="BC50" s="57"/>
      <c r="BD50" s="57" t="s">
        <v>106</v>
      </c>
      <c r="BE50" s="57">
        <f>VLOOKUP(1,IF(BA57="IMI Hydronic",CG47:CI64,IF(BA57="Siemens",CJ47:CL65,CM47:CO59)),3,0)</f>
        <v>1.6</v>
      </c>
      <c r="BF50" s="57"/>
      <c r="BG50" s="57"/>
      <c r="BH50" s="54" t="e">
        <f t="shared" si="20"/>
        <v>#VALUE!</v>
      </c>
      <c r="BI50" s="57">
        <v>32</v>
      </c>
      <c r="BJ50" s="57" t="e">
        <f t="shared" si="21"/>
        <v>#VALUE!</v>
      </c>
      <c r="BK50" s="57" t="e">
        <f t="shared" si="22"/>
        <v>#VALUE!</v>
      </c>
      <c r="BL50" s="61"/>
      <c r="BM50" s="54" t="e">
        <f t="shared" si="23"/>
        <v>#VALUE!</v>
      </c>
      <c r="BN50" s="57">
        <v>32</v>
      </c>
      <c r="BO50" s="57" t="e">
        <f t="shared" si="24"/>
        <v>#VALUE!</v>
      </c>
      <c r="BP50" s="61" t="e">
        <f t="shared" si="25"/>
        <v>#VALUE!</v>
      </c>
      <c r="BQ50" s="57" t="e">
        <f t="shared" si="26"/>
        <v>#VALUE!</v>
      </c>
      <c r="BR50" s="57">
        <v>32</v>
      </c>
      <c r="BS50" s="57" t="e">
        <f t="shared" si="27"/>
        <v>#VALUE!</v>
      </c>
      <c r="BT50" s="61" t="e">
        <f t="shared" si="28"/>
        <v>#VALUE!</v>
      </c>
      <c r="BU50" s="57" t="e">
        <f t="shared" si="29"/>
        <v>#VALUE!</v>
      </c>
      <c r="BV50" s="57">
        <v>32</v>
      </c>
      <c r="BW50" s="57" t="e">
        <f t="shared" si="30"/>
        <v>#VALUE!</v>
      </c>
      <c r="BX50" s="61" t="e">
        <f t="shared" si="31"/>
        <v>#VALUE!</v>
      </c>
      <c r="BY50" s="57" t="e">
        <f t="shared" si="32"/>
        <v>#VALUE!</v>
      </c>
      <c r="BZ50" s="57">
        <v>25</v>
      </c>
      <c r="CA50" s="57"/>
      <c r="CB50" s="61"/>
      <c r="CC50" s="57"/>
      <c r="CD50" s="54"/>
      <c r="CE50" s="57"/>
      <c r="CF50" s="57"/>
      <c r="CG50" s="54">
        <f t="shared" si="33"/>
        <v>1</v>
      </c>
      <c r="CH50" s="57">
        <v>20</v>
      </c>
      <c r="CI50" s="61">
        <v>6.3</v>
      </c>
      <c r="CJ50" s="54">
        <f t="shared" si="34"/>
        <v>1</v>
      </c>
      <c r="CK50" s="57">
        <v>20</v>
      </c>
      <c r="CL50" s="61">
        <v>6.3</v>
      </c>
      <c r="CM50" s="57">
        <f t="shared" si="35"/>
        <v>1</v>
      </c>
      <c r="CN50" s="57">
        <v>20</v>
      </c>
      <c r="CO50" s="61">
        <v>6.3</v>
      </c>
      <c r="CP50" s="57"/>
      <c r="CQ50" s="53">
        <v>12</v>
      </c>
      <c r="CR50" s="57">
        <f>IF($F$23&lt;CQ50,1,0)</f>
        <v>1</v>
      </c>
      <c r="CS50" s="61" t="s">
        <v>197</v>
      </c>
      <c r="CT50" s="57">
        <f>IF($F$23&lt;CQ50,1,0)</f>
        <v>1</v>
      </c>
      <c r="CU50" s="103" t="s">
        <v>198</v>
      </c>
      <c r="CV50" s="57"/>
      <c r="CW50" s="54">
        <f t="shared" si="19"/>
        <v>1</v>
      </c>
      <c r="CX50" s="57">
        <v>14</v>
      </c>
      <c r="CY50" s="61" t="s">
        <v>199</v>
      </c>
      <c r="CZ50" s="53"/>
      <c r="DA50" s="57">
        <f t="shared" si="36"/>
        <v>1</v>
      </c>
      <c r="DB50" s="57">
        <f t="shared" si="37"/>
        <v>1</v>
      </c>
      <c r="DC50" s="57">
        <v>0.03</v>
      </c>
      <c r="DD50" s="57">
        <f t="shared" si="38"/>
        <v>1</v>
      </c>
      <c r="DE50" s="57">
        <v>2</v>
      </c>
      <c r="DF50" s="61" t="s">
        <v>176</v>
      </c>
      <c r="DG50" s="57"/>
      <c r="DH50" s="57"/>
      <c r="DI50" s="50"/>
      <c r="DJ50" s="34"/>
      <c r="DK50" s="51"/>
      <c r="DL50" s="34">
        <f t="shared" si="39"/>
        <v>0</v>
      </c>
      <c r="DM50" s="56" t="s">
        <v>110</v>
      </c>
      <c r="DN50" s="34">
        <v>32</v>
      </c>
      <c r="DO50" s="53"/>
      <c r="DP50" s="70">
        <f t="shared" si="40"/>
        <v>0</v>
      </c>
      <c r="DQ50" s="56" t="s">
        <v>110</v>
      </c>
      <c r="DR50" s="34">
        <v>15</v>
      </c>
      <c r="DS50" s="55">
        <v>2.5</v>
      </c>
      <c r="DT50" s="51"/>
      <c r="DU50" s="34"/>
      <c r="DV50" s="56"/>
      <c r="DW50" s="34"/>
      <c r="DX50" s="51"/>
      <c r="DY50" s="70">
        <f t="shared" si="41"/>
        <v>0</v>
      </c>
      <c r="DZ50" s="56" t="s">
        <v>110</v>
      </c>
      <c r="EA50" s="55">
        <v>32</v>
      </c>
      <c r="EB50" s="51"/>
      <c r="EC50" s="70">
        <f t="shared" si="42"/>
        <v>0</v>
      </c>
      <c r="ED50" s="56" t="s">
        <v>110</v>
      </c>
      <c r="EE50" s="55">
        <v>32</v>
      </c>
      <c r="EF50" s="51"/>
      <c r="EG50" s="34">
        <f t="shared" si="43"/>
        <v>0</v>
      </c>
      <c r="EH50" s="56" t="s">
        <v>110</v>
      </c>
      <c r="EI50" s="34">
        <v>32</v>
      </c>
      <c r="EJ50" s="51"/>
      <c r="EK50" s="34">
        <f t="shared" si="44"/>
        <v>0</v>
      </c>
      <c r="EL50" s="56" t="s">
        <v>110</v>
      </c>
      <c r="EM50" s="34">
        <v>32</v>
      </c>
      <c r="EN50" s="51"/>
      <c r="EO50" s="34">
        <f t="shared" si="45"/>
        <v>0</v>
      </c>
      <c r="EP50" s="56" t="s">
        <v>116</v>
      </c>
      <c r="EQ50" s="61" t="s">
        <v>193</v>
      </c>
      <c r="ER50" s="51"/>
      <c r="ES50" s="34">
        <f>IF($E$24=EU50,1,0)</f>
        <v>0</v>
      </c>
      <c r="ET50" s="76">
        <v>4</v>
      </c>
      <c r="EU50" s="57" t="s">
        <v>197</v>
      </c>
      <c r="EV50" s="31">
        <f>IF($E$24=EX50,1,0)</f>
        <v>0</v>
      </c>
      <c r="EW50" s="76">
        <v>4</v>
      </c>
      <c r="EX50" s="103" t="s">
        <v>198</v>
      </c>
      <c r="EY50" s="53"/>
      <c r="EZ50" s="57"/>
      <c r="FA50" s="31"/>
      <c r="FB50" s="57"/>
      <c r="FC50" s="53"/>
      <c r="FD50" s="51"/>
      <c r="FE50" s="34">
        <f t="shared" si="46"/>
        <v>0</v>
      </c>
      <c r="FF50" s="56" t="s">
        <v>103</v>
      </c>
      <c r="FG50" s="61" t="s">
        <v>201</v>
      </c>
      <c r="FH50" s="53"/>
      <c r="FI50" s="34"/>
      <c r="FJ50" s="57"/>
      <c r="FK50" s="57"/>
      <c r="FL50" s="53"/>
      <c r="FM50" s="34"/>
      <c r="FN50" s="56"/>
      <c r="FO50" s="30"/>
      <c r="FP50" s="57"/>
      <c r="FQ50" s="61"/>
    </row>
    <row r="51" spans="1:173" ht="12" customHeight="1" thickBot="1" x14ac:dyDescent="0.3">
      <c r="A51" s="141" t="s">
        <v>346</v>
      </c>
      <c r="B51" s="141"/>
      <c r="C51" s="169"/>
      <c r="D51" s="169"/>
      <c r="E51" s="169"/>
      <c r="F51" s="169"/>
      <c r="G51" s="169"/>
      <c r="H51" s="169"/>
      <c r="I51" s="169"/>
      <c r="J51" s="169"/>
      <c r="K51" s="169"/>
      <c r="L51" s="169"/>
      <c r="M51" s="169"/>
      <c r="N51" s="169"/>
      <c r="O51" s="169"/>
      <c r="P51" s="169"/>
      <c r="Q51" s="169"/>
      <c r="R51" s="169"/>
      <c r="S51" s="169"/>
      <c r="T51" s="169"/>
      <c r="U51" s="169"/>
      <c r="V51" s="169"/>
      <c r="W51" s="169"/>
      <c r="X51" s="169"/>
      <c r="Y51" s="169"/>
      <c r="Z51" s="169"/>
      <c r="AA51" s="169"/>
      <c r="AB51" s="169"/>
      <c r="AC51" s="169"/>
      <c r="AD51" s="169"/>
      <c r="AE51" s="169"/>
      <c r="AZ51" s="170" t="s">
        <v>202</v>
      </c>
      <c r="BA51" s="176">
        <f>R17</f>
        <v>0</v>
      </c>
      <c r="BB51" s="171" t="s">
        <v>86</v>
      </c>
      <c r="BC51" s="57"/>
      <c r="BD51" s="78" t="s">
        <v>73</v>
      </c>
      <c r="BE51" s="74">
        <f>(BE47^2/BE50^2)*10</f>
        <v>0</v>
      </c>
      <c r="BF51" s="57"/>
      <c r="BG51" s="57"/>
      <c r="BH51" s="54" t="e">
        <f t="shared" si="20"/>
        <v>#VALUE!</v>
      </c>
      <c r="BI51" s="57">
        <v>40</v>
      </c>
      <c r="BJ51" s="57" t="e">
        <f t="shared" si="21"/>
        <v>#VALUE!</v>
      </c>
      <c r="BK51" s="57" t="e">
        <f t="shared" si="22"/>
        <v>#VALUE!</v>
      </c>
      <c r="BL51" s="61"/>
      <c r="BM51" s="54" t="e">
        <f t="shared" si="23"/>
        <v>#VALUE!</v>
      </c>
      <c r="BN51" s="57">
        <v>40</v>
      </c>
      <c r="BO51" s="57" t="e">
        <f t="shared" si="24"/>
        <v>#VALUE!</v>
      </c>
      <c r="BP51" s="61" t="e">
        <f t="shared" si="25"/>
        <v>#VALUE!</v>
      </c>
      <c r="BQ51" s="57" t="e">
        <f t="shared" si="26"/>
        <v>#VALUE!</v>
      </c>
      <c r="BR51" s="57">
        <v>40</v>
      </c>
      <c r="BS51" s="57" t="e">
        <f t="shared" si="27"/>
        <v>#VALUE!</v>
      </c>
      <c r="BT51" s="61" t="e">
        <f t="shared" si="28"/>
        <v>#VALUE!</v>
      </c>
      <c r="BU51" s="57" t="e">
        <f t="shared" si="29"/>
        <v>#VALUE!</v>
      </c>
      <c r="BV51" s="57">
        <v>40</v>
      </c>
      <c r="BW51" s="57" t="e">
        <f t="shared" si="30"/>
        <v>#VALUE!</v>
      </c>
      <c r="BX51" s="61" t="e">
        <f t="shared" si="31"/>
        <v>#VALUE!</v>
      </c>
      <c r="BY51" s="57" t="e">
        <f t="shared" si="32"/>
        <v>#VALUE!</v>
      </c>
      <c r="BZ51" s="57">
        <v>32</v>
      </c>
      <c r="CA51" s="57"/>
      <c r="CB51" s="61"/>
      <c r="CC51" s="57"/>
      <c r="CD51" s="62"/>
      <c r="CE51" s="57"/>
      <c r="CF51" s="74"/>
      <c r="CG51" s="54">
        <f t="shared" si="33"/>
        <v>1</v>
      </c>
      <c r="CH51" s="57">
        <v>25</v>
      </c>
      <c r="CI51" s="61">
        <v>10</v>
      </c>
      <c r="CJ51" s="54">
        <f t="shared" si="34"/>
        <v>1</v>
      </c>
      <c r="CK51" s="57">
        <v>25</v>
      </c>
      <c r="CL51" s="61">
        <v>10</v>
      </c>
      <c r="CM51" s="57">
        <f t="shared" si="35"/>
        <v>1</v>
      </c>
      <c r="CN51" s="57">
        <v>25</v>
      </c>
      <c r="CO51" s="61">
        <v>10</v>
      </c>
      <c r="CP51" s="57"/>
      <c r="CQ51" s="53"/>
      <c r="CR51" s="34"/>
      <c r="CS51" s="61"/>
      <c r="CT51" s="57"/>
      <c r="CU51" s="61"/>
      <c r="CV51" s="57"/>
      <c r="CW51" s="54">
        <f t="shared" si="19"/>
        <v>1</v>
      </c>
      <c r="CX51" s="57">
        <v>20</v>
      </c>
      <c r="CY51" s="61" t="s">
        <v>203</v>
      </c>
      <c r="CZ51" s="53"/>
      <c r="DA51" s="57">
        <f t="shared" si="36"/>
        <v>1</v>
      </c>
      <c r="DB51" s="57">
        <f t="shared" si="37"/>
        <v>1</v>
      </c>
      <c r="DC51" s="57">
        <v>0.03</v>
      </c>
      <c r="DD51" s="57">
        <f t="shared" si="38"/>
        <v>1</v>
      </c>
      <c r="DE51" s="57">
        <v>6</v>
      </c>
      <c r="DF51" s="61" t="s">
        <v>201</v>
      </c>
      <c r="DG51" s="57"/>
      <c r="DH51" s="57"/>
      <c r="DI51" s="50"/>
      <c r="DJ51" s="34"/>
      <c r="DK51" s="51"/>
      <c r="DL51" s="34">
        <f t="shared" si="39"/>
        <v>0</v>
      </c>
      <c r="DM51" s="56" t="s">
        <v>115</v>
      </c>
      <c r="DN51" s="34">
        <v>40</v>
      </c>
      <c r="DO51" s="53"/>
      <c r="DP51" s="70">
        <f t="shared" si="40"/>
        <v>0</v>
      </c>
      <c r="DQ51" s="56" t="s">
        <v>115</v>
      </c>
      <c r="DR51" s="34">
        <v>15</v>
      </c>
      <c r="DS51" s="55">
        <v>4</v>
      </c>
      <c r="DT51" s="51"/>
      <c r="DU51" s="34"/>
      <c r="DV51" s="56"/>
      <c r="DW51" s="34"/>
      <c r="DX51" s="51"/>
      <c r="DY51" s="70">
        <f t="shared" si="41"/>
        <v>0</v>
      </c>
      <c r="DZ51" s="56" t="s">
        <v>115</v>
      </c>
      <c r="EA51" s="55">
        <v>40</v>
      </c>
      <c r="EB51" s="51"/>
      <c r="EC51" s="70">
        <f t="shared" si="42"/>
        <v>0</v>
      </c>
      <c r="ED51" s="56" t="s">
        <v>115</v>
      </c>
      <c r="EE51" s="55">
        <v>40</v>
      </c>
      <c r="EF51" s="51"/>
      <c r="EG51" s="34">
        <f t="shared" si="43"/>
        <v>0</v>
      </c>
      <c r="EH51" s="56" t="s">
        <v>115</v>
      </c>
      <c r="EI51" s="34">
        <v>40</v>
      </c>
      <c r="EJ51" s="51"/>
      <c r="EK51" s="34">
        <f t="shared" si="44"/>
        <v>0</v>
      </c>
      <c r="EL51" s="56" t="s">
        <v>115</v>
      </c>
      <c r="EM51" s="34">
        <v>40</v>
      </c>
      <c r="EN51" s="51"/>
      <c r="EO51" s="34">
        <f t="shared" si="45"/>
        <v>0</v>
      </c>
      <c r="EP51" s="56" t="s">
        <v>124</v>
      </c>
      <c r="EQ51" s="61" t="s">
        <v>199</v>
      </c>
      <c r="ER51" s="51"/>
      <c r="ES51" s="34"/>
      <c r="ET51" s="76"/>
      <c r="EU51" s="31"/>
      <c r="EV51" s="31"/>
      <c r="EW51" s="76"/>
      <c r="EX51" s="31"/>
      <c r="EY51" s="53"/>
      <c r="EZ51" s="57"/>
      <c r="FA51" s="57"/>
      <c r="FB51" s="57"/>
      <c r="FC51" s="53"/>
      <c r="FD51" s="51"/>
      <c r="FE51" s="34">
        <f t="shared" si="46"/>
        <v>0</v>
      </c>
      <c r="FF51" s="56" t="s">
        <v>110</v>
      </c>
      <c r="FG51" s="61" t="s">
        <v>204</v>
      </c>
      <c r="FH51" s="53"/>
      <c r="FI51" s="34"/>
      <c r="FJ51" s="56"/>
      <c r="FK51" s="34"/>
      <c r="FL51" s="53"/>
      <c r="FM51" s="34"/>
      <c r="FN51" s="56"/>
      <c r="FO51" s="55"/>
      <c r="FP51" s="57"/>
      <c r="FQ51" s="61"/>
    </row>
    <row r="52" spans="1:173" ht="15.75" thickBot="1" x14ac:dyDescent="0.3">
      <c r="A52" s="141"/>
      <c r="B52" s="141"/>
      <c r="C52" s="169"/>
      <c r="D52" s="169"/>
      <c r="E52" s="169"/>
      <c r="F52" s="169"/>
      <c r="G52" s="169"/>
      <c r="H52" s="169"/>
      <c r="I52" s="169"/>
      <c r="J52" s="169"/>
      <c r="K52" s="169"/>
      <c r="L52" s="169"/>
      <c r="M52" s="169"/>
      <c r="N52" s="169"/>
      <c r="O52" s="169"/>
      <c r="P52" s="169"/>
      <c r="Q52" s="169"/>
      <c r="R52" s="169"/>
      <c r="S52" s="169"/>
      <c r="T52" s="169"/>
      <c r="U52" s="169"/>
      <c r="V52" s="169"/>
      <c r="W52" s="169"/>
      <c r="X52" s="169"/>
      <c r="Y52" s="169"/>
      <c r="Z52" s="169"/>
      <c r="AA52" s="169"/>
      <c r="AB52" s="169"/>
      <c r="AC52" s="169"/>
      <c r="AD52" s="169"/>
      <c r="AE52" s="169"/>
      <c r="AZ52" s="170" t="s">
        <v>117</v>
      </c>
      <c r="BA52" s="176">
        <f>W13*100</f>
        <v>60</v>
      </c>
      <c r="BB52" s="171" t="s">
        <v>118</v>
      </c>
      <c r="BC52" s="57"/>
      <c r="BD52" s="1" t="str">
        <f>VLOOKUP(1,DA47:DF136,6,0)</f>
        <v>НН08-16/1</v>
      </c>
      <c r="BE52" s="1"/>
      <c r="BF52" s="57"/>
      <c r="BG52" s="57"/>
      <c r="BH52" s="54" t="e">
        <f t="shared" si="20"/>
        <v>#VALUE!</v>
      </c>
      <c r="BI52" s="57">
        <v>50</v>
      </c>
      <c r="BJ52" s="57" t="e">
        <f t="shared" si="21"/>
        <v>#VALUE!</v>
      </c>
      <c r="BK52" s="57" t="e">
        <f t="shared" si="22"/>
        <v>#VALUE!</v>
      </c>
      <c r="BL52" s="61"/>
      <c r="BM52" s="54" t="e">
        <f t="shared" si="23"/>
        <v>#VALUE!</v>
      </c>
      <c r="BN52" s="57">
        <v>50</v>
      </c>
      <c r="BO52" s="57" t="e">
        <f t="shared" si="24"/>
        <v>#VALUE!</v>
      </c>
      <c r="BP52" s="61" t="e">
        <f t="shared" si="25"/>
        <v>#VALUE!</v>
      </c>
      <c r="BQ52" s="57" t="e">
        <f t="shared" si="26"/>
        <v>#VALUE!</v>
      </c>
      <c r="BR52" s="57">
        <v>50</v>
      </c>
      <c r="BS52" s="57" t="e">
        <f t="shared" si="27"/>
        <v>#VALUE!</v>
      </c>
      <c r="BT52" s="61" t="e">
        <f t="shared" si="28"/>
        <v>#VALUE!</v>
      </c>
      <c r="BU52" s="57" t="e">
        <f t="shared" si="29"/>
        <v>#VALUE!</v>
      </c>
      <c r="BV52" s="57">
        <v>50</v>
      </c>
      <c r="BW52" s="57" t="e">
        <f t="shared" si="30"/>
        <v>#VALUE!</v>
      </c>
      <c r="BX52" s="61" t="e">
        <f t="shared" si="31"/>
        <v>#VALUE!</v>
      </c>
      <c r="BY52" s="57" t="e">
        <f t="shared" si="32"/>
        <v>#VALUE!</v>
      </c>
      <c r="BZ52" s="57">
        <v>40</v>
      </c>
      <c r="CA52" s="57"/>
      <c r="CB52" s="61"/>
      <c r="CC52" s="57"/>
      <c r="CD52" s="62"/>
      <c r="CE52" s="74"/>
      <c r="CF52" s="57"/>
      <c r="CG52" s="54">
        <f t="shared" si="33"/>
        <v>1</v>
      </c>
      <c r="CH52" s="57">
        <v>32</v>
      </c>
      <c r="CI52" s="61">
        <v>16</v>
      </c>
      <c r="CJ52" s="54">
        <f t="shared" si="34"/>
        <v>1</v>
      </c>
      <c r="CK52" s="57">
        <v>32</v>
      </c>
      <c r="CL52" s="61">
        <v>16</v>
      </c>
      <c r="CM52" s="57">
        <f t="shared" si="35"/>
        <v>1</v>
      </c>
      <c r="CN52" s="57">
        <v>32</v>
      </c>
      <c r="CO52" s="61">
        <v>16</v>
      </c>
      <c r="CP52" s="57"/>
      <c r="CQ52" s="53"/>
      <c r="CR52" s="34"/>
      <c r="CS52" s="61"/>
      <c r="CT52" s="57"/>
      <c r="CU52" s="61"/>
      <c r="CV52" s="57"/>
      <c r="CW52" s="83"/>
      <c r="CX52" s="87"/>
      <c r="CY52" s="89"/>
      <c r="CZ52" s="57"/>
      <c r="DA52" s="57">
        <f t="shared" si="36"/>
        <v>1</v>
      </c>
      <c r="DB52" s="57">
        <f t="shared" si="37"/>
        <v>1</v>
      </c>
      <c r="DC52" s="57">
        <v>0.04</v>
      </c>
      <c r="DD52" s="57">
        <f t="shared" si="38"/>
        <v>1</v>
      </c>
      <c r="DE52" s="57">
        <v>1.88</v>
      </c>
      <c r="DF52" s="61" t="s">
        <v>176</v>
      </c>
      <c r="DG52" s="57"/>
      <c r="DH52" s="57"/>
      <c r="DI52" s="50"/>
      <c r="DJ52" s="34"/>
      <c r="DK52" s="51"/>
      <c r="DL52" s="34">
        <f t="shared" si="39"/>
        <v>0</v>
      </c>
      <c r="DM52" s="56" t="s">
        <v>123</v>
      </c>
      <c r="DN52" s="34">
        <v>50</v>
      </c>
      <c r="DO52" s="53"/>
      <c r="DP52" s="70">
        <f t="shared" si="40"/>
        <v>0</v>
      </c>
      <c r="DQ52" s="56" t="s">
        <v>123</v>
      </c>
      <c r="DR52" s="34">
        <v>20</v>
      </c>
      <c r="DS52" s="55">
        <v>5</v>
      </c>
      <c r="DT52" s="51"/>
      <c r="DU52" s="34"/>
      <c r="DV52" s="56"/>
      <c r="DW52" s="34"/>
      <c r="DX52" s="51"/>
      <c r="DY52" s="70">
        <f t="shared" si="41"/>
        <v>0</v>
      </c>
      <c r="DZ52" s="56" t="s">
        <v>123</v>
      </c>
      <c r="EA52" s="55">
        <v>50</v>
      </c>
      <c r="EB52" s="51"/>
      <c r="EC52" s="70">
        <f t="shared" si="42"/>
        <v>0</v>
      </c>
      <c r="ED52" s="56" t="s">
        <v>123</v>
      </c>
      <c r="EE52" s="55">
        <v>50</v>
      </c>
      <c r="EF52" s="51"/>
      <c r="EG52" s="34">
        <f t="shared" si="43"/>
        <v>0</v>
      </c>
      <c r="EH52" s="56" t="s">
        <v>123</v>
      </c>
      <c r="EI52" s="34">
        <v>50</v>
      </c>
      <c r="EJ52" s="51"/>
      <c r="EK52" s="34">
        <f t="shared" si="44"/>
        <v>0</v>
      </c>
      <c r="EL52" s="56" t="s">
        <v>123</v>
      </c>
      <c r="EM52" s="34">
        <v>50</v>
      </c>
      <c r="EN52" s="51"/>
      <c r="EO52" s="34">
        <f t="shared" si="45"/>
        <v>0</v>
      </c>
      <c r="EP52" s="56" t="s">
        <v>131</v>
      </c>
      <c r="EQ52" s="61" t="s">
        <v>203</v>
      </c>
      <c r="ER52" s="51"/>
      <c r="ES52" s="34"/>
      <c r="ET52" s="76"/>
      <c r="EU52" s="31"/>
      <c r="EV52" s="31"/>
      <c r="EW52" s="76"/>
      <c r="EX52" s="31"/>
      <c r="EY52" s="53"/>
      <c r="EZ52" s="57"/>
      <c r="FA52" s="57"/>
      <c r="FB52" s="57"/>
      <c r="FC52" s="53"/>
      <c r="FD52" s="51"/>
      <c r="FE52" s="34">
        <f t="shared" si="46"/>
        <v>0</v>
      </c>
      <c r="FF52" s="56" t="s">
        <v>115</v>
      </c>
      <c r="FG52" s="61" t="s">
        <v>184</v>
      </c>
      <c r="FH52" s="53"/>
      <c r="FI52" s="34"/>
      <c r="FJ52" s="56"/>
      <c r="FK52" s="34"/>
      <c r="FL52" s="53"/>
      <c r="FM52" s="34"/>
      <c r="FN52" s="56"/>
      <c r="FO52" s="55"/>
      <c r="FP52" s="57"/>
      <c r="FQ52" s="61"/>
    </row>
    <row r="53" spans="1:173" ht="15.75" thickBot="1" x14ac:dyDescent="0.3">
      <c r="A53" s="141"/>
      <c r="B53" s="141"/>
      <c r="C53" s="169"/>
      <c r="D53" s="169"/>
      <c r="E53" s="169"/>
      <c r="F53" s="169"/>
      <c r="G53" s="169"/>
      <c r="H53" s="169"/>
      <c r="I53" s="169"/>
      <c r="J53" s="169"/>
      <c r="K53" s="169"/>
      <c r="L53" s="169"/>
      <c r="M53" s="169"/>
      <c r="N53" s="169"/>
      <c r="O53" s="169"/>
      <c r="P53" s="169"/>
      <c r="Q53" s="169"/>
      <c r="R53" s="169"/>
      <c r="S53" s="169"/>
      <c r="T53" s="169"/>
      <c r="U53" s="169"/>
      <c r="V53" s="169"/>
      <c r="W53" s="169"/>
      <c r="X53" s="169"/>
      <c r="Y53" s="169"/>
      <c r="Z53" s="169"/>
      <c r="AA53" s="169"/>
      <c r="AB53" s="169"/>
      <c r="AC53" s="169"/>
      <c r="AD53" s="169"/>
      <c r="AE53" s="169"/>
      <c r="AZ53" s="170" t="s">
        <v>125</v>
      </c>
      <c r="BA53" s="176">
        <f>AC13*100</f>
        <v>40</v>
      </c>
      <c r="BB53" s="171" t="s">
        <v>118</v>
      </c>
      <c r="BC53" s="57"/>
      <c r="BD53" s="57"/>
      <c r="BE53" s="57"/>
      <c r="BF53" s="57"/>
      <c r="BG53" s="57"/>
      <c r="BH53" s="54" t="e">
        <f t="shared" si="20"/>
        <v>#VALUE!</v>
      </c>
      <c r="BI53" s="57">
        <v>65</v>
      </c>
      <c r="BJ53" s="57" t="e">
        <f t="shared" si="21"/>
        <v>#VALUE!</v>
      </c>
      <c r="BK53" s="57" t="e">
        <f t="shared" si="22"/>
        <v>#VALUE!</v>
      </c>
      <c r="BL53" s="61"/>
      <c r="BM53" s="54" t="e">
        <f t="shared" si="23"/>
        <v>#VALUE!</v>
      </c>
      <c r="BN53" s="57">
        <v>65</v>
      </c>
      <c r="BO53" s="57" t="e">
        <f t="shared" si="24"/>
        <v>#VALUE!</v>
      </c>
      <c r="BP53" s="61" t="e">
        <f t="shared" si="25"/>
        <v>#VALUE!</v>
      </c>
      <c r="BQ53" s="57" t="e">
        <f t="shared" si="26"/>
        <v>#VALUE!</v>
      </c>
      <c r="BR53" s="57">
        <v>65</v>
      </c>
      <c r="BS53" s="57" t="e">
        <f t="shared" si="27"/>
        <v>#VALUE!</v>
      </c>
      <c r="BT53" s="61" t="e">
        <f t="shared" si="28"/>
        <v>#VALUE!</v>
      </c>
      <c r="BU53" s="57" t="e">
        <f t="shared" si="29"/>
        <v>#VALUE!</v>
      </c>
      <c r="BV53" s="57">
        <v>65</v>
      </c>
      <c r="BW53" s="57" t="e">
        <f t="shared" si="30"/>
        <v>#VALUE!</v>
      </c>
      <c r="BX53" s="61" t="e">
        <f t="shared" si="31"/>
        <v>#VALUE!</v>
      </c>
      <c r="BY53" s="57" t="e">
        <f t="shared" si="32"/>
        <v>#VALUE!</v>
      </c>
      <c r="BZ53" s="57">
        <v>50</v>
      </c>
      <c r="CA53" s="57"/>
      <c r="CB53" s="61"/>
      <c r="CC53" s="57"/>
      <c r="CD53" s="54"/>
      <c r="CE53" s="57"/>
      <c r="CF53" s="57"/>
      <c r="CG53" s="54">
        <f t="shared" si="33"/>
        <v>1</v>
      </c>
      <c r="CH53" s="57">
        <v>40</v>
      </c>
      <c r="CI53" s="61">
        <v>20</v>
      </c>
      <c r="CJ53" s="54">
        <f t="shared" si="34"/>
        <v>1</v>
      </c>
      <c r="CK53" s="57">
        <v>40</v>
      </c>
      <c r="CL53" s="61">
        <v>25</v>
      </c>
      <c r="CM53" s="57">
        <f t="shared" si="35"/>
        <v>1</v>
      </c>
      <c r="CN53" s="57">
        <v>40</v>
      </c>
      <c r="CO53" s="61">
        <v>25</v>
      </c>
      <c r="CP53" s="57"/>
      <c r="CQ53" s="53"/>
      <c r="CR53" s="34"/>
      <c r="CS53" s="61"/>
      <c r="CT53" s="57"/>
      <c r="CU53" s="61"/>
      <c r="CV53" s="57"/>
      <c r="CW53" s="57"/>
      <c r="CX53" s="57"/>
      <c r="CY53" s="57"/>
      <c r="CZ53" s="61"/>
      <c r="DA53" s="57">
        <f t="shared" si="36"/>
        <v>1</v>
      </c>
      <c r="DB53" s="57">
        <f t="shared" si="37"/>
        <v>1</v>
      </c>
      <c r="DC53" s="57">
        <v>0.04</v>
      </c>
      <c r="DD53" s="57">
        <f t="shared" si="38"/>
        <v>1</v>
      </c>
      <c r="DE53" s="57">
        <v>8</v>
      </c>
      <c r="DF53" s="61" t="s">
        <v>201</v>
      </c>
      <c r="DG53" s="57"/>
      <c r="DH53" s="57"/>
      <c r="DI53" s="50"/>
      <c r="DJ53" s="34"/>
      <c r="DK53" s="51"/>
      <c r="DL53" s="34">
        <f t="shared" si="39"/>
        <v>0</v>
      </c>
      <c r="DM53" s="56" t="s">
        <v>130</v>
      </c>
      <c r="DN53" s="34">
        <v>65</v>
      </c>
      <c r="DO53" s="53"/>
      <c r="DP53" s="70">
        <f t="shared" si="40"/>
        <v>0</v>
      </c>
      <c r="DQ53" s="56" t="s">
        <v>130</v>
      </c>
      <c r="DR53" s="34">
        <v>20</v>
      </c>
      <c r="DS53" s="55">
        <v>6.3</v>
      </c>
      <c r="DT53" s="51"/>
      <c r="DU53" s="34"/>
      <c r="DV53" s="56"/>
      <c r="DW53" s="34"/>
      <c r="DX53" s="51"/>
      <c r="DY53" s="70">
        <f t="shared" si="41"/>
        <v>0</v>
      </c>
      <c r="DZ53" s="56" t="s">
        <v>130</v>
      </c>
      <c r="EA53" s="55">
        <v>65</v>
      </c>
      <c r="EB53" s="51"/>
      <c r="EC53" s="70">
        <f t="shared" si="42"/>
        <v>0</v>
      </c>
      <c r="ED53" s="56" t="s">
        <v>130</v>
      </c>
      <c r="EE53" s="55">
        <v>65</v>
      </c>
      <c r="EF53" s="51"/>
      <c r="EG53" s="34">
        <f t="shared" si="43"/>
        <v>0</v>
      </c>
      <c r="EH53" s="56" t="s">
        <v>130</v>
      </c>
      <c r="EI53" s="34">
        <v>65</v>
      </c>
      <c r="EJ53" s="51"/>
      <c r="EK53" s="34">
        <f t="shared" si="44"/>
        <v>0</v>
      </c>
      <c r="EL53" s="56" t="s">
        <v>130</v>
      </c>
      <c r="EM53" s="34">
        <v>65</v>
      </c>
      <c r="EN53" s="51"/>
      <c r="EO53" s="34"/>
      <c r="EP53" s="56"/>
      <c r="EQ53" s="34"/>
      <c r="ER53" s="51"/>
      <c r="ES53" s="34"/>
      <c r="ET53" s="76"/>
      <c r="EU53" s="31"/>
      <c r="EV53" s="31"/>
      <c r="EW53" s="76"/>
      <c r="EX53" s="31"/>
      <c r="EY53" s="53"/>
      <c r="EZ53" s="57"/>
      <c r="FA53" s="57"/>
      <c r="FB53" s="57"/>
      <c r="FC53" s="53"/>
      <c r="FD53" s="51"/>
      <c r="FE53" s="34">
        <f t="shared" si="46"/>
        <v>0</v>
      </c>
      <c r="FF53" s="56" t="s">
        <v>123</v>
      </c>
      <c r="FG53" s="61" t="s">
        <v>189</v>
      </c>
      <c r="FH53" s="53"/>
      <c r="FI53" s="34"/>
      <c r="FJ53" s="56"/>
      <c r="FK53" s="34"/>
      <c r="FL53" s="53"/>
      <c r="FM53" s="34"/>
      <c r="FN53" s="56"/>
      <c r="FO53" s="55"/>
      <c r="FP53" s="57"/>
      <c r="FQ53" s="61"/>
    </row>
    <row r="54" spans="1:173" ht="15.75" thickBot="1" x14ac:dyDescent="0.3">
      <c r="A54" s="141"/>
      <c r="B54" s="141"/>
      <c r="C54" s="169"/>
      <c r="D54" s="169"/>
      <c r="E54" s="169"/>
      <c r="F54" s="169"/>
      <c r="G54" s="169"/>
      <c r="H54" s="169"/>
      <c r="I54" s="169"/>
      <c r="J54" s="169"/>
      <c r="K54" s="169"/>
      <c r="L54" s="169"/>
      <c r="M54" s="169"/>
      <c r="N54" s="169"/>
      <c r="O54" s="169"/>
      <c r="P54" s="169"/>
      <c r="Q54" s="169"/>
      <c r="R54" s="169"/>
      <c r="S54" s="169"/>
      <c r="T54" s="169"/>
      <c r="U54" s="169"/>
      <c r="V54" s="169"/>
      <c r="W54" s="169"/>
      <c r="X54" s="169"/>
      <c r="Y54" s="169"/>
      <c r="Z54" s="169"/>
      <c r="AA54" s="169"/>
      <c r="AB54" s="169"/>
      <c r="AC54" s="169"/>
      <c r="AD54" s="169"/>
      <c r="AE54" s="169"/>
      <c r="AZ54" s="172" t="s">
        <v>137</v>
      </c>
      <c r="BA54" s="57">
        <f>BA52-BA53</f>
        <v>20</v>
      </c>
      <c r="BB54" s="171" t="s">
        <v>118</v>
      </c>
      <c r="BC54" s="57"/>
      <c r="BD54" s="57" t="s">
        <v>219</v>
      </c>
      <c r="BE54" s="74">
        <f>BE300+BE252+BE202</f>
        <v>3.3333333333333335</v>
      </c>
      <c r="BF54" s="57"/>
      <c r="BG54" s="57"/>
      <c r="BH54" s="54" t="e">
        <f t="shared" si="20"/>
        <v>#VALUE!</v>
      </c>
      <c r="BI54" s="57">
        <v>80</v>
      </c>
      <c r="BJ54" s="57" t="e">
        <f t="shared" si="21"/>
        <v>#VALUE!</v>
      </c>
      <c r="BK54" s="57" t="e">
        <f t="shared" si="22"/>
        <v>#VALUE!</v>
      </c>
      <c r="BL54" s="61"/>
      <c r="BM54" s="54" t="e">
        <f t="shared" si="23"/>
        <v>#VALUE!</v>
      </c>
      <c r="BN54" s="57">
        <v>80</v>
      </c>
      <c r="BO54" s="57" t="e">
        <f t="shared" si="24"/>
        <v>#VALUE!</v>
      </c>
      <c r="BP54" s="61" t="e">
        <f t="shared" si="25"/>
        <v>#VALUE!</v>
      </c>
      <c r="BQ54" s="57" t="e">
        <f t="shared" si="26"/>
        <v>#VALUE!</v>
      </c>
      <c r="BR54" s="57">
        <v>80</v>
      </c>
      <c r="BS54" s="57" t="e">
        <f t="shared" si="27"/>
        <v>#VALUE!</v>
      </c>
      <c r="BT54" s="61" t="e">
        <f t="shared" si="28"/>
        <v>#VALUE!</v>
      </c>
      <c r="BU54" s="57" t="e">
        <f t="shared" si="29"/>
        <v>#VALUE!</v>
      </c>
      <c r="BV54" s="57">
        <v>80</v>
      </c>
      <c r="BW54" s="57" t="e">
        <f t="shared" si="30"/>
        <v>#VALUE!</v>
      </c>
      <c r="BX54" s="61" t="e">
        <f t="shared" si="31"/>
        <v>#VALUE!</v>
      </c>
      <c r="BY54" s="57" t="e">
        <f t="shared" si="32"/>
        <v>#VALUE!</v>
      </c>
      <c r="BZ54" s="57">
        <v>65</v>
      </c>
      <c r="CA54" s="57"/>
      <c r="CB54" s="61"/>
      <c r="CC54" s="57"/>
      <c r="CD54" s="54"/>
      <c r="CE54" s="57"/>
      <c r="CF54" s="74"/>
      <c r="CG54" s="54">
        <f t="shared" si="33"/>
        <v>1</v>
      </c>
      <c r="CH54" s="57">
        <v>40</v>
      </c>
      <c r="CI54" s="61">
        <v>25</v>
      </c>
      <c r="CJ54" s="54">
        <f t="shared" si="34"/>
        <v>1</v>
      </c>
      <c r="CK54" s="57">
        <v>50</v>
      </c>
      <c r="CL54" s="61">
        <v>31.5</v>
      </c>
      <c r="CM54" s="57">
        <f t="shared" si="35"/>
        <v>1</v>
      </c>
      <c r="CN54" s="57">
        <v>50</v>
      </c>
      <c r="CO54" s="61">
        <v>40</v>
      </c>
      <c r="CP54" s="57"/>
      <c r="CQ54" s="85"/>
      <c r="CR54" s="93"/>
      <c r="CS54" s="89"/>
      <c r="CT54" s="87"/>
      <c r="CU54" s="89"/>
      <c r="CV54" s="57"/>
      <c r="CW54" s="57"/>
      <c r="CX54" s="57"/>
      <c r="CY54" s="57"/>
      <c r="CZ54" s="61"/>
      <c r="DA54" s="57">
        <f t="shared" si="36"/>
        <v>1</v>
      </c>
      <c r="DB54" s="57">
        <f t="shared" si="37"/>
        <v>1</v>
      </c>
      <c r="DC54" s="57">
        <v>0.05</v>
      </c>
      <c r="DD54" s="57">
        <f t="shared" si="38"/>
        <v>1</v>
      </c>
      <c r="DE54" s="57">
        <v>2</v>
      </c>
      <c r="DF54" s="61" t="s">
        <v>176</v>
      </c>
      <c r="DG54" s="57"/>
      <c r="DH54" s="57"/>
      <c r="DI54" s="50"/>
      <c r="DJ54" s="34"/>
      <c r="DK54" s="51"/>
      <c r="DL54" s="34">
        <f t="shared" si="39"/>
        <v>0</v>
      </c>
      <c r="DM54" s="56" t="s">
        <v>136</v>
      </c>
      <c r="DN54" s="34">
        <v>80</v>
      </c>
      <c r="DO54" s="53"/>
      <c r="DP54" s="70">
        <f t="shared" si="40"/>
        <v>0</v>
      </c>
      <c r="DQ54" s="56" t="s">
        <v>136</v>
      </c>
      <c r="DR54" s="34">
        <v>25</v>
      </c>
      <c r="DS54" s="55">
        <v>8</v>
      </c>
      <c r="DT54" s="51"/>
      <c r="DU54" s="34"/>
      <c r="DV54" s="56"/>
      <c r="DW54" s="34"/>
      <c r="DX54" s="51"/>
      <c r="DY54" s="70">
        <f t="shared" si="41"/>
        <v>0</v>
      </c>
      <c r="DZ54" s="56" t="s">
        <v>136</v>
      </c>
      <c r="EA54" s="55">
        <v>80</v>
      </c>
      <c r="EB54" s="51"/>
      <c r="EC54" s="70">
        <f t="shared" si="42"/>
        <v>0</v>
      </c>
      <c r="ED54" s="56" t="s">
        <v>136</v>
      </c>
      <c r="EE54" s="55">
        <v>80</v>
      </c>
      <c r="EF54" s="51"/>
      <c r="EG54" s="34">
        <f t="shared" si="43"/>
        <v>0</v>
      </c>
      <c r="EH54" s="56" t="s">
        <v>136</v>
      </c>
      <c r="EI54" s="34">
        <v>80</v>
      </c>
      <c r="EJ54" s="51"/>
      <c r="EK54" s="34">
        <f t="shared" si="44"/>
        <v>0</v>
      </c>
      <c r="EL54" s="56" t="s">
        <v>136</v>
      </c>
      <c r="EM54" s="34">
        <v>80</v>
      </c>
      <c r="EN54" s="51"/>
      <c r="EO54" s="34"/>
      <c r="EP54" s="56"/>
      <c r="EQ54" s="34"/>
      <c r="ER54" s="51"/>
      <c r="ES54" s="34"/>
      <c r="ET54" s="76"/>
      <c r="EU54" s="31"/>
      <c r="EV54" s="31"/>
      <c r="EW54" s="31"/>
      <c r="EX54" s="31"/>
      <c r="EY54" s="53"/>
      <c r="EZ54" s="57"/>
      <c r="FA54" s="57"/>
      <c r="FB54" s="57"/>
      <c r="FC54" s="53"/>
      <c r="FD54" s="51"/>
      <c r="FE54" s="34">
        <f t="shared" si="46"/>
        <v>0</v>
      </c>
      <c r="FF54" s="56" t="s">
        <v>130</v>
      </c>
      <c r="FG54" s="61" t="s">
        <v>194</v>
      </c>
      <c r="FH54" s="53"/>
      <c r="FI54" s="34"/>
      <c r="FJ54" s="56"/>
      <c r="FK54" s="34"/>
      <c r="FL54" s="53"/>
      <c r="FM54" s="34"/>
      <c r="FN54" s="56"/>
      <c r="FO54" s="55"/>
      <c r="FP54" s="57"/>
      <c r="FQ54" s="61"/>
    </row>
    <row r="55" spans="1:173" ht="15.75" thickBot="1" x14ac:dyDescent="0.3">
      <c r="A55" s="141"/>
      <c r="B55" s="141"/>
      <c r="C55" s="169"/>
      <c r="D55" s="169"/>
      <c r="E55" s="169"/>
      <c r="F55" s="169"/>
      <c r="G55" s="169"/>
      <c r="H55" s="169"/>
      <c r="I55" s="169"/>
      <c r="J55" s="169"/>
      <c r="K55" s="169"/>
      <c r="L55" s="169"/>
      <c r="M55" s="169"/>
      <c r="N55" s="169"/>
      <c r="O55" s="169"/>
      <c r="P55" s="169"/>
      <c r="Q55" s="169"/>
      <c r="R55" s="169"/>
      <c r="S55" s="169"/>
      <c r="T55" s="169"/>
      <c r="U55" s="169"/>
      <c r="V55" s="169"/>
      <c r="W55" s="169"/>
      <c r="X55" s="169"/>
      <c r="Y55" s="169"/>
      <c r="Z55" s="169"/>
      <c r="AA55" s="169"/>
      <c r="AB55" s="169"/>
      <c r="AC55" s="169"/>
      <c r="AD55" s="169"/>
      <c r="AE55" s="169"/>
      <c r="AZ55" s="54"/>
      <c r="BA55" s="57"/>
      <c r="BB55" s="57"/>
      <c r="BC55" s="57"/>
      <c r="BD55" s="57" t="s">
        <v>215</v>
      </c>
      <c r="BE55" s="57" t="e">
        <f>VLOOKUP(1,BM47:BP60,2,0)</f>
        <v>#N/A</v>
      </c>
      <c r="BF55" s="57"/>
      <c r="BG55" s="57"/>
      <c r="BH55" s="54" t="e">
        <f t="shared" si="20"/>
        <v>#VALUE!</v>
      </c>
      <c r="BI55" s="57">
        <v>100</v>
      </c>
      <c r="BJ55" s="57" t="e">
        <f t="shared" si="21"/>
        <v>#VALUE!</v>
      </c>
      <c r="BK55" s="57" t="e">
        <f t="shared" si="22"/>
        <v>#VALUE!</v>
      </c>
      <c r="BL55" s="61"/>
      <c r="BM55" s="54" t="e">
        <f t="shared" si="23"/>
        <v>#VALUE!</v>
      </c>
      <c r="BN55" s="57">
        <v>100</v>
      </c>
      <c r="BO55" s="57" t="e">
        <f t="shared" si="24"/>
        <v>#VALUE!</v>
      </c>
      <c r="BP55" s="61" t="e">
        <f t="shared" si="25"/>
        <v>#VALUE!</v>
      </c>
      <c r="BQ55" s="57" t="e">
        <f t="shared" si="26"/>
        <v>#VALUE!</v>
      </c>
      <c r="BR55" s="57">
        <v>100</v>
      </c>
      <c r="BS55" s="57" t="e">
        <f t="shared" si="27"/>
        <v>#VALUE!</v>
      </c>
      <c r="BT55" s="61" t="e">
        <f t="shared" si="28"/>
        <v>#VALUE!</v>
      </c>
      <c r="BU55" s="57" t="e">
        <f t="shared" si="29"/>
        <v>#VALUE!</v>
      </c>
      <c r="BV55" s="57">
        <v>100</v>
      </c>
      <c r="BW55" s="57" t="e">
        <f t="shared" si="30"/>
        <v>#VALUE!</v>
      </c>
      <c r="BX55" s="61" t="e">
        <f t="shared" si="31"/>
        <v>#VALUE!</v>
      </c>
      <c r="BY55" s="57" t="e">
        <f t="shared" si="32"/>
        <v>#VALUE!</v>
      </c>
      <c r="BZ55" s="57">
        <v>80</v>
      </c>
      <c r="CA55" s="57"/>
      <c r="CB55" s="61"/>
      <c r="CC55" s="57"/>
      <c r="CD55" s="62"/>
      <c r="CE55" s="57"/>
      <c r="CF55" s="57"/>
      <c r="CG55" s="54">
        <f t="shared" si="33"/>
        <v>1</v>
      </c>
      <c r="CH55" s="57">
        <v>50</v>
      </c>
      <c r="CI55" s="61">
        <v>31.5</v>
      </c>
      <c r="CJ55" s="54">
        <f t="shared" si="34"/>
        <v>1</v>
      </c>
      <c r="CK55" s="57">
        <v>50</v>
      </c>
      <c r="CL55" s="61">
        <v>40</v>
      </c>
      <c r="CM55" s="57">
        <f t="shared" si="35"/>
        <v>1</v>
      </c>
      <c r="CN55" s="57">
        <v>65</v>
      </c>
      <c r="CO55" s="61">
        <v>63</v>
      </c>
      <c r="CP55" s="57"/>
      <c r="CQ55" s="57"/>
      <c r="CR55" s="57"/>
      <c r="CS55" s="57"/>
      <c r="CT55" s="57"/>
      <c r="CU55" s="57"/>
      <c r="CV55" s="57"/>
      <c r="CW55" s="57"/>
      <c r="CX55" s="57"/>
      <c r="CY55" s="57"/>
      <c r="CZ55" s="61"/>
      <c r="DA55" s="57">
        <f t="shared" si="36"/>
        <v>1</v>
      </c>
      <c r="DB55" s="57">
        <f t="shared" si="37"/>
        <v>1</v>
      </c>
      <c r="DC55" s="57">
        <v>0.05</v>
      </c>
      <c r="DD55" s="57">
        <f t="shared" si="38"/>
        <v>1</v>
      </c>
      <c r="DE55" s="57">
        <v>10</v>
      </c>
      <c r="DF55" s="61" t="s">
        <v>201</v>
      </c>
      <c r="DG55" s="57"/>
      <c r="DH55" s="57"/>
      <c r="DI55" s="50"/>
      <c r="DJ55" s="34"/>
      <c r="DK55" s="51"/>
      <c r="DL55" s="34">
        <f t="shared" si="39"/>
        <v>0</v>
      </c>
      <c r="DM55" s="56" t="s">
        <v>138</v>
      </c>
      <c r="DN55" s="34">
        <v>100</v>
      </c>
      <c r="DO55" s="53"/>
      <c r="DP55" s="70">
        <f t="shared" si="40"/>
        <v>0</v>
      </c>
      <c r="DQ55" s="56" t="s">
        <v>138</v>
      </c>
      <c r="DR55" s="34">
        <v>25</v>
      </c>
      <c r="DS55" s="55">
        <v>10</v>
      </c>
      <c r="DT55" s="51"/>
      <c r="DU55" s="34"/>
      <c r="DV55" s="56"/>
      <c r="DW55" s="34"/>
      <c r="DX55" s="51"/>
      <c r="DY55" s="70">
        <f t="shared" si="41"/>
        <v>0</v>
      </c>
      <c r="DZ55" s="56" t="s">
        <v>138</v>
      </c>
      <c r="EA55" s="55">
        <v>100</v>
      </c>
      <c r="EB55" s="51"/>
      <c r="EC55" s="70">
        <f t="shared" si="42"/>
        <v>0</v>
      </c>
      <c r="ED55" s="56" t="s">
        <v>138</v>
      </c>
      <c r="EE55" s="55">
        <v>100</v>
      </c>
      <c r="EF55" s="51"/>
      <c r="EG55" s="34">
        <f t="shared" si="43"/>
        <v>0</v>
      </c>
      <c r="EH55" s="56" t="s">
        <v>138</v>
      </c>
      <c r="EI55" s="34">
        <v>100</v>
      </c>
      <c r="EJ55" s="51"/>
      <c r="EK55" s="34">
        <f t="shared" si="44"/>
        <v>0</v>
      </c>
      <c r="EL55" s="56" t="s">
        <v>138</v>
      </c>
      <c r="EM55" s="34">
        <v>100</v>
      </c>
      <c r="EN55" s="51"/>
      <c r="EO55" s="34"/>
      <c r="EP55" s="56"/>
      <c r="EQ55" s="34"/>
      <c r="ER55" s="51"/>
      <c r="ES55" s="34"/>
      <c r="ET55" s="31"/>
      <c r="EU55" s="57"/>
      <c r="EV55" s="57"/>
      <c r="EW55" s="57"/>
      <c r="EX55" s="57"/>
      <c r="EY55" s="53"/>
      <c r="EZ55" s="57"/>
      <c r="FA55" s="57"/>
      <c r="FB55" s="57"/>
      <c r="FC55" s="53"/>
      <c r="FD55" s="51"/>
      <c r="FE55" s="34">
        <f t="shared" si="46"/>
        <v>0</v>
      </c>
      <c r="FF55" s="56" t="s">
        <v>136</v>
      </c>
      <c r="FG55" s="61" t="s">
        <v>200</v>
      </c>
      <c r="FH55" s="53"/>
      <c r="FI55" s="34"/>
      <c r="FJ55" s="56"/>
      <c r="FK55" s="34"/>
      <c r="FL55" s="53"/>
      <c r="FM55" s="34"/>
      <c r="FN55" s="56"/>
      <c r="FO55" s="55"/>
      <c r="FP55" s="57"/>
      <c r="FQ55" s="61"/>
    </row>
    <row r="56" spans="1:173" ht="15.75" thickBot="1" x14ac:dyDescent="0.3">
      <c r="A56" s="141"/>
      <c r="B56" s="141"/>
      <c r="C56" s="169"/>
      <c r="D56" s="169"/>
      <c r="E56" s="169"/>
      <c r="F56" s="169"/>
      <c r="G56" s="169"/>
      <c r="H56" s="169"/>
      <c r="I56" s="169"/>
      <c r="J56" s="169"/>
      <c r="K56" s="169"/>
      <c r="L56" s="169"/>
      <c r="M56" s="169"/>
      <c r="N56" s="169"/>
      <c r="O56" s="169"/>
      <c r="P56" s="169"/>
      <c r="Q56" s="169"/>
      <c r="R56" s="169"/>
      <c r="S56" s="169"/>
      <c r="T56" s="169"/>
      <c r="U56" s="169"/>
      <c r="V56" s="169"/>
      <c r="W56" s="169"/>
      <c r="X56" s="169"/>
      <c r="Y56" s="169"/>
      <c r="Z56" s="169"/>
      <c r="AA56" s="169"/>
      <c r="AB56" s="169"/>
      <c r="AC56" s="169"/>
      <c r="AD56" s="169"/>
      <c r="AE56" s="169"/>
      <c r="AZ56" s="170"/>
      <c r="BA56" s="57"/>
      <c r="BB56" s="171"/>
      <c r="BC56" s="57"/>
      <c r="BD56" s="57"/>
      <c r="BE56" s="57"/>
      <c r="BF56" s="57"/>
      <c r="BG56" s="57"/>
      <c r="BH56" s="54" t="e">
        <f t="shared" si="20"/>
        <v>#VALUE!</v>
      </c>
      <c r="BI56" s="57">
        <v>125</v>
      </c>
      <c r="BJ56" s="57" t="e">
        <f t="shared" si="21"/>
        <v>#VALUE!</v>
      </c>
      <c r="BK56" s="57" t="e">
        <f t="shared" si="22"/>
        <v>#VALUE!</v>
      </c>
      <c r="BL56" s="61"/>
      <c r="BM56" s="54" t="e">
        <f t="shared" si="23"/>
        <v>#VALUE!</v>
      </c>
      <c r="BN56" s="57">
        <v>125</v>
      </c>
      <c r="BO56" s="57" t="e">
        <f t="shared" si="24"/>
        <v>#VALUE!</v>
      </c>
      <c r="BP56" s="61" t="e">
        <f t="shared" si="25"/>
        <v>#VALUE!</v>
      </c>
      <c r="BQ56" s="57" t="e">
        <f t="shared" si="26"/>
        <v>#VALUE!</v>
      </c>
      <c r="BR56" s="57">
        <v>125</v>
      </c>
      <c r="BS56" s="57" t="e">
        <f t="shared" si="27"/>
        <v>#VALUE!</v>
      </c>
      <c r="BT56" s="61" t="e">
        <f t="shared" si="28"/>
        <v>#VALUE!</v>
      </c>
      <c r="BU56" s="57" t="e">
        <f t="shared" si="29"/>
        <v>#VALUE!</v>
      </c>
      <c r="BV56" s="57">
        <v>125</v>
      </c>
      <c r="BW56" s="57" t="e">
        <f t="shared" si="30"/>
        <v>#VALUE!</v>
      </c>
      <c r="BX56" s="61" t="e">
        <f t="shared" si="31"/>
        <v>#VALUE!</v>
      </c>
      <c r="BY56" s="57" t="e">
        <f t="shared" si="32"/>
        <v>#VALUE!</v>
      </c>
      <c r="BZ56" s="57">
        <v>100</v>
      </c>
      <c r="CA56" s="57"/>
      <c r="CB56" s="61"/>
      <c r="CC56" s="57"/>
      <c r="CD56" s="62"/>
      <c r="CE56" s="74"/>
      <c r="CF56" s="57"/>
      <c r="CG56" s="54">
        <f t="shared" si="33"/>
        <v>1</v>
      </c>
      <c r="CH56" s="57">
        <v>50</v>
      </c>
      <c r="CI56" s="61">
        <v>40</v>
      </c>
      <c r="CJ56" s="54">
        <f t="shared" si="34"/>
        <v>1</v>
      </c>
      <c r="CK56" s="57">
        <v>65</v>
      </c>
      <c r="CL56" s="61">
        <v>50</v>
      </c>
      <c r="CM56" s="57">
        <f t="shared" si="35"/>
        <v>1</v>
      </c>
      <c r="CN56" s="57">
        <v>80</v>
      </c>
      <c r="CO56" s="61">
        <v>100</v>
      </c>
      <c r="CP56" s="57"/>
      <c r="CQ56" s="57"/>
      <c r="CR56" s="57"/>
      <c r="CS56" s="57"/>
      <c r="CT56" s="57"/>
      <c r="CU56" s="57"/>
      <c r="CV56" s="57"/>
      <c r="CW56" s="57"/>
      <c r="CX56" s="57"/>
      <c r="CY56" s="57"/>
      <c r="CZ56" s="61"/>
      <c r="DA56" s="57">
        <f t="shared" si="36"/>
        <v>1</v>
      </c>
      <c r="DB56" s="57">
        <f t="shared" si="37"/>
        <v>1</v>
      </c>
      <c r="DC56" s="57">
        <v>0.06</v>
      </c>
      <c r="DD56" s="57">
        <f t="shared" si="38"/>
        <v>1</v>
      </c>
      <c r="DE56" s="57">
        <v>1.78</v>
      </c>
      <c r="DF56" s="61" t="s">
        <v>176</v>
      </c>
      <c r="DG56" s="57"/>
      <c r="DH56" s="57"/>
      <c r="DI56" s="50"/>
      <c r="DJ56" s="34"/>
      <c r="DK56" s="51"/>
      <c r="DL56" s="34">
        <f t="shared" si="39"/>
        <v>0</v>
      </c>
      <c r="DM56" s="56" t="s">
        <v>140</v>
      </c>
      <c r="DN56" s="34">
        <v>125</v>
      </c>
      <c r="DO56" s="53"/>
      <c r="DP56" s="70">
        <f t="shared" si="40"/>
        <v>0</v>
      </c>
      <c r="DQ56" s="56" t="s">
        <v>140</v>
      </c>
      <c r="DR56" s="34">
        <v>32</v>
      </c>
      <c r="DS56" s="55">
        <v>12.5</v>
      </c>
      <c r="DT56" s="51"/>
      <c r="DU56" s="34"/>
      <c r="DV56" s="56"/>
      <c r="DW56" s="34"/>
      <c r="DX56" s="51"/>
      <c r="DY56" s="70">
        <f t="shared" si="41"/>
        <v>0</v>
      </c>
      <c r="DZ56" s="56" t="s">
        <v>140</v>
      </c>
      <c r="EA56" s="55">
        <v>125</v>
      </c>
      <c r="EB56" s="51"/>
      <c r="EC56" s="70">
        <f t="shared" si="42"/>
        <v>0</v>
      </c>
      <c r="ED56" s="56" t="s">
        <v>140</v>
      </c>
      <c r="EE56" s="55">
        <v>125</v>
      </c>
      <c r="EF56" s="51"/>
      <c r="EG56" s="34">
        <f t="shared" si="43"/>
        <v>0</v>
      </c>
      <c r="EH56" s="56" t="s">
        <v>140</v>
      </c>
      <c r="EI56" s="34">
        <v>125</v>
      </c>
      <c r="EJ56" s="51"/>
      <c r="EK56" s="34">
        <f t="shared" si="44"/>
        <v>0</v>
      </c>
      <c r="EL56" s="56" t="s">
        <v>140</v>
      </c>
      <c r="EM56" s="34">
        <v>125</v>
      </c>
      <c r="EN56" s="51"/>
      <c r="EO56" s="34"/>
      <c r="EP56" s="56"/>
      <c r="EQ56" s="34"/>
      <c r="ER56" s="51"/>
      <c r="ES56" s="34"/>
      <c r="ET56" s="31"/>
      <c r="EU56" s="76"/>
      <c r="EV56" s="34"/>
      <c r="EW56" s="31"/>
      <c r="EX56" s="76"/>
      <c r="EY56" s="53"/>
      <c r="EZ56" s="57"/>
      <c r="FA56" s="76"/>
      <c r="FB56" s="57"/>
      <c r="FC56" s="53"/>
      <c r="FD56" s="51"/>
      <c r="FE56" s="34">
        <f t="shared" si="46"/>
        <v>0</v>
      </c>
      <c r="FF56" s="56" t="s">
        <v>138</v>
      </c>
      <c r="FG56" s="61" t="s">
        <v>206</v>
      </c>
      <c r="FH56" s="53"/>
      <c r="FI56" s="34"/>
      <c r="FJ56" s="56"/>
      <c r="FK56" s="34"/>
      <c r="FL56" s="53"/>
      <c r="FM56" s="34"/>
      <c r="FN56" s="56"/>
      <c r="FO56" s="55"/>
      <c r="FP56" s="57"/>
      <c r="FQ56" s="61"/>
    </row>
    <row r="57" spans="1:173" ht="15.75" thickBot="1" x14ac:dyDescent="0.3">
      <c r="A57" s="141"/>
      <c r="B57" s="141"/>
      <c r="C57" s="169"/>
      <c r="D57" s="169"/>
      <c r="E57" s="169"/>
      <c r="F57" s="169"/>
      <c r="G57" s="169"/>
      <c r="H57" s="169"/>
      <c r="I57" s="169"/>
      <c r="J57" s="169"/>
      <c r="K57" s="169"/>
      <c r="L57" s="169"/>
      <c r="M57" s="169"/>
      <c r="N57" s="169"/>
      <c r="O57" s="169"/>
      <c r="P57" s="169"/>
      <c r="Q57" s="169"/>
      <c r="R57" s="169"/>
      <c r="S57" s="169"/>
      <c r="T57" s="169"/>
      <c r="U57" s="169"/>
      <c r="V57" s="169"/>
      <c r="W57" s="169"/>
      <c r="X57" s="169"/>
      <c r="Y57" s="169"/>
      <c r="Z57" s="169"/>
      <c r="AA57" s="169"/>
      <c r="AB57" s="169"/>
      <c r="AC57" s="169"/>
      <c r="AD57" s="169"/>
      <c r="AE57" s="169"/>
      <c r="AZ57" s="170" t="s">
        <v>31</v>
      </c>
      <c r="BA57" s="1">
        <f>O36</f>
        <v>0</v>
      </c>
      <c r="BB57" s="1"/>
      <c r="BC57" s="57"/>
      <c r="BD57" s="57" t="s">
        <v>133</v>
      </c>
      <c r="BE57" s="74">
        <f>BE47+BE54</f>
        <v>3.3333333333333335</v>
      </c>
      <c r="BF57" s="57"/>
      <c r="BG57" s="57"/>
      <c r="BH57" s="54" t="e">
        <f t="shared" si="20"/>
        <v>#VALUE!</v>
      </c>
      <c r="BI57" s="57">
        <v>150</v>
      </c>
      <c r="BJ57" s="57" t="e">
        <f t="shared" si="21"/>
        <v>#VALUE!</v>
      </c>
      <c r="BK57" s="57" t="e">
        <f t="shared" si="22"/>
        <v>#VALUE!</v>
      </c>
      <c r="BL57" s="61"/>
      <c r="BM57" s="54" t="e">
        <f t="shared" si="23"/>
        <v>#VALUE!</v>
      </c>
      <c r="BN57" s="57">
        <v>150</v>
      </c>
      <c r="BO57" s="57" t="e">
        <f t="shared" si="24"/>
        <v>#VALUE!</v>
      </c>
      <c r="BP57" s="61" t="e">
        <f t="shared" si="25"/>
        <v>#VALUE!</v>
      </c>
      <c r="BQ57" s="57" t="e">
        <f t="shared" si="26"/>
        <v>#VALUE!</v>
      </c>
      <c r="BR57" s="57">
        <v>150</v>
      </c>
      <c r="BS57" s="57" t="e">
        <f t="shared" si="27"/>
        <v>#VALUE!</v>
      </c>
      <c r="BT57" s="61" t="e">
        <f t="shared" si="28"/>
        <v>#VALUE!</v>
      </c>
      <c r="BU57" s="57" t="e">
        <f t="shared" si="29"/>
        <v>#VALUE!</v>
      </c>
      <c r="BV57" s="57">
        <v>150</v>
      </c>
      <c r="BW57" s="57" t="e">
        <f t="shared" si="30"/>
        <v>#VALUE!</v>
      </c>
      <c r="BX57" s="61" t="e">
        <f t="shared" si="31"/>
        <v>#VALUE!</v>
      </c>
      <c r="BY57" s="57" t="e">
        <f t="shared" si="32"/>
        <v>#VALUE!</v>
      </c>
      <c r="BZ57" s="57">
        <v>125</v>
      </c>
      <c r="CA57" s="57"/>
      <c r="CB57" s="61"/>
      <c r="CC57" s="57"/>
      <c r="CD57" s="54"/>
      <c r="CE57" s="57"/>
      <c r="CF57" s="57"/>
      <c r="CG57" s="54">
        <f t="shared" si="33"/>
        <v>1</v>
      </c>
      <c r="CH57" s="57">
        <v>65</v>
      </c>
      <c r="CI57" s="61">
        <v>50</v>
      </c>
      <c r="CJ57" s="54">
        <f t="shared" si="34"/>
        <v>1</v>
      </c>
      <c r="CK57" s="57">
        <v>65</v>
      </c>
      <c r="CL57" s="61">
        <v>63</v>
      </c>
      <c r="CM57" s="57">
        <f t="shared" si="35"/>
        <v>1</v>
      </c>
      <c r="CN57" s="57">
        <v>100</v>
      </c>
      <c r="CO57" s="61">
        <v>160</v>
      </c>
      <c r="CP57" s="57"/>
      <c r="CQ57" s="57"/>
      <c r="CR57" s="57"/>
      <c r="CS57" s="57"/>
      <c r="CT57" s="57"/>
      <c r="CU57" s="57"/>
      <c r="CV57" s="57"/>
      <c r="CW57" s="57"/>
      <c r="CX57" s="57"/>
      <c r="CY57" s="57"/>
      <c r="CZ57" s="61"/>
      <c r="DA57" s="57">
        <f t="shared" si="36"/>
        <v>1</v>
      </c>
      <c r="DB57" s="57">
        <f t="shared" si="37"/>
        <v>1</v>
      </c>
      <c r="DC57" s="57">
        <v>0.06</v>
      </c>
      <c r="DD57" s="57">
        <f t="shared" si="38"/>
        <v>1</v>
      </c>
      <c r="DE57" s="57">
        <v>12</v>
      </c>
      <c r="DF57" s="61" t="s">
        <v>201</v>
      </c>
      <c r="DG57" s="57"/>
      <c r="DH57" s="57"/>
      <c r="DI57" s="50"/>
      <c r="DJ57" s="34"/>
      <c r="DK57" s="51"/>
      <c r="DL57" s="34">
        <f t="shared" si="39"/>
        <v>0</v>
      </c>
      <c r="DM57" s="56" t="s">
        <v>141</v>
      </c>
      <c r="DN57" s="34">
        <v>150</v>
      </c>
      <c r="DO57" s="53"/>
      <c r="DP57" s="70">
        <f t="shared" si="40"/>
        <v>0</v>
      </c>
      <c r="DQ57" s="56" t="s">
        <v>141</v>
      </c>
      <c r="DR57" s="34">
        <v>32</v>
      </c>
      <c r="DS57" s="55">
        <v>16</v>
      </c>
      <c r="DT57" s="51"/>
      <c r="DU57" s="34"/>
      <c r="DV57" s="56"/>
      <c r="DW57" s="34"/>
      <c r="DX57" s="51"/>
      <c r="DY57" s="70">
        <f t="shared" si="41"/>
        <v>0</v>
      </c>
      <c r="DZ57" s="56" t="s">
        <v>141</v>
      </c>
      <c r="EA57" s="55">
        <v>150</v>
      </c>
      <c r="EB57" s="51"/>
      <c r="EC57" s="70">
        <f t="shared" si="42"/>
        <v>0</v>
      </c>
      <c r="ED57" s="56" t="s">
        <v>141</v>
      </c>
      <c r="EE57" s="55">
        <v>150</v>
      </c>
      <c r="EF57" s="51"/>
      <c r="EG57" s="34">
        <f t="shared" si="43"/>
        <v>0</v>
      </c>
      <c r="EH57" s="56" t="s">
        <v>141</v>
      </c>
      <c r="EI57" s="34">
        <v>150</v>
      </c>
      <c r="EJ57" s="51"/>
      <c r="EK57" s="34">
        <f t="shared" si="44"/>
        <v>0</v>
      </c>
      <c r="EL57" s="56" t="s">
        <v>141</v>
      </c>
      <c r="EM57" s="34">
        <v>150</v>
      </c>
      <c r="EN57" s="51"/>
      <c r="EO57" s="34"/>
      <c r="EP57" s="56"/>
      <c r="EQ57" s="34"/>
      <c r="ER57" s="51"/>
      <c r="ES57" s="34"/>
      <c r="ET57" s="31"/>
      <c r="EU57" s="76"/>
      <c r="EV57" s="34"/>
      <c r="EW57" s="31"/>
      <c r="EX57" s="76"/>
      <c r="EY57" s="53"/>
      <c r="EZ57" s="57"/>
      <c r="FA57" s="76"/>
      <c r="FB57" s="57"/>
      <c r="FC57" s="53"/>
      <c r="FD57" s="51"/>
      <c r="FE57" s="34">
        <f t="shared" si="46"/>
        <v>0</v>
      </c>
      <c r="FF57" s="56" t="s">
        <v>140</v>
      </c>
      <c r="FG57" s="61" t="s">
        <v>207</v>
      </c>
      <c r="FH57" s="53"/>
      <c r="FI57" s="34"/>
      <c r="FJ57" s="56"/>
      <c r="FK57" s="34"/>
      <c r="FL57" s="53"/>
      <c r="FM57" s="34"/>
      <c r="FN57" s="56"/>
      <c r="FO57" s="55"/>
      <c r="FP57" s="57"/>
      <c r="FQ57" s="61"/>
    </row>
    <row r="58" spans="1:173" x14ac:dyDescent="0.25">
      <c r="AZ58" s="170" t="s">
        <v>32</v>
      </c>
      <c r="BA58" s="1">
        <f>I36</f>
        <v>0</v>
      </c>
      <c r="BB58" s="1"/>
      <c r="BC58" s="57"/>
      <c r="BD58" s="57" t="s">
        <v>51</v>
      </c>
      <c r="BE58" s="57" t="e">
        <f>VLOOKUP(1,BQ47:BT60,2,0)</f>
        <v>#N/A</v>
      </c>
      <c r="BF58" s="57"/>
      <c r="BG58" s="57"/>
      <c r="BH58" s="54" t="e">
        <f t="shared" si="20"/>
        <v>#VALUE!</v>
      </c>
      <c r="BI58" s="57">
        <v>200</v>
      </c>
      <c r="BJ58" s="57" t="e">
        <f t="shared" si="21"/>
        <v>#VALUE!</v>
      </c>
      <c r="BK58" s="57" t="e">
        <f t="shared" si="22"/>
        <v>#VALUE!</v>
      </c>
      <c r="BL58" s="61"/>
      <c r="BM58" s="54" t="e">
        <f t="shared" si="23"/>
        <v>#VALUE!</v>
      </c>
      <c r="BN58" s="57">
        <v>200</v>
      </c>
      <c r="BO58" s="57" t="e">
        <f t="shared" si="24"/>
        <v>#VALUE!</v>
      </c>
      <c r="BP58" s="61" t="e">
        <f t="shared" si="25"/>
        <v>#VALUE!</v>
      </c>
      <c r="BQ58" s="57" t="e">
        <f t="shared" si="26"/>
        <v>#VALUE!</v>
      </c>
      <c r="BR58" s="57">
        <v>200</v>
      </c>
      <c r="BS58" s="57" t="e">
        <f t="shared" si="27"/>
        <v>#VALUE!</v>
      </c>
      <c r="BT58" s="61" t="e">
        <f t="shared" si="28"/>
        <v>#VALUE!</v>
      </c>
      <c r="BU58" s="57" t="e">
        <f t="shared" si="29"/>
        <v>#VALUE!</v>
      </c>
      <c r="BV58" s="57">
        <v>200</v>
      </c>
      <c r="BW58" s="57" t="e">
        <f t="shared" si="30"/>
        <v>#VALUE!</v>
      </c>
      <c r="BX58" s="61" t="e">
        <f t="shared" si="31"/>
        <v>#VALUE!</v>
      </c>
      <c r="BY58" s="57" t="e">
        <f t="shared" si="32"/>
        <v>#VALUE!</v>
      </c>
      <c r="BZ58" s="57">
        <v>150</v>
      </c>
      <c r="CA58" s="57"/>
      <c r="CB58" s="61"/>
      <c r="CC58" s="57"/>
      <c r="CD58" s="54"/>
      <c r="CE58" s="57"/>
      <c r="CF58" s="57"/>
      <c r="CG58" s="54">
        <f t="shared" si="33"/>
        <v>1</v>
      </c>
      <c r="CH58" s="57">
        <v>65</v>
      </c>
      <c r="CI58" s="61">
        <v>63</v>
      </c>
      <c r="CJ58" s="54">
        <f t="shared" si="34"/>
        <v>1</v>
      </c>
      <c r="CK58" s="57">
        <v>80</v>
      </c>
      <c r="CL58" s="61">
        <v>80</v>
      </c>
      <c r="CM58" s="57">
        <f t="shared" si="35"/>
        <v>1</v>
      </c>
      <c r="CN58" s="57">
        <v>125</v>
      </c>
      <c r="CO58" s="61">
        <v>250</v>
      </c>
      <c r="CP58" s="57"/>
      <c r="CQ58" s="57"/>
      <c r="CR58" s="57"/>
      <c r="CS58" s="57"/>
      <c r="CT58" s="57"/>
      <c r="CU58" s="57"/>
      <c r="CV58" s="57"/>
      <c r="CW58" s="57"/>
      <c r="CX58" s="57"/>
      <c r="CY58" s="57"/>
      <c r="CZ58" s="61"/>
      <c r="DA58" s="57">
        <f t="shared" si="36"/>
        <v>1</v>
      </c>
      <c r="DB58" s="57">
        <f t="shared" si="37"/>
        <v>1</v>
      </c>
      <c r="DC58" s="57">
        <v>7.0000000000000007E-2</v>
      </c>
      <c r="DD58" s="57">
        <f t="shared" si="38"/>
        <v>1</v>
      </c>
      <c r="DE58" s="57">
        <v>1.5</v>
      </c>
      <c r="DF58" s="61" t="s">
        <v>176</v>
      </c>
      <c r="DG58" s="57"/>
      <c r="DH58" s="57"/>
      <c r="DI58" s="50"/>
      <c r="DJ58" s="34"/>
      <c r="DK58" s="51"/>
      <c r="DL58" s="34">
        <f t="shared" si="39"/>
        <v>0</v>
      </c>
      <c r="DM58" s="56" t="s">
        <v>142</v>
      </c>
      <c r="DN58" s="34">
        <v>200</v>
      </c>
      <c r="DO58" s="53"/>
      <c r="DP58" s="70">
        <f t="shared" si="40"/>
        <v>0</v>
      </c>
      <c r="DQ58" s="56" t="s">
        <v>142</v>
      </c>
      <c r="DR58" s="34">
        <v>40</v>
      </c>
      <c r="DS58" s="55">
        <v>20</v>
      </c>
      <c r="DT58" s="51"/>
      <c r="DU58" s="34"/>
      <c r="DV58" s="56"/>
      <c r="DW58" s="34"/>
      <c r="DX58" s="51"/>
      <c r="DY58" s="70">
        <f t="shared" si="41"/>
        <v>0</v>
      </c>
      <c r="DZ58" s="56" t="s">
        <v>142</v>
      </c>
      <c r="EA58" s="55">
        <v>200</v>
      </c>
      <c r="EB58" s="51"/>
      <c r="EC58" s="70">
        <f t="shared" si="42"/>
        <v>0</v>
      </c>
      <c r="ED58" s="56" t="s">
        <v>142</v>
      </c>
      <c r="EE58" s="55">
        <v>200</v>
      </c>
      <c r="EF58" s="51"/>
      <c r="EG58" s="34">
        <f t="shared" si="43"/>
        <v>0</v>
      </c>
      <c r="EH58" s="56" t="s">
        <v>142</v>
      </c>
      <c r="EI58" s="34">
        <v>200</v>
      </c>
      <c r="EJ58" s="51"/>
      <c r="EK58" s="34">
        <f t="shared" si="44"/>
        <v>0</v>
      </c>
      <c r="EL58" s="56" t="s">
        <v>142</v>
      </c>
      <c r="EM58" s="34">
        <v>200</v>
      </c>
      <c r="EN58" s="51"/>
      <c r="EO58" s="34"/>
      <c r="EP58" s="56"/>
      <c r="EQ58" s="34"/>
      <c r="ER58" s="51"/>
      <c r="ES58" s="34"/>
      <c r="ET58" s="31"/>
      <c r="EU58" s="57"/>
      <c r="EV58" s="57"/>
      <c r="EW58" s="57"/>
      <c r="EX58" s="57"/>
      <c r="EY58" s="53"/>
      <c r="EZ58" s="57"/>
      <c r="FA58" s="57"/>
      <c r="FB58" s="57"/>
      <c r="FC58" s="53"/>
      <c r="FD58" s="51"/>
      <c r="FE58" s="34">
        <f t="shared" si="46"/>
        <v>0</v>
      </c>
      <c r="FF58" s="56" t="s">
        <v>141</v>
      </c>
      <c r="FG58" s="61" t="s">
        <v>209</v>
      </c>
      <c r="FH58" s="53"/>
      <c r="FI58" s="34"/>
      <c r="FJ58" s="56"/>
      <c r="FK58" s="34"/>
      <c r="FL58" s="53"/>
      <c r="FM58" s="34"/>
      <c r="FN58" s="56"/>
      <c r="FO58" s="55"/>
      <c r="FP58" s="57"/>
      <c r="FQ58" s="61"/>
    </row>
    <row r="59" spans="1:173" x14ac:dyDescent="0.25">
      <c r="AZ59" s="170" t="s">
        <v>143</v>
      </c>
      <c r="BA59" s="1">
        <f>U36</f>
        <v>0</v>
      </c>
      <c r="BB59" s="1"/>
      <c r="BC59" s="57"/>
      <c r="BD59" s="57"/>
      <c r="BE59" s="57"/>
      <c r="BF59" s="57"/>
      <c r="BG59" s="57"/>
      <c r="BH59" s="54" t="e">
        <f t="shared" si="20"/>
        <v>#VALUE!</v>
      </c>
      <c r="BI59" s="57">
        <v>250</v>
      </c>
      <c r="BJ59" s="57" t="e">
        <f t="shared" si="21"/>
        <v>#VALUE!</v>
      </c>
      <c r="BK59" s="57" t="e">
        <f t="shared" si="22"/>
        <v>#VALUE!</v>
      </c>
      <c r="BL59" s="61"/>
      <c r="BM59" s="54" t="e">
        <f t="shared" si="23"/>
        <v>#VALUE!</v>
      </c>
      <c r="BN59" s="57">
        <v>250</v>
      </c>
      <c r="BO59" s="57" t="e">
        <f t="shared" si="24"/>
        <v>#VALUE!</v>
      </c>
      <c r="BP59" s="61" t="e">
        <f t="shared" si="25"/>
        <v>#VALUE!</v>
      </c>
      <c r="BQ59" s="57" t="e">
        <f t="shared" si="26"/>
        <v>#VALUE!</v>
      </c>
      <c r="BR59" s="57">
        <v>250</v>
      </c>
      <c r="BS59" s="57" t="e">
        <f t="shared" si="27"/>
        <v>#VALUE!</v>
      </c>
      <c r="BT59" s="61" t="e">
        <f t="shared" si="28"/>
        <v>#VALUE!</v>
      </c>
      <c r="BU59" s="57" t="e">
        <f t="shared" si="29"/>
        <v>#VALUE!</v>
      </c>
      <c r="BV59" s="57">
        <v>250</v>
      </c>
      <c r="BW59" s="57" t="e">
        <f t="shared" si="30"/>
        <v>#VALUE!</v>
      </c>
      <c r="BX59" s="61" t="e">
        <f t="shared" si="31"/>
        <v>#VALUE!</v>
      </c>
      <c r="BY59" s="57" t="e">
        <f t="shared" si="32"/>
        <v>#VALUE!</v>
      </c>
      <c r="BZ59" s="57">
        <v>200</v>
      </c>
      <c r="CA59" s="57"/>
      <c r="CB59" s="61"/>
      <c r="CC59" s="57"/>
      <c r="CD59" s="54"/>
      <c r="CE59" s="57"/>
      <c r="CF59" s="57"/>
      <c r="CG59" s="54">
        <f t="shared" si="33"/>
        <v>1</v>
      </c>
      <c r="CH59" s="57">
        <v>80</v>
      </c>
      <c r="CI59" s="61">
        <v>80</v>
      </c>
      <c r="CJ59" s="54">
        <f t="shared" si="34"/>
        <v>1</v>
      </c>
      <c r="CK59" s="57">
        <v>80</v>
      </c>
      <c r="CL59" s="61">
        <v>100</v>
      </c>
      <c r="CM59" s="57">
        <f t="shared" si="35"/>
        <v>1</v>
      </c>
      <c r="CN59" s="57">
        <v>150</v>
      </c>
      <c r="CO59" s="61">
        <v>400</v>
      </c>
      <c r="CP59" s="57"/>
      <c r="CQ59" s="57"/>
      <c r="CR59" s="57"/>
      <c r="CS59" s="57"/>
      <c r="CT59" s="57"/>
      <c r="CU59" s="57"/>
      <c r="CV59" s="57"/>
      <c r="CW59" s="57"/>
      <c r="CX59" s="57"/>
      <c r="CY59" s="57"/>
      <c r="CZ59" s="61"/>
      <c r="DA59" s="57">
        <f t="shared" si="36"/>
        <v>1</v>
      </c>
      <c r="DB59" s="57">
        <f t="shared" si="37"/>
        <v>1</v>
      </c>
      <c r="DC59" s="57">
        <v>7.0000000000000007E-2</v>
      </c>
      <c r="DD59" s="57">
        <f t="shared" si="38"/>
        <v>1</v>
      </c>
      <c r="DE59" s="57">
        <v>1.7</v>
      </c>
      <c r="DF59" s="61" t="s">
        <v>196</v>
      </c>
      <c r="DG59" s="57"/>
      <c r="DH59" s="57"/>
      <c r="DI59" s="50"/>
      <c r="DJ59" s="34"/>
      <c r="DK59" s="51"/>
      <c r="DL59" s="34"/>
      <c r="DM59" s="56"/>
      <c r="DN59" s="34"/>
      <c r="DO59" s="53"/>
      <c r="DP59" s="70">
        <f t="shared" si="40"/>
        <v>0</v>
      </c>
      <c r="DQ59" s="56" t="s">
        <v>145</v>
      </c>
      <c r="DR59" s="34">
        <v>40</v>
      </c>
      <c r="DS59" s="55">
        <v>25</v>
      </c>
      <c r="DT59" s="51"/>
      <c r="DU59" s="34"/>
      <c r="DV59" s="56"/>
      <c r="DW59" s="34"/>
      <c r="DX59" s="53"/>
      <c r="DY59" s="54"/>
      <c r="DZ59" s="57"/>
      <c r="EA59" s="61"/>
      <c r="EB59" s="53"/>
      <c r="EC59" s="57"/>
      <c r="ED59" s="57"/>
      <c r="EE59" s="61"/>
      <c r="EF59" s="53"/>
      <c r="EG59" s="57"/>
      <c r="EH59" s="57"/>
      <c r="EI59" s="57"/>
      <c r="EJ59" s="53"/>
      <c r="EK59" s="57"/>
      <c r="EL59" s="57"/>
      <c r="EM59" s="57"/>
      <c r="EN59" s="53"/>
      <c r="EO59" s="57"/>
      <c r="EP59" s="57"/>
      <c r="EQ59" s="57"/>
      <c r="ER59" s="53"/>
      <c r="ES59" s="34"/>
      <c r="ET59" s="57"/>
      <c r="EU59" s="57"/>
      <c r="EV59" s="57"/>
      <c r="EW59" s="57"/>
      <c r="EX59" s="57"/>
      <c r="EY59" s="53"/>
      <c r="EZ59" s="57"/>
      <c r="FA59" s="57"/>
      <c r="FB59" s="57"/>
      <c r="FC59" s="53"/>
      <c r="FD59" s="53"/>
      <c r="FE59" s="34">
        <f t="shared" si="46"/>
        <v>0</v>
      </c>
      <c r="FF59" s="56" t="s">
        <v>142</v>
      </c>
      <c r="FG59" s="61" t="s">
        <v>210</v>
      </c>
      <c r="FH59" s="53"/>
      <c r="FI59" s="57"/>
      <c r="FJ59" s="57"/>
      <c r="FK59" s="57"/>
      <c r="FL59" s="53"/>
      <c r="FM59" s="57"/>
      <c r="FN59" s="57"/>
      <c r="FO59" s="61"/>
      <c r="FP59" s="57"/>
      <c r="FQ59" s="61"/>
    </row>
    <row r="60" spans="1:173" x14ac:dyDescent="0.25">
      <c r="AZ60" s="170" t="s">
        <v>69</v>
      </c>
      <c r="BA60" s="1">
        <f>AA36</f>
        <v>0</v>
      </c>
      <c r="BB60" s="1"/>
      <c r="BC60" s="57"/>
      <c r="BD60" s="57" t="s">
        <v>205</v>
      </c>
      <c r="BE60" s="74">
        <f>BA47*1000/(BA50-BA51)</f>
        <v>0</v>
      </c>
      <c r="BF60" s="57"/>
      <c r="BG60" s="57"/>
      <c r="BH60" s="54" t="e">
        <f t="shared" si="20"/>
        <v>#VALUE!</v>
      </c>
      <c r="BI60" s="57">
        <v>300</v>
      </c>
      <c r="BJ60" s="57" t="e">
        <f t="shared" si="21"/>
        <v>#VALUE!</v>
      </c>
      <c r="BK60" s="57" t="e">
        <f t="shared" si="22"/>
        <v>#VALUE!</v>
      </c>
      <c r="BL60" s="61"/>
      <c r="BM60" s="54" t="e">
        <f t="shared" si="23"/>
        <v>#VALUE!</v>
      </c>
      <c r="BN60" s="57">
        <v>300</v>
      </c>
      <c r="BO60" s="57" t="e">
        <f t="shared" si="24"/>
        <v>#VALUE!</v>
      </c>
      <c r="BP60" s="61" t="e">
        <f t="shared" si="25"/>
        <v>#VALUE!</v>
      </c>
      <c r="BQ60" s="57" t="e">
        <f t="shared" si="26"/>
        <v>#VALUE!</v>
      </c>
      <c r="BR60" s="57">
        <v>300</v>
      </c>
      <c r="BS60" s="57" t="e">
        <f t="shared" si="27"/>
        <v>#VALUE!</v>
      </c>
      <c r="BT60" s="61" t="e">
        <f t="shared" si="28"/>
        <v>#VALUE!</v>
      </c>
      <c r="BU60" s="57" t="e">
        <f t="shared" si="29"/>
        <v>#VALUE!</v>
      </c>
      <c r="BV60" s="57">
        <v>300</v>
      </c>
      <c r="BW60" s="57" t="e">
        <f t="shared" si="30"/>
        <v>#VALUE!</v>
      </c>
      <c r="BX60" s="61" t="e">
        <f t="shared" si="31"/>
        <v>#VALUE!</v>
      </c>
      <c r="BY60" s="57" t="e">
        <f t="shared" si="32"/>
        <v>#VALUE!</v>
      </c>
      <c r="BZ60" s="57">
        <v>250</v>
      </c>
      <c r="CA60" s="57"/>
      <c r="CB60" s="61"/>
      <c r="CC60" s="57"/>
      <c r="CD60" s="54"/>
      <c r="CE60" s="57"/>
      <c r="CF60" s="57"/>
      <c r="CG60" s="54">
        <f t="shared" si="33"/>
        <v>1</v>
      </c>
      <c r="CH60" s="57">
        <v>80</v>
      </c>
      <c r="CI60" s="61">
        <v>100</v>
      </c>
      <c r="CJ60" s="54">
        <f t="shared" si="34"/>
        <v>1</v>
      </c>
      <c r="CK60" s="57">
        <v>100</v>
      </c>
      <c r="CL60" s="61">
        <v>125</v>
      </c>
      <c r="CM60" s="57"/>
      <c r="CN60" s="57"/>
      <c r="CO60" s="61"/>
      <c r="CP60" s="57"/>
      <c r="CQ60" s="57"/>
      <c r="CR60" s="57"/>
      <c r="CS60" s="57"/>
      <c r="CT60" s="57"/>
      <c r="CU60" s="57"/>
      <c r="CV60" s="57"/>
      <c r="CW60" s="57"/>
      <c r="CX60" s="57"/>
      <c r="CY60" s="57"/>
      <c r="CZ60" s="61"/>
      <c r="DA60" s="57">
        <f t="shared" si="36"/>
        <v>1</v>
      </c>
      <c r="DB60" s="57">
        <f t="shared" si="37"/>
        <v>1</v>
      </c>
      <c r="DC60" s="57">
        <v>7.0000000000000007E-2</v>
      </c>
      <c r="DD60" s="57">
        <f t="shared" si="38"/>
        <v>1</v>
      </c>
      <c r="DE60" s="57">
        <v>14</v>
      </c>
      <c r="DF60" s="61" t="s">
        <v>201</v>
      </c>
      <c r="DG60" s="57"/>
      <c r="DH60" s="57"/>
      <c r="DI60" s="50"/>
      <c r="DJ60" s="34"/>
      <c r="DK60" s="51"/>
      <c r="DL60" s="34"/>
      <c r="DM60" s="56"/>
      <c r="DN60" s="34"/>
      <c r="DO60" s="53"/>
      <c r="DP60" s="70">
        <f t="shared" si="40"/>
        <v>0</v>
      </c>
      <c r="DQ60" s="56" t="s">
        <v>146</v>
      </c>
      <c r="DR60" s="34">
        <v>50</v>
      </c>
      <c r="DS60" s="55">
        <v>31.5</v>
      </c>
      <c r="DT60" s="51"/>
      <c r="DU60" s="34"/>
      <c r="DV60" s="56"/>
      <c r="DW60" s="34"/>
      <c r="DX60" s="53"/>
      <c r="DY60" s="54"/>
      <c r="DZ60" s="57"/>
      <c r="EA60" s="61"/>
      <c r="EB60" s="53"/>
      <c r="EC60" s="57"/>
      <c r="ED60" s="57"/>
      <c r="EE60" s="61"/>
      <c r="EF60" s="53"/>
      <c r="EG60" s="57"/>
      <c r="EH60" s="57"/>
      <c r="EI60" s="57"/>
      <c r="EJ60" s="53"/>
      <c r="EK60" s="57"/>
      <c r="EL60" s="57"/>
      <c r="EM60" s="57"/>
      <c r="EN60" s="53"/>
      <c r="EO60" s="57"/>
      <c r="EP60" s="57"/>
      <c r="EQ60" s="57"/>
      <c r="ER60" s="53"/>
      <c r="ES60" s="34"/>
      <c r="ET60" s="57"/>
      <c r="EU60" s="57"/>
      <c r="EV60" s="57"/>
      <c r="EW60" s="57"/>
      <c r="EX60" s="57"/>
      <c r="EY60" s="53"/>
      <c r="EZ60" s="57"/>
      <c r="FA60" s="57"/>
      <c r="FB60" s="57"/>
      <c r="FC60" s="53"/>
      <c r="FD60" s="53"/>
      <c r="FE60" s="34">
        <f t="shared" si="46"/>
        <v>0</v>
      </c>
      <c r="FF60" s="56" t="s">
        <v>145</v>
      </c>
      <c r="FG60" s="61" t="s">
        <v>211</v>
      </c>
      <c r="FH60" s="53"/>
      <c r="FI60" s="57"/>
      <c r="FJ60" s="57"/>
      <c r="FK60" s="57"/>
      <c r="FL60" s="53"/>
      <c r="FM60" s="57"/>
      <c r="FN60" s="57"/>
      <c r="FO60" s="61"/>
      <c r="FP60" s="57"/>
      <c r="FQ60" s="61"/>
    </row>
    <row r="61" spans="1:173" x14ac:dyDescent="0.25">
      <c r="AZ61" s="170"/>
      <c r="BA61" s="57"/>
      <c r="BB61" s="171"/>
      <c r="BC61" s="57"/>
      <c r="BD61" s="57" t="s">
        <v>173</v>
      </c>
      <c r="BE61" s="57" t="e">
        <f>VLOOKUP(1,BU47:BX60,2,0)</f>
        <v>#N/A</v>
      </c>
      <c r="BF61" s="57"/>
      <c r="BG61" s="57"/>
      <c r="BH61" s="54"/>
      <c r="BI61" s="57"/>
      <c r="BJ61" s="57"/>
      <c r="BK61" s="57"/>
      <c r="BL61" s="61"/>
      <c r="BM61" s="54"/>
      <c r="BN61" s="57"/>
      <c r="BO61" s="57"/>
      <c r="BP61" s="61"/>
      <c r="BQ61" s="57"/>
      <c r="BR61" s="57"/>
      <c r="BS61" s="57"/>
      <c r="BT61" s="61"/>
      <c r="BU61" s="57"/>
      <c r="BV61" s="57"/>
      <c r="BW61" s="57"/>
      <c r="BX61" s="61"/>
      <c r="BY61" s="57"/>
      <c r="BZ61" s="57"/>
      <c r="CA61" s="57"/>
      <c r="CB61" s="61"/>
      <c r="CC61" s="57"/>
      <c r="CD61" s="54"/>
      <c r="CE61" s="57"/>
      <c r="CF61" s="57"/>
      <c r="CG61" s="54">
        <f t="shared" si="33"/>
        <v>1</v>
      </c>
      <c r="CH61" s="57">
        <v>100</v>
      </c>
      <c r="CI61" s="61">
        <v>125</v>
      </c>
      <c r="CJ61" s="54">
        <f t="shared" si="34"/>
        <v>1</v>
      </c>
      <c r="CK61" s="57">
        <v>100</v>
      </c>
      <c r="CL61" s="61">
        <v>160</v>
      </c>
      <c r="CM61" s="57"/>
      <c r="CN61" s="57"/>
      <c r="CO61" s="61"/>
      <c r="CP61" s="57"/>
      <c r="CQ61" s="57"/>
      <c r="CR61" s="57"/>
      <c r="CS61" s="57"/>
      <c r="CT61" s="57"/>
      <c r="CU61" s="57"/>
      <c r="CV61" s="57"/>
      <c r="CW61" s="57"/>
      <c r="CX61" s="57"/>
      <c r="CY61" s="57"/>
      <c r="CZ61" s="61"/>
      <c r="DA61" s="57">
        <f t="shared" si="36"/>
        <v>1</v>
      </c>
      <c r="DB61" s="57">
        <f t="shared" si="37"/>
        <v>1</v>
      </c>
      <c r="DC61" s="57">
        <v>0.08</v>
      </c>
      <c r="DD61" s="57">
        <f t="shared" si="38"/>
        <v>1</v>
      </c>
      <c r="DE61" s="57">
        <v>1.2</v>
      </c>
      <c r="DF61" s="61" t="s">
        <v>196</v>
      </c>
      <c r="DG61" s="57"/>
      <c r="DH61" s="57"/>
      <c r="DI61" s="50"/>
      <c r="DJ61" s="34"/>
      <c r="DK61" s="51"/>
      <c r="DL61" s="34"/>
      <c r="DM61" s="56"/>
      <c r="DN61" s="34"/>
      <c r="DO61" s="53"/>
      <c r="DP61" s="70">
        <f t="shared" si="40"/>
        <v>0</v>
      </c>
      <c r="DQ61" s="56" t="s">
        <v>148</v>
      </c>
      <c r="DR61" s="34">
        <v>50</v>
      </c>
      <c r="DS61" s="55">
        <v>40</v>
      </c>
      <c r="DT61" s="51"/>
      <c r="DU61" s="34"/>
      <c r="DV61" s="56"/>
      <c r="DW61" s="34"/>
      <c r="DX61" s="53"/>
      <c r="DY61" s="54"/>
      <c r="DZ61" s="57"/>
      <c r="EA61" s="61"/>
      <c r="EB61" s="53"/>
      <c r="EC61" s="57"/>
      <c r="ED61" s="57"/>
      <c r="EE61" s="61"/>
      <c r="EF61" s="53"/>
      <c r="EG61" s="57"/>
      <c r="EH61" s="57"/>
      <c r="EI61" s="57"/>
      <c r="EJ61" s="53"/>
      <c r="EK61" s="57"/>
      <c r="EL61" s="57"/>
      <c r="EM61" s="57"/>
      <c r="EN61" s="53"/>
      <c r="EO61" s="57"/>
      <c r="EP61" s="57"/>
      <c r="EQ61" s="57"/>
      <c r="ER61" s="53"/>
      <c r="ES61" s="34"/>
      <c r="ET61" s="57"/>
      <c r="EU61" s="57"/>
      <c r="EV61" s="57"/>
      <c r="EW61" s="57"/>
      <c r="EX61" s="57"/>
      <c r="EY61" s="53"/>
      <c r="EZ61" s="57"/>
      <c r="FA61" s="57"/>
      <c r="FB61" s="57"/>
      <c r="FC61" s="53"/>
      <c r="FD61" s="53"/>
      <c r="FE61" s="34">
        <f t="shared" si="46"/>
        <v>0</v>
      </c>
      <c r="FF61" s="56" t="s">
        <v>146</v>
      </c>
      <c r="FG61" s="61" t="s">
        <v>212</v>
      </c>
      <c r="FH61" s="53"/>
      <c r="FI61" s="57"/>
      <c r="FJ61" s="57"/>
      <c r="FK61" s="57"/>
      <c r="FL61" s="53"/>
      <c r="FM61" s="57"/>
      <c r="FN61" s="57"/>
      <c r="FO61" s="61"/>
      <c r="FP61" s="57"/>
      <c r="FQ61" s="61"/>
    </row>
    <row r="62" spans="1:173" x14ac:dyDescent="0.25">
      <c r="AZ62" s="170"/>
      <c r="BA62" s="57"/>
      <c r="BB62" s="171"/>
      <c r="BC62" s="57"/>
      <c r="BD62" s="1" t="str">
        <f>VLOOKUP(1,CW46:CY52,3,0)</f>
        <v>"Пульсар" 15</v>
      </c>
      <c r="BE62" s="1"/>
      <c r="BF62" s="57"/>
      <c r="BG62" s="57"/>
      <c r="BH62" s="54"/>
      <c r="BI62" s="90"/>
      <c r="BJ62" s="57"/>
      <c r="BK62" s="57"/>
      <c r="BL62" s="61"/>
      <c r="BM62" s="54"/>
      <c r="BN62" s="57"/>
      <c r="BO62" s="57"/>
      <c r="BP62" s="61"/>
      <c r="BQ62" s="57"/>
      <c r="BR62" s="57"/>
      <c r="BS62" s="57"/>
      <c r="BT62" s="61"/>
      <c r="BU62" s="57"/>
      <c r="BV62" s="57"/>
      <c r="BW62" s="57"/>
      <c r="BX62" s="61"/>
      <c r="BY62" s="57"/>
      <c r="BZ62" s="57"/>
      <c r="CA62" s="57"/>
      <c r="CB62" s="61"/>
      <c r="CC62" s="57"/>
      <c r="CD62" s="54"/>
      <c r="CE62" s="57"/>
      <c r="CF62" s="57"/>
      <c r="CG62" s="54">
        <f t="shared" si="33"/>
        <v>1</v>
      </c>
      <c r="CH62" s="57">
        <v>100</v>
      </c>
      <c r="CI62" s="61">
        <v>160</v>
      </c>
      <c r="CJ62" s="54">
        <f t="shared" si="34"/>
        <v>1</v>
      </c>
      <c r="CK62" s="57">
        <v>125</v>
      </c>
      <c r="CL62" s="61">
        <v>200</v>
      </c>
      <c r="CM62" s="57"/>
      <c r="CN62" s="57"/>
      <c r="CO62" s="61"/>
      <c r="CP62" s="57"/>
      <c r="CQ62" s="57"/>
      <c r="CR62" s="57"/>
      <c r="CS62" s="57"/>
      <c r="CT62" s="57"/>
      <c r="CU62" s="57"/>
      <c r="CV62" s="57"/>
      <c r="CW62" s="57"/>
      <c r="CX62" s="57"/>
      <c r="CY62" s="57"/>
      <c r="CZ62" s="61"/>
      <c r="DA62" s="57">
        <f t="shared" si="36"/>
        <v>1</v>
      </c>
      <c r="DB62" s="57">
        <f t="shared" si="37"/>
        <v>1</v>
      </c>
      <c r="DC62" s="57">
        <v>0.08</v>
      </c>
      <c r="DD62" s="57">
        <f t="shared" si="38"/>
        <v>1</v>
      </c>
      <c r="DE62" s="57">
        <v>16</v>
      </c>
      <c r="DF62" s="61" t="s">
        <v>201</v>
      </c>
      <c r="DG62" s="57"/>
      <c r="DH62" s="57"/>
      <c r="DI62" s="50"/>
      <c r="DJ62" s="34"/>
      <c r="DK62" s="51"/>
      <c r="DL62" s="34"/>
      <c r="DM62" s="56"/>
      <c r="DN62" s="34"/>
      <c r="DO62" s="53"/>
      <c r="DP62" s="70">
        <f t="shared" si="40"/>
        <v>0</v>
      </c>
      <c r="DQ62" s="56" t="s">
        <v>149</v>
      </c>
      <c r="DR62" s="34">
        <v>65</v>
      </c>
      <c r="DS62" s="55">
        <v>50</v>
      </c>
      <c r="DT62" s="51"/>
      <c r="DU62" s="34"/>
      <c r="DV62" s="56"/>
      <c r="DW62" s="34"/>
      <c r="DX62" s="53"/>
      <c r="DY62" s="54"/>
      <c r="DZ62" s="57"/>
      <c r="EA62" s="61"/>
      <c r="EB62" s="53"/>
      <c r="EC62" s="57"/>
      <c r="ED62" s="57"/>
      <c r="EE62" s="61"/>
      <c r="EF62" s="53"/>
      <c r="EG62" s="57"/>
      <c r="EH62" s="57"/>
      <c r="EI62" s="57"/>
      <c r="EJ62" s="53"/>
      <c r="EK62" s="57"/>
      <c r="EL62" s="57"/>
      <c r="EM62" s="57"/>
      <c r="EN62" s="53"/>
      <c r="EO62" s="57"/>
      <c r="EP62" s="57"/>
      <c r="EQ62" s="57"/>
      <c r="ER62" s="53"/>
      <c r="ES62" s="57"/>
      <c r="ET62" s="57"/>
      <c r="EU62" s="57"/>
      <c r="EV62" s="57"/>
      <c r="EW62" s="57"/>
      <c r="EX62" s="57"/>
      <c r="EY62" s="53"/>
      <c r="EZ62" s="57"/>
      <c r="FA62" s="57"/>
      <c r="FB62" s="57"/>
      <c r="FC62" s="53"/>
      <c r="FD62" s="53"/>
      <c r="FE62" s="34">
        <f t="shared" si="46"/>
        <v>0</v>
      </c>
      <c r="FF62" s="56" t="s">
        <v>148</v>
      </c>
      <c r="FG62" s="61" t="s">
        <v>213</v>
      </c>
      <c r="FH62" s="53"/>
      <c r="FI62" s="57"/>
      <c r="FJ62" s="57"/>
      <c r="FK62" s="57"/>
      <c r="FL62" s="53"/>
      <c r="FM62" s="57"/>
      <c r="FN62" s="57"/>
      <c r="FO62" s="61"/>
      <c r="FP62" s="57"/>
      <c r="FQ62" s="61"/>
    </row>
    <row r="63" spans="1:173" x14ac:dyDescent="0.25">
      <c r="AZ63" s="170"/>
      <c r="BA63" s="57"/>
      <c r="BB63" s="171"/>
      <c r="BC63" s="57"/>
      <c r="BD63" s="57"/>
      <c r="BE63" s="57"/>
      <c r="BF63" s="57"/>
      <c r="BG63" s="57"/>
      <c r="BH63" s="54"/>
      <c r="BI63" s="90" t="s">
        <v>150</v>
      </c>
      <c r="BJ63" s="57">
        <v>958.4</v>
      </c>
      <c r="BK63" s="57"/>
      <c r="BL63" s="61"/>
      <c r="BM63" s="54"/>
      <c r="BN63" s="57"/>
      <c r="BO63" s="57"/>
      <c r="BP63" s="61"/>
      <c r="BQ63" s="57"/>
      <c r="BR63" s="57"/>
      <c r="BS63" s="57"/>
      <c r="BT63" s="61"/>
      <c r="BU63" s="57"/>
      <c r="BV63" s="57"/>
      <c r="BW63" s="57"/>
      <c r="BX63" s="61"/>
      <c r="BY63" s="57"/>
      <c r="BZ63" s="57"/>
      <c r="CA63" s="57"/>
      <c r="CB63" s="61"/>
      <c r="CC63" s="57"/>
      <c r="CD63" s="54"/>
      <c r="CE63" s="57"/>
      <c r="CF63" s="57"/>
      <c r="CG63" s="54">
        <f t="shared" si="33"/>
        <v>1</v>
      </c>
      <c r="CH63" s="57">
        <v>125</v>
      </c>
      <c r="CI63" s="61">
        <v>250</v>
      </c>
      <c r="CJ63" s="54">
        <f t="shared" si="34"/>
        <v>1</v>
      </c>
      <c r="CK63" s="57">
        <v>125</v>
      </c>
      <c r="CL63" s="61">
        <v>250</v>
      </c>
      <c r="CM63" s="57"/>
      <c r="CN63" s="57"/>
      <c r="CO63" s="61"/>
      <c r="CP63" s="57"/>
      <c r="CQ63" s="57"/>
      <c r="CR63" s="57"/>
      <c r="CS63" s="57"/>
      <c r="CT63" s="57"/>
      <c r="CU63" s="57"/>
      <c r="CV63" s="57"/>
      <c r="CW63" s="57"/>
      <c r="CX63" s="57"/>
      <c r="CY63" s="57"/>
      <c r="CZ63" s="61"/>
      <c r="DA63" s="57">
        <f t="shared" si="36"/>
        <v>1</v>
      </c>
      <c r="DB63" s="57">
        <f t="shared" si="37"/>
        <v>1</v>
      </c>
      <c r="DC63" s="57">
        <v>0.09</v>
      </c>
      <c r="DD63" s="57">
        <f t="shared" si="38"/>
        <v>1</v>
      </c>
      <c r="DE63" s="57">
        <v>17</v>
      </c>
      <c r="DF63" s="61" t="s">
        <v>201</v>
      </c>
      <c r="DG63" s="57"/>
      <c r="DH63" s="57"/>
      <c r="DI63" s="50"/>
      <c r="DJ63" s="34"/>
      <c r="DK63" s="51"/>
      <c r="DL63" s="34"/>
      <c r="DM63" s="56"/>
      <c r="DN63" s="34"/>
      <c r="DO63" s="53"/>
      <c r="DP63" s="70">
        <f t="shared" si="40"/>
        <v>0</v>
      </c>
      <c r="DQ63" s="56" t="s">
        <v>151</v>
      </c>
      <c r="DR63" s="34">
        <v>65</v>
      </c>
      <c r="DS63" s="55">
        <v>63</v>
      </c>
      <c r="DT63" s="51"/>
      <c r="DU63" s="34"/>
      <c r="DV63" s="56"/>
      <c r="DW63" s="34"/>
      <c r="DX63" s="53"/>
      <c r="DY63" s="54"/>
      <c r="DZ63" s="57"/>
      <c r="EA63" s="61"/>
      <c r="EB63" s="53"/>
      <c r="EC63" s="57"/>
      <c r="ED63" s="57"/>
      <c r="EE63" s="61"/>
      <c r="EF63" s="53"/>
      <c r="EG63" s="57"/>
      <c r="EH63" s="57"/>
      <c r="EI63" s="57"/>
      <c r="EJ63" s="53"/>
      <c r="EK63" s="57"/>
      <c r="EL63" s="57"/>
      <c r="EM63" s="57"/>
      <c r="EN63" s="53"/>
      <c r="EO63" s="57"/>
      <c r="EP63" s="57"/>
      <c r="EQ63" s="57"/>
      <c r="ER63" s="53"/>
      <c r="ES63" s="57"/>
      <c r="ET63" s="57"/>
      <c r="EU63" s="57"/>
      <c r="EV63" s="57"/>
      <c r="EW63" s="57"/>
      <c r="EX63" s="57"/>
      <c r="EY63" s="53"/>
      <c r="EZ63" s="57"/>
      <c r="FA63" s="57"/>
      <c r="FB63" s="57"/>
      <c r="FC63" s="53"/>
      <c r="FD63" s="53"/>
      <c r="FE63" s="34"/>
      <c r="FF63" s="56"/>
      <c r="FG63" s="57"/>
      <c r="FH63" s="53"/>
      <c r="FI63" s="57"/>
      <c r="FJ63" s="57"/>
      <c r="FK63" s="57"/>
      <c r="FL63" s="53"/>
      <c r="FM63" s="57"/>
      <c r="FN63" s="57"/>
      <c r="FO63" s="61"/>
      <c r="FP63" s="57"/>
      <c r="FQ63" s="61"/>
    </row>
    <row r="64" spans="1:173" ht="15.75" thickBot="1" x14ac:dyDescent="0.3">
      <c r="AZ64" s="54"/>
      <c r="BA64" s="57"/>
      <c r="BB64" s="57"/>
      <c r="BC64" s="57"/>
      <c r="BD64" s="57" t="s">
        <v>208</v>
      </c>
      <c r="BE64" s="74">
        <f>3.6*BA47*1.163/0.42</f>
        <v>0</v>
      </c>
      <c r="BF64" s="57"/>
      <c r="BG64" s="57"/>
      <c r="BH64" s="83"/>
      <c r="BI64" s="91" t="s">
        <v>152</v>
      </c>
      <c r="BJ64" s="87">
        <v>0.5</v>
      </c>
      <c r="BK64" s="87"/>
      <c r="BL64" s="89"/>
      <c r="BM64" s="83"/>
      <c r="BN64" s="87"/>
      <c r="BO64" s="87"/>
      <c r="BP64" s="89"/>
      <c r="BQ64" s="87"/>
      <c r="BR64" s="87"/>
      <c r="BS64" s="87"/>
      <c r="BT64" s="89"/>
      <c r="BU64" s="87"/>
      <c r="BV64" s="87"/>
      <c r="BW64" s="87"/>
      <c r="BX64" s="89"/>
      <c r="BY64" s="87"/>
      <c r="BZ64" s="87"/>
      <c r="CA64" s="87"/>
      <c r="CB64" s="89"/>
      <c r="CC64" s="57"/>
      <c r="CD64" s="54"/>
      <c r="CE64" s="57"/>
      <c r="CF64" s="57"/>
      <c r="CG64" s="54">
        <f t="shared" si="33"/>
        <v>1</v>
      </c>
      <c r="CH64" s="57">
        <v>150</v>
      </c>
      <c r="CI64" s="61">
        <v>315</v>
      </c>
      <c r="CJ64" s="54">
        <f t="shared" si="34"/>
        <v>1</v>
      </c>
      <c r="CK64" s="57">
        <v>150</v>
      </c>
      <c r="CL64" s="61">
        <v>315</v>
      </c>
      <c r="CM64" s="57"/>
      <c r="CN64" s="57"/>
      <c r="CO64" s="61"/>
      <c r="CP64" s="57"/>
      <c r="CQ64" s="57"/>
      <c r="CR64" s="57"/>
      <c r="CS64" s="57"/>
      <c r="CT64" s="57"/>
      <c r="CU64" s="57"/>
      <c r="CV64" s="57"/>
      <c r="CW64" s="57"/>
      <c r="CX64" s="57"/>
      <c r="CY64" s="57"/>
      <c r="CZ64" s="61"/>
      <c r="DA64" s="57">
        <f t="shared" si="36"/>
        <v>1</v>
      </c>
      <c r="DB64" s="57">
        <f t="shared" si="37"/>
        <v>1</v>
      </c>
      <c r="DC64" s="57">
        <v>0.09</v>
      </c>
      <c r="DD64" s="57">
        <f t="shared" si="38"/>
        <v>1</v>
      </c>
      <c r="DE64" s="57">
        <v>18</v>
      </c>
      <c r="DF64" s="61" t="s">
        <v>204</v>
      </c>
      <c r="DG64" s="57"/>
      <c r="DH64" s="57"/>
      <c r="DI64" s="50"/>
      <c r="DJ64" s="34"/>
      <c r="DK64" s="51"/>
      <c r="DL64" s="34"/>
      <c r="DM64" s="56"/>
      <c r="DN64" s="34"/>
      <c r="DO64" s="53"/>
      <c r="DP64" s="70">
        <f t="shared" si="40"/>
        <v>0</v>
      </c>
      <c r="DQ64" s="56" t="s">
        <v>153</v>
      </c>
      <c r="DR64" s="34">
        <v>80</v>
      </c>
      <c r="DS64" s="55">
        <v>80</v>
      </c>
      <c r="DT64" s="51"/>
      <c r="DU64" s="34"/>
      <c r="DV64" s="56"/>
      <c r="DW64" s="34"/>
      <c r="DX64" s="53"/>
      <c r="DY64" s="54"/>
      <c r="DZ64" s="57"/>
      <c r="EA64" s="61"/>
      <c r="EB64" s="53"/>
      <c r="EC64" s="57"/>
      <c r="ED64" s="57"/>
      <c r="EE64" s="61"/>
      <c r="EF64" s="53"/>
      <c r="EG64" s="57"/>
      <c r="EH64" s="57"/>
      <c r="EI64" s="57"/>
      <c r="EJ64" s="53"/>
      <c r="EK64" s="57"/>
      <c r="EL64" s="57"/>
      <c r="EM64" s="57"/>
      <c r="EN64" s="53"/>
      <c r="EO64" s="57"/>
      <c r="EP64" s="57"/>
      <c r="EQ64" s="57"/>
      <c r="ER64" s="53"/>
      <c r="ES64" s="57"/>
      <c r="ET64" s="57"/>
      <c r="EU64" s="57"/>
      <c r="EV64" s="57"/>
      <c r="EW64" s="57"/>
      <c r="EX64" s="57"/>
      <c r="EY64" s="53"/>
      <c r="EZ64" s="57"/>
      <c r="FA64" s="57"/>
      <c r="FB64" s="57"/>
      <c r="FC64" s="53"/>
      <c r="FD64" s="53"/>
      <c r="FE64" s="34"/>
      <c r="FF64" s="56"/>
      <c r="FG64" s="57"/>
      <c r="FH64" s="53"/>
      <c r="FI64" s="57"/>
      <c r="FJ64" s="57"/>
      <c r="FK64" s="57"/>
      <c r="FL64" s="53"/>
      <c r="FM64" s="57"/>
      <c r="FN64" s="57"/>
      <c r="FO64" s="61"/>
      <c r="FP64" s="57"/>
      <c r="FQ64" s="61"/>
    </row>
    <row r="65" spans="2:173" ht="15.75" thickBot="1" x14ac:dyDescent="0.3">
      <c r="AZ65" s="54"/>
      <c r="BA65" s="57"/>
      <c r="BB65" s="57"/>
      <c r="BC65" s="57"/>
      <c r="BD65" s="57" t="s">
        <v>174</v>
      </c>
      <c r="BE65" s="57" t="e">
        <f>VLOOKUP(1,BY47:CB60,2,0)</f>
        <v>#N/A</v>
      </c>
      <c r="BF65" s="57"/>
      <c r="BG65" s="57"/>
      <c r="BH65" s="57"/>
      <c r="BI65" s="90"/>
      <c r="BJ65" s="57"/>
      <c r="BK65" s="57"/>
      <c r="BL65" s="57"/>
      <c r="BM65" s="57"/>
      <c r="BN65" s="57"/>
      <c r="BO65" s="57"/>
      <c r="BP65" s="57"/>
      <c r="BQ65" s="57"/>
      <c r="BR65" s="57"/>
      <c r="BS65" s="57"/>
      <c r="BT65" s="57"/>
      <c r="BU65" s="57"/>
      <c r="BV65" s="57"/>
      <c r="BW65" s="57"/>
      <c r="BX65" s="57"/>
      <c r="BY65" s="57"/>
      <c r="BZ65" s="57"/>
      <c r="CA65" s="57"/>
      <c r="CB65" s="57"/>
      <c r="CC65" s="57"/>
      <c r="CD65" s="83"/>
      <c r="CE65" s="87"/>
      <c r="CF65" s="87"/>
      <c r="CG65" s="83"/>
      <c r="CH65" s="87"/>
      <c r="CI65" s="89"/>
      <c r="CJ65" s="83">
        <f t="shared" si="34"/>
        <v>1</v>
      </c>
      <c r="CK65" s="87">
        <v>150</v>
      </c>
      <c r="CL65" s="89">
        <v>400</v>
      </c>
      <c r="CM65" s="87"/>
      <c r="CN65" s="87"/>
      <c r="CO65" s="89"/>
      <c r="CP65" s="57"/>
      <c r="CQ65" s="57"/>
      <c r="CR65" s="57"/>
      <c r="CS65" s="57"/>
      <c r="CT65" s="57"/>
      <c r="CU65" s="57"/>
      <c r="CV65" s="57"/>
      <c r="CW65" s="57"/>
      <c r="CX65" s="57"/>
      <c r="CY65" s="57"/>
      <c r="CZ65" s="57"/>
      <c r="DA65" s="57">
        <f t="shared" si="36"/>
        <v>1</v>
      </c>
      <c r="DB65" s="57">
        <f t="shared" si="37"/>
        <v>1</v>
      </c>
      <c r="DC65" s="57">
        <v>0.1</v>
      </c>
      <c r="DD65" s="57">
        <f t="shared" si="38"/>
        <v>1</v>
      </c>
      <c r="DE65" s="57">
        <v>16</v>
      </c>
      <c r="DF65" s="61" t="s">
        <v>201</v>
      </c>
      <c r="DG65" s="57"/>
      <c r="DH65" s="57"/>
      <c r="DI65" s="50"/>
      <c r="DJ65" s="34"/>
      <c r="DK65" s="51"/>
      <c r="DL65" s="34"/>
      <c r="DM65" s="56"/>
      <c r="DN65" s="34"/>
      <c r="DO65" s="53"/>
      <c r="DP65" s="70">
        <f t="shared" si="40"/>
        <v>0</v>
      </c>
      <c r="DQ65" s="56" t="s">
        <v>154</v>
      </c>
      <c r="DR65" s="34">
        <v>80</v>
      </c>
      <c r="DS65" s="55">
        <v>100</v>
      </c>
      <c r="DT65" s="51"/>
      <c r="DU65" s="34"/>
      <c r="DV65" s="56"/>
      <c r="DW65" s="34"/>
      <c r="DX65" s="53"/>
      <c r="DY65" s="54"/>
      <c r="DZ65" s="57"/>
      <c r="EA65" s="61"/>
      <c r="EB65" s="53"/>
      <c r="EC65" s="57"/>
      <c r="ED65" s="57"/>
      <c r="EE65" s="61"/>
      <c r="EF65" s="53"/>
      <c r="EG65" s="57"/>
      <c r="EH65" s="57"/>
      <c r="EI65" s="57"/>
      <c r="EJ65" s="53"/>
      <c r="EK65" s="57"/>
      <c r="EL65" s="57"/>
      <c r="EM65" s="57"/>
      <c r="EN65" s="53"/>
      <c r="EO65" s="57"/>
      <c r="EP65" s="57"/>
      <c r="EQ65" s="57"/>
      <c r="ER65" s="53"/>
      <c r="ES65" s="57"/>
      <c r="ET65" s="57"/>
      <c r="EU65" s="57"/>
      <c r="EV65" s="57"/>
      <c r="EW65" s="57"/>
      <c r="EX65" s="57"/>
      <c r="EY65" s="53"/>
      <c r="EZ65" s="57"/>
      <c r="FA65" s="57"/>
      <c r="FB65" s="57"/>
      <c r="FC65" s="53"/>
      <c r="FD65" s="53"/>
      <c r="FE65" s="34"/>
      <c r="FF65" s="56"/>
      <c r="FG65" s="57"/>
      <c r="FH65" s="53"/>
      <c r="FI65" s="57"/>
      <c r="FJ65" s="57"/>
      <c r="FK65" s="57"/>
      <c r="FL65" s="53"/>
      <c r="FM65" s="57"/>
      <c r="FN65" s="57"/>
      <c r="FO65" s="61"/>
      <c r="FP65" s="57"/>
      <c r="FQ65" s="61"/>
    </row>
    <row r="66" spans="2:173" x14ac:dyDescent="0.25">
      <c r="AZ66" s="54"/>
      <c r="BA66" s="57"/>
      <c r="BB66" s="57"/>
      <c r="BC66" s="57"/>
      <c r="BD66" s="57" t="s">
        <v>56</v>
      </c>
      <c r="BE66" s="74">
        <f>BE64</f>
        <v>0</v>
      </c>
      <c r="BF66" s="57"/>
      <c r="BG66" s="57"/>
      <c r="BH66" s="57"/>
      <c r="BI66" s="57"/>
      <c r="BJ66" s="57"/>
      <c r="BK66" s="57"/>
      <c r="BL66" s="57"/>
      <c r="BM66" s="57"/>
      <c r="BN66" s="57"/>
      <c r="BO66" s="57"/>
      <c r="BP66" s="57"/>
      <c r="BQ66" s="57"/>
      <c r="BR66" s="57"/>
      <c r="BS66" s="57"/>
      <c r="BT66" s="57"/>
      <c r="BU66" s="57"/>
      <c r="BV66" s="57"/>
      <c r="BW66" s="57"/>
      <c r="BX66" s="57"/>
      <c r="BY66" s="57"/>
      <c r="BZ66" s="57"/>
      <c r="CA66" s="57"/>
      <c r="CB66" s="57"/>
      <c r="CC66" s="57"/>
      <c r="CD66" s="57"/>
      <c r="CE66" s="57"/>
      <c r="CF66" s="57"/>
      <c r="CG66" s="57"/>
      <c r="CH66" s="57"/>
      <c r="CI66" s="57"/>
      <c r="CJ66" s="57"/>
      <c r="CK66" s="57"/>
      <c r="CL66" s="57"/>
      <c r="CM66" s="57"/>
      <c r="CN66" s="57"/>
      <c r="CO66" s="57"/>
      <c r="CP66" s="57"/>
      <c r="CQ66" s="57"/>
      <c r="CR66" s="57"/>
      <c r="CS66" s="57"/>
      <c r="CT66" s="57"/>
      <c r="CU66" s="57"/>
      <c r="CV66" s="57"/>
      <c r="CW66" s="57"/>
      <c r="CX66" s="57"/>
      <c r="CY66" s="57"/>
      <c r="CZ66" s="57"/>
      <c r="DA66" s="57">
        <f t="shared" si="36"/>
        <v>1</v>
      </c>
      <c r="DB66" s="57">
        <f t="shared" si="37"/>
        <v>1</v>
      </c>
      <c r="DC66" s="57">
        <v>0.1</v>
      </c>
      <c r="DD66" s="57">
        <f t="shared" si="38"/>
        <v>1</v>
      </c>
      <c r="DE66" s="57">
        <v>20</v>
      </c>
      <c r="DF66" s="61" t="s">
        <v>204</v>
      </c>
      <c r="DG66" s="57"/>
      <c r="DH66" s="57"/>
      <c r="DI66" s="50"/>
      <c r="DJ66" s="34"/>
      <c r="DK66" s="51"/>
      <c r="DL66" s="34"/>
      <c r="DM66" s="56"/>
      <c r="DN66" s="34"/>
      <c r="DO66" s="53"/>
      <c r="DP66" s="70">
        <f t="shared" si="40"/>
        <v>0</v>
      </c>
      <c r="DQ66" s="56" t="s">
        <v>155</v>
      </c>
      <c r="DR66" s="34">
        <v>100</v>
      </c>
      <c r="DS66" s="55">
        <v>125</v>
      </c>
      <c r="DT66" s="51"/>
      <c r="DU66" s="34"/>
      <c r="DV66" s="56"/>
      <c r="DW66" s="34"/>
      <c r="DX66" s="53"/>
      <c r="DY66" s="54"/>
      <c r="DZ66" s="57"/>
      <c r="EA66" s="61"/>
      <c r="EB66" s="53"/>
      <c r="EC66" s="57"/>
      <c r="ED66" s="57"/>
      <c r="EE66" s="61"/>
      <c r="EF66" s="53"/>
      <c r="EG66" s="57"/>
      <c r="EH66" s="57"/>
      <c r="EI66" s="57"/>
      <c r="EJ66" s="53"/>
      <c r="EK66" s="57"/>
      <c r="EL66" s="57"/>
      <c r="EM66" s="57"/>
      <c r="EN66" s="53"/>
      <c r="EO66" s="57"/>
      <c r="EP66" s="57"/>
      <c r="EQ66" s="57"/>
      <c r="ER66" s="53"/>
      <c r="ES66" s="57"/>
      <c r="ET66" s="57"/>
      <c r="EU66" s="57"/>
      <c r="EV66" s="57"/>
      <c r="EW66" s="57"/>
      <c r="EX66" s="57"/>
      <c r="EY66" s="53"/>
      <c r="EZ66" s="57"/>
      <c r="FA66" s="57"/>
      <c r="FB66" s="57"/>
      <c r="FC66" s="53"/>
      <c r="FD66" s="53"/>
      <c r="FE66" s="34"/>
      <c r="FF66" s="56"/>
      <c r="FG66" s="57"/>
      <c r="FH66" s="53"/>
      <c r="FI66" s="57"/>
      <c r="FJ66" s="57"/>
      <c r="FK66" s="57"/>
      <c r="FL66" s="53"/>
      <c r="FM66" s="57"/>
      <c r="FN66" s="57"/>
      <c r="FO66" s="61"/>
      <c r="FP66" s="57"/>
      <c r="FQ66" s="61"/>
    </row>
    <row r="67" spans="2:173" x14ac:dyDescent="0.25">
      <c r="AZ67" s="54"/>
      <c r="BA67" s="57"/>
      <c r="BB67" s="57"/>
      <c r="BC67" s="57"/>
      <c r="BD67" s="1" t="e">
        <f>VLOOKUP(1,IF(BA58="Stratos-Z",CR47:CS51,IF(BA58="Yonos MAXO-Z",CT47:CU51,0)),2,0)</f>
        <v>#N/A</v>
      </c>
      <c r="BE67" s="1"/>
      <c r="BF67" s="57"/>
      <c r="BG67" s="57"/>
      <c r="BH67" s="57"/>
      <c r="BI67" s="57"/>
      <c r="BJ67" s="57"/>
      <c r="BK67" s="57"/>
      <c r="BL67" s="57"/>
      <c r="BM67" s="57"/>
      <c r="BN67" s="57"/>
      <c r="BO67" s="57"/>
      <c r="BP67" s="57"/>
      <c r="BQ67" s="57"/>
      <c r="BR67" s="57"/>
      <c r="BS67" s="57"/>
      <c r="BT67" s="57"/>
      <c r="BU67" s="57"/>
      <c r="BV67" s="57"/>
      <c r="BW67" s="57"/>
      <c r="BX67" s="57"/>
      <c r="BY67" s="57"/>
      <c r="BZ67" s="57"/>
      <c r="CA67" s="57"/>
      <c r="CB67" s="57"/>
      <c r="CC67" s="57"/>
      <c r="CD67" s="57"/>
      <c r="CE67" s="57"/>
      <c r="CF67" s="57"/>
      <c r="CG67" s="57"/>
      <c r="CH67" s="57"/>
      <c r="CI67" s="57"/>
      <c r="CJ67" s="57"/>
      <c r="CK67" s="57"/>
      <c r="CL67" s="57"/>
      <c r="CM67" s="57"/>
      <c r="CN67" s="57"/>
      <c r="CO67" s="57"/>
      <c r="CP67" s="57"/>
      <c r="CQ67" s="57"/>
      <c r="CR67" s="57"/>
      <c r="CS67" s="57"/>
      <c r="CT67" s="57"/>
      <c r="CU67" s="57"/>
      <c r="CV67" s="57"/>
      <c r="CW67" s="57"/>
      <c r="CX67" s="57"/>
      <c r="CY67" s="57"/>
      <c r="CZ67" s="57"/>
      <c r="DA67" s="57">
        <f t="shared" si="36"/>
        <v>1</v>
      </c>
      <c r="DB67" s="57">
        <f t="shared" si="37"/>
        <v>1</v>
      </c>
      <c r="DC67" s="57">
        <v>0.15</v>
      </c>
      <c r="DD67" s="57">
        <f t="shared" si="38"/>
        <v>1</v>
      </c>
      <c r="DE67" s="57">
        <v>15</v>
      </c>
      <c r="DF67" s="61" t="s">
        <v>184</v>
      </c>
      <c r="DG67" s="57"/>
      <c r="DH67" s="57"/>
      <c r="DI67" s="50"/>
      <c r="DJ67" s="34"/>
      <c r="DK67" s="51"/>
      <c r="DL67" s="34"/>
      <c r="DM67" s="56"/>
      <c r="DN67" s="34"/>
      <c r="DO67" s="53"/>
      <c r="DP67" s="70">
        <f t="shared" si="40"/>
        <v>0</v>
      </c>
      <c r="DQ67" s="56" t="s">
        <v>156</v>
      </c>
      <c r="DR67" s="34">
        <v>100</v>
      </c>
      <c r="DS67" s="55">
        <v>160</v>
      </c>
      <c r="DT67" s="51"/>
      <c r="DU67" s="34"/>
      <c r="DV67" s="56"/>
      <c r="DW67" s="34"/>
      <c r="DX67" s="53"/>
      <c r="DY67" s="54"/>
      <c r="DZ67" s="57"/>
      <c r="EA67" s="61"/>
      <c r="EB67" s="53"/>
      <c r="EC67" s="57"/>
      <c r="ED67" s="57"/>
      <c r="EE67" s="61"/>
      <c r="EF67" s="53"/>
      <c r="EG67" s="57"/>
      <c r="EH67" s="57"/>
      <c r="EI67" s="57"/>
      <c r="EJ67" s="53"/>
      <c r="EK67" s="57"/>
      <c r="EL67" s="57"/>
      <c r="EM67" s="57"/>
      <c r="EN67" s="53"/>
      <c r="EO67" s="57"/>
      <c r="EP67" s="57"/>
      <c r="EQ67" s="57"/>
      <c r="ER67" s="53"/>
      <c r="ES67" s="57"/>
      <c r="ET67" s="57"/>
      <c r="EU67" s="57"/>
      <c r="EV67" s="57"/>
      <c r="EW67" s="57"/>
      <c r="EX67" s="57"/>
      <c r="EY67" s="53"/>
      <c r="EZ67" s="57"/>
      <c r="FA67" s="57"/>
      <c r="FB67" s="57"/>
      <c r="FC67" s="53"/>
      <c r="FD67" s="53"/>
      <c r="FE67" s="57"/>
      <c r="FF67" s="57"/>
      <c r="FG67" s="57"/>
      <c r="FH67" s="53"/>
      <c r="FI67" s="57"/>
      <c r="FJ67" s="57"/>
      <c r="FK67" s="57"/>
      <c r="FL67" s="53"/>
      <c r="FM67" s="57"/>
      <c r="FN67" s="57"/>
      <c r="FO67" s="61"/>
      <c r="FP67" s="57"/>
      <c r="FQ67" s="61"/>
    </row>
    <row r="68" spans="2:173" x14ac:dyDescent="0.25">
      <c r="AZ68" s="54"/>
      <c r="BA68" s="57"/>
      <c r="BB68" s="57"/>
      <c r="BC68" s="57"/>
      <c r="BD68" s="57"/>
      <c r="BE68" s="57"/>
      <c r="BF68" s="57"/>
      <c r="BG68" s="57"/>
      <c r="BH68" s="57"/>
      <c r="BI68" s="57"/>
      <c r="BJ68" s="57"/>
      <c r="BK68" s="57"/>
      <c r="BL68" s="57"/>
      <c r="BM68" s="57"/>
      <c r="BN68" s="57"/>
      <c r="BO68" s="57"/>
      <c r="BP68" s="57"/>
      <c r="BQ68" s="57"/>
      <c r="BR68" s="57"/>
      <c r="BS68" s="57"/>
      <c r="BT68" s="57"/>
      <c r="BU68" s="57"/>
      <c r="BV68" s="57"/>
      <c r="BW68" s="57"/>
      <c r="BX68" s="57"/>
      <c r="BY68" s="57"/>
      <c r="BZ68" s="57"/>
      <c r="CA68" s="57"/>
      <c r="CB68" s="57"/>
      <c r="CC68" s="57"/>
      <c r="CD68" s="57"/>
      <c r="CE68" s="57"/>
      <c r="CF68" s="57"/>
      <c r="CG68" s="57"/>
      <c r="CH68" s="57"/>
      <c r="CI68" s="57"/>
      <c r="CJ68" s="57"/>
      <c r="CK68" s="57"/>
      <c r="CL68" s="57"/>
      <c r="CM68" s="57"/>
      <c r="CN68" s="57"/>
      <c r="CO68" s="57"/>
      <c r="CP68" s="57"/>
      <c r="CQ68" s="57"/>
      <c r="CR68" s="57"/>
      <c r="CS68" s="57"/>
      <c r="CT68" s="57"/>
      <c r="CU68" s="57"/>
      <c r="CV68" s="57"/>
      <c r="CW68" s="57"/>
      <c r="CX68" s="57"/>
      <c r="CY68" s="57"/>
      <c r="CZ68" s="57"/>
      <c r="DA68" s="57">
        <f t="shared" si="36"/>
        <v>1</v>
      </c>
      <c r="DB68" s="57">
        <f t="shared" si="37"/>
        <v>1</v>
      </c>
      <c r="DC68" s="57">
        <v>0.15</v>
      </c>
      <c r="DD68" s="57">
        <f t="shared" si="38"/>
        <v>1</v>
      </c>
      <c r="DE68" s="57">
        <v>29.3</v>
      </c>
      <c r="DF68" s="61" t="s">
        <v>189</v>
      </c>
      <c r="DG68" s="57"/>
      <c r="DH68" s="57"/>
      <c r="DI68" s="50"/>
      <c r="DJ68" s="34"/>
      <c r="DK68" s="51"/>
      <c r="DL68" s="34"/>
      <c r="DM68" s="56"/>
      <c r="DN68" s="34"/>
      <c r="DO68" s="53"/>
      <c r="DP68" s="70">
        <f t="shared" si="40"/>
        <v>0</v>
      </c>
      <c r="DQ68" s="56" t="s">
        <v>157</v>
      </c>
      <c r="DR68" s="34">
        <v>125</v>
      </c>
      <c r="DS68" s="55">
        <v>250</v>
      </c>
      <c r="DT68" s="51"/>
      <c r="DU68" s="34"/>
      <c r="DV68" s="56"/>
      <c r="DW68" s="34"/>
      <c r="DX68" s="53"/>
      <c r="DY68" s="54"/>
      <c r="DZ68" s="57"/>
      <c r="EA68" s="61"/>
      <c r="EB68" s="53"/>
      <c r="EC68" s="57"/>
      <c r="ED68" s="57"/>
      <c r="EE68" s="61"/>
      <c r="EF68" s="53"/>
      <c r="EG68" s="57"/>
      <c r="EH68" s="57"/>
      <c r="EI68" s="57"/>
      <c r="EJ68" s="53"/>
      <c r="EK68" s="57"/>
      <c r="EL68" s="57"/>
      <c r="EM68" s="57"/>
      <c r="EN68" s="53"/>
      <c r="EO68" s="57"/>
      <c r="EP68" s="57"/>
      <c r="EQ68" s="57"/>
      <c r="ER68" s="53"/>
      <c r="ES68" s="57"/>
      <c r="ET68" s="57"/>
      <c r="EU68" s="57"/>
      <c r="EV68" s="57"/>
      <c r="EW68" s="57"/>
      <c r="EX68" s="57"/>
      <c r="EY68" s="53"/>
      <c r="EZ68" s="57"/>
      <c r="FA68" s="57"/>
      <c r="FB68" s="57"/>
      <c r="FC68" s="53"/>
      <c r="FD68" s="53"/>
      <c r="FE68" s="57"/>
      <c r="FF68" s="57"/>
      <c r="FG68" s="57"/>
      <c r="FH68" s="53"/>
      <c r="FI68" s="57"/>
      <c r="FJ68" s="57"/>
      <c r="FK68" s="57"/>
      <c r="FL68" s="53"/>
      <c r="FM68" s="57"/>
      <c r="FN68" s="57"/>
      <c r="FO68" s="61"/>
      <c r="FP68" s="57"/>
      <c r="FQ68" s="61"/>
    </row>
    <row r="69" spans="2:173" ht="15.75" thickBot="1" x14ac:dyDescent="0.3">
      <c r="B69" s="110" t="s">
        <v>2</v>
      </c>
      <c r="C69" s="110" t="s">
        <v>164</v>
      </c>
      <c r="D69" s="110" t="s">
        <v>37</v>
      </c>
      <c r="E69" s="110" t="s">
        <v>164</v>
      </c>
      <c r="F69" s="127" t="s">
        <v>38</v>
      </c>
      <c r="G69" s="110" t="s">
        <v>164</v>
      </c>
      <c r="H69" s="127" t="s">
        <v>39</v>
      </c>
      <c r="I69" s="110" t="s">
        <v>165</v>
      </c>
      <c r="J69" s="110" t="s">
        <v>40</v>
      </c>
      <c r="K69" s="110" t="s">
        <v>164</v>
      </c>
      <c r="L69" s="127" t="s">
        <v>41</v>
      </c>
      <c r="M69" s="110" t="s">
        <v>164</v>
      </c>
      <c r="N69" s="110" t="s">
        <v>42</v>
      </c>
      <c r="O69" s="110" t="s">
        <v>165</v>
      </c>
      <c r="P69" s="110" t="s">
        <v>43</v>
      </c>
      <c r="Q69" s="110" t="s">
        <v>164</v>
      </c>
      <c r="R69" s="110" t="s">
        <v>44</v>
      </c>
      <c r="S69" s="110" t="s">
        <v>164</v>
      </c>
      <c r="T69" s="110" t="s">
        <v>45</v>
      </c>
      <c r="U69" s="110" t="s">
        <v>164</v>
      </c>
      <c r="V69" s="110" t="s">
        <v>46</v>
      </c>
      <c r="W69" s="110" t="s">
        <v>164</v>
      </c>
      <c r="X69" s="110" t="s">
        <v>47</v>
      </c>
      <c r="Y69" s="110" t="s">
        <v>164</v>
      </c>
      <c r="Z69" s="127" t="s">
        <v>170</v>
      </c>
      <c r="AZ69" s="54"/>
      <c r="BA69" s="57"/>
      <c r="BB69" s="57"/>
      <c r="BC69" s="57"/>
      <c r="BD69" s="57"/>
      <c r="BE69" s="57"/>
      <c r="BF69" s="57"/>
      <c r="BG69" s="57"/>
      <c r="BH69" s="57"/>
      <c r="BI69" s="57"/>
      <c r="BJ69" s="57"/>
      <c r="BK69" s="57"/>
      <c r="BL69" s="57"/>
      <c r="BM69" s="57"/>
      <c r="BN69" s="57"/>
      <c r="BO69" s="57"/>
      <c r="BP69" s="57"/>
      <c r="BQ69" s="57"/>
      <c r="BR69" s="57"/>
      <c r="BS69" s="57"/>
      <c r="BT69" s="57"/>
      <c r="BU69" s="57"/>
      <c r="BV69" s="57"/>
      <c r="BW69" s="57"/>
      <c r="BX69" s="57"/>
      <c r="BY69" s="57"/>
      <c r="BZ69" s="57"/>
      <c r="CA69" s="57"/>
      <c r="CB69" s="57"/>
      <c r="CC69" s="57"/>
      <c r="CD69" s="57"/>
      <c r="CE69" s="57"/>
      <c r="CF69" s="57"/>
      <c r="CG69" s="57"/>
      <c r="CH69" s="57"/>
      <c r="CI69" s="57"/>
      <c r="CJ69" s="57"/>
      <c r="CK69" s="57"/>
      <c r="CL69" s="57"/>
      <c r="CM69" s="57"/>
      <c r="CN69" s="57"/>
      <c r="CO69" s="57"/>
      <c r="CP69" s="57"/>
      <c r="CQ69" s="57"/>
      <c r="CR69" s="57"/>
      <c r="CS69" s="57"/>
      <c r="CT69" s="57"/>
      <c r="CU69" s="57"/>
      <c r="CV69" s="57"/>
      <c r="CW69" s="57"/>
      <c r="CX69" s="57"/>
      <c r="CY69" s="57"/>
      <c r="CZ69" s="57"/>
      <c r="DA69" s="57">
        <f t="shared" si="36"/>
        <v>1</v>
      </c>
      <c r="DB69" s="57">
        <f t="shared" si="37"/>
        <v>1</v>
      </c>
      <c r="DC69" s="57">
        <v>0.15</v>
      </c>
      <c r="DD69" s="57">
        <f t="shared" si="38"/>
        <v>1</v>
      </c>
      <c r="DE69" s="57">
        <v>30</v>
      </c>
      <c r="DF69" s="61" t="s">
        <v>194</v>
      </c>
      <c r="DG69" s="57"/>
      <c r="DH69" s="57"/>
      <c r="DI69" s="92"/>
      <c r="DJ69" s="93"/>
      <c r="DK69" s="94"/>
      <c r="DL69" s="93"/>
      <c r="DM69" s="95"/>
      <c r="DN69" s="93"/>
      <c r="DO69" s="85"/>
      <c r="DP69" s="82">
        <f t="shared" si="40"/>
        <v>0</v>
      </c>
      <c r="DQ69" s="95" t="s">
        <v>158</v>
      </c>
      <c r="DR69" s="93">
        <v>150</v>
      </c>
      <c r="DS69" s="96">
        <v>315</v>
      </c>
      <c r="DT69" s="94"/>
      <c r="DU69" s="93"/>
      <c r="DV69" s="95"/>
      <c r="DW69" s="93"/>
      <c r="DX69" s="85"/>
      <c r="DY69" s="83"/>
      <c r="DZ69" s="87"/>
      <c r="EA69" s="89"/>
      <c r="EB69" s="85"/>
      <c r="EC69" s="87"/>
      <c r="ED69" s="87"/>
      <c r="EE69" s="89"/>
      <c r="EF69" s="85"/>
      <c r="EG69" s="87"/>
      <c r="EH69" s="87"/>
      <c r="EI69" s="87"/>
      <c r="EJ69" s="85"/>
      <c r="EK69" s="87"/>
      <c r="EL69" s="87"/>
      <c r="EM69" s="87"/>
      <c r="EN69" s="85"/>
      <c r="EO69" s="87"/>
      <c r="EP69" s="87"/>
      <c r="EQ69" s="87"/>
      <c r="ER69" s="85"/>
      <c r="ES69" s="87"/>
      <c r="ET69" s="87"/>
      <c r="EU69" s="87"/>
      <c r="EV69" s="87"/>
      <c r="EW69" s="87"/>
      <c r="EX69" s="87"/>
      <c r="EY69" s="85"/>
      <c r="EZ69" s="87"/>
      <c r="FA69" s="87"/>
      <c r="FB69" s="87"/>
      <c r="FC69" s="85"/>
      <c r="FD69" s="85"/>
      <c r="FE69" s="87"/>
      <c r="FF69" s="87"/>
      <c r="FG69" s="87"/>
      <c r="FH69" s="85"/>
      <c r="FI69" s="87"/>
      <c r="FJ69" s="87"/>
      <c r="FK69" s="87"/>
      <c r="FL69" s="85"/>
      <c r="FM69" s="87"/>
      <c r="FN69" s="87"/>
      <c r="FO69" s="89"/>
      <c r="FP69" s="57"/>
      <c r="FQ69" s="61"/>
    </row>
    <row r="70" spans="2:173" x14ac:dyDescent="0.25">
      <c r="AZ70" s="54"/>
      <c r="BA70" s="57"/>
      <c r="BB70" s="57"/>
      <c r="BC70" s="57"/>
      <c r="BD70" s="57"/>
      <c r="BE70" s="57"/>
      <c r="BF70" s="57"/>
      <c r="BG70" s="57"/>
      <c r="BH70" s="57"/>
      <c r="BI70" s="57"/>
      <c r="BJ70" s="57"/>
      <c r="BK70" s="57"/>
      <c r="BL70" s="57"/>
      <c r="BM70" s="57"/>
      <c r="BN70" s="57"/>
      <c r="BO70" s="57"/>
      <c r="BP70" s="57"/>
      <c r="BQ70" s="57"/>
      <c r="BR70" s="57"/>
      <c r="BS70" s="57"/>
      <c r="BT70" s="57"/>
      <c r="BU70" s="57"/>
      <c r="BV70" s="57"/>
      <c r="BW70" s="57"/>
      <c r="BX70" s="57"/>
      <c r="BY70" s="57"/>
      <c r="BZ70" s="57"/>
      <c r="CA70" s="57"/>
      <c r="CB70" s="57"/>
      <c r="CC70" s="57"/>
      <c r="CD70" s="57"/>
      <c r="CE70" s="57"/>
      <c r="CF70" s="57"/>
      <c r="CG70" s="57"/>
      <c r="CH70" s="57"/>
      <c r="CI70" s="57"/>
      <c r="CJ70" s="57"/>
      <c r="CK70" s="57"/>
      <c r="CL70" s="57"/>
      <c r="CM70" s="57"/>
      <c r="CN70" s="57"/>
      <c r="CO70" s="57"/>
      <c r="CP70" s="57"/>
      <c r="CQ70" s="57"/>
      <c r="CR70" s="57"/>
      <c r="CS70" s="57"/>
      <c r="CT70" s="57"/>
      <c r="CU70" s="57"/>
      <c r="CV70" s="57"/>
      <c r="CW70" s="57"/>
      <c r="CX70" s="57"/>
      <c r="CY70" s="57"/>
      <c r="CZ70" s="57"/>
      <c r="DA70" s="57">
        <f t="shared" si="36"/>
        <v>1</v>
      </c>
      <c r="DB70" s="57">
        <f t="shared" si="37"/>
        <v>1</v>
      </c>
      <c r="DC70" s="57">
        <v>0.2</v>
      </c>
      <c r="DD70" s="57">
        <f t="shared" si="38"/>
        <v>1</v>
      </c>
      <c r="DE70" s="57">
        <v>11</v>
      </c>
      <c r="DF70" s="61" t="s">
        <v>184</v>
      </c>
      <c r="DG70" s="57"/>
      <c r="DH70" s="57"/>
      <c r="DI70" s="57"/>
      <c r="DJ70" s="57"/>
      <c r="DK70" s="57"/>
      <c r="DL70" s="57"/>
      <c r="DM70" s="57"/>
      <c r="DN70" s="57"/>
      <c r="DO70" s="57"/>
      <c r="DP70" s="57"/>
      <c r="DQ70" s="57"/>
      <c r="DR70" s="57"/>
      <c r="DS70" s="57"/>
      <c r="DT70" s="57"/>
      <c r="DU70" s="57"/>
      <c r="DV70" s="57"/>
      <c r="DW70" s="57"/>
      <c r="DX70" s="57"/>
      <c r="DY70" s="57"/>
      <c r="DZ70" s="57"/>
      <c r="EA70" s="57"/>
      <c r="EB70" s="57"/>
      <c r="EC70" s="57"/>
      <c r="ED70" s="57"/>
      <c r="EE70" s="57"/>
      <c r="EF70" s="57"/>
      <c r="EG70" s="57"/>
      <c r="EH70" s="57"/>
      <c r="EI70" s="57"/>
      <c r="EJ70" s="57"/>
      <c r="EK70" s="57"/>
      <c r="EL70" s="57"/>
      <c r="EM70" s="57"/>
      <c r="EN70" s="57"/>
      <c r="EO70" s="57"/>
      <c r="EP70" s="57"/>
      <c r="EQ70" s="57"/>
      <c r="ER70" s="57"/>
      <c r="ES70" s="57"/>
      <c r="ET70" s="57"/>
      <c r="EU70" s="57"/>
      <c r="EV70" s="57"/>
      <c r="EW70" s="57"/>
      <c r="EX70" s="57"/>
      <c r="EY70" s="57"/>
      <c r="EZ70" s="57"/>
      <c r="FA70" s="57"/>
      <c r="FB70" s="57"/>
      <c r="FC70" s="57"/>
      <c r="FD70" s="57"/>
      <c r="FE70" s="57"/>
      <c r="FF70" s="57"/>
      <c r="FG70" s="57"/>
      <c r="FH70" s="57"/>
      <c r="FI70" s="57"/>
      <c r="FJ70" s="57"/>
      <c r="FK70" s="57"/>
      <c r="FL70" s="57"/>
      <c r="FM70" s="57"/>
      <c r="FN70" s="57"/>
      <c r="FO70" s="57"/>
      <c r="FP70" s="57"/>
      <c r="FQ70" s="61"/>
    </row>
    <row r="71" spans="2:173" x14ac:dyDescent="0.25">
      <c r="AZ71" s="54"/>
      <c r="BA71" s="57"/>
      <c r="BB71" s="57"/>
      <c r="BC71" s="57"/>
      <c r="BD71" s="57"/>
      <c r="BE71" s="57"/>
      <c r="BF71" s="57"/>
      <c r="BG71" s="57"/>
      <c r="BH71" s="57"/>
      <c r="BI71" s="57"/>
      <c r="BJ71" s="57"/>
      <c r="BK71" s="57"/>
      <c r="BL71" s="57"/>
      <c r="BM71" s="57"/>
      <c r="BN71" s="57"/>
      <c r="BO71" s="57"/>
      <c r="BP71" s="57"/>
      <c r="BQ71" s="57"/>
      <c r="BR71" s="57"/>
      <c r="BS71" s="57"/>
      <c r="BT71" s="57"/>
      <c r="BU71" s="57"/>
      <c r="BV71" s="57"/>
      <c r="BW71" s="57"/>
      <c r="BX71" s="57"/>
      <c r="BY71" s="57"/>
      <c r="BZ71" s="57"/>
      <c r="CA71" s="57"/>
      <c r="CB71" s="57"/>
      <c r="CC71" s="57"/>
      <c r="CD71" s="57"/>
      <c r="CE71" s="57"/>
      <c r="CF71" s="57"/>
      <c r="CG71" s="57"/>
      <c r="CH71" s="57"/>
      <c r="CI71" s="57"/>
      <c r="CJ71" s="57"/>
      <c r="CK71" s="57"/>
      <c r="CL71" s="57"/>
      <c r="CM71" s="57"/>
      <c r="CN71" s="57"/>
      <c r="CO71" s="57"/>
      <c r="CP71" s="57"/>
      <c r="CQ71" s="57"/>
      <c r="CR71" s="57"/>
      <c r="CS71" s="57"/>
      <c r="CT71" s="57"/>
      <c r="CU71" s="57"/>
      <c r="CV71" s="57"/>
      <c r="CW71" s="57"/>
      <c r="CX71" s="57"/>
      <c r="CY71" s="57"/>
      <c r="CZ71" s="57"/>
      <c r="DA71" s="57">
        <f t="shared" si="36"/>
        <v>1</v>
      </c>
      <c r="DB71" s="57">
        <f t="shared" si="37"/>
        <v>1</v>
      </c>
      <c r="DC71" s="57">
        <v>0.2</v>
      </c>
      <c r="DD71" s="57">
        <f t="shared" si="38"/>
        <v>1</v>
      </c>
      <c r="DE71" s="57">
        <v>26</v>
      </c>
      <c r="DF71" s="61" t="s">
        <v>189</v>
      </c>
      <c r="DG71" s="57"/>
      <c r="DH71" s="57"/>
      <c r="DI71" s="57"/>
      <c r="DJ71" s="57"/>
      <c r="DK71" s="57"/>
      <c r="DL71" s="57"/>
      <c r="DM71" s="57"/>
      <c r="DN71" s="57"/>
      <c r="DO71" s="57"/>
      <c r="DP71" s="57"/>
      <c r="DQ71" s="57"/>
      <c r="DR71" s="57"/>
      <c r="DS71" s="57"/>
      <c r="DT71" s="57"/>
      <c r="DU71" s="57"/>
      <c r="DV71" s="57"/>
      <c r="DW71" s="57"/>
      <c r="DX71" s="57"/>
      <c r="DY71" s="57"/>
      <c r="DZ71" s="57"/>
      <c r="EA71" s="57"/>
      <c r="EB71" s="57"/>
      <c r="EC71" s="57"/>
      <c r="ED71" s="57"/>
      <c r="EE71" s="57"/>
      <c r="EF71" s="57"/>
      <c r="EG71" s="57"/>
      <c r="EH71" s="57"/>
      <c r="EI71" s="57"/>
      <c r="EJ71" s="57"/>
      <c r="EK71" s="57"/>
      <c r="EL71" s="57"/>
      <c r="EM71" s="57"/>
      <c r="EN71" s="57"/>
      <c r="EO71" s="57"/>
      <c r="EP71" s="57"/>
      <c r="EQ71" s="57"/>
      <c r="ER71" s="57"/>
      <c r="ES71" s="57"/>
      <c r="ET71" s="57"/>
      <c r="EU71" s="57"/>
      <c r="EV71" s="57"/>
      <c r="EW71" s="57"/>
      <c r="EX71" s="57"/>
      <c r="EY71" s="57"/>
      <c r="EZ71" s="57"/>
      <c r="FA71" s="57"/>
      <c r="FB71" s="57"/>
      <c r="FC71" s="57"/>
      <c r="FD71" s="57"/>
      <c r="FE71" s="57"/>
      <c r="FF71" s="57"/>
      <c r="FG71" s="57"/>
      <c r="FH71" s="57"/>
      <c r="FI71" s="57"/>
      <c r="FJ71" s="57"/>
      <c r="FK71" s="57"/>
      <c r="FL71" s="57"/>
      <c r="FM71" s="57"/>
      <c r="FN71" s="57"/>
      <c r="FO71" s="57"/>
      <c r="FP71" s="57"/>
      <c r="FQ71" s="61"/>
    </row>
    <row r="72" spans="2:173" x14ac:dyDescent="0.25">
      <c r="AZ72" s="54"/>
      <c r="BA72" s="174" t="s">
        <v>214</v>
      </c>
      <c r="BB72" s="174"/>
      <c r="BC72" s="174"/>
      <c r="BD72" s="174"/>
      <c r="BE72" s="174"/>
      <c r="BF72" s="57"/>
      <c r="BG72" s="57"/>
      <c r="BH72" s="57"/>
      <c r="BI72" s="57"/>
      <c r="BJ72" s="57"/>
      <c r="BK72" s="57"/>
      <c r="BL72" s="57"/>
      <c r="BM72" s="57"/>
      <c r="BN72" s="57"/>
      <c r="BO72" s="57"/>
      <c r="BP72" s="57"/>
      <c r="BQ72" s="57"/>
      <c r="BR72" s="57"/>
      <c r="BS72" s="57"/>
      <c r="BT72" s="57"/>
      <c r="BU72" s="57"/>
      <c r="BV72" s="57"/>
      <c r="BW72" s="57"/>
      <c r="BX72" s="57"/>
      <c r="BY72" s="57"/>
      <c r="BZ72" s="57"/>
      <c r="CA72" s="57"/>
      <c r="CB72" s="57"/>
      <c r="CC72" s="57"/>
      <c r="CD72" s="57"/>
      <c r="CE72" s="57"/>
      <c r="CF72" s="57"/>
      <c r="CG72" s="57"/>
      <c r="CH72" s="57"/>
      <c r="CI72" s="57"/>
      <c r="CJ72" s="57"/>
      <c r="CK72" s="57"/>
      <c r="CL72" s="57"/>
      <c r="CM72" s="57"/>
      <c r="CN72" s="57"/>
      <c r="CO72" s="57"/>
      <c r="CP72" s="57"/>
      <c r="CQ72" s="57"/>
      <c r="CR72" s="57"/>
      <c r="CS72" s="57"/>
      <c r="CT72" s="57"/>
      <c r="CU72" s="57"/>
      <c r="CV72" s="57"/>
      <c r="CW72" s="57"/>
      <c r="CX72" s="57"/>
      <c r="CY72" s="57"/>
      <c r="CZ72" s="57"/>
      <c r="DA72" s="57">
        <f t="shared" si="36"/>
        <v>1</v>
      </c>
      <c r="DB72" s="57">
        <f t="shared" si="37"/>
        <v>1</v>
      </c>
      <c r="DC72" s="57">
        <v>0.2</v>
      </c>
      <c r="DD72" s="57">
        <f t="shared" si="38"/>
        <v>1</v>
      </c>
      <c r="DE72" s="57">
        <v>38</v>
      </c>
      <c r="DF72" s="61" t="s">
        <v>194</v>
      </c>
      <c r="DG72" s="57"/>
      <c r="DH72" s="57"/>
      <c r="DI72" s="57"/>
      <c r="DJ72" s="57"/>
      <c r="DK72" s="57"/>
      <c r="DL72" s="57"/>
      <c r="DM72" s="57"/>
      <c r="DN72" s="57"/>
      <c r="DO72" s="57"/>
      <c r="DP72" s="57"/>
      <c r="DQ72" s="57"/>
      <c r="DR72" s="57"/>
      <c r="DS72" s="57"/>
      <c r="DT72" s="57"/>
      <c r="DU72" s="57"/>
      <c r="DV72" s="57"/>
      <c r="DW72" s="57"/>
      <c r="DX72" s="57"/>
      <c r="DY72" s="57"/>
      <c r="DZ72" s="57"/>
      <c r="EA72" s="57"/>
      <c r="EB72" s="57"/>
      <c r="EC72" s="57"/>
      <c r="ED72" s="57"/>
      <c r="EE72" s="57"/>
      <c r="EF72" s="57"/>
      <c r="EG72" s="57"/>
      <c r="EH72" s="57"/>
      <c r="EI72" s="57"/>
      <c r="EJ72" s="57"/>
      <c r="EK72" s="57"/>
      <c r="EL72" s="57"/>
      <c r="EM72" s="57"/>
      <c r="EN72" s="57"/>
      <c r="EO72" s="57"/>
      <c r="EP72" s="57"/>
      <c r="EQ72" s="57"/>
      <c r="ER72" s="57"/>
      <c r="ES72" s="57"/>
      <c r="ET72" s="57"/>
      <c r="EU72" s="57"/>
      <c r="EV72" s="57"/>
      <c r="EW72" s="57"/>
      <c r="EX72" s="57"/>
      <c r="EY72" s="57"/>
      <c r="EZ72" s="57"/>
      <c r="FA72" s="57"/>
      <c r="FB72" s="57"/>
      <c r="FC72" s="57"/>
      <c r="FD72" s="57"/>
      <c r="FE72" s="57"/>
      <c r="FF72" s="57"/>
      <c r="FG72" s="57"/>
      <c r="FH72" s="57"/>
      <c r="FI72" s="57"/>
      <c r="FJ72" s="57"/>
      <c r="FK72" s="57"/>
      <c r="FL72" s="57"/>
      <c r="FM72" s="57"/>
      <c r="FN72" s="57"/>
      <c r="FO72" s="57"/>
      <c r="FP72" s="57"/>
      <c r="FQ72" s="61"/>
    </row>
    <row r="73" spans="2:173" x14ac:dyDescent="0.25">
      <c r="AZ73" s="54"/>
      <c r="BA73" s="174"/>
      <c r="BB73" s="174"/>
      <c r="BC73" s="174"/>
      <c r="BD73" s="174"/>
      <c r="BE73" s="174"/>
      <c r="BF73" s="57"/>
      <c r="BG73" s="57"/>
      <c r="BH73" s="57"/>
      <c r="BI73" s="57"/>
      <c r="BJ73" s="57"/>
      <c r="BK73" s="57"/>
      <c r="BL73" s="57"/>
      <c r="BM73" s="57"/>
      <c r="BN73" s="57"/>
      <c r="BO73" s="57"/>
      <c r="BP73" s="57"/>
      <c r="BQ73" s="57"/>
      <c r="BR73" s="57"/>
      <c r="BS73" s="57"/>
      <c r="BT73" s="57"/>
      <c r="BU73" s="57"/>
      <c r="BV73" s="57"/>
      <c r="BW73" s="57"/>
      <c r="BX73" s="57"/>
      <c r="BY73" s="57"/>
      <c r="BZ73" s="57"/>
      <c r="CA73" s="57"/>
      <c r="CB73" s="57"/>
      <c r="CC73" s="57"/>
      <c r="CD73" s="57"/>
      <c r="CE73" s="57"/>
      <c r="CF73" s="57"/>
      <c r="CG73" s="57"/>
      <c r="CH73" s="57"/>
      <c r="CI73" s="57"/>
      <c r="CJ73" s="57"/>
      <c r="CK73" s="57"/>
      <c r="CL73" s="57"/>
      <c r="CM73" s="57"/>
      <c r="CN73" s="57"/>
      <c r="CO73" s="57"/>
      <c r="CP73" s="57"/>
      <c r="CQ73" s="57"/>
      <c r="CR73" s="57"/>
      <c r="CS73" s="57"/>
      <c r="CT73" s="57"/>
      <c r="CU73" s="57"/>
      <c r="CV73" s="57"/>
      <c r="CW73" s="57"/>
      <c r="CX73" s="57"/>
      <c r="CY73" s="57"/>
      <c r="CZ73" s="57"/>
      <c r="DA73" s="57">
        <f t="shared" si="36"/>
        <v>1</v>
      </c>
      <c r="DB73" s="57">
        <f t="shared" si="37"/>
        <v>1</v>
      </c>
      <c r="DC73" s="57">
        <v>0.2</v>
      </c>
      <c r="DD73" s="57">
        <f t="shared" si="38"/>
        <v>1</v>
      </c>
      <c r="DE73" s="57">
        <v>40</v>
      </c>
      <c r="DF73" s="61" t="s">
        <v>200</v>
      </c>
      <c r="DG73" s="57"/>
      <c r="DH73" s="57"/>
      <c r="DI73" s="57"/>
      <c r="DJ73" s="57"/>
      <c r="DK73" s="57"/>
      <c r="DL73" s="57"/>
      <c r="DM73" s="57"/>
      <c r="DN73" s="57"/>
      <c r="DO73" s="57"/>
      <c r="DP73" s="57"/>
      <c r="DQ73" s="57"/>
      <c r="DR73" s="57"/>
      <c r="DS73" s="57"/>
      <c r="DT73" s="57"/>
      <c r="DU73" s="57"/>
      <c r="DV73" s="57"/>
      <c r="DW73" s="57"/>
      <c r="DX73" s="57"/>
      <c r="DY73" s="57"/>
      <c r="DZ73" s="57"/>
      <c r="EA73" s="57"/>
      <c r="EB73" s="57"/>
      <c r="EC73" s="57"/>
      <c r="ED73" s="57"/>
      <c r="EE73" s="57"/>
      <c r="EF73" s="57"/>
      <c r="EG73" s="57"/>
      <c r="EH73" s="57"/>
      <c r="EI73" s="57"/>
      <c r="EJ73" s="57"/>
      <c r="EK73" s="57"/>
      <c r="EL73" s="57"/>
      <c r="EM73" s="57"/>
      <c r="EN73" s="57"/>
      <c r="EO73" s="57"/>
      <c r="EP73" s="57"/>
      <c r="EQ73" s="57"/>
      <c r="ER73" s="57"/>
      <c r="ES73" s="57"/>
      <c r="ET73" s="57"/>
      <c r="EU73" s="57"/>
      <c r="EV73" s="57"/>
      <c r="EW73" s="57"/>
      <c r="EX73" s="57"/>
      <c r="EY73" s="57"/>
      <c r="EZ73" s="57"/>
      <c r="FA73" s="57"/>
      <c r="FB73" s="57"/>
      <c r="FC73" s="57"/>
      <c r="FD73" s="57"/>
      <c r="FE73" s="57"/>
      <c r="FF73" s="57"/>
      <c r="FG73" s="57"/>
      <c r="FH73" s="57"/>
      <c r="FI73" s="57"/>
      <c r="FJ73" s="57"/>
      <c r="FK73" s="57"/>
      <c r="FL73" s="57"/>
      <c r="FM73" s="57"/>
      <c r="FN73" s="57"/>
      <c r="FO73" s="57"/>
      <c r="FP73" s="57"/>
      <c r="FQ73" s="61"/>
    </row>
    <row r="74" spans="2:173" x14ac:dyDescent="0.25">
      <c r="AZ74" s="54"/>
      <c r="BA74" s="174"/>
      <c r="BB74" s="174"/>
      <c r="BC74" s="174"/>
      <c r="BD74" s="174"/>
      <c r="BE74" s="174"/>
      <c r="BF74" s="57"/>
      <c r="BG74" s="57"/>
      <c r="BH74" s="57"/>
      <c r="BI74" s="57"/>
      <c r="BJ74" s="57"/>
      <c r="BK74" s="57"/>
      <c r="BL74" s="57"/>
      <c r="BM74" s="57"/>
      <c r="BN74" s="57"/>
      <c r="BO74" s="57"/>
      <c r="BP74" s="57"/>
      <c r="BQ74" s="57"/>
      <c r="BR74" s="57"/>
      <c r="BS74" s="57"/>
      <c r="BT74" s="57"/>
      <c r="BU74" s="57"/>
      <c r="BV74" s="57"/>
      <c r="BW74" s="57"/>
      <c r="BX74" s="57"/>
      <c r="BY74" s="57"/>
      <c r="BZ74" s="57"/>
      <c r="CA74" s="57"/>
      <c r="CB74" s="57"/>
      <c r="CC74" s="57"/>
      <c r="CD74" s="57"/>
      <c r="CE74" s="57"/>
      <c r="CF74" s="57"/>
      <c r="CG74" s="57"/>
      <c r="CH74" s="57"/>
      <c r="CI74" s="57"/>
      <c r="CJ74" s="57"/>
      <c r="CK74" s="57"/>
      <c r="CL74" s="57"/>
      <c r="CM74" s="57"/>
      <c r="CN74" s="57"/>
      <c r="CO74" s="57"/>
      <c r="CP74" s="57"/>
      <c r="CQ74" s="57"/>
      <c r="CR74" s="57"/>
      <c r="CS74" s="57"/>
      <c r="CT74" s="57"/>
      <c r="CU74" s="57"/>
      <c r="CV74" s="57"/>
      <c r="CW74" s="57"/>
      <c r="CX74" s="57"/>
      <c r="CY74" s="57"/>
      <c r="CZ74" s="57"/>
      <c r="DA74" s="57">
        <f t="shared" si="36"/>
        <v>1</v>
      </c>
      <c r="DB74" s="57">
        <f t="shared" si="37"/>
        <v>1</v>
      </c>
      <c r="DC74" s="57">
        <v>0.25</v>
      </c>
      <c r="DD74" s="57">
        <f t="shared" si="38"/>
        <v>1</v>
      </c>
      <c r="DE74" s="57">
        <v>23</v>
      </c>
      <c r="DF74" s="61" t="s">
        <v>189</v>
      </c>
      <c r="DG74" s="57"/>
      <c r="DH74" s="57"/>
      <c r="DI74" s="57"/>
      <c r="DJ74" s="57"/>
      <c r="DK74" s="57"/>
      <c r="DL74" s="57"/>
      <c r="DM74" s="57"/>
      <c r="DN74" s="57"/>
      <c r="DO74" s="57"/>
      <c r="DP74" s="57"/>
      <c r="DQ74" s="57"/>
      <c r="DR74" s="57"/>
      <c r="DS74" s="57"/>
      <c r="DT74" s="57"/>
      <c r="DU74" s="57"/>
      <c r="DV74" s="57"/>
      <c r="DW74" s="57"/>
      <c r="DX74" s="57"/>
      <c r="DY74" s="57"/>
      <c r="DZ74" s="57"/>
      <c r="EA74" s="57"/>
      <c r="EB74" s="57"/>
      <c r="EC74" s="57"/>
      <c r="ED74" s="57"/>
      <c r="EE74" s="57"/>
      <c r="EF74" s="57"/>
      <c r="EG74" s="57"/>
      <c r="EH74" s="57"/>
      <c r="EI74" s="57"/>
      <c r="EJ74" s="57"/>
      <c r="EK74" s="57"/>
      <c r="EL74" s="57"/>
      <c r="EM74" s="57"/>
      <c r="EN74" s="57"/>
      <c r="EO74" s="57"/>
      <c r="EP74" s="57"/>
      <c r="EQ74" s="57"/>
      <c r="ER74" s="57"/>
      <c r="ES74" s="57"/>
      <c r="ET74" s="57"/>
      <c r="EU74" s="57"/>
      <c r="EV74" s="57"/>
      <c r="EW74" s="57"/>
      <c r="EX74" s="57"/>
      <c r="EY74" s="57"/>
      <c r="EZ74" s="57"/>
      <c r="FA74" s="57"/>
      <c r="FB74" s="57"/>
      <c r="FC74" s="57"/>
      <c r="FD74" s="57"/>
      <c r="FE74" s="57"/>
      <c r="FF74" s="57"/>
      <c r="FG74" s="57"/>
      <c r="FH74" s="57"/>
      <c r="FI74" s="57"/>
      <c r="FJ74" s="57"/>
      <c r="FK74" s="57"/>
      <c r="FL74" s="57"/>
      <c r="FM74" s="57"/>
      <c r="FN74" s="57"/>
      <c r="FO74" s="57"/>
      <c r="FP74" s="57"/>
      <c r="FQ74" s="61"/>
    </row>
    <row r="75" spans="2:173" x14ac:dyDescent="0.25">
      <c r="AZ75" s="54"/>
      <c r="BA75" s="174"/>
      <c r="BB75" s="174"/>
      <c r="BC75" s="174"/>
      <c r="BD75" s="174"/>
      <c r="BE75" s="174"/>
      <c r="BF75" s="57"/>
      <c r="BG75" s="57"/>
      <c r="BH75" s="57"/>
      <c r="BI75" s="57"/>
      <c r="BJ75" s="57"/>
      <c r="BK75" s="57"/>
      <c r="BL75" s="57"/>
      <c r="BM75" s="57"/>
      <c r="BN75" s="57"/>
      <c r="BO75" s="57"/>
      <c r="BP75" s="57"/>
      <c r="BQ75" s="57"/>
      <c r="BR75" s="57"/>
      <c r="BS75" s="57"/>
      <c r="BT75" s="57"/>
      <c r="BU75" s="57"/>
      <c r="BV75" s="57"/>
      <c r="BW75" s="57"/>
      <c r="BX75" s="57"/>
      <c r="BY75" s="57"/>
      <c r="BZ75" s="57"/>
      <c r="CA75" s="57"/>
      <c r="CB75" s="57"/>
      <c r="CC75" s="57"/>
      <c r="CD75" s="57"/>
      <c r="CE75" s="57"/>
      <c r="CF75" s="57"/>
      <c r="CG75" s="57"/>
      <c r="CH75" s="57"/>
      <c r="CI75" s="57"/>
      <c r="CJ75" s="57"/>
      <c r="CK75" s="57"/>
      <c r="CL75" s="57"/>
      <c r="CM75" s="57"/>
      <c r="CN75" s="57"/>
      <c r="CO75" s="57"/>
      <c r="CP75" s="57"/>
      <c r="CQ75" s="57"/>
      <c r="CR75" s="57"/>
      <c r="CS75" s="57"/>
      <c r="CT75" s="57"/>
      <c r="CU75" s="57"/>
      <c r="CV75" s="57"/>
      <c r="CW75" s="57"/>
      <c r="CX75" s="57"/>
      <c r="CY75" s="57"/>
      <c r="CZ75" s="57"/>
      <c r="DA75" s="57">
        <f t="shared" si="36"/>
        <v>1</v>
      </c>
      <c r="DB75" s="57">
        <f t="shared" si="37"/>
        <v>1</v>
      </c>
      <c r="DC75" s="57">
        <v>0.25</v>
      </c>
      <c r="DD75" s="57">
        <f t="shared" si="38"/>
        <v>1</v>
      </c>
      <c r="DE75" s="57">
        <v>36</v>
      </c>
      <c r="DF75" s="61" t="s">
        <v>194</v>
      </c>
      <c r="DG75" s="57"/>
      <c r="DH75" s="57"/>
      <c r="DI75" s="57"/>
      <c r="DJ75" s="57"/>
      <c r="DK75" s="57"/>
      <c r="DL75" s="57"/>
      <c r="DM75" s="57"/>
      <c r="DN75" s="57"/>
      <c r="DO75" s="57"/>
      <c r="DP75" s="57"/>
      <c r="DQ75" s="57"/>
      <c r="DR75" s="57"/>
      <c r="DS75" s="57"/>
      <c r="DT75" s="57"/>
      <c r="DU75" s="57"/>
      <c r="DV75" s="57"/>
      <c r="DW75" s="57"/>
      <c r="DX75" s="57"/>
      <c r="DY75" s="57"/>
      <c r="DZ75" s="57"/>
      <c r="EA75" s="57"/>
      <c r="EB75" s="57"/>
      <c r="EC75" s="57"/>
      <c r="ED75" s="57"/>
      <c r="EE75" s="57"/>
      <c r="EF75" s="57"/>
      <c r="EG75" s="57"/>
      <c r="EH75" s="57"/>
      <c r="EI75" s="57"/>
      <c r="EJ75" s="57"/>
      <c r="EK75" s="57"/>
      <c r="EL75" s="57"/>
      <c r="EM75" s="57"/>
      <c r="EN75" s="57"/>
      <c r="EO75" s="57"/>
      <c r="EP75" s="57"/>
      <c r="EQ75" s="57"/>
      <c r="ER75" s="57"/>
      <c r="ES75" s="57"/>
      <c r="ET75" s="57"/>
      <c r="EU75" s="57"/>
      <c r="EV75" s="57"/>
      <c r="EW75" s="57"/>
      <c r="EX75" s="57"/>
      <c r="EY75" s="57"/>
      <c r="EZ75" s="57"/>
      <c r="FA75" s="57"/>
      <c r="FB75" s="57"/>
      <c r="FC75" s="57"/>
      <c r="FD75" s="57"/>
      <c r="FE75" s="57"/>
      <c r="FF75" s="57"/>
      <c r="FG75" s="57"/>
      <c r="FH75" s="57"/>
      <c r="FI75" s="57"/>
      <c r="FJ75" s="57"/>
      <c r="FK75" s="57"/>
      <c r="FL75" s="57"/>
      <c r="FM75" s="57"/>
      <c r="FN75" s="57"/>
      <c r="FO75" s="57"/>
      <c r="FP75" s="57"/>
      <c r="FQ75" s="61"/>
    </row>
    <row r="76" spans="2:173" x14ac:dyDescent="0.25">
      <c r="AZ76" s="54"/>
      <c r="BA76" s="57"/>
      <c r="BB76" s="57"/>
      <c r="BC76" s="57"/>
      <c r="BD76" s="57"/>
      <c r="BE76" s="57"/>
      <c r="BF76" s="57"/>
      <c r="BG76" s="57"/>
      <c r="BH76" s="57"/>
      <c r="BI76" s="57"/>
      <c r="BJ76" s="57"/>
      <c r="BK76" s="57"/>
      <c r="BL76" s="57"/>
      <c r="BM76" s="57"/>
      <c r="BN76" s="57"/>
      <c r="BO76" s="57"/>
      <c r="BP76" s="57"/>
      <c r="BQ76" s="57"/>
      <c r="BR76" s="57"/>
      <c r="BS76" s="57"/>
      <c r="BT76" s="57"/>
      <c r="BU76" s="57"/>
      <c r="BV76" s="57"/>
      <c r="BW76" s="57"/>
      <c r="BX76" s="57"/>
      <c r="BY76" s="57"/>
      <c r="BZ76" s="57"/>
      <c r="CA76" s="57"/>
      <c r="CB76" s="57"/>
      <c r="CC76" s="57"/>
      <c r="CD76" s="57"/>
      <c r="CE76" s="57"/>
      <c r="CF76" s="57"/>
      <c r="CG76" s="57"/>
      <c r="CH76" s="57"/>
      <c r="CI76" s="57"/>
      <c r="CJ76" s="57"/>
      <c r="CK76" s="57"/>
      <c r="CL76" s="57"/>
      <c r="CM76" s="57"/>
      <c r="CN76" s="57"/>
      <c r="CO76" s="57"/>
      <c r="CP76" s="57"/>
      <c r="CQ76" s="57"/>
      <c r="CR76" s="57"/>
      <c r="CS76" s="57"/>
      <c r="CT76" s="57"/>
      <c r="CU76" s="57"/>
      <c r="CV76" s="57"/>
      <c r="CW76" s="57"/>
      <c r="CX76" s="57"/>
      <c r="CY76" s="57"/>
      <c r="CZ76" s="57"/>
      <c r="DA76" s="57">
        <f t="shared" si="36"/>
        <v>1</v>
      </c>
      <c r="DB76" s="57">
        <f t="shared" si="37"/>
        <v>1</v>
      </c>
      <c r="DC76" s="57">
        <v>0.25</v>
      </c>
      <c r="DD76" s="57">
        <f t="shared" si="38"/>
        <v>1</v>
      </c>
      <c r="DE76" s="57">
        <v>45</v>
      </c>
      <c r="DF76" s="61" t="s">
        <v>200</v>
      </c>
      <c r="DG76" s="57"/>
      <c r="DH76" s="57"/>
      <c r="DI76" s="57"/>
      <c r="DJ76" s="57"/>
      <c r="DK76" s="57"/>
      <c r="DL76" s="57"/>
      <c r="DM76" s="57"/>
      <c r="DN76" s="57"/>
      <c r="DO76" s="57"/>
      <c r="DP76" s="57"/>
      <c r="DQ76" s="57"/>
      <c r="DR76" s="57"/>
      <c r="DS76" s="57"/>
      <c r="DT76" s="57"/>
      <c r="DU76" s="57"/>
      <c r="DV76" s="57"/>
      <c r="DW76" s="57"/>
      <c r="DX76" s="57"/>
      <c r="DY76" s="57"/>
      <c r="DZ76" s="57"/>
      <c r="EA76" s="57"/>
      <c r="EB76" s="57"/>
      <c r="EC76" s="57"/>
      <c r="ED76" s="57"/>
      <c r="EE76" s="57"/>
      <c r="EF76" s="57"/>
      <c r="EG76" s="57"/>
      <c r="EH76" s="57"/>
      <c r="EI76" s="57"/>
      <c r="EJ76" s="57"/>
      <c r="EK76" s="57"/>
      <c r="EL76" s="57"/>
      <c r="EM76" s="57"/>
      <c r="EN76" s="57"/>
      <c r="EO76" s="57"/>
      <c r="EP76" s="57"/>
      <c r="EQ76" s="57"/>
      <c r="ER76" s="57"/>
      <c r="ES76" s="57"/>
      <c r="ET76" s="57"/>
      <c r="EU76" s="57"/>
      <c r="EV76" s="57"/>
      <c r="EW76" s="57"/>
      <c r="EX76" s="57"/>
      <c r="EY76" s="57"/>
      <c r="EZ76" s="57"/>
      <c r="FA76" s="57"/>
      <c r="FB76" s="57"/>
      <c r="FC76" s="57"/>
      <c r="FD76" s="57"/>
      <c r="FE76" s="57"/>
      <c r="FF76" s="57"/>
      <c r="FG76" s="57"/>
      <c r="FH76" s="57"/>
      <c r="FI76" s="57"/>
      <c r="FJ76" s="57"/>
      <c r="FK76" s="57"/>
      <c r="FL76" s="57"/>
      <c r="FM76" s="57"/>
      <c r="FN76" s="57"/>
      <c r="FO76" s="57"/>
      <c r="FP76" s="57"/>
      <c r="FQ76" s="61"/>
    </row>
    <row r="77" spans="2:173" x14ac:dyDescent="0.25">
      <c r="AZ77" s="54"/>
      <c r="BA77" s="57"/>
      <c r="BB77" s="57"/>
      <c r="BC77" s="57"/>
      <c r="BD77" s="57"/>
      <c r="BE77" s="57"/>
      <c r="BF77" s="57"/>
      <c r="BG77" s="57"/>
      <c r="BH77" s="57"/>
      <c r="BI77" s="57"/>
      <c r="BJ77" s="57"/>
      <c r="BK77" s="57"/>
      <c r="BL77" s="57"/>
      <c r="BM77" s="57"/>
      <c r="BN77" s="57"/>
      <c r="BO77" s="57"/>
      <c r="BP77" s="57"/>
      <c r="BQ77" s="57"/>
      <c r="BR77" s="57"/>
      <c r="BS77" s="57"/>
      <c r="BT77" s="57"/>
      <c r="BU77" s="57"/>
      <c r="BV77" s="57"/>
      <c r="BW77" s="57"/>
      <c r="BX77" s="57"/>
      <c r="BY77" s="57"/>
      <c r="BZ77" s="57"/>
      <c r="CA77" s="57"/>
      <c r="CB77" s="57"/>
      <c r="CC77" s="57"/>
      <c r="CD77" s="57"/>
      <c r="CE77" s="57"/>
      <c r="CF77" s="57"/>
      <c r="CG77" s="57"/>
      <c r="CH77" s="57"/>
      <c r="CI77" s="57"/>
      <c r="CJ77" s="57"/>
      <c r="CK77" s="57"/>
      <c r="CL77" s="57"/>
      <c r="CM77" s="57"/>
      <c r="CN77" s="57"/>
      <c r="CO77" s="57"/>
      <c r="CP77" s="57"/>
      <c r="CQ77" s="57"/>
      <c r="CR77" s="57"/>
      <c r="CS77" s="57"/>
      <c r="CT77" s="57"/>
      <c r="CU77" s="57"/>
      <c r="CV77" s="57"/>
      <c r="CW77" s="57"/>
      <c r="CX77" s="57"/>
      <c r="CY77" s="57"/>
      <c r="CZ77" s="57"/>
      <c r="DA77" s="57">
        <f t="shared" si="36"/>
        <v>1</v>
      </c>
      <c r="DB77" s="57">
        <f t="shared" si="37"/>
        <v>1</v>
      </c>
      <c r="DC77" s="57">
        <v>0.25</v>
      </c>
      <c r="DD77" s="57">
        <f t="shared" si="38"/>
        <v>1</v>
      </c>
      <c r="DE77" s="57">
        <v>50</v>
      </c>
      <c r="DF77" s="61" t="s">
        <v>207</v>
      </c>
      <c r="DG77" s="57"/>
      <c r="DH77" s="57"/>
      <c r="DI77" s="57"/>
      <c r="DJ77" s="57"/>
      <c r="DK77" s="57"/>
      <c r="DL77" s="57"/>
      <c r="DM77" s="57"/>
      <c r="DN77" s="57"/>
      <c r="DO77" s="57"/>
      <c r="DP77" s="57"/>
      <c r="DQ77" s="57"/>
      <c r="DR77" s="57"/>
      <c r="DS77" s="57"/>
      <c r="DT77" s="57"/>
      <c r="DU77" s="57"/>
      <c r="DV77" s="57"/>
      <c r="DW77" s="57"/>
      <c r="DX77" s="57"/>
      <c r="DY77" s="57"/>
      <c r="DZ77" s="57"/>
      <c r="EA77" s="57"/>
      <c r="EB77" s="57"/>
      <c r="EC77" s="57"/>
      <c r="ED77" s="57"/>
      <c r="EE77" s="57"/>
      <c r="EF77" s="57"/>
      <c r="EG77" s="57"/>
      <c r="EH77" s="57"/>
      <c r="EI77" s="57"/>
      <c r="EJ77" s="57"/>
      <c r="EK77" s="57"/>
      <c r="EL77" s="57"/>
      <c r="EM77" s="57"/>
      <c r="EN77" s="57"/>
      <c r="EO77" s="57"/>
      <c r="EP77" s="57"/>
      <c r="EQ77" s="57"/>
      <c r="ER77" s="57"/>
      <c r="ES77" s="57"/>
      <c r="ET77" s="57"/>
      <c r="EU77" s="57"/>
      <c r="EV77" s="57"/>
      <c r="EW77" s="57"/>
      <c r="EX77" s="57"/>
      <c r="EY77" s="57"/>
      <c r="EZ77" s="57"/>
      <c r="FA77" s="57"/>
      <c r="FB77" s="57"/>
      <c r="FC77" s="57"/>
      <c r="FD77" s="57"/>
      <c r="FE77" s="57"/>
      <c r="FF77" s="57"/>
      <c r="FG77" s="57"/>
      <c r="FH77" s="57"/>
      <c r="FI77" s="57"/>
      <c r="FJ77" s="57"/>
      <c r="FK77" s="57"/>
      <c r="FL77" s="57"/>
      <c r="FM77" s="57"/>
      <c r="FN77" s="57"/>
      <c r="FO77" s="57"/>
      <c r="FP77" s="57"/>
      <c r="FQ77" s="61"/>
    </row>
    <row r="78" spans="2:173" x14ac:dyDescent="0.25">
      <c r="AZ78" s="54"/>
      <c r="BA78" s="57"/>
      <c r="BB78" s="57"/>
      <c r="BC78" s="57"/>
      <c r="BD78" s="57"/>
      <c r="BE78" s="57"/>
      <c r="BF78" s="57"/>
      <c r="BG78" s="57"/>
      <c r="BH78" s="57"/>
      <c r="BI78" s="57"/>
      <c r="BJ78" s="57"/>
      <c r="BK78" s="57"/>
      <c r="BL78" s="57"/>
      <c r="BM78" s="57"/>
      <c r="BN78" s="57"/>
      <c r="BO78" s="57"/>
      <c r="BP78" s="57"/>
      <c r="BQ78" s="57"/>
      <c r="BR78" s="57"/>
      <c r="BS78" s="57"/>
      <c r="BT78" s="57"/>
      <c r="BU78" s="57"/>
      <c r="BV78" s="57"/>
      <c r="BW78" s="57"/>
      <c r="BX78" s="57"/>
      <c r="BY78" s="57"/>
      <c r="BZ78" s="57"/>
      <c r="CA78" s="57"/>
      <c r="CB78" s="57"/>
      <c r="CC78" s="57"/>
      <c r="CD78" s="57"/>
      <c r="CE78" s="57"/>
      <c r="CF78" s="57"/>
      <c r="CG78" s="57"/>
      <c r="CH78" s="57"/>
      <c r="CI78" s="57"/>
      <c r="CJ78" s="57"/>
      <c r="CK78" s="57"/>
      <c r="CL78" s="57"/>
      <c r="CM78" s="57"/>
      <c r="CN78" s="57"/>
      <c r="CO78" s="57"/>
      <c r="CP78" s="57"/>
      <c r="CQ78" s="57"/>
      <c r="CR78" s="57"/>
      <c r="CS78" s="57"/>
      <c r="CT78" s="57"/>
      <c r="CU78" s="57"/>
      <c r="CV78" s="57"/>
      <c r="CW78" s="57"/>
      <c r="CX78" s="57"/>
      <c r="CY78" s="57"/>
      <c r="CZ78" s="57"/>
      <c r="DA78" s="57">
        <f t="shared" si="36"/>
        <v>1</v>
      </c>
      <c r="DB78" s="57">
        <f t="shared" si="37"/>
        <v>1</v>
      </c>
      <c r="DC78" s="57">
        <v>0.3</v>
      </c>
      <c r="DD78" s="57">
        <f t="shared" si="38"/>
        <v>1</v>
      </c>
      <c r="DE78" s="57">
        <v>21</v>
      </c>
      <c r="DF78" s="61" t="s">
        <v>189</v>
      </c>
      <c r="DG78" s="57"/>
      <c r="DH78" s="57"/>
      <c r="DI78" s="57"/>
      <c r="DJ78" s="57"/>
      <c r="DK78" s="57"/>
      <c r="DL78" s="57"/>
      <c r="DM78" s="57"/>
      <c r="DN78" s="57"/>
      <c r="DO78" s="57"/>
      <c r="DP78" s="57"/>
      <c r="DQ78" s="57"/>
      <c r="DR78" s="57"/>
      <c r="DS78" s="57"/>
      <c r="DT78" s="57"/>
      <c r="DU78" s="57"/>
      <c r="DV78" s="57"/>
      <c r="DW78" s="57"/>
      <c r="DX78" s="57"/>
      <c r="DY78" s="57"/>
      <c r="DZ78" s="57"/>
      <c r="EA78" s="57"/>
      <c r="EB78" s="57"/>
      <c r="EC78" s="57"/>
      <c r="ED78" s="57"/>
      <c r="EE78" s="57"/>
      <c r="EF78" s="57"/>
      <c r="EG78" s="57"/>
      <c r="EH78" s="57"/>
      <c r="EI78" s="57"/>
      <c r="EJ78" s="57"/>
      <c r="EK78" s="57"/>
      <c r="EL78" s="57"/>
      <c r="EM78" s="57"/>
      <c r="EN78" s="57"/>
      <c r="EO78" s="57"/>
      <c r="EP78" s="57"/>
      <c r="EQ78" s="57"/>
      <c r="ER78" s="57"/>
      <c r="ES78" s="57"/>
      <c r="ET78" s="57"/>
      <c r="EU78" s="57"/>
      <c r="EV78" s="57"/>
      <c r="EW78" s="57"/>
      <c r="EX78" s="57"/>
      <c r="EY78" s="57"/>
      <c r="EZ78" s="57"/>
      <c r="FA78" s="57"/>
      <c r="FB78" s="57"/>
      <c r="FC78" s="57"/>
      <c r="FD78" s="57"/>
      <c r="FE78" s="57"/>
      <c r="FF78" s="57"/>
      <c r="FG78" s="57"/>
      <c r="FH78" s="57"/>
      <c r="FI78" s="57"/>
      <c r="FJ78" s="57"/>
      <c r="FK78" s="57"/>
      <c r="FL78" s="57"/>
      <c r="FM78" s="57"/>
      <c r="FN78" s="57"/>
      <c r="FO78" s="57"/>
      <c r="FP78" s="57"/>
      <c r="FQ78" s="61"/>
    </row>
    <row r="79" spans="2:173" x14ac:dyDescent="0.25">
      <c r="AZ79" s="54"/>
      <c r="BA79" s="57"/>
      <c r="BB79" s="57"/>
      <c r="BC79" s="57"/>
      <c r="BD79" s="57"/>
      <c r="BE79" s="57"/>
      <c r="BF79" s="57"/>
      <c r="BG79" s="57"/>
      <c r="BH79" s="57"/>
      <c r="BI79" s="57"/>
      <c r="BJ79" s="57"/>
      <c r="BK79" s="57"/>
      <c r="BL79" s="57"/>
      <c r="BM79" s="57"/>
      <c r="BN79" s="57"/>
      <c r="BO79" s="57"/>
      <c r="BP79" s="57"/>
      <c r="BQ79" s="57"/>
      <c r="BR79" s="57"/>
      <c r="BS79" s="57"/>
      <c r="BT79" s="57"/>
      <c r="BU79" s="57"/>
      <c r="BV79" s="57"/>
      <c r="BW79" s="57"/>
      <c r="BX79" s="57"/>
      <c r="BY79" s="57"/>
      <c r="BZ79" s="57"/>
      <c r="CA79" s="57"/>
      <c r="CB79" s="57"/>
      <c r="CC79" s="57"/>
      <c r="CD79" s="57"/>
      <c r="CE79" s="57"/>
      <c r="CF79" s="57"/>
      <c r="CG79" s="57"/>
      <c r="CH79" s="57"/>
      <c r="CI79" s="57"/>
      <c r="CJ79" s="57"/>
      <c r="CK79" s="57"/>
      <c r="CL79" s="57"/>
      <c r="CM79" s="57"/>
      <c r="CN79" s="57"/>
      <c r="CO79" s="57"/>
      <c r="CP79" s="57"/>
      <c r="CQ79" s="57"/>
      <c r="CR79" s="57"/>
      <c r="CS79" s="57"/>
      <c r="CT79" s="57"/>
      <c r="CU79" s="57"/>
      <c r="CV79" s="57"/>
      <c r="CW79" s="57"/>
      <c r="CX79" s="57"/>
      <c r="CY79" s="57"/>
      <c r="CZ79" s="57"/>
      <c r="DA79" s="57">
        <f t="shared" si="36"/>
        <v>1</v>
      </c>
      <c r="DB79" s="57">
        <f t="shared" si="37"/>
        <v>1</v>
      </c>
      <c r="DC79" s="57">
        <v>0.3</v>
      </c>
      <c r="DD79" s="57">
        <f t="shared" si="38"/>
        <v>1</v>
      </c>
      <c r="DE79" s="57">
        <v>33</v>
      </c>
      <c r="DF79" s="61" t="s">
        <v>194</v>
      </c>
      <c r="DG79" s="57"/>
      <c r="DH79" s="57"/>
      <c r="DI79" s="57"/>
      <c r="DJ79" s="57"/>
      <c r="DK79" s="57"/>
      <c r="DL79" s="57"/>
      <c r="DM79" s="57"/>
      <c r="DN79" s="57"/>
      <c r="DO79" s="57"/>
      <c r="DP79" s="57"/>
      <c r="DQ79" s="57"/>
      <c r="DR79" s="57"/>
      <c r="DS79" s="57"/>
      <c r="DT79" s="57"/>
      <c r="DU79" s="57"/>
      <c r="DV79" s="57"/>
      <c r="DW79" s="57"/>
      <c r="DX79" s="57"/>
      <c r="DY79" s="57"/>
      <c r="DZ79" s="57"/>
      <c r="EA79" s="57"/>
      <c r="EB79" s="57"/>
      <c r="EC79" s="57"/>
      <c r="ED79" s="57"/>
      <c r="EE79" s="57"/>
      <c r="EF79" s="57"/>
      <c r="EG79" s="57"/>
      <c r="EH79" s="57"/>
      <c r="EI79" s="57"/>
      <c r="EJ79" s="57"/>
      <c r="EK79" s="57"/>
      <c r="EL79" s="57"/>
      <c r="EM79" s="57"/>
      <c r="EN79" s="57"/>
      <c r="EO79" s="57"/>
      <c r="EP79" s="57"/>
      <c r="EQ79" s="57"/>
      <c r="ER79" s="57"/>
      <c r="ES79" s="57"/>
      <c r="ET79" s="57"/>
      <c r="EU79" s="57"/>
      <c r="EV79" s="57"/>
      <c r="EW79" s="57"/>
      <c r="EX79" s="57"/>
      <c r="EY79" s="57"/>
      <c r="EZ79" s="57"/>
      <c r="FA79" s="57"/>
      <c r="FB79" s="57"/>
      <c r="FC79" s="57"/>
      <c r="FD79" s="57"/>
      <c r="FE79" s="57"/>
      <c r="FF79" s="57"/>
      <c r="FG79" s="57"/>
      <c r="FH79" s="57"/>
      <c r="FI79" s="57"/>
      <c r="FJ79" s="57"/>
      <c r="FK79" s="57"/>
      <c r="FL79" s="57"/>
      <c r="FM79" s="57"/>
      <c r="FN79" s="57"/>
      <c r="FO79" s="57"/>
      <c r="FP79" s="57"/>
      <c r="FQ79" s="61"/>
    </row>
    <row r="80" spans="2:173" x14ac:dyDescent="0.25">
      <c r="AZ80" s="54"/>
      <c r="BA80" s="57"/>
      <c r="BB80" s="57"/>
      <c r="BC80" s="57"/>
      <c r="BD80" s="57"/>
      <c r="BE80" s="57"/>
      <c r="BF80" s="57"/>
      <c r="BG80" s="57"/>
      <c r="BH80" s="57"/>
      <c r="BI80" s="57"/>
      <c r="BJ80" s="57"/>
      <c r="BK80" s="57"/>
      <c r="BL80" s="57"/>
      <c r="BM80" s="57"/>
      <c r="BN80" s="57"/>
      <c r="BO80" s="57"/>
      <c r="BP80" s="57"/>
      <c r="BQ80" s="57"/>
      <c r="BR80" s="57"/>
      <c r="BS80" s="57"/>
      <c r="BT80" s="57"/>
      <c r="BU80" s="57"/>
      <c r="BV80" s="57"/>
      <c r="BW80" s="57"/>
      <c r="BX80" s="57"/>
      <c r="BY80" s="57"/>
      <c r="BZ80" s="57"/>
      <c r="CA80" s="57"/>
      <c r="CB80" s="57"/>
      <c r="CC80" s="57"/>
      <c r="CD80" s="57"/>
      <c r="CE80" s="57"/>
      <c r="CF80" s="57"/>
      <c r="CG80" s="57"/>
      <c r="CH80" s="57"/>
      <c r="CI80" s="57"/>
      <c r="CJ80" s="57"/>
      <c r="CK80" s="57"/>
      <c r="CL80" s="57"/>
      <c r="CM80" s="57"/>
      <c r="CN80" s="57"/>
      <c r="CO80" s="57"/>
      <c r="CP80" s="57"/>
      <c r="CQ80" s="57"/>
      <c r="CR80" s="57"/>
      <c r="CS80" s="57"/>
      <c r="CT80" s="57"/>
      <c r="CU80" s="57"/>
      <c r="CV80" s="57"/>
      <c r="CW80" s="57"/>
      <c r="CX80" s="57"/>
      <c r="CY80" s="57"/>
      <c r="CZ80" s="57"/>
      <c r="DA80" s="57">
        <f t="shared" si="36"/>
        <v>1</v>
      </c>
      <c r="DB80" s="57">
        <f t="shared" si="37"/>
        <v>1</v>
      </c>
      <c r="DC80" s="57">
        <v>0.3</v>
      </c>
      <c r="DD80" s="57">
        <f t="shared" si="38"/>
        <v>1</v>
      </c>
      <c r="DE80" s="57">
        <v>45</v>
      </c>
      <c r="DF80" s="61" t="s">
        <v>200</v>
      </c>
      <c r="DG80" s="57"/>
      <c r="DH80" s="57"/>
      <c r="DI80" s="57"/>
      <c r="DJ80" s="57"/>
      <c r="DK80" s="57"/>
      <c r="DL80" s="57"/>
      <c r="DM80" s="57"/>
      <c r="DN80" s="57"/>
      <c r="DO80" s="57"/>
      <c r="DP80" s="57"/>
      <c r="DQ80" s="57"/>
      <c r="DR80" s="57"/>
      <c r="DS80" s="57"/>
      <c r="DT80" s="57"/>
      <c r="DU80" s="57"/>
      <c r="DV80" s="57"/>
      <c r="DW80" s="57"/>
      <c r="DX80" s="57"/>
      <c r="DY80" s="57"/>
      <c r="DZ80" s="57"/>
      <c r="EA80" s="57"/>
      <c r="EB80" s="57"/>
      <c r="EC80" s="57"/>
      <c r="ED80" s="57"/>
      <c r="EE80" s="57"/>
      <c r="EF80" s="57"/>
      <c r="EG80" s="57"/>
      <c r="EH80" s="57"/>
      <c r="EI80" s="57"/>
      <c r="EJ80" s="57"/>
      <c r="EK80" s="57"/>
      <c r="EL80" s="57"/>
      <c r="EM80" s="57"/>
      <c r="EN80" s="57"/>
      <c r="EO80" s="57"/>
      <c r="EP80" s="57"/>
      <c r="EQ80" s="57"/>
      <c r="ER80" s="57"/>
      <c r="ES80" s="57"/>
      <c r="ET80" s="57"/>
      <c r="EU80" s="57"/>
      <c r="EV80" s="57"/>
      <c r="EW80" s="57"/>
      <c r="EX80" s="57"/>
      <c r="EY80" s="57"/>
      <c r="EZ80" s="57"/>
      <c r="FA80" s="57"/>
      <c r="FB80" s="57"/>
      <c r="FC80" s="57"/>
      <c r="FD80" s="57"/>
      <c r="FE80" s="57"/>
      <c r="FF80" s="57"/>
      <c r="FG80" s="57"/>
      <c r="FH80" s="57"/>
      <c r="FI80" s="57"/>
      <c r="FJ80" s="57"/>
      <c r="FK80" s="57"/>
      <c r="FL80" s="57"/>
      <c r="FM80" s="57"/>
      <c r="FN80" s="57"/>
      <c r="FO80" s="57"/>
      <c r="FP80" s="57"/>
      <c r="FQ80" s="61"/>
    </row>
    <row r="81" spans="52:173" x14ac:dyDescent="0.25">
      <c r="AZ81" s="54"/>
      <c r="BA81" s="57"/>
      <c r="BB81" s="57"/>
      <c r="BC81" s="57"/>
      <c r="BD81" s="57"/>
      <c r="BE81" s="57"/>
      <c r="BF81" s="57"/>
      <c r="BG81" s="57"/>
      <c r="BH81" s="57"/>
      <c r="BI81" s="57"/>
      <c r="BJ81" s="57"/>
      <c r="BK81" s="57"/>
      <c r="BL81" s="57"/>
      <c r="BM81" s="57"/>
      <c r="BN81" s="57"/>
      <c r="BO81" s="57"/>
      <c r="BP81" s="57"/>
      <c r="BQ81" s="57"/>
      <c r="BR81" s="57"/>
      <c r="BS81" s="57"/>
      <c r="BT81" s="57"/>
      <c r="BU81" s="57"/>
      <c r="BV81" s="57"/>
      <c r="BW81" s="57"/>
      <c r="BX81" s="57"/>
      <c r="BY81" s="57"/>
      <c r="BZ81" s="57"/>
      <c r="CA81" s="57"/>
      <c r="CB81" s="57"/>
      <c r="CC81" s="57"/>
      <c r="CD81" s="57"/>
      <c r="CE81" s="57"/>
      <c r="CF81" s="57"/>
      <c r="CG81" s="57"/>
      <c r="CH81" s="57"/>
      <c r="CI81" s="57"/>
      <c r="CJ81" s="57"/>
      <c r="CK81" s="57"/>
      <c r="CL81" s="57"/>
      <c r="CM81" s="57"/>
      <c r="CN81" s="57"/>
      <c r="CO81" s="57"/>
      <c r="CP81" s="57"/>
      <c r="CQ81" s="57"/>
      <c r="CR81" s="57"/>
      <c r="CS81" s="57"/>
      <c r="CT81" s="57"/>
      <c r="CU81" s="57"/>
      <c r="CV81" s="57"/>
      <c r="CW81" s="57"/>
      <c r="CX81" s="57"/>
      <c r="CY81" s="57"/>
      <c r="CZ81" s="57"/>
      <c r="DA81" s="57">
        <f t="shared" si="36"/>
        <v>1</v>
      </c>
      <c r="DB81" s="57">
        <f t="shared" si="37"/>
        <v>1</v>
      </c>
      <c r="DC81" s="57">
        <v>0.3</v>
      </c>
      <c r="DD81" s="57">
        <f t="shared" si="38"/>
        <v>1</v>
      </c>
      <c r="DE81" s="57">
        <v>46</v>
      </c>
      <c r="DF81" s="61" t="s">
        <v>206</v>
      </c>
      <c r="DG81" s="57"/>
      <c r="DH81" s="57"/>
      <c r="DI81" s="57"/>
      <c r="DJ81" s="57"/>
      <c r="DK81" s="57"/>
      <c r="DL81" s="57"/>
      <c r="DM81" s="57"/>
      <c r="DN81" s="57"/>
      <c r="DO81" s="57"/>
      <c r="DP81" s="57"/>
      <c r="DQ81" s="57"/>
      <c r="DR81" s="57"/>
      <c r="DS81" s="57"/>
      <c r="DT81" s="57"/>
      <c r="DU81" s="57"/>
      <c r="DV81" s="57"/>
      <c r="DW81" s="57"/>
      <c r="DX81" s="57"/>
      <c r="DY81" s="57"/>
      <c r="DZ81" s="57"/>
      <c r="EA81" s="57"/>
      <c r="EB81" s="57"/>
      <c r="EC81" s="57"/>
      <c r="ED81" s="57"/>
      <c r="EE81" s="57"/>
      <c r="EF81" s="57"/>
      <c r="EG81" s="57"/>
      <c r="EH81" s="57"/>
      <c r="EI81" s="57"/>
      <c r="EJ81" s="57"/>
      <c r="EK81" s="57"/>
      <c r="EL81" s="57"/>
      <c r="EM81" s="57"/>
      <c r="EN81" s="57"/>
      <c r="EO81" s="57"/>
      <c r="EP81" s="57"/>
      <c r="EQ81" s="57"/>
      <c r="ER81" s="57"/>
      <c r="ES81" s="57"/>
      <c r="ET81" s="57"/>
      <c r="EU81" s="57"/>
      <c r="EV81" s="57"/>
      <c r="EW81" s="57"/>
      <c r="EX81" s="57"/>
      <c r="EY81" s="57"/>
      <c r="EZ81" s="57"/>
      <c r="FA81" s="57"/>
      <c r="FB81" s="57"/>
      <c r="FC81" s="57"/>
      <c r="FD81" s="57"/>
      <c r="FE81" s="57"/>
      <c r="FF81" s="57"/>
      <c r="FG81" s="57"/>
      <c r="FH81" s="57"/>
      <c r="FI81" s="57"/>
      <c r="FJ81" s="57"/>
      <c r="FK81" s="57"/>
      <c r="FL81" s="57"/>
      <c r="FM81" s="57"/>
      <c r="FN81" s="57"/>
      <c r="FO81" s="57"/>
      <c r="FP81" s="57"/>
      <c r="FQ81" s="61"/>
    </row>
    <row r="82" spans="52:173" x14ac:dyDescent="0.25">
      <c r="AZ82" s="54"/>
      <c r="BA82" s="57"/>
      <c r="BB82" s="57"/>
      <c r="BC82" s="57"/>
      <c r="BD82" s="57"/>
      <c r="BE82" s="57"/>
      <c r="BF82" s="57"/>
      <c r="BG82" s="57"/>
      <c r="BH82" s="57"/>
      <c r="BI82" s="57"/>
      <c r="BJ82" s="57"/>
      <c r="BK82" s="57"/>
      <c r="BL82" s="57"/>
      <c r="BM82" s="57"/>
      <c r="BN82" s="57"/>
      <c r="BO82" s="57"/>
      <c r="BP82" s="57"/>
      <c r="BQ82" s="57"/>
      <c r="BR82" s="57"/>
      <c r="BS82" s="57"/>
      <c r="BT82" s="57"/>
      <c r="BU82" s="57"/>
      <c r="BV82" s="57"/>
      <c r="BW82" s="57"/>
      <c r="BX82" s="57"/>
      <c r="BY82" s="57"/>
      <c r="BZ82" s="57"/>
      <c r="CA82" s="57"/>
      <c r="CB82" s="57"/>
      <c r="CC82" s="57"/>
      <c r="CD82" s="57"/>
      <c r="CE82" s="57"/>
      <c r="CF82" s="57"/>
      <c r="CG82" s="57"/>
      <c r="CH82" s="57"/>
      <c r="CI82" s="57"/>
      <c r="CJ82" s="57"/>
      <c r="CK82" s="57"/>
      <c r="CL82" s="57"/>
      <c r="CM82" s="57"/>
      <c r="CN82" s="57"/>
      <c r="CO82" s="57"/>
      <c r="CP82" s="57"/>
      <c r="CQ82" s="57"/>
      <c r="CR82" s="57"/>
      <c r="CS82" s="57"/>
      <c r="CT82" s="57"/>
      <c r="CU82" s="57"/>
      <c r="CV82" s="57"/>
      <c r="CW82" s="57"/>
      <c r="CX82" s="57"/>
      <c r="CY82" s="57"/>
      <c r="CZ82" s="57"/>
      <c r="DA82" s="57">
        <f t="shared" si="36"/>
        <v>1</v>
      </c>
      <c r="DB82" s="57">
        <f t="shared" si="37"/>
        <v>1</v>
      </c>
      <c r="DC82" s="57">
        <v>0.3</v>
      </c>
      <c r="DD82" s="57">
        <f t="shared" si="38"/>
        <v>1</v>
      </c>
      <c r="DE82" s="57">
        <v>60</v>
      </c>
      <c r="DF82" s="61" t="s">
        <v>207</v>
      </c>
      <c r="DG82" s="57"/>
      <c r="DH82" s="57"/>
      <c r="DI82" s="57"/>
      <c r="DJ82" s="57"/>
      <c r="DK82" s="57"/>
      <c r="DL82" s="57"/>
      <c r="DM82" s="57"/>
      <c r="DN82" s="57"/>
      <c r="DO82" s="57"/>
      <c r="DP82" s="57"/>
      <c r="DQ82" s="57"/>
      <c r="DR82" s="57"/>
      <c r="DS82" s="57"/>
      <c r="DT82" s="57"/>
      <c r="DU82" s="57"/>
      <c r="DV82" s="57"/>
      <c r="DW82" s="57"/>
      <c r="DX82" s="57"/>
      <c r="DY82" s="57"/>
      <c r="DZ82" s="57"/>
      <c r="EA82" s="57"/>
      <c r="EB82" s="57"/>
      <c r="EC82" s="57"/>
      <c r="ED82" s="57"/>
      <c r="EE82" s="57"/>
      <c r="EF82" s="57"/>
      <c r="EG82" s="57"/>
      <c r="EH82" s="57"/>
      <c r="EI82" s="57"/>
      <c r="EJ82" s="57"/>
      <c r="EK82" s="57"/>
      <c r="EL82" s="57"/>
      <c r="EM82" s="57"/>
      <c r="EN82" s="57"/>
      <c r="EO82" s="57"/>
      <c r="EP82" s="57"/>
      <c r="EQ82" s="57"/>
      <c r="ER82" s="57"/>
      <c r="ES82" s="57"/>
      <c r="ET82" s="57"/>
      <c r="EU82" s="57"/>
      <c r="EV82" s="57"/>
      <c r="EW82" s="57"/>
      <c r="EX82" s="57"/>
      <c r="EY82" s="57"/>
      <c r="EZ82" s="57"/>
      <c r="FA82" s="57"/>
      <c r="FB82" s="57"/>
      <c r="FC82" s="57"/>
      <c r="FD82" s="57"/>
      <c r="FE82" s="57"/>
      <c r="FF82" s="57"/>
      <c r="FG82" s="57"/>
      <c r="FH82" s="57"/>
      <c r="FI82" s="57"/>
      <c r="FJ82" s="57"/>
      <c r="FK82" s="57"/>
      <c r="FL82" s="57"/>
      <c r="FM82" s="57"/>
      <c r="FN82" s="57"/>
      <c r="FO82" s="57"/>
      <c r="FP82" s="57"/>
      <c r="FQ82" s="61"/>
    </row>
    <row r="83" spans="52:173" x14ac:dyDescent="0.25">
      <c r="AZ83" s="54"/>
      <c r="BA83" s="57"/>
      <c r="BB83" s="57"/>
      <c r="BC83" s="57"/>
      <c r="BD83" s="57"/>
      <c r="BE83" s="57"/>
      <c r="BF83" s="57"/>
      <c r="BG83" s="57"/>
      <c r="BH83" s="57"/>
      <c r="BI83" s="57"/>
      <c r="BJ83" s="57"/>
      <c r="BK83" s="57"/>
      <c r="BL83" s="57"/>
      <c r="BM83" s="57"/>
      <c r="BN83" s="57"/>
      <c r="BO83" s="57"/>
      <c r="BP83" s="57"/>
      <c r="BQ83" s="57"/>
      <c r="BR83" s="57"/>
      <c r="BS83" s="57"/>
      <c r="BT83" s="57"/>
      <c r="BU83" s="57"/>
      <c r="BV83" s="57"/>
      <c r="BW83" s="57"/>
      <c r="BX83" s="57"/>
      <c r="BY83" s="57"/>
      <c r="BZ83" s="57"/>
      <c r="CA83" s="57"/>
      <c r="CB83" s="57"/>
      <c r="CC83" s="57"/>
      <c r="CD83" s="57"/>
      <c r="CE83" s="57"/>
      <c r="CF83" s="57"/>
      <c r="CG83" s="57"/>
      <c r="CH83" s="57"/>
      <c r="CI83" s="57"/>
      <c r="CJ83" s="57"/>
      <c r="CK83" s="57"/>
      <c r="CL83" s="57"/>
      <c r="CM83" s="57"/>
      <c r="CN83" s="57"/>
      <c r="CO83" s="57"/>
      <c r="CP83" s="57"/>
      <c r="CQ83" s="57"/>
      <c r="CR83" s="57"/>
      <c r="CS83" s="57"/>
      <c r="CT83" s="57"/>
      <c r="CU83" s="57"/>
      <c r="CV83" s="57"/>
      <c r="CW83" s="57"/>
      <c r="CX83" s="57"/>
      <c r="CY83" s="57"/>
      <c r="CZ83" s="57"/>
      <c r="DA83" s="57">
        <f t="shared" si="36"/>
        <v>1</v>
      </c>
      <c r="DB83" s="57">
        <f t="shared" si="37"/>
        <v>1</v>
      </c>
      <c r="DC83" s="57">
        <v>0.35</v>
      </c>
      <c r="DD83" s="57">
        <f t="shared" si="38"/>
        <v>1</v>
      </c>
      <c r="DE83" s="57">
        <v>17</v>
      </c>
      <c r="DF83" s="61" t="s">
        <v>189</v>
      </c>
      <c r="DG83" s="57"/>
      <c r="DH83" s="57"/>
      <c r="DI83" s="57"/>
      <c r="DJ83" s="57"/>
      <c r="DK83" s="57"/>
      <c r="DL83" s="57"/>
      <c r="DM83" s="57"/>
      <c r="DN83" s="57"/>
      <c r="DO83" s="57"/>
      <c r="DP83" s="57"/>
      <c r="DQ83" s="57"/>
      <c r="DR83" s="57"/>
      <c r="DS83" s="57"/>
      <c r="DT83" s="57"/>
      <c r="DU83" s="57"/>
      <c r="DV83" s="57"/>
      <c r="DW83" s="57"/>
      <c r="DX83" s="57"/>
      <c r="DY83" s="57"/>
      <c r="DZ83" s="57"/>
      <c r="EA83" s="57"/>
      <c r="EB83" s="57"/>
      <c r="EC83" s="57"/>
      <c r="ED83" s="57"/>
      <c r="EE83" s="57"/>
      <c r="EF83" s="57"/>
      <c r="EG83" s="57"/>
      <c r="EH83" s="57"/>
      <c r="EI83" s="57"/>
      <c r="EJ83" s="57"/>
      <c r="EK83" s="57"/>
      <c r="EL83" s="57"/>
      <c r="EM83" s="57"/>
      <c r="EN83" s="57"/>
      <c r="EO83" s="57"/>
      <c r="EP83" s="57"/>
      <c r="EQ83" s="57"/>
      <c r="ER83" s="57"/>
      <c r="ES83" s="57"/>
      <c r="ET83" s="57"/>
      <c r="EU83" s="57"/>
      <c r="EV83" s="57"/>
      <c r="EW83" s="57"/>
      <c r="EX83" s="57"/>
      <c r="EY83" s="57"/>
      <c r="EZ83" s="57"/>
      <c r="FA83" s="57"/>
      <c r="FB83" s="57"/>
      <c r="FC83" s="57"/>
      <c r="FD83" s="57"/>
      <c r="FE83" s="57"/>
      <c r="FF83" s="57"/>
      <c r="FG83" s="57"/>
      <c r="FH83" s="57"/>
      <c r="FI83" s="57"/>
      <c r="FJ83" s="57"/>
      <c r="FK83" s="57"/>
      <c r="FL83" s="57"/>
      <c r="FM83" s="57"/>
      <c r="FN83" s="57"/>
      <c r="FO83" s="57"/>
      <c r="FP83" s="57"/>
      <c r="FQ83" s="61"/>
    </row>
    <row r="84" spans="52:173" x14ac:dyDescent="0.25">
      <c r="AZ84" s="54"/>
      <c r="BA84" s="57"/>
      <c r="BB84" s="57"/>
      <c r="BC84" s="57"/>
      <c r="BD84" s="57"/>
      <c r="BE84" s="57"/>
      <c r="BF84" s="57"/>
      <c r="BG84" s="57"/>
      <c r="BH84" s="57"/>
      <c r="BI84" s="57"/>
      <c r="BJ84" s="57"/>
      <c r="BK84" s="57"/>
      <c r="BL84" s="57"/>
      <c r="BM84" s="57"/>
      <c r="BN84" s="57"/>
      <c r="BO84" s="57"/>
      <c r="BP84" s="57"/>
      <c r="BQ84" s="57"/>
      <c r="BR84" s="57"/>
      <c r="BS84" s="57"/>
      <c r="BT84" s="57"/>
      <c r="BU84" s="57"/>
      <c r="BV84" s="57"/>
      <c r="BW84" s="57"/>
      <c r="BX84" s="57"/>
      <c r="BY84" s="57"/>
      <c r="BZ84" s="57"/>
      <c r="CA84" s="57"/>
      <c r="CB84" s="57"/>
      <c r="CC84" s="57"/>
      <c r="CD84" s="57"/>
      <c r="CE84" s="57"/>
      <c r="CF84" s="57"/>
      <c r="CG84" s="57"/>
      <c r="CH84" s="57"/>
      <c r="CI84" s="57"/>
      <c r="CJ84" s="57"/>
      <c r="CK84" s="57"/>
      <c r="CL84" s="57"/>
      <c r="CM84" s="57"/>
      <c r="CN84" s="57"/>
      <c r="CO84" s="57"/>
      <c r="CP84" s="57"/>
      <c r="CQ84" s="57"/>
      <c r="CR84" s="57"/>
      <c r="CS84" s="57"/>
      <c r="CT84" s="57"/>
      <c r="CU84" s="57"/>
      <c r="CV84" s="57"/>
      <c r="CW84" s="57"/>
      <c r="CX84" s="57"/>
      <c r="CY84" s="57"/>
      <c r="CZ84" s="57"/>
      <c r="DA84" s="57">
        <f t="shared" si="36"/>
        <v>1</v>
      </c>
      <c r="DB84" s="57">
        <f t="shared" si="37"/>
        <v>1</v>
      </c>
      <c r="DC84" s="57">
        <v>0.35</v>
      </c>
      <c r="DD84" s="57">
        <f t="shared" si="38"/>
        <v>1</v>
      </c>
      <c r="DE84" s="57">
        <v>31</v>
      </c>
      <c r="DF84" s="61" t="s">
        <v>194</v>
      </c>
      <c r="DG84" s="57"/>
      <c r="DH84" s="57"/>
      <c r="DI84" s="57"/>
      <c r="DJ84" s="57"/>
      <c r="DK84" s="57"/>
      <c r="DL84" s="57"/>
      <c r="DM84" s="57"/>
      <c r="DN84" s="57"/>
      <c r="DO84" s="57"/>
      <c r="DP84" s="57"/>
      <c r="DQ84" s="57"/>
      <c r="DR84" s="57"/>
      <c r="DS84" s="57"/>
      <c r="DT84" s="57"/>
      <c r="DU84" s="57"/>
      <c r="DV84" s="57"/>
      <c r="DW84" s="57"/>
      <c r="DX84" s="57"/>
      <c r="DY84" s="57"/>
      <c r="DZ84" s="57"/>
      <c r="EA84" s="57"/>
      <c r="EB84" s="57"/>
      <c r="EC84" s="57"/>
      <c r="ED84" s="57"/>
      <c r="EE84" s="57"/>
      <c r="EF84" s="57"/>
      <c r="EG84" s="57"/>
      <c r="EH84" s="57"/>
      <c r="EI84" s="57"/>
      <c r="EJ84" s="57"/>
      <c r="EK84" s="57"/>
      <c r="EL84" s="57"/>
      <c r="EM84" s="57"/>
      <c r="EN84" s="57"/>
      <c r="EO84" s="57"/>
      <c r="EP84" s="57"/>
      <c r="EQ84" s="57"/>
      <c r="ER84" s="57"/>
      <c r="ES84" s="57"/>
      <c r="ET84" s="57"/>
      <c r="EU84" s="57"/>
      <c r="EV84" s="57"/>
      <c r="EW84" s="57"/>
      <c r="EX84" s="57"/>
      <c r="EY84" s="57"/>
      <c r="EZ84" s="57"/>
      <c r="FA84" s="57"/>
      <c r="FB84" s="57"/>
      <c r="FC84" s="57"/>
      <c r="FD84" s="57"/>
      <c r="FE84" s="57"/>
      <c r="FF84" s="57"/>
      <c r="FG84" s="57"/>
      <c r="FH84" s="57"/>
      <c r="FI84" s="57"/>
      <c r="FJ84" s="57"/>
      <c r="FK84" s="57"/>
      <c r="FL84" s="57"/>
      <c r="FM84" s="57"/>
      <c r="FN84" s="57"/>
      <c r="FO84" s="57"/>
      <c r="FP84" s="57"/>
      <c r="FQ84" s="61"/>
    </row>
    <row r="85" spans="52:173" x14ac:dyDescent="0.25">
      <c r="AZ85" s="54"/>
      <c r="BA85" s="57"/>
      <c r="BB85" s="57"/>
      <c r="BC85" s="57"/>
      <c r="BD85" s="57"/>
      <c r="BE85" s="57"/>
      <c r="BF85" s="57"/>
      <c r="BG85" s="57"/>
      <c r="BH85" s="57"/>
      <c r="BI85" s="57"/>
      <c r="BJ85" s="57"/>
      <c r="BK85" s="57"/>
      <c r="BL85" s="57"/>
      <c r="BM85" s="57"/>
      <c r="BN85" s="57"/>
      <c r="BO85" s="57"/>
      <c r="BP85" s="57"/>
      <c r="BQ85" s="57"/>
      <c r="BR85" s="57"/>
      <c r="BS85" s="57"/>
      <c r="BT85" s="57"/>
      <c r="BU85" s="57"/>
      <c r="BV85" s="57"/>
      <c r="BW85" s="57"/>
      <c r="BX85" s="57"/>
      <c r="BY85" s="57"/>
      <c r="BZ85" s="57"/>
      <c r="CA85" s="57"/>
      <c r="CB85" s="57"/>
      <c r="CC85" s="57"/>
      <c r="CD85" s="57"/>
      <c r="CE85" s="57"/>
      <c r="CF85" s="57"/>
      <c r="CG85" s="57"/>
      <c r="CH85" s="57"/>
      <c r="CI85" s="57"/>
      <c r="CJ85" s="57"/>
      <c r="CK85" s="57"/>
      <c r="CL85" s="57"/>
      <c r="CM85" s="57"/>
      <c r="CN85" s="57"/>
      <c r="CO85" s="57"/>
      <c r="CP85" s="57"/>
      <c r="CQ85" s="57"/>
      <c r="CR85" s="57"/>
      <c r="CS85" s="57"/>
      <c r="CT85" s="57"/>
      <c r="CU85" s="57"/>
      <c r="CV85" s="57"/>
      <c r="CW85" s="57"/>
      <c r="CX85" s="57"/>
      <c r="CY85" s="57"/>
      <c r="CZ85" s="57"/>
      <c r="DA85" s="57">
        <f t="shared" si="36"/>
        <v>1</v>
      </c>
      <c r="DB85" s="57">
        <f t="shared" si="37"/>
        <v>1</v>
      </c>
      <c r="DC85" s="57">
        <v>0.35</v>
      </c>
      <c r="DD85" s="57">
        <f t="shared" si="38"/>
        <v>1</v>
      </c>
      <c r="DE85" s="57">
        <v>43</v>
      </c>
      <c r="DF85" s="61" t="s">
        <v>200</v>
      </c>
      <c r="DG85" s="57"/>
      <c r="DH85" s="57"/>
      <c r="DI85" s="57"/>
      <c r="DJ85" s="57"/>
      <c r="DK85" s="57"/>
      <c r="DL85" s="57"/>
      <c r="DM85" s="57"/>
      <c r="DN85" s="57"/>
      <c r="DO85" s="57"/>
      <c r="DP85" s="57"/>
      <c r="DQ85" s="57"/>
      <c r="DR85" s="57"/>
      <c r="DS85" s="57"/>
      <c r="DT85" s="57"/>
      <c r="DU85" s="57"/>
      <c r="DV85" s="57"/>
      <c r="DW85" s="57"/>
      <c r="DX85" s="57"/>
      <c r="DY85" s="57"/>
      <c r="DZ85" s="57"/>
      <c r="EA85" s="57"/>
      <c r="EB85" s="57"/>
      <c r="EC85" s="57"/>
      <c r="ED85" s="57"/>
      <c r="EE85" s="57"/>
      <c r="EF85" s="57"/>
      <c r="EG85" s="57"/>
      <c r="EH85" s="57"/>
      <c r="EI85" s="57"/>
      <c r="EJ85" s="57"/>
      <c r="EK85" s="57"/>
      <c r="EL85" s="57"/>
      <c r="EM85" s="57"/>
      <c r="EN85" s="57"/>
      <c r="EO85" s="57"/>
      <c r="EP85" s="57"/>
      <c r="EQ85" s="57"/>
      <c r="ER85" s="57"/>
      <c r="ES85" s="57"/>
      <c r="ET85" s="57"/>
      <c r="EU85" s="57"/>
      <c r="EV85" s="57"/>
      <c r="EW85" s="57"/>
      <c r="EX85" s="57"/>
      <c r="EY85" s="57"/>
      <c r="EZ85" s="57"/>
      <c r="FA85" s="57"/>
      <c r="FB85" s="57"/>
      <c r="FC85" s="57"/>
      <c r="FD85" s="57"/>
      <c r="FE85" s="57"/>
      <c r="FF85" s="57"/>
      <c r="FG85" s="57"/>
      <c r="FH85" s="57"/>
      <c r="FI85" s="57"/>
      <c r="FJ85" s="57"/>
      <c r="FK85" s="57"/>
      <c r="FL85" s="57"/>
      <c r="FM85" s="57"/>
      <c r="FN85" s="57"/>
      <c r="FO85" s="57"/>
      <c r="FP85" s="57"/>
      <c r="FQ85" s="61"/>
    </row>
    <row r="86" spans="52:173" x14ac:dyDescent="0.25">
      <c r="AZ86" s="54"/>
      <c r="BA86" s="57"/>
      <c r="BB86" s="57"/>
      <c r="BC86" s="57"/>
      <c r="BD86" s="57"/>
      <c r="BE86" s="57"/>
      <c r="BF86" s="57"/>
      <c r="BG86" s="57"/>
      <c r="BH86" s="57"/>
      <c r="BI86" s="57"/>
      <c r="BJ86" s="57"/>
      <c r="BK86" s="57"/>
      <c r="BL86" s="57"/>
      <c r="BM86" s="57"/>
      <c r="BN86" s="57"/>
      <c r="BO86" s="57"/>
      <c r="BP86" s="57"/>
      <c r="BQ86" s="57"/>
      <c r="BR86" s="57"/>
      <c r="BS86" s="57"/>
      <c r="BT86" s="57"/>
      <c r="BU86" s="57"/>
      <c r="BV86" s="57"/>
      <c r="BW86" s="57"/>
      <c r="BX86" s="57"/>
      <c r="BY86" s="57"/>
      <c r="BZ86" s="57"/>
      <c r="CA86" s="57"/>
      <c r="CB86" s="57"/>
      <c r="CC86" s="57"/>
      <c r="CD86" s="57"/>
      <c r="CE86" s="57"/>
      <c r="CF86" s="57"/>
      <c r="CG86" s="57"/>
      <c r="CH86" s="57"/>
      <c r="CI86" s="57"/>
      <c r="CJ86" s="57"/>
      <c r="CK86" s="57"/>
      <c r="CL86" s="57"/>
      <c r="CM86" s="57"/>
      <c r="CN86" s="57"/>
      <c r="CO86" s="57"/>
      <c r="CP86" s="57"/>
      <c r="CQ86" s="57"/>
      <c r="CR86" s="57"/>
      <c r="CS86" s="57"/>
      <c r="CT86" s="57"/>
      <c r="CU86" s="57"/>
      <c r="CV86" s="57"/>
      <c r="CW86" s="57"/>
      <c r="CX86" s="57"/>
      <c r="CY86" s="57"/>
      <c r="CZ86" s="57"/>
      <c r="DA86" s="57">
        <f t="shared" si="36"/>
        <v>1</v>
      </c>
      <c r="DB86" s="57">
        <f t="shared" si="37"/>
        <v>1</v>
      </c>
      <c r="DC86" s="57">
        <v>0.35</v>
      </c>
      <c r="DD86" s="57">
        <f t="shared" si="38"/>
        <v>1</v>
      </c>
      <c r="DE86" s="57">
        <v>46</v>
      </c>
      <c r="DF86" s="61" t="s">
        <v>206</v>
      </c>
      <c r="DG86" s="57"/>
      <c r="DH86" s="57"/>
      <c r="DI86" s="57"/>
      <c r="DJ86" s="57"/>
      <c r="DK86" s="57"/>
      <c r="DL86" s="57"/>
      <c r="DM86" s="57"/>
      <c r="DN86" s="57"/>
      <c r="DO86" s="57"/>
      <c r="DP86" s="57"/>
      <c r="DQ86" s="57"/>
      <c r="DR86" s="57"/>
      <c r="DS86" s="57"/>
      <c r="DT86" s="57"/>
      <c r="DU86" s="57"/>
      <c r="DV86" s="57"/>
      <c r="DW86" s="57"/>
      <c r="DX86" s="57"/>
      <c r="DY86" s="57"/>
      <c r="DZ86" s="57"/>
      <c r="EA86" s="57"/>
      <c r="EB86" s="57"/>
      <c r="EC86" s="57"/>
      <c r="ED86" s="57"/>
      <c r="EE86" s="57"/>
      <c r="EF86" s="57"/>
      <c r="EG86" s="57"/>
      <c r="EH86" s="57"/>
      <c r="EI86" s="57"/>
      <c r="EJ86" s="57"/>
      <c r="EK86" s="57"/>
      <c r="EL86" s="57"/>
      <c r="EM86" s="57"/>
      <c r="EN86" s="57"/>
      <c r="EO86" s="57"/>
      <c r="EP86" s="57"/>
      <c r="EQ86" s="57"/>
      <c r="ER86" s="57"/>
      <c r="ES86" s="57"/>
      <c r="ET86" s="57"/>
      <c r="EU86" s="57"/>
      <c r="EV86" s="57"/>
      <c r="EW86" s="57"/>
      <c r="EX86" s="57"/>
      <c r="EY86" s="57"/>
      <c r="EZ86" s="57"/>
      <c r="FA86" s="57"/>
      <c r="FB86" s="57"/>
      <c r="FC86" s="57"/>
      <c r="FD86" s="57"/>
      <c r="FE86" s="57"/>
      <c r="FF86" s="57"/>
      <c r="FG86" s="57"/>
      <c r="FH86" s="57"/>
      <c r="FI86" s="57"/>
      <c r="FJ86" s="57"/>
      <c r="FK86" s="57"/>
      <c r="FL86" s="57"/>
      <c r="FM86" s="57"/>
      <c r="FN86" s="57"/>
      <c r="FO86" s="57"/>
      <c r="FP86" s="57"/>
      <c r="FQ86" s="61"/>
    </row>
    <row r="87" spans="52:173" x14ac:dyDescent="0.25">
      <c r="AZ87" s="54"/>
      <c r="BA87" s="57"/>
      <c r="BB87" s="57"/>
      <c r="BC87" s="57"/>
      <c r="BD87" s="57"/>
      <c r="BE87" s="57"/>
      <c r="BF87" s="57"/>
      <c r="BG87" s="57"/>
      <c r="BH87" s="57"/>
      <c r="BI87" s="57"/>
      <c r="BJ87" s="57"/>
      <c r="BK87" s="57"/>
      <c r="BL87" s="57"/>
      <c r="BM87" s="57"/>
      <c r="BN87" s="57"/>
      <c r="BO87" s="57"/>
      <c r="BP87" s="57"/>
      <c r="BQ87" s="57"/>
      <c r="BR87" s="57"/>
      <c r="BS87" s="57"/>
      <c r="BT87" s="57"/>
      <c r="BU87" s="57"/>
      <c r="BV87" s="57"/>
      <c r="BW87" s="57"/>
      <c r="BX87" s="57"/>
      <c r="BY87" s="57"/>
      <c r="BZ87" s="57"/>
      <c r="CA87" s="57"/>
      <c r="CB87" s="57"/>
      <c r="CC87" s="57"/>
      <c r="CD87" s="57"/>
      <c r="CE87" s="57"/>
      <c r="CF87" s="57"/>
      <c r="CG87" s="57"/>
      <c r="CH87" s="57"/>
      <c r="CI87" s="57"/>
      <c r="CJ87" s="57"/>
      <c r="CK87" s="57"/>
      <c r="CL87" s="57"/>
      <c r="CM87" s="57"/>
      <c r="CN87" s="57"/>
      <c r="CO87" s="57"/>
      <c r="CP87" s="57"/>
      <c r="CQ87" s="57"/>
      <c r="CR87" s="57"/>
      <c r="CS87" s="57"/>
      <c r="CT87" s="57"/>
      <c r="CU87" s="57"/>
      <c r="CV87" s="57"/>
      <c r="CW87" s="57"/>
      <c r="CX87" s="57"/>
      <c r="CY87" s="57"/>
      <c r="CZ87" s="57"/>
      <c r="DA87" s="57">
        <f t="shared" si="36"/>
        <v>1</v>
      </c>
      <c r="DB87" s="57">
        <f t="shared" si="37"/>
        <v>1</v>
      </c>
      <c r="DC87" s="57">
        <v>0.35</v>
      </c>
      <c r="DD87" s="57">
        <f t="shared" si="38"/>
        <v>1</v>
      </c>
      <c r="DE87" s="57">
        <v>65</v>
      </c>
      <c r="DF87" s="61" t="s">
        <v>207</v>
      </c>
      <c r="DG87" s="57"/>
      <c r="DH87" s="57"/>
      <c r="DI87" s="57"/>
      <c r="DJ87" s="57"/>
      <c r="DK87" s="57"/>
      <c r="DL87" s="57"/>
      <c r="DM87" s="57"/>
      <c r="DN87" s="57"/>
      <c r="DO87" s="57"/>
      <c r="DP87" s="57"/>
      <c r="DQ87" s="57"/>
      <c r="DR87" s="57"/>
      <c r="DS87" s="57"/>
      <c r="DT87" s="57"/>
      <c r="DU87" s="57"/>
      <c r="DV87" s="57"/>
      <c r="DW87" s="57"/>
      <c r="DX87" s="57"/>
      <c r="DY87" s="57"/>
      <c r="DZ87" s="57"/>
      <c r="EA87" s="57"/>
      <c r="EB87" s="57"/>
      <c r="EC87" s="57"/>
      <c r="ED87" s="57"/>
      <c r="EE87" s="57"/>
      <c r="EF87" s="57"/>
      <c r="EG87" s="57"/>
      <c r="EH87" s="57"/>
      <c r="EI87" s="57"/>
      <c r="EJ87" s="57"/>
      <c r="EK87" s="57"/>
      <c r="EL87" s="57"/>
      <c r="EM87" s="57"/>
      <c r="EN87" s="57"/>
      <c r="EO87" s="57"/>
      <c r="EP87" s="57"/>
      <c r="EQ87" s="57"/>
      <c r="ER87" s="57"/>
      <c r="ES87" s="57"/>
      <c r="ET87" s="57"/>
      <c r="EU87" s="57"/>
      <c r="EV87" s="57"/>
      <c r="EW87" s="57"/>
      <c r="EX87" s="57"/>
      <c r="EY87" s="57"/>
      <c r="EZ87" s="57"/>
      <c r="FA87" s="57"/>
      <c r="FB87" s="57"/>
      <c r="FC87" s="57"/>
      <c r="FD87" s="57"/>
      <c r="FE87" s="57"/>
      <c r="FF87" s="57"/>
      <c r="FG87" s="57"/>
      <c r="FH87" s="57"/>
      <c r="FI87" s="57"/>
      <c r="FJ87" s="57"/>
      <c r="FK87" s="57"/>
      <c r="FL87" s="57"/>
      <c r="FM87" s="57"/>
      <c r="FN87" s="57"/>
      <c r="FO87" s="57"/>
      <c r="FP87" s="57"/>
      <c r="FQ87" s="61"/>
    </row>
    <row r="88" spans="52:173" x14ac:dyDescent="0.25">
      <c r="AZ88" s="54"/>
      <c r="BA88" s="57"/>
      <c r="BB88" s="57"/>
      <c r="BC88" s="57"/>
      <c r="BD88" s="57"/>
      <c r="BE88" s="57"/>
      <c r="BF88" s="57"/>
      <c r="BG88" s="57"/>
      <c r="BH88" s="57"/>
      <c r="BI88" s="57"/>
      <c r="BJ88" s="57"/>
      <c r="BK88" s="57"/>
      <c r="BL88" s="57"/>
      <c r="BM88" s="57"/>
      <c r="BN88" s="57"/>
      <c r="BO88" s="57"/>
      <c r="BP88" s="57"/>
      <c r="BQ88" s="57"/>
      <c r="BR88" s="57"/>
      <c r="BS88" s="57"/>
      <c r="BT88" s="57"/>
      <c r="BU88" s="57"/>
      <c r="BV88" s="57"/>
      <c r="BW88" s="57"/>
      <c r="BX88" s="57"/>
      <c r="BY88" s="57"/>
      <c r="BZ88" s="57"/>
      <c r="CA88" s="57"/>
      <c r="CB88" s="57"/>
      <c r="CC88" s="57"/>
      <c r="CD88" s="57"/>
      <c r="CE88" s="57"/>
      <c r="CF88" s="57"/>
      <c r="CG88" s="57"/>
      <c r="CH88" s="57"/>
      <c r="CI88" s="57"/>
      <c r="CJ88" s="57"/>
      <c r="CK88" s="57"/>
      <c r="CL88" s="57"/>
      <c r="CM88" s="57"/>
      <c r="CN88" s="57"/>
      <c r="CO88" s="57"/>
      <c r="CP88" s="57"/>
      <c r="CQ88" s="57"/>
      <c r="CR88" s="57"/>
      <c r="CS88" s="57"/>
      <c r="CT88" s="57"/>
      <c r="CU88" s="57"/>
      <c r="CV88" s="57"/>
      <c r="CW88" s="57"/>
      <c r="CX88" s="57"/>
      <c r="CY88" s="57"/>
      <c r="CZ88" s="57"/>
      <c r="DA88" s="57">
        <f t="shared" si="36"/>
        <v>1</v>
      </c>
      <c r="DB88" s="57">
        <f t="shared" si="37"/>
        <v>1</v>
      </c>
      <c r="DC88" s="57">
        <v>0.35</v>
      </c>
      <c r="DD88" s="57">
        <f t="shared" si="38"/>
        <v>1</v>
      </c>
      <c r="DE88" s="57">
        <v>70</v>
      </c>
      <c r="DF88" s="61" t="s">
        <v>209</v>
      </c>
      <c r="DG88" s="57"/>
      <c r="DH88" s="57"/>
      <c r="DI88" s="57"/>
      <c r="DJ88" s="57"/>
      <c r="DK88" s="57"/>
      <c r="DL88" s="57"/>
      <c r="DM88" s="57"/>
      <c r="DN88" s="57"/>
      <c r="DO88" s="57"/>
      <c r="DP88" s="57"/>
      <c r="DQ88" s="57"/>
      <c r="DR88" s="57"/>
      <c r="DS88" s="57"/>
      <c r="DT88" s="57"/>
      <c r="DU88" s="57"/>
      <c r="DV88" s="57"/>
      <c r="DW88" s="57"/>
      <c r="DX88" s="57"/>
      <c r="DY88" s="57"/>
      <c r="DZ88" s="57"/>
      <c r="EA88" s="57"/>
      <c r="EB88" s="57"/>
      <c r="EC88" s="57"/>
      <c r="ED88" s="57"/>
      <c r="EE88" s="57"/>
      <c r="EF88" s="57"/>
      <c r="EG88" s="57"/>
      <c r="EH88" s="57"/>
      <c r="EI88" s="57"/>
      <c r="EJ88" s="57"/>
      <c r="EK88" s="57"/>
      <c r="EL88" s="57"/>
      <c r="EM88" s="57"/>
      <c r="EN88" s="57"/>
      <c r="EO88" s="57"/>
      <c r="EP88" s="57"/>
      <c r="EQ88" s="57"/>
      <c r="ER88" s="57"/>
      <c r="ES88" s="57"/>
      <c r="ET88" s="57"/>
      <c r="EU88" s="57"/>
      <c r="EV88" s="57"/>
      <c r="EW88" s="57"/>
      <c r="EX88" s="57"/>
      <c r="EY88" s="57"/>
      <c r="EZ88" s="57"/>
      <c r="FA88" s="57"/>
      <c r="FB88" s="57"/>
      <c r="FC88" s="57"/>
      <c r="FD88" s="57"/>
      <c r="FE88" s="57"/>
      <c r="FF88" s="57"/>
      <c r="FG88" s="57"/>
      <c r="FH88" s="57"/>
      <c r="FI88" s="57"/>
      <c r="FJ88" s="57"/>
      <c r="FK88" s="57"/>
      <c r="FL88" s="57"/>
      <c r="FM88" s="57"/>
      <c r="FN88" s="57"/>
      <c r="FO88" s="57"/>
      <c r="FP88" s="57"/>
      <c r="FQ88" s="61"/>
    </row>
    <row r="89" spans="52:173" x14ac:dyDescent="0.25">
      <c r="AZ89" s="54"/>
      <c r="BA89" s="57"/>
      <c r="BB89" s="57"/>
      <c r="BC89" s="57"/>
      <c r="BD89" s="57"/>
      <c r="BE89" s="57"/>
      <c r="BF89" s="57"/>
      <c r="BG89" s="57"/>
      <c r="BH89" s="57"/>
      <c r="BI89" s="57"/>
      <c r="BJ89" s="57"/>
      <c r="BK89" s="57"/>
      <c r="BL89" s="57"/>
      <c r="BM89" s="57"/>
      <c r="BN89" s="57"/>
      <c r="BO89" s="57"/>
      <c r="BP89" s="57"/>
      <c r="BQ89" s="57"/>
      <c r="BR89" s="57"/>
      <c r="BS89" s="57"/>
      <c r="BT89" s="57"/>
      <c r="BU89" s="57"/>
      <c r="BV89" s="57"/>
      <c r="BW89" s="57"/>
      <c r="BX89" s="57"/>
      <c r="BY89" s="57"/>
      <c r="BZ89" s="57"/>
      <c r="CA89" s="57"/>
      <c r="CB89" s="57"/>
      <c r="CC89" s="57"/>
      <c r="CD89" s="57"/>
      <c r="CE89" s="57"/>
      <c r="CF89" s="57"/>
      <c r="CG89" s="57"/>
      <c r="CH89" s="57"/>
      <c r="CI89" s="57"/>
      <c r="CJ89" s="57"/>
      <c r="CK89" s="57"/>
      <c r="CL89" s="57"/>
      <c r="CM89" s="57"/>
      <c r="CN89" s="57"/>
      <c r="CO89" s="57"/>
      <c r="CP89" s="57"/>
      <c r="CQ89" s="57"/>
      <c r="CR89" s="57"/>
      <c r="CS89" s="57"/>
      <c r="CT89" s="57"/>
      <c r="CU89" s="57"/>
      <c r="CV89" s="57"/>
      <c r="CW89" s="57"/>
      <c r="CX89" s="57"/>
      <c r="CY89" s="57"/>
      <c r="CZ89" s="57"/>
      <c r="DA89" s="57">
        <f t="shared" si="36"/>
        <v>1</v>
      </c>
      <c r="DB89" s="57">
        <f t="shared" si="37"/>
        <v>1</v>
      </c>
      <c r="DC89" s="57">
        <v>0.4</v>
      </c>
      <c r="DD89" s="57">
        <f t="shared" si="38"/>
        <v>1</v>
      </c>
      <c r="DE89" s="57">
        <v>27</v>
      </c>
      <c r="DF89" s="61" t="s">
        <v>194</v>
      </c>
      <c r="DG89" s="57"/>
      <c r="DH89" s="57"/>
      <c r="DI89" s="57"/>
      <c r="DJ89" s="57"/>
      <c r="DK89" s="57"/>
      <c r="DL89" s="57"/>
      <c r="DM89" s="57"/>
      <c r="DN89" s="57"/>
      <c r="DO89" s="57"/>
      <c r="DP89" s="57"/>
      <c r="DQ89" s="57"/>
      <c r="DR89" s="57"/>
      <c r="DS89" s="57"/>
      <c r="DT89" s="57"/>
      <c r="DU89" s="57"/>
      <c r="DV89" s="57"/>
      <c r="DW89" s="57"/>
      <c r="DX89" s="57"/>
      <c r="DY89" s="57"/>
      <c r="DZ89" s="57"/>
      <c r="EA89" s="57"/>
      <c r="EB89" s="57"/>
      <c r="EC89" s="57"/>
      <c r="ED89" s="57"/>
      <c r="EE89" s="57"/>
      <c r="EF89" s="57"/>
      <c r="EG89" s="57"/>
      <c r="EH89" s="57"/>
      <c r="EI89" s="57"/>
      <c r="EJ89" s="57"/>
      <c r="EK89" s="57"/>
      <c r="EL89" s="57"/>
      <c r="EM89" s="57"/>
      <c r="EN89" s="57"/>
      <c r="EO89" s="57"/>
      <c r="EP89" s="57"/>
      <c r="EQ89" s="57"/>
      <c r="ER89" s="57"/>
      <c r="ES89" s="57"/>
      <c r="ET89" s="57"/>
      <c r="EU89" s="57"/>
      <c r="EV89" s="57"/>
      <c r="EW89" s="57"/>
      <c r="EX89" s="57"/>
      <c r="EY89" s="57"/>
      <c r="EZ89" s="57"/>
      <c r="FA89" s="57"/>
      <c r="FB89" s="57"/>
      <c r="FC89" s="57"/>
      <c r="FD89" s="57"/>
      <c r="FE89" s="57"/>
      <c r="FF89" s="57"/>
      <c r="FG89" s="57"/>
      <c r="FH89" s="57"/>
      <c r="FI89" s="57"/>
      <c r="FJ89" s="57"/>
      <c r="FK89" s="57"/>
      <c r="FL89" s="57"/>
      <c r="FM89" s="57"/>
      <c r="FN89" s="57"/>
      <c r="FO89" s="57"/>
      <c r="FP89" s="57"/>
      <c r="FQ89" s="61"/>
    </row>
    <row r="90" spans="52:173" x14ac:dyDescent="0.25">
      <c r="AZ90" s="54"/>
      <c r="BA90" s="57"/>
      <c r="BB90" s="57"/>
      <c r="BC90" s="57"/>
      <c r="BD90" s="57"/>
      <c r="BE90" s="57"/>
      <c r="BF90" s="57"/>
      <c r="BG90" s="57"/>
      <c r="BH90" s="57"/>
      <c r="BI90" s="57"/>
      <c r="BJ90" s="57"/>
      <c r="BK90" s="57"/>
      <c r="BL90" s="57"/>
      <c r="BM90" s="57"/>
      <c r="BN90" s="57"/>
      <c r="BO90" s="57"/>
      <c r="BP90" s="57"/>
      <c r="BQ90" s="57"/>
      <c r="BR90" s="57"/>
      <c r="BS90" s="57"/>
      <c r="BT90" s="57"/>
      <c r="BU90" s="57"/>
      <c r="BV90" s="57"/>
      <c r="BW90" s="57"/>
      <c r="BX90" s="57"/>
      <c r="BY90" s="57"/>
      <c r="BZ90" s="57"/>
      <c r="CA90" s="57"/>
      <c r="CB90" s="57"/>
      <c r="CC90" s="57"/>
      <c r="CD90" s="57"/>
      <c r="CE90" s="57"/>
      <c r="CF90" s="57"/>
      <c r="CG90" s="57"/>
      <c r="CH90" s="57"/>
      <c r="CI90" s="57"/>
      <c r="CJ90" s="57"/>
      <c r="CK90" s="57"/>
      <c r="CL90" s="57"/>
      <c r="CM90" s="57"/>
      <c r="CN90" s="57"/>
      <c r="CO90" s="57"/>
      <c r="CP90" s="57"/>
      <c r="CQ90" s="57"/>
      <c r="CR90" s="57"/>
      <c r="CS90" s="57"/>
      <c r="CT90" s="57"/>
      <c r="CU90" s="57"/>
      <c r="CV90" s="57"/>
      <c r="CW90" s="57"/>
      <c r="CX90" s="57"/>
      <c r="CY90" s="57"/>
      <c r="CZ90" s="57"/>
      <c r="DA90" s="57">
        <f t="shared" si="36"/>
        <v>1</v>
      </c>
      <c r="DB90" s="57">
        <f t="shared" si="37"/>
        <v>1</v>
      </c>
      <c r="DC90" s="57">
        <v>0.4</v>
      </c>
      <c r="DD90" s="57">
        <f t="shared" si="38"/>
        <v>1</v>
      </c>
      <c r="DE90" s="57">
        <v>41</v>
      </c>
      <c r="DF90" s="61" t="s">
        <v>200</v>
      </c>
      <c r="DG90" s="57"/>
      <c r="DH90" s="57"/>
      <c r="DI90" s="57"/>
      <c r="DJ90" s="57"/>
      <c r="DK90" s="57"/>
      <c r="DL90" s="57"/>
      <c r="DM90" s="57"/>
      <c r="DN90" s="57"/>
      <c r="DO90" s="57"/>
      <c r="DP90" s="57"/>
      <c r="DQ90" s="57"/>
      <c r="DR90" s="57"/>
      <c r="DS90" s="57"/>
      <c r="DT90" s="57"/>
      <c r="DU90" s="57"/>
      <c r="DV90" s="57"/>
      <c r="DW90" s="57"/>
      <c r="DX90" s="57"/>
      <c r="DY90" s="57"/>
      <c r="DZ90" s="57"/>
      <c r="EA90" s="57"/>
      <c r="EB90" s="57"/>
      <c r="EC90" s="57"/>
      <c r="ED90" s="57"/>
      <c r="EE90" s="57"/>
      <c r="EF90" s="57"/>
      <c r="EG90" s="57"/>
      <c r="EH90" s="57"/>
      <c r="EI90" s="57"/>
      <c r="EJ90" s="57"/>
      <c r="EK90" s="57"/>
      <c r="EL90" s="57"/>
      <c r="EM90" s="57"/>
      <c r="EN90" s="57"/>
      <c r="EO90" s="57"/>
      <c r="EP90" s="57"/>
      <c r="EQ90" s="57"/>
      <c r="ER90" s="57"/>
      <c r="ES90" s="57"/>
      <c r="ET90" s="57"/>
      <c r="EU90" s="57"/>
      <c r="EV90" s="57"/>
      <c r="EW90" s="57"/>
      <c r="EX90" s="57"/>
      <c r="EY90" s="57"/>
      <c r="EZ90" s="57"/>
      <c r="FA90" s="57"/>
      <c r="FB90" s="57"/>
      <c r="FC90" s="57"/>
      <c r="FD90" s="57"/>
      <c r="FE90" s="57"/>
      <c r="FF90" s="57"/>
      <c r="FG90" s="57"/>
      <c r="FH90" s="57"/>
      <c r="FI90" s="57"/>
      <c r="FJ90" s="57"/>
      <c r="FK90" s="57"/>
      <c r="FL90" s="57"/>
      <c r="FM90" s="57"/>
      <c r="FN90" s="57"/>
      <c r="FO90" s="57"/>
      <c r="FP90" s="57"/>
      <c r="FQ90" s="61"/>
    </row>
    <row r="91" spans="52:173" x14ac:dyDescent="0.25">
      <c r="AZ91" s="54"/>
      <c r="BA91" s="57"/>
      <c r="BB91" s="57"/>
      <c r="BC91" s="57"/>
      <c r="BD91" s="57"/>
      <c r="BE91" s="57"/>
      <c r="BF91" s="57"/>
      <c r="BG91" s="57"/>
      <c r="BH91" s="57"/>
      <c r="BI91" s="57"/>
      <c r="BJ91" s="57"/>
      <c r="BK91" s="57"/>
      <c r="BL91" s="57"/>
      <c r="BM91" s="57"/>
      <c r="BN91" s="57"/>
      <c r="BO91" s="57"/>
      <c r="BP91" s="57"/>
      <c r="BQ91" s="57"/>
      <c r="BR91" s="57"/>
      <c r="BS91" s="57"/>
      <c r="BT91" s="57"/>
      <c r="BU91" s="57"/>
      <c r="BV91" s="57"/>
      <c r="BW91" s="57"/>
      <c r="BX91" s="57"/>
      <c r="BY91" s="57"/>
      <c r="BZ91" s="57"/>
      <c r="CA91" s="57"/>
      <c r="CB91" s="57"/>
      <c r="CC91" s="57"/>
      <c r="CD91" s="57"/>
      <c r="CE91" s="57"/>
      <c r="CF91" s="57"/>
      <c r="CG91" s="57"/>
      <c r="CH91" s="57"/>
      <c r="CI91" s="57"/>
      <c r="CJ91" s="57"/>
      <c r="CK91" s="57"/>
      <c r="CL91" s="57"/>
      <c r="CM91" s="57"/>
      <c r="CN91" s="57"/>
      <c r="CO91" s="57"/>
      <c r="CP91" s="57"/>
      <c r="CQ91" s="57"/>
      <c r="CR91" s="57"/>
      <c r="CS91" s="57"/>
      <c r="CT91" s="57"/>
      <c r="CU91" s="57"/>
      <c r="CV91" s="57"/>
      <c r="CW91" s="57"/>
      <c r="CX91" s="57"/>
      <c r="CY91" s="57"/>
      <c r="CZ91" s="57"/>
      <c r="DA91" s="57">
        <f t="shared" si="36"/>
        <v>1</v>
      </c>
      <c r="DB91" s="57">
        <f t="shared" si="37"/>
        <v>1</v>
      </c>
      <c r="DC91" s="57">
        <v>0.4</v>
      </c>
      <c r="DD91" s="57">
        <f t="shared" si="38"/>
        <v>1</v>
      </c>
      <c r="DE91" s="57">
        <v>47</v>
      </c>
      <c r="DF91" s="61" t="s">
        <v>206</v>
      </c>
      <c r="DG91" s="57"/>
      <c r="DH91" s="57"/>
      <c r="DI91" s="57"/>
      <c r="DJ91" s="57"/>
      <c r="DK91" s="57"/>
      <c r="DL91" s="57"/>
      <c r="DM91" s="57"/>
      <c r="DN91" s="57"/>
      <c r="DO91" s="57"/>
      <c r="DP91" s="57"/>
      <c r="DQ91" s="57"/>
      <c r="DR91" s="57"/>
      <c r="DS91" s="57"/>
      <c r="DT91" s="57"/>
      <c r="DU91" s="57"/>
      <c r="DV91" s="57"/>
      <c r="DW91" s="57"/>
      <c r="DX91" s="57"/>
      <c r="DY91" s="57"/>
      <c r="DZ91" s="57"/>
      <c r="EA91" s="57"/>
      <c r="EB91" s="57"/>
      <c r="EC91" s="57"/>
      <c r="ED91" s="57"/>
      <c r="EE91" s="57"/>
      <c r="EF91" s="57"/>
      <c r="EG91" s="57"/>
      <c r="EH91" s="57"/>
      <c r="EI91" s="57"/>
      <c r="EJ91" s="57"/>
      <c r="EK91" s="57"/>
      <c r="EL91" s="57"/>
      <c r="EM91" s="57"/>
      <c r="EN91" s="57"/>
      <c r="EO91" s="57"/>
      <c r="EP91" s="57"/>
      <c r="EQ91" s="57"/>
      <c r="ER91" s="57"/>
      <c r="ES91" s="57"/>
      <c r="ET91" s="57"/>
      <c r="EU91" s="57"/>
      <c r="EV91" s="57"/>
      <c r="EW91" s="57"/>
      <c r="EX91" s="57"/>
      <c r="EY91" s="57"/>
      <c r="EZ91" s="57"/>
      <c r="FA91" s="57"/>
      <c r="FB91" s="57"/>
      <c r="FC91" s="57"/>
      <c r="FD91" s="57"/>
      <c r="FE91" s="57"/>
      <c r="FF91" s="57"/>
      <c r="FG91" s="57"/>
      <c r="FH91" s="57"/>
      <c r="FI91" s="57"/>
      <c r="FJ91" s="57"/>
      <c r="FK91" s="57"/>
      <c r="FL91" s="57"/>
      <c r="FM91" s="57"/>
      <c r="FN91" s="57"/>
      <c r="FO91" s="57"/>
      <c r="FP91" s="57"/>
      <c r="FQ91" s="61"/>
    </row>
    <row r="92" spans="52:173" x14ac:dyDescent="0.25">
      <c r="AZ92" s="54"/>
      <c r="BA92" s="57"/>
      <c r="BB92" s="57"/>
      <c r="BC92" s="57"/>
      <c r="BD92" s="57"/>
      <c r="BE92" s="57"/>
      <c r="BF92" s="57"/>
      <c r="BG92" s="57"/>
      <c r="BH92" s="57"/>
      <c r="BI92" s="57"/>
      <c r="BJ92" s="57"/>
      <c r="BK92" s="57"/>
      <c r="BL92" s="57"/>
      <c r="BM92" s="57"/>
      <c r="BN92" s="57"/>
      <c r="BO92" s="57"/>
      <c r="BP92" s="57"/>
      <c r="BQ92" s="57"/>
      <c r="BR92" s="57"/>
      <c r="BS92" s="57"/>
      <c r="BT92" s="57"/>
      <c r="BU92" s="57"/>
      <c r="BV92" s="57"/>
      <c r="BW92" s="57"/>
      <c r="BX92" s="57"/>
      <c r="BY92" s="57"/>
      <c r="BZ92" s="57"/>
      <c r="CA92" s="57"/>
      <c r="CB92" s="57"/>
      <c r="CC92" s="57"/>
      <c r="CD92" s="57"/>
      <c r="CE92" s="57"/>
      <c r="CF92" s="57"/>
      <c r="CG92" s="57"/>
      <c r="CH92" s="57"/>
      <c r="CI92" s="57"/>
      <c r="CJ92" s="57"/>
      <c r="CK92" s="57"/>
      <c r="CL92" s="57"/>
      <c r="CM92" s="57"/>
      <c r="CN92" s="57"/>
      <c r="CO92" s="57"/>
      <c r="CP92" s="57"/>
      <c r="CQ92" s="57"/>
      <c r="CR92" s="57"/>
      <c r="CS92" s="57"/>
      <c r="CT92" s="57"/>
      <c r="CU92" s="57"/>
      <c r="CV92" s="57"/>
      <c r="CW92" s="57"/>
      <c r="CX92" s="57"/>
      <c r="CY92" s="57"/>
      <c r="CZ92" s="57"/>
      <c r="DA92" s="57">
        <f t="shared" si="36"/>
        <v>1</v>
      </c>
      <c r="DB92" s="57">
        <f t="shared" si="37"/>
        <v>1</v>
      </c>
      <c r="DC92" s="57">
        <v>0.4</v>
      </c>
      <c r="DD92" s="57">
        <f t="shared" si="38"/>
        <v>1</v>
      </c>
      <c r="DE92" s="57">
        <v>57</v>
      </c>
      <c r="DF92" s="61" t="s">
        <v>207</v>
      </c>
      <c r="DG92" s="57"/>
      <c r="DH92" s="57"/>
      <c r="DI92" s="57"/>
      <c r="DJ92" s="57"/>
      <c r="DK92" s="57"/>
      <c r="DL92" s="57"/>
      <c r="DM92" s="57"/>
      <c r="DN92" s="57"/>
      <c r="DO92" s="57"/>
      <c r="DP92" s="57"/>
      <c r="DQ92" s="57"/>
      <c r="DR92" s="57"/>
      <c r="DS92" s="57"/>
      <c r="DT92" s="57"/>
      <c r="DU92" s="57"/>
      <c r="DV92" s="57"/>
      <c r="DW92" s="57"/>
      <c r="DX92" s="57"/>
      <c r="DY92" s="57"/>
      <c r="DZ92" s="57"/>
      <c r="EA92" s="57"/>
      <c r="EB92" s="57"/>
      <c r="EC92" s="57"/>
      <c r="ED92" s="57"/>
      <c r="EE92" s="57"/>
      <c r="EF92" s="57"/>
      <c r="EG92" s="57"/>
      <c r="EH92" s="57"/>
      <c r="EI92" s="57"/>
      <c r="EJ92" s="57"/>
      <c r="EK92" s="57"/>
      <c r="EL92" s="57"/>
      <c r="EM92" s="57"/>
      <c r="EN92" s="57"/>
      <c r="EO92" s="57"/>
      <c r="EP92" s="57"/>
      <c r="EQ92" s="57"/>
      <c r="ER92" s="57"/>
      <c r="ES92" s="57"/>
      <c r="ET92" s="57"/>
      <c r="EU92" s="57"/>
      <c r="EV92" s="57"/>
      <c r="EW92" s="57"/>
      <c r="EX92" s="57"/>
      <c r="EY92" s="57"/>
      <c r="EZ92" s="57"/>
      <c r="FA92" s="57"/>
      <c r="FB92" s="57"/>
      <c r="FC92" s="57"/>
      <c r="FD92" s="57"/>
      <c r="FE92" s="57"/>
      <c r="FF92" s="57"/>
      <c r="FG92" s="57"/>
      <c r="FH92" s="57"/>
      <c r="FI92" s="57"/>
      <c r="FJ92" s="57"/>
      <c r="FK92" s="57"/>
      <c r="FL92" s="57"/>
      <c r="FM92" s="57"/>
      <c r="FN92" s="57"/>
      <c r="FO92" s="57"/>
      <c r="FP92" s="57"/>
      <c r="FQ92" s="61"/>
    </row>
    <row r="93" spans="52:173" x14ac:dyDescent="0.25">
      <c r="AZ93" s="54"/>
      <c r="BA93" s="57"/>
      <c r="BB93" s="57"/>
      <c r="BC93" s="57"/>
      <c r="BD93" s="57"/>
      <c r="BE93" s="57"/>
      <c r="BF93" s="57"/>
      <c r="BG93" s="57"/>
      <c r="BH93" s="57"/>
      <c r="BI93" s="57"/>
      <c r="BJ93" s="57"/>
      <c r="BK93" s="57"/>
      <c r="BL93" s="57"/>
      <c r="BM93" s="57"/>
      <c r="BN93" s="57"/>
      <c r="BO93" s="57"/>
      <c r="BP93" s="57"/>
      <c r="BQ93" s="57"/>
      <c r="BR93" s="57"/>
      <c r="BS93" s="57"/>
      <c r="BT93" s="57"/>
      <c r="BU93" s="57"/>
      <c r="BV93" s="57"/>
      <c r="BW93" s="57"/>
      <c r="BX93" s="57"/>
      <c r="BY93" s="57"/>
      <c r="BZ93" s="57"/>
      <c r="CA93" s="57"/>
      <c r="CB93" s="57"/>
      <c r="CC93" s="57"/>
      <c r="CD93" s="57"/>
      <c r="CE93" s="57"/>
      <c r="CF93" s="57"/>
      <c r="CG93" s="57"/>
      <c r="CH93" s="57"/>
      <c r="CI93" s="57"/>
      <c r="CJ93" s="57"/>
      <c r="CK93" s="57"/>
      <c r="CL93" s="57"/>
      <c r="CM93" s="57"/>
      <c r="CN93" s="57"/>
      <c r="CO93" s="57"/>
      <c r="CP93" s="57"/>
      <c r="CQ93" s="57"/>
      <c r="CR93" s="57"/>
      <c r="CS93" s="57"/>
      <c r="CT93" s="57"/>
      <c r="CU93" s="57"/>
      <c r="CV93" s="57"/>
      <c r="CW93" s="57"/>
      <c r="CX93" s="57"/>
      <c r="CY93" s="57"/>
      <c r="CZ93" s="57"/>
      <c r="DA93" s="57">
        <f t="shared" si="36"/>
        <v>1</v>
      </c>
      <c r="DB93" s="57">
        <f t="shared" si="37"/>
        <v>1</v>
      </c>
      <c r="DC93" s="57">
        <v>0.4</v>
      </c>
      <c r="DD93" s="57">
        <f t="shared" si="38"/>
        <v>1</v>
      </c>
      <c r="DE93" s="57">
        <v>80</v>
      </c>
      <c r="DF93" s="61" t="s">
        <v>209</v>
      </c>
      <c r="DG93" s="57"/>
      <c r="DH93" s="57"/>
      <c r="DI93" s="57"/>
      <c r="DJ93" s="57"/>
      <c r="DK93" s="57"/>
      <c r="DL93" s="57"/>
      <c r="DM93" s="57"/>
      <c r="DN93" s="57"/>
      <c r="DO93" s="57"/>
      <c r="DP93" s="57"/>
      <c r="DQ93" s="57"/>
      <c r="DR93" s="57"/>
      <c r="DS93" s="57"/>
      <c r="DT93" s="57"/>
      <c r="DU93" s="57"/>
      <c r="DV93" s="57"/>
      <c r="DW93" s="57"/>
      <c r="DX93" s="57"/>
      <c r="DY93" s="57"/>
      <c r="DZ93" s="57"/>
      <c r="EA93" s="57"/>
      <c r="EB93" s="57"/>
      <c r="EC93" s="57"/>
      <c r="ED93" s="57"/>
      <c r="EE93" s="57"/>
      <c r="EF93" s="57"/>
      <c r="EG93" s="57"/>
      <c r="EH93" s="57"/>
      <c r="EI93" s="57"/>
      <c r="EJ93" s="57"/>
      <c r="EK93" s="57"/>
      <c r="EL93" s="57"/>
      <c r="EM93" s="57"/>
      <c r="EN93" s="57"/>
      <c r="EO93" s="57"/>
      <c r="EP93" s="57"/>
      <c r="EQ93" s="57"/>
      <c r="ER93" s="57"/>
      <c r="ES93" s="57"/>
      <c r="ET93" s="57"/>
      <c r="EU93" s="57"/>
      <c r="EV93" s="57"/>
      <c r="EW93" s="57"/>
      <c r="EX93" s="57"/>
      <c r="EY93" s="57"/>
      <c r="EZ93" s="57"/>
      <c r="FA93" s="57"/>
      <c r="FB93" s="57"/>
      <c r="FC93" s="57"/>
      <c r="FD93" s="57"/>
      <c r="FE93" s="57"/>
      <c r="FF93" s="57"/>
      <c r="FG93" s="57"/>
      <c r="FH93" s="57"/>
      <c r="FI93" s="57"/>
      <c r="FJ93" s="57"/>
      <c r="FK93" s="57"/>
      <c r="FL93" s="57"/>
      <c r="FM93" s="57"/>
      <c r="FN93" s="57"/>
      <c r="FO93" s="57"/>
      <c r="FP93" s="57"/>
      <c r="FQ93" s="61"/>
    </row>
    <row r="94" spans="52:173" x14ac:dyDescent="0.25">
      <c r="AZ94" s="54"/>
      <c r="BA94" s="57"/>
      <c r="BB94" s="57"/>
      <c r="BC94" s="57"/>
      <c r="BD94" s="57"/>
      <c r="BE94" s="57"/>
      <c r="BF94" s="57"/>
      <c r="BG94" s="57"/>
      <c r="BH94" s="57"/>
      <c r="BI94" s="57"/>
      <c r="BJ94" s="57"/>
      <c r="BK94" s="57"/>
      <c r="BL94" s="57"/>
      <c r="BM94" s="57"/>
      <c r="BN94" s="57"/>
      <c r="BO94" s="57"/>
      <c r="BP94" s="57"/>
      <c r="BQ94" s="57"/>
      <c r="BR94" s="57"/>
      <c r="BS94" s="57"/>
      <c r="BT94" s="57"/>
      <c r="BU94" s="57"/>
      <c r="BV94" s="57"/>
      <c r="BW94" s="57"/>
      <c r="BX94" s="57"/>
      <c r="BY94" s="57"/>
      <c r="BZ94" s="57"/>
      <c r="CA94" s="57"/>
      <c r="CB94" s="57"/>
      <c r="CC94" s="57"/>
      <c r="CD94" s="57"/>
      <c r="CE94" s="57"/>
      <c r="CF94" s="57"/>
      <c r="CG94" s="57"/>
      <c r="CH94" s="57"/>
      <c r="CI94" s="57"/>
      <c r="CJ94" s="57"/>
      <c r="CK94" s="57"/>
      <c r="CL94" s="57"/>
      <c r="CM94" s="57"/>
      <c r="CN94" s="57"/>
      <c r="CO94" s="57"/>
      <c r="CP94" s="57"/>
      <c r="CQ94" s="57"/>
      <c r="CR94" s="57"/>
      <c r="CS94" s="57"/>
      <c r="CT94" s="57"/>
      <c r="CU94" s="57"/>
      <c r="CV94" s="57"/>
      <c r="CW94" s="57"/>
      <c r="CX94" s="57"/>
      <c r="CY94" s="57"/>
      <c r="CZ94" s="57"/>
      <c r="DA94" s="57">
        <f t="shared" si="36"/>
        <v>1</v>
      </c>
      <c r="DB94" s="57">
        <f t="shared" si="37"/>
        <v>1</v>
      </c>
      <c r="DC94" s="57">
        <v>0.45</v>
      </c>
      <c r="DD94" s="57">
        <f t="shared" si="38"/>
        <v>1</v>
      </c>
      <c r="DE94" s="57">
        <v>24</v>
      </c>
      <c r="DF94" s="61" t="s">
        <v>194</v>
      </c>
      <c r="DG94" s="57"/>
      <c r="DH94" s="57"/>
      <c r="DI94" s="57"/>
      <c r="DJ94" s="57"/>
      <c r="DK94" s="57"/>
      <c r="DL94" s="57"/>
      <c r="DM94" s="57"/>
      <c r="DN94" s="57"/>
      <c r="DO94" s="57"/>
      <c r="DP94" s="57"/>
      <c r="DQ94" s="57"/>
      <c r="DR94" s="57"/>
      <c r="DS94" s="57"/>
      <c r="DT94" s="57"/>
      <c r="DU94" s="57"/>
      <c r="DV94" s="57"/>
      <c r="DW94" s="57"/>
      <c r="DX94" s="57"/>
      <c r="DY94" s="57"/>
      <c r="DZ94" s="57"/>
      <c r="EA94" s="57"/>
      <c r="EB94" s="57"/>
      <c r="EC94" s="57"/>
      <c r="ED94" s="57"/>
      <c r="EE94" s="57"/>
      <c r="EF94" s="57"/>
      <c r="EG94" s="57"/>
      <c r="EH94" s="57"/>
      <c r="EI94" s="57"/>
      <c r="EJ94" s="57"/>
      <c r="EK94" s="57"/>
      <c r="EL94" s="57"/>
      <c r="EM94" s="57"/>
      <c r="EN94" s="57"/>
      <c r="EO94" s="57"/>
      <c r="EP94" s="57"/>
      <c r="EQ94" s="57"/>
      <c r="ER94" s="57"/>
      <c r="ES94" s="57"/>
      <c r="ET94" s="57"/>
      <c r="EU94" s="57"/>
      <c r="EV94" s="57"/>
      <c r="EW94" s="57"/>
      <c r="EX94" s="57"/>
      <c r="EY94" s="57"/>
      <c r="EZ94" s="57"/>
      <c r="FA94" s="57"/>
      <c r="FB94" s="57"/>
      <c r="FC94" s="57"/>
      <c r="FD94" s="57"/>
      <c r="FE94" s="57"/>
      <c r="FF94" s="57"/>
      <c r="FG94" s="57"/>
      <c r="FH94" s="57"/>
      <c r="FI94" s="57"/>
      <c r="FJ94" s="57"/>
      <c r="FK94" s="57"/>
      <c r="FL94" s="57"/>
      <c r="FM94" s="57"/>
      <c r="FN94" s="57"/>
      <c r="FO94" s="57"/>
      <c r="FP94" s="57"/>
      <c r="FQ94" s="61"/>
    </row>
    <row r="95" spans="52:173" x14ac:dyDescent="0.25">
      <c r="AZ95" s="54"/>
      <c r="BA95" s="57"/>
      <c r="BB95" s="57"/>
      <c r="BC95" s="57"/>
      <c r="BD95" s="57"/>
      <c r="BE95" s="57"/>
      <c r="BF95" s="57"/>
      <c r="BG95" s="57"/>
      <c r="BH95" s="57"/>
      <c r="BI95" s="57"/>
      <c r="BJ95" s="57"/>
      <c r="BK95" s="57"/>
      <c r="BL95" s="57"/>
      <c r="BM95" s="57"/>
      <c r="BN95" s="57"/>
      <c r="BO95" s="57"/>
      <c r="BP95" s="57"/>
      <c r="BQ95" s="57"/>
      <c r="BR95" s="57"/>
      <c r="BS95" s="57"/>
      <c r="BT95" s="57"/>
      <c r="BU95" s="57"/>
      <c r="BV95" s="57"/>
      <c r="BW95" s="57"/>
      <c r="BX95" s="57"/>
      <c r="BY95" s="57"/>
      <c r="BZ95" s="57"/>
      <c r="CA95" s="57"/>
      <c r="CB95" s="57"/>
      <c r="CC95" s="57"/>
      <c r="CD95" s="57"/>
      <c r="CE95" s="57"/>
      <c r="CF95" s="57"/>
      <c r="CG95" s="57"/>
      <c r="CH95" s="57"/>
      <c r="CI95" s="57"/>
      <c r="CJ95" s="57"/>
      <c r="CK95" s="57"/>
      <c r="CL95" s="57"/>
      <c r="CM95" s="57"/>
      <c r="CN95" s="57"/>
      <c r="CO95" s="57"/>
      <c r="CP95" s="57"/>
      <c r="CQ95" s="57"/>
      <c r="CR95" s="57"/>
      <c r="CS95" s="57"/>
      <c r="CT95" s="57"/>
      <c r="CU95" s="57"/>
      <c r="CV95" s="57"/>
      <c r="CW95" s="57"/>
      <c r="CX95" s="57"/>
      <c r="CY95" s="57"/>
      <c r="CZ95" s="57"/>
      <c r="DA95" s="57">
        <f t="shared" si="36"/>
        <v>1</v>
      </c>
      <c r="DB95" s="57">
        <f t="shared" si="37"/>
        <v>1</v>
      </c>
      <c r="DC95" s="57">
        <v>0.45</v>
      </c>
      <c r="DD95" s="57">
        <f t="shared" si="38"/>
        <v>1</v>
      </c>
      <c r="DE95" s="57">
        <v>39</v>
      </c>
      <c r="DF95" s="61" t="s">
        <v>200</v>
      </c>
      <c r="DG95" s="57"/>
      <c r="DH95" s="57"/>
      <c r="DI95" s="57"/>
      <c r="DJ95" s="57"/>
      <c r="DK95" s="57"/>
      <c r="DL95" s="57"/>
      <c r="DM95" s="57"/>
      <c r="DN95" s="57"/>
      <c r="DO95" s="57"/>
      <c r="DP95" s="57"/>
      <c r="DQ95" s="57"/>
      <c r="DR95" s="57"/>
      <c r="DS95" s="57"/>
      <c r="DT95" s="57"/>
      <c r="DU95" s="57"/>
      <c r="DV95" s="57"/>
      <c r="DW95" s="57"/>
      <c r="DX95" s="57"/>
      <c r="DY95" s="57"/>
      <c r="DZ95" s="57"/>
      <c r="EA95" s="57"/>
      <c r="EB95" s="57"/>
      <c r="EC95" s="57"/>
      <c r="ED95" s="57"/>
      <c r="EE95" s="57"/>
      <c r="EF95" s="57"/>
      <c r="EG95" s="57"/>
      <c r="EH95" s="57"/>
      <c r="EI95" s="57"/>
      <c r="EJ95" s="57"/>
      <c r="EK95" s="57"/>
      <c r="EL95" s="57"/>
      <c r="EM95" s="57"/>
      <c r="EN95" s="57"/>
      <c r="EO95" s="57"/>
      <c r="EP95" s="57"/>
      <c r="EQ95" s="57"/>
      <c r="ER95" s="57"/>
      <c r="ES95" s="57"/>
      <c r="ET95" s="57"/>
      <c r="EU95" s="57"/>
      <c r="EV95" s="57"/>
      <c r="EW95" s="57"/>
      <c r="EX95" s="57"/>
      <c r="EY95" s="57"/>
      <c r="EZ95" s="57"/>
      <c r="FA95" s="57"/>
      <c r="FB95" s="57"/>
      <c r="FC95" s="57"/>
      <c r="FD95" s="57"/>
      <c r="FE95" s="57"/>
      <c r="FF95" s="57"/>
      <c r="FG95" s="57"/>
      <c r="FH95" s="57"/>
      <c r="FI95" s="57"/>
      <c r="FJ95" s="57"/>
      <c r="FK95" s="57"/>
      <c r="FL95" s="57"/>
      <c r="FM95" s="57"/>
      <c r="FN95" s="57"/>
      <c r="FO95" s="57"/>
      <c r="FP95" s="57"/>
      <c r="FQ95" s="61"/>
    </row>
    <row r="96" spans="52:173" x14ac:dyDescent="0.25">
      <c r="AZ96" s="54"/>
      <c r="BA96" s="57"/>
      <c r="BB96" s="57"/>
      <c r="BC96" s="57"/>
      <c r="BD96" s="57"/>
      <c r="BE96" s="57"/>
      <c r="BF96" s="57"/>
      <c r="BG96" s="57"/>
      <c r="BH96" s="57"/>
      <c r="BI96" s="57"/>
      <c r="BJ96" s="57"/>
      <c r="BK96" s="57"/>
      <c r="BL96" s="57"/>
      <c r="BM96" s="57"/>
      <c r="BN96" s="57"/>
      <c r="BO96" s="57"/>
      <c r="BP96" s="57"/>
      <c r="BQ96" s="57"/>
      <c r="BR96" s="57"/>
      <c r="BS96" s="57"/>
      <c r="BT96" s="57"/>
      <c r="BU96" s="57"/>
      <c r="BV96" s="57"/>
      <c r="BW96" s="57"/>
      <c r="BX96" s="57"/>
      <c r="BY96" s="57"/>
      <c r="BZ96" s="57"/>
      <c r="CA96" s="57"/>
      <c r="CB96" s="57"/>
      <c r="CC96" s="57"/>
      <c r="CD96" s="57"/>
      <c r="CE96" s="57"/>
      <c r="CF96" s="57"/>
      <c r="CG96" s="57"/>
      <c r="CH96" s="57"/>
      <c r="CI96" s="57"/>
      <c r="CJ96" s="57"/>
      <c r="CK96" s="57"/>
      <c r="CL96" s="57"/>
      <c r="CM96" s="57"/>
      <c r="CN96" s="57"/>
      <c r="CO96" s="57"/>
      <c r="CP96" s="57"/>
      <c r="CQ96" s="57"/>
      <c r="CR96" s="57"/>
      <c r="CS96" s="57"/>
      <c r="CT96" s="57"/>
      <c r="CU96" s="57"/>
      <c r="CV96" s="57"/>
      <c r="CW96" s="57"/>
      <c r="CX96" s="57"/>
      <c r="CY96" s="57"/>
      <c r="CZ96" s="57"/>
      <c r="DA96" s="57">
        <f t="shared" si="36"/>
        <v>1</v>
      </c>
      <c r="DB96" s="57">
        <f t="shared" si="37"/>
        <v>1</v>
      </c>
      <c r="DC96" s="57">
        <v>0.45</v>
      </c>
      <c r="DD96" s="57">
        <f t="shared" si="38"/>
        <v>1</v>
      </c>
      <c r="DE96" s="57">
        <v>45</v>
      </c>
      <c r="DF96" s="61" t="s">
        <v>206</v>
      </c>
      <c r="DG96" s="57"/>
      <c r="DH96" s="57"/>
      <c r="DI96" s="57"/>
      <c r="DJ96" s="57"/>
      <c r="DK96" s="57"/>
      <c r="DL96" s="57"/>
      <c r="DM96" s="57"/>
      <c r="DN96" s="57"/>
      <c r="DO96" s="57"/>
      <c r="DP96" s="57"/>
      <c r="DQ96" s="57"/>
      <c r="DR96" s="57"/>
      <c r="DS96" s="57"/>
      <c r="DT96" s="57"/>
      <c r="DU96" s="57"/>
      <c r="DV96" s="57"/>
      <c r="DW96" s="57"/>
      <c r="DX96" s="57"/>
      <c r="DY96" s="57"/>
      <c r="DZ96" s="57"/>
      <c r="EA96" s="57"/>
      <c r="EB96" s="57"/>
      <c r="EC96" s="57"/>
      <c r="ED96" s="57"/>
      <c r="EE96" s="57"/>
      <c r="EF96" s="57"/>
      <c r="EG96" s="57"/>
      <c r="EH96" s="57"/>
      <c r="EI96" s="57"/>
      <c r="EJ96" s="57"/>
      <c r="EK96" s="57"/>
      <c r="EL96" s="57"/>
      <c r="EM96" s="57"/>
      <c r="EN96" s="57"/>
      <c r="EO96" s="57"/>
      <c r="EP96" s="57"/>
      <c r="EQ96" s="57"/>
      <c r="ER96" s="57"/>
      <c r="ES96" s="57"/>
      <c r="ET96" s="57"/>
      <c r="EU96" s="57"/>
      <c r="EV96" s="57"/>
      <c r="EW96" s="57"/>
      <c r="EX96" s="57"/>
      <c r="EY96" s="57"/>
      <c r="EZ96" s="57"/>
      <c r="FA96" s="57"/>
      <c r="FB96" s="57"/>
      <c r="FC96" s="57"/>
      <c r="FD96" s="57"/>
      <c r="FE96" s="57"/>
      <c r="FF96" s="57"/>
      <c r="FG96" s="57"/>
      <c r="FH96" s="57"/>
      <c r="FI96" s="57"/>
      <c r="FJ96" s="57"/>
      <c r="FK96" s="57"/>
      <c r="FL96" s="57"/>
      <c r="FM96" s="57"/>
      <c r="FN96" s="57"/>
      <c r="FO96" s="57"/>
      <c r="FP96" s="57"/>
      <c r="FQ96" s="61"/>
    </row>
    <row r="97" spans="52:173" x14ac:dyDescent="0.25">
      <c r="AZ97" s="54"/>
      <c r="BA97" s="57"/>
      <c r="BB97" s="57"/>
      <c r="BC97" s="57"/>
      <c r="BD97" s="57"/>
      <c r="BE97" s="57"/>
      <c r="BF97" s="57"/>
      <c r="BG97" s="57"/>
      <c r="BH97" s="57"/>
      <c r="BI97" s="57"/>
      <c r="BJ97" s="57"/>
      <c r="BK97" s="57"/>
      <c r="BL97" s="57"/>
      <c r="BM97" s="57"/>
      <c r="BN97" s="57"/>
      <c r="BO97" s="57"/>
      <c r="BP97" s="57"/>
      <c r="BQ97" s="57"/>
      <c r="BR97" s="57"/>
      <c r="BS97" s="57"/>
      <c r="BT97" s="57"/>
      <c r="BU97" s="57"/>
      <c r="BV97" s="57"/>
      <c r="BW97" s="57"/>
      <c r="BX97" s="57"/>
      <c r="BY97" s="57"/>
      <c r="BZ97" s="57"/>
      <c r="CA97" s="57"/>
      <c r="CB97" s="57"/>
      <c r="CC97" s="57"/>
      <c r="CD97" s="57"/>
      <c r="CE97" s="57"/>
      <c r="CF97" s="57"/>
      <c r="CG97" s="57"/>
      <c r="CH97" s="57"/>
      <c r="CI97" s="57"/>
      <c r="CJ97" s="57"/>
      <c r="CK97" s="57"/>
      <c r="CL97" s="57"/>
      <c r="CM97" s="57"/>
      <c r="CN97" s="57"/>
      <c r="CO97" s="57"/>
      <c r="CP97" s="57"/>
      <c r="CQ97" s="57"/>
      <c r="CR97" s="57"/>
      <c r="CS97" s="57"/>
      <c r="CT97" s="57"/>
      <c r="CU97" s="57"/>
      <c r="CV97" s="57"/>
      <c r="CW97" s="57"/>
      <c r="CX97" s="57"/>
      <c r="CY97" s="57"/>
      <c r="CZ97" s="57"/>
      <c r="DA97" s="57">
        <f t="shared" si="36"/>
        <v>1</v>
      </c>
      <c r="DB97" s="57">
        <f t="shared" si="37"/>
        <v>1</v>
      </c>
      <c r="DC97" s="57">
        <v>0.45</v>
      </c>
      <c r="DD97" s="57">
        <f t="shared" si="38"/>
        <v>1</v>
      </c>
      <c r="DE97" s="57">
        <v>70</v>
      </c>
      <c r="DF97" s="61" t="s">
        <v>211</v>
      </c>
      <c r="DG97" s="57"/>
      <c r="DH97" s="57"/>
      <c r="DI97" s="57"/>
      <c r="DJ97" s="57"/>
      <c r="DK97" s="57"/>
      <c r="DL97" s="57"/>
      <c r="DM97" s="57"/>
      <c r="DN97" s="57"/>
      <c r="DO97" s="57"/>
      <c r="DP97" s="57"/>
      <c r="DQ97" s="57"/>
      <c r="DR97" s="57"/>
      <c r="DS97" s="57"/>
      <c r="DT97" s="57"/>
      <c r="DU97" s="57"/>
      <c r="DV97" s="57"/>
      <c r="DW97" s="57"/>
      <c r="DX97" s="57"/>
      <c r="DY97" s="57"/>
      <c r="DZ97" s="57"/>
      <c r="EA97" s="57"/>
      <c r="EB97" s="57"/>
      <c r="EC97" s="57"/>
      <c r="ED97" s="57"/>
      <c r="EE97" s="57"/>
      <c r="EF97" s="57"/>
      <c r="EG97" s="57"/>
      <c r="EH97" s="57"/>
      <c r="EI97" s="57"/>
      <c r="EJ97" s="57"/>
      <c r="EK97" s="57"/>
      <c r="EL97" s="57"/>
      <c r="EM97" s="57"/>
      <c r="EN97" s="57"/>
      <c r="EO97" s="57"/>
      <c r="EP97" s="57"/>
      <c r="EQ97" s="57"/>
      <c r="ER97" s="57"/>
      <c r="ES97" s="57"/>
      <c r="ET97" s="57"/>
      <c r="EU97" s="57"/>
      <c r="EV97" s="57"/>
      <c r="EW97" s="57"/>
      <c r="EX97" s="57"/>
      <c r="EY97" s="57"/>
      <c r="EZ97" s="57"/>
      <c r="FA97" s="57"/>
      <c r="FB97" s="57"/>
      <c r="FC97" s="57"/>
      <c r="FD97" s="57"/>
      <c r="FE97" s="57"/>
      <c r="FF97" s="57"/>
      <c r="FG97" s="57"/>
      <c r="FH97" s="57"/>
      <c r="FI97" s="57"/>
      <c r="FJ97" s="57"/>
      <c r="FK97" s="57"/>
      <c r="FL97" s="57"/>
      <c r="FM97" s="57"/>
      <c r="FN97" s="57"/>
      <c r="FO97" s="57"/>
      <c r="FP97" s="57"/>
      <c r="FQ97" s="61"/>
    </row>
    <row r="98" spans="52:173" x14ac:dyDescent="0.25">
      <c r="AZ98" s="54"/>
      <c r="BA98" s="57"/>
      <c r="BB98" s="57"/>
      <c r="BC98" s="57"/>
      <c r="BD98" s="57"/>
      <c r="BE98" s="57"/>
      <c r="BF98" s="57"/>
      <c r="BG98" s="57"/>
      <c r="BH98" s="57"/>
      <c r="BI98" s="57"/>
      <c r="BJ98" s="57"/>
      <c r="BK98" s="57"/>
      <c r="BL98" s="57"/>
      <c r="BM98" s="57"/>
      <c r="BN98" s="57"/>
      <c r="BO98" s="57"/>
      <c r="BP98" s="57"/>
      <c r="BQ98" s="57"/>
      <c r="BR98" s="57"/>
      <c r="BS98" s="57"/>
      <c r="BT98" s="57"/>
      <c r="BU98" s="57"/>
      <c r="BV98" s="57"/>
      <c r="BW98" s="57"/>
      <c r="BX98" s="57"/>
      <c r="BY98" s="57"/>
      <c r="BZ98" s="57"/>
      <c r="CA98" s="57"/>
      <c r="CB98" s="57"/>
      <c r="CC98" s="57"/>
      <c r="CD98" s="57"/>
      <c r="CE98" s="57"/>
      <c r="CF98" s="57"/>
      <c r="CG98" s="57"/>
      <c r="CH98" s="57"/>
      <c r="CI98" s="57"/>
      <c r="CJ98" s="57"/>
      <c r="CK98" s="57"/>
      <c r="CL98" s="57"/>
      <c r="CM98" s="57"/>
      <c r="CN98" s="57"/>
      <c r="CO98" s="57"/>
      <c r="CP98" s="57"/>
      <c r="CQ98" s="57"/>
      <c r="CR98" s="57"/>
      <c r="CS98" s="57"/>
      <c r="CT98" s="57"/>
      <c r="CU98" s="57"/>
      <c r="CV98" s="57"/>
      <c r="CW98" s="57"/>
      <c r="CX98" s="57"/>
      <c r="CY98" s="57"/>
      <c r="CZ98" s="57"/>
      <c r="DA98" s="57">
        <f t="shared" si="36"/>
        <v>1</v>
      </c>
      <c r="DB98" s="57">
        <f t="shared" si="37"/>
        <v>1</v>
      </c>
      <c r="DC98" s="57">
        <v>0.45</v>
      </c>
      <c r="DD98" s="57">
        <f t="shared" si="38"/>
        <v>1</v>
      </c>
      <c r="DE98" s="57">
        <v>90</v>
      </c>
      <c r="DF98" s="61" t="s">
        <v>212</v>
      </c>
      <c r="DG98" s="57"/>
      <c r="DH98" s="57"/>
      <c r="DI98" s="57"/>
      <c r="DJ98" s="57"/>
      <c r="DK98" s="57"/>
      <c r="DL98" s="57"/>
      <c r="DM98" s="57"/>
      <c r="DN98" s="57"/>
      <c r="DO98" s="57"/>
      <c r="DP98" s="57"/>
      <c r="DQ98" s="57"/>
      <c r="DR98" s="57"/>
      <c r="DS98" s="57"/>
      <c r="DT98" s="57"/>
      <c r="DU98" s="57"/>
      <c r="DV98" s="57"/>
      <c r="DW98" s="57"/>
      <c r="DX98" s="57"/>
      <c r="DY98" s="57"/>
      <c r="DZ98" s="57"/>
      <c r="EA98" s="57"/>
      <c r="EB98" s="57"/>
      <c r="EC98" s="57"/>
      <c r="ED98" s="57"/>
      <c r="EE98" s="57"/>
      <c r="EF98" s="57"/>
      <c r="EG98" s="57"/>
      <c r="EH98" s="57"/>
      <c r="EI98" s="57"/>
      <c r="EJ98" s="57"/>
      <c r="EK98" s="57"/>
      <c r="EL98" s="57"/>
      <c r="EM98" s="57"/>
      <c r="EN98" s="57"/>
      <c r="EO98" s="57"/>
      <c r="EP98" s="57"/>
      <c r="EQ98" s="57"/>
      <c r="ER98" s="57"/>
      <c r="ES98" s="57"/>
      <c r="ET98" s="57"/>
      <c r="EU98" s="57"/>
      <c r="EV98" s="57"/>
      <c r="EW98" s="57"/>
      <c r="EX98" s="57"/>
      <c r="EY98" s="57"/>
      <c r="EZ98" s="57"/>
      <c r="FA98" s="57"/>
      <c r="FB98" s="57"/>
      <c r="FC98" s="57"/>
      <c r="FD98" s="57"/>
      <c r="FE98" s="57"/>
      <c r="FF98" s="57"/>
      <c r="FG98" s="57"/>
      <c r="FH98" s="57"/>
      <c r="FI98" s="57"/>
      <c r="FJ98" s="57"/>
      <c r="FK98" s="57"/>
      <c r="FL98" s="57"/>
      <c r="FM98" s="57"/>
      <c r="FN98" s="57"/>
      <c r="FO98" s="57"/>
      <c r="FP98" s="57"/>
      <c r="FQ98" s="61"/>
    </row>
    <row r="99" spans="52:173" x14ac:dyDescent="0.25">
      <c r="AZ99" s="54"/>
      <c r="BA99" s="57"/>
      <c r="BB99" s="57"/>
      <c r="BC99" s="57"/>
      <c r="BD99" s="57"/>
      <c r="BE99" s="57"/>
      <c r="BF99" s="57"/>
      <c r="BG99" s="57"/>
      <c r="BH99" s="57"/>
      <c r="BI99" s="57"/>
      <c r="BJ99" s="57"/>
      <c r="BK99" s="57"/>
      <c r="BL99" s="57"/>
      <c r="BM99" s="57"/>
      <c r="BN99" s="57"/>
      <c r="BO99" s="57"/>
      <c r="BP99" s="57"/>
      <c r="BQ99" s="57"/>
      <c r="BR99" s="57"/>
      <c r="BS99" s="57"/>
      <c r="BT99" s="57"/>
      <c r="BU99" s="57"/>
      <c r="BV99" s="57"/>
      <c r="BW99" s="57"/>
      <c r="BX99" s="57"/>
      <c r="BY99" s="57"/>
      <c r="BZ99" s="57"/>
      <c r="CA99" s="57"/>
      <c r="CB99" s="57"/>
      <c r="CC99" s="57"/>
      <c r="CD99" s="57"/>
      <c r="CE99" s="57"/>
      <c r="CF99" s="57"/>
      <c r="CG99" s="57"/>
      <c r="CH99" s="57"/>
      <c r="CI99" s="57"/>
      <c r="CJ99" s="57"/>
      <c r="CK99" s="57"/>
      <c r="CL99" s="57"/>
      <c r="CM99" s="57"/>
      <c r="CN99" s="57"/>
      <c r="CO99" s="57"/>
      <c r="CP99" s="57"/>
      <c r="CQ99" s="57"/>
      <c r="CR99" s="57"/>
      <c r="CS99" s="57"/>
      <c r="CT99" s="57"/>
      <c r="CU99" s="57"/>
      <c r="CV99" s="57"/>
      <c r="CW99" s="57"/>
      <c r="CX99" s="57"/>
      <c r="CY99" s="57"/>
      <c r="CZ99" s="57"/>
      <c r="DA99" s="57">
        <f t="shared" si="36"/>
        <v>1</v>
      </c>
      <c r="DB99" s="57">
        <f t="shared" si="37"/>
        <v>1</v>
      </c>
      <c r="DC99" s="57">
        <v>0.5</v>
      </c>
      <c r="DD99" s="57">
        <f t="shared" si="38"/>
        <v>1</v>
      </c>
      <c r="DE99" s="57">
        <v>22</v>
      </c>
      <c r="DF99" s="61" t="s">
        <v>194</v>
      </c>
      <c r="DG99" s="57"/>
      <c r="DH99" s="57"/>
      <c r="DI99" s="57"/>
      <c r="DJ99" s="57"/>
      <c r="DK99" s="57"/>
      <c r="DL99" s="57"/>
      <c r="DM99" s="57"/>
      <c r="DN99" s="57"/>
      <c r="DO99" s="57"/>
      <c r="DP99" s="57"/>
      <c r="DQ99" s="57"/>
      <c r="DR99" s="57"/>
      <c r="DS99" s="57"/>
      <c r="DT99" s="57"/>
      <c r="DU99" s="57"/>
      <c r="DV99" s="57"/>
      <c r="DW99" s="57"/>
      <c r="DX99" s="57"/>
      <c r="DY99" s="57"/>
      <c r="DZ99" s="57"/>
      <c r="EA99" s="57"/>
      <c r="EB99" s="57"/>
      <c r="EC99" s="57"/>
      <c r="ED99" s="57"/>
      <c r="EE99" s="57"/>
      <c r="EF99" s="57"/>
      <c r="EG99" s="57"/>
      <c r="EH99" s="57"/>
      <c r="EI99" s="57"/>
      <c r="EJ99" s="57"/>
      <c r="EK99" s="57"/>
      <c r="EL99" s="57"/>
      <c r="EM99" s="57"/>
      <c r="EN99" s="57"/>
      <c r="EO99" s="57"/>
      <c r="EP99" s="57"/>
      <c r="EQ99" s="57"/>
      <c r="ER99" s="57"/>
      <c r="ES99" s="57"/>
      <c r="ET99" s="57"/>
      <c r="EU99" s="57"/>
      <c r="EV99" s="57"/>
      <c r="EW99" s="57"/>
      <c r="EX99" s="57"/>
      <c r="EY99" s="57"/>
      <c r="EZ99" s="57"/>
      <c r="FA99" s="57"/>
      <c r="FB99" s="57"/>
      <c r="FC99" s="57"/>
      <c r="FD99" s="57"/>
      <c r="FE99" s="57"/>
      <c r="FF99" s="57"/>
      <c r="FG99" s="57"/>
      <c r="FH99" s="57"/>
      <c r="FI99" s="57"/>
      <c r="FJ99" s="57"/>
      <c r="FK99" s="57"/>
      <c r="FL99" s="57"/>
      <c r="FM99" s="57"/>
      <c r="FN99" s="57"/>
      <c r="FO99" s="57"/>
      <c r="FP99" s="57"/>
      <c r="FQ99" s="61"/>
    </row>
    <row r="100" spans="52:173" x14ac:dyDescent="0.25">
      <c r="AZ100" s="54"/>
      <c r="BA100" s="57"/>
      <c r="BB100" s="57"/>
      <c r="BC100" s="57"/>
      <c r="BD100" s="57"/>
      <c r="BE100" s="57"/>
      <c r="BF100" s="57"/>
      <c r="BG100" s="57"/>
      <c r="BH100" s="57"/>
      <c r="BI100" s="57"/>
      <c r="BJ100" s="57"/>
      <c r="BK100" s="57"/>
      <c r="BL100" s="57"/>
      <c r="BM100" s="57"/>
      <c r="BN100" s="57"/>
      <c r="BO100" s="57"/>
      <c r="BP100" s="57"/>
      <c r="BQ100" s="57"/>
      <c r="BR100" s="57"/>
      <c r="BS100" s="57"/>
      <c r="BT100" s="57"/>
      <c r="BU100" s="57"/>
      <c r="BV100" s="57"/>
      <c r="BW100" s="57"/>
      <c r="BX100" s="57"/>
      <c r="BY100" s="57"/>
      <c r="BZ100" s="57"/>
      <c r="CA100" s="57"/>
      <c r="CB100" s="57"/>
      <c r="CC100" s="57"/>
      <c r="CD100" s="57"/>
      <c r="CE100" s="57"/>
      <c r="CF100" s="57"/>
      <c r="CG100" s="57"/>
      <c r="CH100" s="57"/>
      <c r="CI100" s="57"/>
      <c r="CJ100" s="57"/>
      <c r="CK100" s="57"/>
      <c r="CL100" s="57"/>
      <c r="CM100" s="57"/>
      <c r="CN100" s="57"/>
      <c r="CO100" s="57"/>
      <c r="CP100" s="57"/>
      <c r="CQ100" s="57"/>
      <c r="CR100" s="57"/>
      <c r="CS100" s="57"/>
      <c r="CT100" s="57"/>
      <c r="CU100" s="57"/>
      <c r="CV100" s="57"/>
      <c r="CW100" s="57"/>
      <c r="CX100" s="57"/>
      <c r="CY100" s="57"/>
      <c r="CZ100" s="57"/>
      <c r="DA100" s="57">
        <f t="shared" si="36"/>
        <v>1</v>
      </c>
      <c r="DB100" s="57">
        <f t="shared" si="37"/>
        <v>1</v>
      </c>
      <c r="DC100" s="57">
        <v>0.5</v>
      </c>
      <c r="DD100" s="57">
        <f t="shared" si="38"/>
        <v>1</v>
      </c>
      <c r="DE100" s="57">
        <v>37</v>
      </c>
      <c r="DF100" s="61" t="s">
        <v>200</v>
      </c>
      <c r="DG100" s="57"/>
      <c r="DH100" s="57"/>
      <c r="DI100" s="57"/>
      <c r="DJ100" s="57"/>
      <c r="DK100" s="57"/>
      <c r="DL100" s="57"/>
      <c r="DM100" s="57"/>
      <c r="DN100" s="57"/>
      <c r="DO100" s="57"/>
      <c r="DP100" s="57"/>
      <c r="DQ100" s="57"/>
      <c r="DR100" s="57"/>
      <c r="DS100" s="57"/>
      <c r="DT100" s="57"/>
      <c r="DU100" s="57"/>
      <c r="DV100" s="57"/>
      <c r="DW100" s="57"/>
      <c r="DX100" s="57"/>
      <c r="DY100" s="57"/>
      <c r="DZ100" s="57"/>
      <c r="EA100" s="57"/>
      <c r="EB100" s="57"/>
      <c r="EC100" s="57"/>
      <c r="ED100" s="57"/>
      <c r="EE100" s="57"/>
      <c r="EF100" s="57"/>
      <c r="EG100" s="57"/>
      <c r="EH100" s="57"/>
      <c r="EI100" s="57"/>
      <c r="EJ100" s="57"/>
      <c r="EK100" s="57"/>
      <c r="EL100" s="57"/>
      <c r="EM100" s="57"/>
      <c r="EN100" s="57"/>
      <c r="EO100" s="57"/>
      <c r="EP100" s="57"/>
      <c r="EQ100" s="57"/>
      <c r="ER100" s="57"/>
      <c r="ES100" s="57"/>
      <c r="ET100" s="57"/>
      <c r="EU100" s="57"/>
      <c r="EV100" s="57"/>
      <c r="EW100" s="57"/>
      <c r="EX100" s="57"/>
      <c r="EY100" s="57"/>
      <c r="EZ100" s="57"/>
      <c r="FA100" s="57"/>
      <c r="FB100" s="57"/>
      <c r="FC100" s="57"/>
      <c r="FD100" s="57"/>
      <c r="FE100" s="57"/>
      <c r="FF100" s="57"/>
      <c r="FG100" s="57"/>
      <c r="FH100" s="57"/>
      <c r="FI100" s="57"/>
      <c r="FJ100" s="57"/>
      <c r="FK100" s="57"/>
      <c r="FL100" s="57"/>
      <c r="FM100" s="57"/>
      <c r="FN100" s="57"/>
      <c r="FO100" s="57"/>
      <c r="FP100" s="57"/>
      <c r="FQ100" s="61"/>
    </row>
    <row r="101" spans="52:173" x14ac:dyDescent="0.25">
      <c r="AZ101" s="54"/>
      <c r="BA101" s="57"/>
      <c r="BB101" s="57"/>
      <c r="BC101" s="57"/>
      <c r="BD101" s="57"/>
      <c r="BE101" s="57"/>
      <c r="BF101" s="57"/>
      <c r="BG101" s="57"/>
      <c r="BH101" s="57"/>
      <c r="BI101" s="57"/>
      <c r="BJ101" s="57"/>
      <c r="BK101" s="57"/>
      <c r="BL101" s="57"/>
      <c r="BM101" s="57"/>
      <c r="BN101" s="57"/>
      <c r="BO101" s="57"/>
      <c r="BP101" s="57"/>
      <c r="BQ101" s="57"/>
      <c r="BR101" s="57"/>
      <c r="BS101" s="57"/>
      <c r="BT101" s="57"/>
      <c r="BU101" s="57"/>
      <c r="BV101" s="57"/>
      <c r="BW101" s="57"/>
      <c r="BX101" s="57"/>
      <c r="BY101" s="57"/>
      <c r="BZ101" s="57"/>
      <c r="CA101" s="57"/>
      <c r="CB101" s="57"/>
      <c r="CC101" s="57"/>
      <c r="CD101" s="57"/>
      <c r="CE101" s="57"/>
      <c r="CF101" s="57"/>
      <c r="CG101" s="57"/>
      <c r="CH101" s="57"/>
      <c r="CI101" s="57"/>
      <c r="CJ101" s="57"/>
      <c r="CK101" s="57"/>
      <c r="CL101" s="57"/>
      <c r="CM101" s="57"/>
      <c r="CN101" s="57"/>
      <c r="CO101" s="57"/>
      <c r="CP101" s="57"/>
      <c r="CQ101" s="57"/>
      <c r="CR101" s="57"/>
      <c r="CS101" s="57"/>
      <c r="CT101" s="57"/>
      <c r="CU101" s="57"/>
      <c r="CV101" s="57"/>
      <c r="CW101" s="57"/>
      <c r="CX101" s="57"/>
      <c r="CY101" s="57"/>
      <c r="CZ101" s="57"/>
      <c r="DA101" s="57">
        <f t="shared" si="36"/>
        <v>1</v>
      </c>
      <c r="DB101" s="57">
        <f t="shared" si="37"/>
        <v>1</v>
      </c>
      <c r="DC101" s="57">
        <v>0.5</v>
      </c>
      <c r="DD101" s="57">
        <f t="shared" si="38"/>
        <v>1</v>
      </c>
      <c r="DE101" s="57">
        <v>43</v>
      </c>
      <c r="DF101" s="61" t="s">
        <v>206</v>
      </c>
      <c r="DG101" s="57"/>
      <c r="DH101" s="57"/>
      <c r="DI101" s="57"/>
      <c r="DJ101" s="57"/>
      <c r="DK101" s="57"/>
      <c r="DL101" s="57"/>
      <c r="DM101" s="57"/>
      <c r="DN101" s="57"/>
      <c r="DO101" s="57"/>
      <c r="DP101" s="57"/>
      <c r="DQ101" s="57"/>
      <c r="DR101" s="57"/>
      <c r="DS101" s="57"/>
      <c r="DT101" s="57"/>
      <c r="DU101" s="57"/>
      <c r="DV101" s="57"/>
      <c r="DW101" s="57"/>
      <c r="DX101" s="57"/>
      <c r="DY101" s="57"/>
      <c r="DZ101" s="57"/>
      <c r="EA101" s="57"/>
      <c r="EB101" s="57"/>
      <c r="EC101" s="57"/>
      <c r="ED101" s="57"/>
      <c r="EE101" s="57"/>
      <c r="EF101" s="57"/>
      <c r="EG101" s="57"/>
      <c r="EH101" s="57"/>
      <c r="EI101" s="57"/>
      <c r="EJ101" s="57"/>
      <c r="EK101" s="57"/>
      <c r="EL101" s="57"/>
      <c r="EM101" s="57"/>
      <c r="EN101" s="57"/>
      <c r="EO101" s="57"/>
      <c r="EP101" s="57"/>
      <c r="EQ101" s="57"/>
      <c r="ER101" s="57"/>
      <c r="ES101" s="57"/>
      <c r="ET101" s="57"/>
      <c r="EU101" s="57"/>
      <c r="EV101" s="57"/>
      <c r="EW101" s="57"/>
      <c r="EX101" s="57"/>
      <c r="EY101" s="57"/>
      <c r="EZ101" s="57"/>
      <c r="FA101" s="57"/>
      <c r="FB101" s="57"/>
      <c r="FC101" s="57"/>
      <c r="FD101" s="57"/>
      <c r="FE101" s="57"/>
      <c r="FF101" s="57"/>
      <c r="FG101" s="57"/>
      <c r="FH101" s="57"/>
      <c r="FI101" s="57"/>
      <c r="FJ101" s="57"/>
      <c r="FK101" s="57"/>
      <c r="FL101" s="57"/>
      <c r="FM101" s="57"/>
      <c r="FN101" s="57"/>
      <c r="FO101" s="57"/>
      <c r="FP101" s="57"/>
      <c r="FQ101" s="61"/>
    </row>
    <row r="102" spans="52:173" x14ac:dyDescent="0.25">
      <c r="AZ102" s="54"/>
      <c r="BA102" s="57"/>
      <c r="BB102" s="57"/>
      <c r="BC102" s="57"/>
      <c r="BD102" s="57"/>
      <c r="BE102" s="57"/>
      <c r="BF102" s="57"/>
      <c r="BG102" s="57"/>
      <c r="BH102" s="57"/>
      <c r="BI102" s="57"/>
      <c r="BJ102" s="57"/>
      <c r="BK102" s="57"/>
      <c r="BL102" s="57"/>
      <c r="BM102" s="57"/>
      <c r="BN102" s="57"/>
      <c r="BO102" s="57"/>
      <c r="BP102" s="57"/>
      <c r="BQ102" s="57"/>
      <c r="BR102" s="57"/>
      <c r="BS102" s="57"/>
      <c r="BT102" s="57"/>
      <c r="BU102" s="57"/>
      <c r="BV102" s="57"/>
      <c r="BW102" s="57"/>
      <c r="BX102" s="57"/>
      <c r="BY102" s="57"/>
      <c r="BZ102" s="57"/>
      <c r="CA102" s="57"/>
      <c r="CB102" s="57"/>
      <c r="CC102" s="57"/>
      <c r="CD102" s="57"/>
      <c r="CE102" s="57"/>
      <c r="CF102" s="57"/>
      <c r="CG102" s="57"/>
      <c r="CH102" s="57"/>
      <c r="CI102" s="57"/>
      <c r="CJ102" s="57"/>
      <c r="CK102" s="57"/>
      <c r="CL102" s="57"/>
      <c r="CM102" s="57"/>
      <c r="CN102" s="57"/>
      <c r="CO102" s="57"/>
      <c r="CP102" s="57"/>
      <c r="CQ102" s="57"/>
      <c r="CR102" s="57"/>
      <c r="CS102" s="57"/>
      <c r="CT102" s="57"/>
      <c r="CU102" s="57"/>
      <c r="CV102" s="57"/>
      <c r="CW102" s="57"/>
      <c r="CX102" s="57"/>
      <c r="CY102" s="57"/>
      <c r="CZ102" s="57"/>
      <c r="DA102" s="57">
        <f t="shared" si="36"/>
        <v>1</v>
      </c>
      <c r="DB102" s="57">
        <f t="shared" si="37"/>
        <v>1</v>
      </c>
      <c r="DC102" s="57">
        <v>0.5</v>
      </c>
      <c r="DD102" s="57">
        <f t="shared" si="38"/>
        <v>1</v>
      </c>
      <c r="DE102" s="57">
        <v>66</v>
      </c>
      <c r="DF102" s="61" t="s">
        <v>211</v>
      </c>
      <c r="DG102" s="57"/>
      <c r="DH102" s="57"/>
      <c r="DI102" s="57"/>
      <c r="DJ102" s="57"/>
      <c r="DK102" s="57"/>
      <c r="DL102" s="57"/>
      <c r="DM102" s="57"/>
      <c r="DN102" s="57"/>
      <c r="DO102" s="57"/>
      <c r="DP102" s="57"/>
      <c r="DQ102" s="57"/>
      <c r="DR102" s="57"/>
      <c r="DS102" s="57"/>
      <c r="DT102" s="57"/>
      <c r="DU102" s="57"/>
      <c r="DV102" s="57"/>
      <c r="DW102" s="57"/>
      <c r="DX102" s="57"/>
      <c r="DY102" s="57"/>
      <c r="DZ102" s="57"/>
      <c r="EA102" s="57"/>
      <c r="EB102" s="57"/>
      <c r="EC102" s="57"/>
      <c r="ED102" s="57"/>
      <c r="EE102" s="57"/>
      <c r="EF102" s="57"/>
      <c r="EG102" s="57"/>
      <c r="EH102" s="57"/>
      <c r="EI102" s="57"/>
      <c r="EJ102" s="57"/>
      <c r="EK102" s="57"/>
      <c r="EL102" s="57"/>
      <c r="EM102" s="57"/>
      <c r="EN102" s="57"/>
      <c r="EO102" s="57"/>
      <c r="EP102" s="57"/>
      <c r="EQ102" s="57"/>
      <c r="ER102" s="57"/>
      <c r="ES102" s="57"/>
      <c r="ET102" s="57"/>
      <c r="EU102" s="57"/>
      <c r="EV102" s="57"/>
      <c r="EW102" s="57"/>
      <c r="EX102" s="57"/>
      <c r="EY102" s="57"/>
      <c r="EZ102" s="57"/>
      <c r="FA102" s="57"/>
      <c r="FB102" s="57"/>
      <c r="FC102" s="57"/>
      <c r="FD102" s="57"/>
      <c r="FE102" s="57"/>
      <c r="FF102" s="57"/>
      <c r="FG102" s="57"/>
      <c r="FH102" s="57"/>
      <c r="FI102" s="57"/>
      <c r="FJ102" s="57"/>
      <c r="FK102" s="57"/>
      <c r="FL102" s="57"/>
      <c r="FM102" s="57"/>
      <c r="FN102" s="57"/>
      <c r="FO102" s="57"/>
      <c r="FP102" s="57"/>
      <c r="FQ102" s="61"/>
    </row>
    <row r="103" spans="52:173" x14ac:dyDescent="0.25">
      <c r="AZ103" s="54"/>
      <c r="BA103" s="57"/>
      <c r="BB103" s="57"/>
      <c r="BC103" s="57"/>
      <c r="BD103" s="57"/>
      <c r="BE103" s="57"/>
      <c r="BF103" s="57"/>
      <c r="BG103" s="57"/>
      <c r="BH103" s="57"/>
      <c r="BI103" s="57"/>
      <c r="BJ103" s="57"/>
      <c r="BK103" s="57"/>
      <c r="BL103" s="57"/>
      <c r="BM103" s="57"/>
      <c r="BN103" s="57"/>
      <c r="BO103" s="57"/>
      <c r="BP103" s="57"/>
      <c r="BQ103" s="57"/>
      <c r="BR103" s="57"/>
      <c r="BS103" s="57"/>
      <c r="BT103" s="57"/>
      <c r="BU103" s="57"/>
      <c r="BV103" s="57"/>
      <c r="BW103" s="57"/>
      <c r="BX103" s="57"/>
      <c r="BY103" s="57"/>
      <c r="BZ103" s="57"/>
      <c r="CA103" s="57"/>
      <c r="CB103" s="57"/>
      <c r="CC103" s="57"/>
      <c r="CD103" s="57"/>
      <c r="CE103" s="57"/>
      <c r="CF103" s="57"/>
      <c r="CG103" s="57"/>
      <c r="CH103" s="57"/>
      <c r="CI103" s="57"/>
      <c r="CJ103" s="57"/>
      <c r="CK103" s="57"/>
      <c r="CL103" s="57"/>
      <c r="CM103" s="57"/>
      <c r="CN103" s="57"/>
      <c r="CO103" s="57"/>
      <c r="CP103" s="57"/>
      <c r="CQ103" s="57"/>
      <c r="CR103" s="57"/>
      <c r="CS103" s="57"/>
      <c r="CT103" s="57"/>
      <c r="CU103" s="57"/>
      <c r="CV103" s="57"/>
      <c r="CW103" s="57"/>
      <c r="CX103" s="57"/>
      <c r="CY103" s="57"/>
      <c r="CZ103" s="57"/>
      <c r="DA103" s="57">
        <f t="shared" si="36"/>
        <v>1</v>
      </c>
      <c r="DB103" s="57">
        <f t="shared" si="37"/>
        <v>1</v>
      </c>
      <c r="DC103" s="57">
        <v>0.5</v>
      </c>
      <c r="DD103" s="57">
        <f t="shared" si="38"/>
        <v>1</v>
      </c>
      <c r="DE103" s="57">
        <v>100</v>
      </c>
      <c r="DF103" s="61" t="s">
        <v>212</v>
      </c>
      <c r="DG103" s="57"/>
      <c r="DH103" s="57"/>
      <c r="DI103" s="57"/>
      <c r="DJ103" s="57"/>
      <c r="DK103" s="57"/>
      <c r="DL103" s="57"/>
      <c r="DM103" s="57"/>
      <c r="DN103" s="57"/>
      <c r="DO103" s="57"/>
      <c r="DP103" s="57"/>
      <c r="DQ103" s="57"/>
      <c r="DR103" s="57"/>
      <c r="DS103" s="57"/>
      <c r="DT103" s="57"/>
      <c r="DU103" s="57"/>
      <c r="DV103" s="57"/>
      <c r="DW103" s="57"/>
      <c r="DX103" s="57"/>
      <c r="DY103" s="57"/>
      <c r="DZ103" s="57"/>
      <c r="EA103" s="57"/>
      <c r="EB103" s="57"/>
      <c r="EC103" s="57"/>
      <c r="ED103" s="57"/>
      <c r="EE103" s="57"/>
      <c r="EF103" s="57"/>
      <c r="EG103" s="57"/>
      <c r="EH103" s="57"/>
      <c r="EI103" s="57"/>
      <c r="EJ103" s="57"/>
      <c r="EK103" s="57"/>
      <c r="EL103" s="57"/>
      <c r="EM103" s="57"/>
      <c r="EN103" s="57"/>
      <c r="EO103" s="57"/>
      <c r="EP103" s="57"/>
      <c r="EQ103" s="57"/>
      <c r="ER103" s="57"/>
      <c r="ES103" s="57"/>
      <c r="ET103" s="57"/>
      <c r="EU103" s="57"/>
      <c r="EV103" s="57"/>
      <c r="EW103" s="57"/>
      <c r="EX103" s="57"/>
      <c r="EY103" s="57"/>
      <c r="EZ103" s="57"/>
      <c r="FA103" s="57"/>
      <c r="FB103" s="57"/>
      <c r="FC103" s="57"/>
      <c r="FD103" s="57"/>
      <c r="FE103" s="57"/>
      <c r="FF103" s="57"/>
      <c r="FG103" s="57"/>
      <c r="FH103" s="57"/>
      <c r="FI103" s="57"/>
      <c r="FJ103" s="57"/>
      <c r="FK103" s="57"/>
      <c r="FL103" s="57"/>
      <c r="FM103" s="57"/>
      <c r="FN103" s="57"/>
      <c r="FO103" s="57"/>
      <c r="FP103" s="57"/>
      <c r="FQ103" s="61"/>
    </row>
    <row r="104" spans="52:173" x14ac:dyDescent="0.25">
      <c r="AZ104" s="54"/>
      <c r="BA104" s="57"/>
      <c r="BB104" s="57"/>
      <c r="BC104" s="57"/>
      <c r="BD104" s="57"/>
      <c r="BE104" s="57"/>
      <c r="BF104" s="57"/>
      <c r="BG104" s="57"/>
      <c r="BH104" s="57"/>
      <c r="BI104" s="57"/>
      <c r="BJ104" s="57"/>
      <c r="BK104" s="57"/>
      <c r="BL104" s="57"/>
      <c r="BM104" s="57"/>
      <c r="BN104" s="57"/>
      <c r="BO104" s="57"/>
      <c r="BP104" s="57"/>
      <c r="BQ104" s="57"/>
      <c r="BR104" s="57"/>
      <c r="BS104" s="57"/>
      <c r="BT104" s="57"/>
      <c r="BU104" s="57"/>
      <c r="BV104" s="57"/>
      <c r="BW104" s="57"/>
      <c r="BX104" s="57"/>
      <c r="BY104" s="57"/>
      <c r="BZ104" s="57"/>
      <c r="CA104" s="57"/>
      <c r="CB104" s="57"/>
      <c r="CC104" s="57"/>
      <c r="CD104" s="57"/>
      <c r="CE104" s="57"/>
      <c r="CF104" s="57"/>
      <c r="CG104" s="57"/>
      <c r="CH104" s="57"/>
      <c r="CI104" s="57"/>
      <c r="CJ104" s="57"/>
      <c r="CK104" s="57"/>
      <c r="CL104" s="57"/>
      <c r="CM104" s="57"/>
      <c r="CN104" s="57"/>
      <c r="CO104" s="57"/>
      <c r="CP104" s="57"/>
      <c r="CQ104" s="57"/>
      <c r="CR104" s="57"/>
      <c r="CS104" s="57"/>
      <c r="CT104" s="57"/>
      <c r="CU104" s="57"/>
      <c r="CV104" s="57"/>
      <c r="CW104" s="57"/>
      <c r="CX104" s="57"/>
      <c r="CY104" s="57"/>
      <c r="CZ104" s="57"/>
      <c r="DA104" s="57">
        <f t="shared" si="36"/>
        <v>1</v>
      </c>
      <c r="DB104" s="57">
        <f t="shared" si="37"/>
        <v>1</v>
      </c>
      <c r="DC104" s="57">
        <v>0.55000000000000004</v>
      </c>
      <c r="DD104" s="57">
        <f t="shared" si="38"/>
        <v>1</v>
      </c>
      <c r="DE104" s="57">
        <v>35</v>
      </c>
      <c r="DF104" s="61" t="s">
        <v>200</v>
      </c>
      <c r="DG104" s="57"/>
      <c r="DH104" s="57"/>
      <c r="DI104" s="57"/>
      <c r="DJ104" s="57"/>
      <c r="DK104" s="57"/>
      <c r="DL104" s="57"/>
      <c r="DM104" s="57"/>
      <c r="DN104" s="57"/>
      <c r="DO104" s="57"/>
      <c r="DP104" s="57"/>
      <c r="DQ104" s="57"/>
      <c r="DR104" s="57"/>
      <c r="DS104" s="57"/>
      <c r="DT104" s="57"/>
      <c r="DU104" s="57"/>
      <c r="DV104" s="57"/>
      <c r="DW104" s="57"/>
      <c r="DX104" s="57"/>
      <c r="DY104" s="57"/>
      <c r="DZ104" s="57"/>
      <c r="EA104" s="57"/>
      <c r="EB104" s="57"/>
      <c r="EC104" s="57"/>
      <c r="ED104" s="57"/>
      <c r="EE104" s="57"/>
      <c r="EF104" s="57"/>
      <c r="EG104" s="57"/>
      <c r="EH104" s="57"/>
      <c r="EI104" s="57"/>
      <c r="EJ104" s="57"/>
      <c r="EK104" s="57"/>
      <c r="EL104" s="57"/>
      <c r="EM104" s="57"/>
      <c r="EN104" s="57"/>
      <c r="EO104" s="57"/>
      <c r="EP104" s="57"/>
      <c r="EQ104" s="57"/>
      <c r="ER104" s="57"/>
      <c r="ES104" s="57"/>
      <c r="ET104" s="57"/>
      <c r="EU104" s="57"/>
      <c r="EV104" s="57"/>
      <c r="EW104" s="57"/>
      <c r="EX104" s="57"/>
      <c r="EY104" s="57"/>
      <c r="EZ104" s="57"/>
      <c r="FA104" s="57"/>
      <c r="FB104" s="57"/>
      <c r="FC104" s="57"/>
      <c r="FD104" s="57"/>
      <c r="FE104" s="57"/>
      <c r="FF104" s="57"/>
      <c r="FG104" s="57"/>
      <c r="FH104" s="57"/>
      <c r="FI104" s="57"/>
      <c r="FJ104" s="57"/>
      <c r="FK104" s="57"/>
      <c r="FL104" s="57"/>
      <c r="FM104" s="57"/>
      <c r="FN104" s="57"/>
      <c r="FO104" s="57"/>
      <c r="FP104" s="57"/>
      <c r="FQ104" s="61"/>
    </row>
    <row r="105" spans="52:173" x14ac:dyDescent="0.25">
      <c r="AZ105" s="54"/>
      <c r="BA105" s="57"/>
      <c r="BB105" s="57"/>
      <c r="BC105" s="57"/>
      <c r="BD105" s="57"/>
      <c r="BE105" s="57"/>
      <c r="BF105" s="57"/>
      <c r="BG105" s="57"/>
      <c r="BH105" s="57"/>
      <c r="BI105" s="57"/>
      <c r="BJ105" s="57"/>
      <c r="BK105" s="57"/>
      <c r="BL105" s="57"/>
      <c r="BM105" s="57"/>
      <c r="BN105" s="57"/>
      <c r="BO105" s="57"/>
      <c r="BP105" s="57"/>
      <c r="BQ105" s="57"/>
      <c r="BR105" s="57"/>
      <c r="BS105" s="57"/>
      <c r="BT105" s="57"/>
      <c r="BU105" s="57"/>
      <c r="BV105" s="57"/>
      <c r="BW105" s="57"/>
      <c r="BX105" s="57"/>
      <c r="BY105" s="57"/>
      <c r="BZ105" s="57"/>
      <c r="CA105" s="57"/>
      <c r="CB105" s="57"/>
      <c r="CC105" s="57"/>
      <c r="CD105" s="57"/>
      <c r="CE105" s="57"/>
      <c r="CF105" s="57"/>
      <c r="CG105" s="57"/>
      <c r="CH105" s="57"/>
      <c r="CI105" s="57"/>
      <c r="CJ105" s="57"/>
      <c r="CK105" s="57"/>
      <c r="CL105" s="57"/>
      <c r="CM105" s="57"/>
      <c r="CN105" s="57"/>
      <c r="CO105" s="57"/>
      <c r="CP105" s="57"/>
      <c r="CQ105" s="57"/>
      <c r="CR105" s="57"/>
      <c r="CS105" s="57"/>
      <c r="CT105" s="57"/>
      <c r="CU105" s="57"/>
      <c r="CV105" s="57"/>
      <c r="CW105" s="57"/>
      <c r="CX105" s="57"/>
      <c r="CY105" s="57"/>
      <c r="CZ105" s="57"/>
      <c r="DA105" s="57">
        <f t="shared" si="36"/>
        <v>1</v>
      </c>
      <c r="DB105" s="57">
        <f t="shared" si="37"/>
        <v>1</v>
      </c>
      <c r="DC105" s="57">
        <v>0.55000000000000004</v>
      </c>
      <c r="DD105" s="57">
        <f t="shared" si="38"/>
        <v>1</v>
      </c>
      <c r="DE105" s="57">
        <v>42</v>
      </c>
      <c r="DF105" s="61" t="s">
        <v>206</v>
      </c>
      <c r="DG105" s="57"/>
      <c r="DH105" s="57"/>
      <c r="DI105" s="57"/>
      <c r="DJ105" s="57"/>
      <c r="DK105" s="57"/>
      <c r="DL105" s="57"/>
      <c r="DM105" s="57"/>
      <c r="DN105" s="57"/>
      <c r="DO105" s="57"/>
      <c r="DP105" s="57"/>
      <c r="DQ105" s="57"/>
      <c r="DR105" s="57"/>
      <c r="DS105" s="57"/>
      <c r="DT105" s="57"/>
      <c r="DU105" s="57"/>
      <c r="DV105" s="57"/>
      <c r="DW105" s="57"/>
      <c r="DX105" s="57"/>
      <c r="DY105" s="57"/>
      <c r="DZ105" s="57"/>
      <c r="EA105" s="57"/>
      <c r="EB105" s="57"/>
      <c r="EC105" s="57"/>
      <c r="ED105" s="57"/>
      <c r="EE105" s="57"/>
      <c r="EF105" s="57"/>
      <c r="EG105" s="57"/>
      <c r="EH105" s="57"/>
      <c r="EI105" s="57"/>
      <c r="EJ105" s="57"/>
      <c r="EK105" s="57"/>
      <c r="EL105" s="57"/>
      <c r="EM105" s="57"/>
      <c r="EN105" s="57"/>
      <c r="EO105" s="57"/>
      <c r="EP105" s="57"/>
      <c r="EQ105" s="57"/>
      <c r="ER105" s="57"/>
      <c r="ES105" s="57"/>
      <c r="ET105" s="57"/>
      <c r="EU105" s="57"/>
      <c r="EV105" s="57"/>
      <c r="EW105" s="57"/>
      <c r="EX105" s="57"/>
      <c r="EY105" s="57"/>
      <c r="EZ105" s="57"/>
      <c r="FA105" s="57"/>
      <c r="FB105" s="57"/>
      <c r="FC105" s="57"/>
      <c r="FD105" s="57"/>
      <c r="FE105" s="57"/>
      <c r="FF105" s="57"/>
      <c r="FG105" s="57"/>
      <c r="FH105" s="57"/>
      <c r="FI105" s="57"/>
      <c r="FJ105" s="57"/>
      <c r="FK105" s="57"/>
      <c r="FL105" s="57"/>
      <c r="FM105" s="57"/>
      <c r="FN105" s="57"/>
      <c r="FO105" s="57"/>
      <c r="FP105" s="57"/>
      <c r="FQ105" s="61"/>
    </row>
    <row r="106" spans="52:173" x14ac:dyDescent="0.25">
      <c r="AZ106" s="54"/>
      <c r="BA106" s="57"/>
      <c r="BB106" s="57"/>
      <c r="BC106" s="57"/>
      <c r="BD106" s="57"/>
      <c r="BE106" s="57"/>
      <c r="BF106" s="57"/>
      <c r="BG106" s="57"/>
      <c r="BH106" s="57"/>
      <c r="BI106" s="57"/>
      <c r="BJ106" s="57"/>
      <c r="BK106" s="57"/>
      <c r="BL106" s="57"/>
      <c r="BM106" s="57"/>
      <c r="BN106" s="57"/>
      <c r="BO106" s="57"/>
      <c r="BP106" s="57"/>
      <c r="BQ106" s="57"/>
      <c r="BR106" s="57"/>
      <c r="BS106" s="57"/>
      <c r="BT106" s="57"/>
      <c r="BU106" s="57"/>
      <c r="BV106" s="57"/>
      <c r="BW106" s="57"/>
      <c r="BX106" s="57"/>
      <c r="BY106" s="57"/>
      <c r="BZ106" s="57"/>
      <c r="CA106" s="57"/>
      <c r="CB106" s="57"/>
      <c r="CC106" s="57"/>
      <c r="CD106" s="57"/>
      <c r="CE106" s="57"/>
      <c r="CF106" s="57"/>
      <c r="CG106" s="57"/>
      <c r="CH106" s="57"/>
      <c r="CI106" s="57"/>
      <c r="CJ106" s="57"/>
      <c r="CK106" s="57"/>
      <c r="CL106" s="57"/>
      <c r="CM106" s="57"/>
      <c r="CN106" s="57"/>
      <c r="CO106" s="57"/>
      <c r="CP106" s="57"/>
      <c r="CQ106" s="57"/>
      <c r="CR106" s="57"/>
      <c r="CS106" s="57"/>
      <c r="CT106" s="57"/>
      <c r="CU106" s="57"/>
      <c r="CV106" s="57"/>
      <c r="CW106" s="57"/>
      <c r="CX106" s="57"/>
      <c r="CY106" s="57"/>
      <c r="CZ106" s="57"/>
      <c r="DA106" s="57">
        <f t="shared" si="36"/>
        <v>1</v>
      </c>
      <c r="DB106" s="57">
        <f t="shared" si="37"/>
        <v>1</v>
      </c>
      <c r="DC106" s="57">
        <v>0.55000000000000004</v>
      </c>
      <c r="DD106" s="57">
        <f t="shared" si="38"/>
        <v>1</v>
      </c>
      <c r="DE106" s="57">
        <v>62</v>
      </c>
      <c r="DF106" s="61" t="s">
        <v>211</v>
      </c>
      <c r="DG106" s="57"/>
      <c r="DH106" s="57"/>
      <c r="DI106" s="57"/>
      <c r="DJ106" s="57"/>
      <c r="DK106" s="57"/>
      <c r="DL106" s="57"/>
      <c r="DM106" s="57"/>
      <c r="DN106" s="57"/>
      <c r="DO106" s="57"/>
      <c r="DP106" s="57"/>
      <c r="DQ106" s="57"/>
      <c r="DR106" s="57"/>
      <c r="DS106" s="57"/>
      <c r="DT106" s="57"/>
      <c r="DU106" s="57"/>
      <c r="DV106" s="57"/>
      <c r="DW106" s="57"/>
      <c r="DX106" s="57"/>
      <c r="DY106" s="57"/>
      <c r="DZ106" s="57"/>
      <c r="EA106" s="57"/>
      <c r="EB106" s="57"/>
      <c r="EC106" s="57"/>
      <c r="ED106" s="57"/>
      <c r="EE106" s="57"/>
      <c r="EF106" s="57"/>
      <c r="EG106" s="57"/>
      <c r="EH106" s="57"/>
      <c r="EI106" s="57"/>
      <c r="EJ106" s="57"/>
      <c r="EK106" s="57"/>
      <c r="EL106" s="57"/>
      <c r="EM106" s="57"/>
      <c r="EN106" s="57"/>
      <c r="EO106" s="57"/>
      <c r="EP106" s="57"/>
      <c r="EQ106" s="57"/>
      <c r="ER106" s="57"/>
      <c r="ES106" s="57"/>
      <c r="ET106" s="57"/>
      <c r="EU106" s="57"/>
      <c r="EV106" s="57"/>
      <c r="EW106" s="57"/>
      <c r="EX106" s="57"/>
      <c r="EY106" s="57"/>
      <c r="EZ106" s="57"/>
      <c r="FA106" s="57"/>
      <c r="FB106" s="57"/>
      <c r="FC106" s="57"/>
      <c r="FD106" s="57"/>
      <c r="FE106" s="57"/>
      <c r="FF106" s="57"/>
      <c r="FG106" s="57"/>
      <c r="FH106" s="57"/>
      <c r="FI106" s="57"/>
      <c r="FJ106" s="57"/>
      <c r="FK106" s="57"/>
      <c r="FL106" s="57"/>
      <c r="FM106" s="57"/>
      <c r="FN106" s="57"/>
      <c r="FO106" s="57"/>
      <c r="FP106" s="57"/>
      <c r="FQ106" s="61"/>
    </row>
    <row r="107" spans="52:173" x14ac:dyDescent="0.25">
      <c r="AZ107" s="54"/>
      <c r="BA107" s="57"/>
      <c r="BB107" s="57"/>
      <c r="BC107" s="57"/>
      <c r="BD107" s="57"/>
      <c r="BE107" s="57"/>
      <c r="BF107" s="57"/>
      <c r="BG107" s="57"/>
      <c r="BH107" s="57"/>
      <c r="BI107" s="57"/>
      <c r="BJ107" s="57"/>
      <c r="BK107" s="57"/>
      <c r="BL107" s="57"/>
      <c r="BM107" s="57"/>
      <c r="BN107" s="57"/>
      <c r="BO107" s="57"/>
      <c r="BP107" s="57"/>
      <c r="BQ107" s="57"/>
      <c r="BR107" s="57"/>
      <c r="BS107" s="57"/>
      <c r="BT107" s="57"/>
      <c r="BU107" s="57"/>
      <c r="BV107" s="57"/>
      <c r="BW107" s="57"/>
      <c r="BX107" s="57"/>
      <c r="BY107" s="57"/>
      <c r="BZ107" s="57"/>
      <c r="CA107" s="57"/>
      <c r="CB107" s="57"/>
      <c r="CC107" s="57"/>
      <c r="CD107" s="57"/>
      <c r="CE107" s="57"/>
      <c r="CF107" s="57"/>
      <c r="CG107" s="57"/>
      <c r="CH107" s="57"/>
      <c r="CI107" s="57"/>
      <c r="CJ107" s="57"/>
      <c r="CK107" s="57"/>
      <c r="CL107" s="57"/>
      <c r="CM107" s="57"/>
      <c r="CN107" s="57"/>
      <c r="CO107" s="57"/>
      <c r="CP107" s="57"/>
      <c r="CQ107" s="57"/>
      <c r="CR107" s="57"/>
      <c r="CS107" s="57"/>
      <c r="CT107" s="57"/>
      <c r="CU107" s="57"/>
      <c r="CV107" s="57"/>
      <c r="CW107" s="57"/>
      <c r="CX107" s="57"/>
      <c r="CY107" s="57"/>
      <c r="CZ107" s="57"/>
      <c r="DA107" s="57">
        <f t="shared" si="36"/>
        <v>1</v>
      </c>
      <c r="DB107" s="57">
        <f t="shared" si="37"/>
        <v>1</v>
      </c>
      <c r="DC107" s="57">
        <v>0.55000000000000004</v>
      </c>
      <c r="DD107" s="57">
        <f t="shared" si="38"/>
        <v>1</v>
      </c>
      <c r="DE107" s="57">
        <v>110</v>
      </c>
      <c r="DF107" s="61" t="s">
        <v>212</v>
      </c>
      <c r="DG107" s="57"/>
      <c r="DH107" s="57"/>
      <c r="DI107" s="57"/>
      <c r="DJ107" s="57"/>
      <c r="DK107" s="57"/>
      <c r="DL107" s="57"/>
      <c r="DM107" s="57"/>
      <c r="DN107" s="57"/>
      <c r="DO107" s="57"/>
      <c r="DP107" s="57"/>
      <c r="DQ107" s="57"/>
      <c r="DR107" s="57"/>
      <c r="DS107" s="57"/>
      <c r="DT107" s="57"/>
      <c r="DU107" s="57"/>
      <c r="DV107" s="57"/>
      <c r="DW107" s="57"/>
      <c r="DX107" s="57"/>
      <c r="DY107" s="57"/>
      <c r="DZ107" s="57"/>
      <c r="EA107" s="57"/>
      <c r="EB107" s="57"/>
      <c r="EC107" s="57"/>
      <c r="ED107" s="57"/>
      <c r="EE107" s="57"/>
      <c r="EF107" s="57"/>
      <c r="EG107" s="57"/>
      <c r="EH107" s="57"/>
      <c r="EI107" s="57"/>
      <c r="EJ107" s="57"/>
      <c r="EK107" s="57"/>
      <c r="EL107" s="57"/>
      <c r="EM107" s="57"/>
      <c r="EN107" s="57"/>
      <c r="EO107" s="57"/>
      <c r="EP107" s="57"/>
      <c r="EQ107" s="57"/>
      <c r="ER107" s="57"/>
      <c r="ES107" s="57"/>
      <c r="ET107" s="57"/>
      <c r="EU107" s="57"/>
      <c r="EV107" s="57"/>
      <c r="EW107" s="57"/>
      <c r="EX107" s="57"/>
      <c r="EY107" s="57"/>
      <c r="EZ107" s="57"/>
      <c r="FA107" s="57"/>
      <c r="FB107" s="57"/>
      <c r="FC107" s="57"/>
      <c r="FD107" s="57"/>
      <c r="FE107" s="57"/>
      <c r="FF107" s="57"/>
      <c r="FG107" s="57"/>
      <c r="FH107" s="57"/>
      <c r="FI107" s="57"/>
      <c r="FJ107" s="57"/>
      <c r="FK107" s="57"/>
      <c r="FL107" s="57"/>
      <c r="FM107" s="57"/>
      <c r="FN107" s="57"/>
      <c r="FO107" s="57"/>
      <c r="FP107" s="57"/>
      <c r="FQ107" s="61"/>
    </row>
    <row r="108" spans="52:173" x14ac:dyDescent="0.25">
      <c r="AZ108" s="54"/>
      <c r="BA108" s="57"/>
      <c r="BB108" s="57"/>
      <c r="BC108" s="57"/>
      <c r="BD108" s="57"/>
      <c r="BE108" s="57"/>
      <c r="BF108" s="57"/>
      <c r="BG108" s="57"/>
      <c r="BH108" s="57"/>
      <c r="BI108" s="57"/>
      <c r="BJ108" s="57"/>
      <c r="BK108" s="57"/>
      <c r="BL108" s="57"/>
      <c r="BM108" s="57"/>
      <c r="BN108" s="57"/>
      <c r="BO108" s="57"/>
      <c r="BP108" s="57"/>
      <c r="BQ108" s="57"/>
      <c r="BR108" s="57"/>
      <c r="BS108" s="57"/>
      <c r="BT108" s="57"/>
      <c r="BU108" s="57"/>
      <c r="BV108" s="57"/>
      <c r="BW108" s="57"/>
      <c r="BX108" s="57"/>
      <c r="BY108" s="57"/>
      <c r="BZ108" s="57"/>
      <c r="CA108" s="57"/>
      <c r="CB108" s="57"/>
      <c r="CC108" s="57"/>
      <c r="CD108" s="57"/>
      <c r="CE108" s="57"/>
      <c r="CF108" s="57"/>
      <c r="CG108" s="57"/>
      <c r="CH108" s="57"/>
      <c r="CI108" s="57"/>
      <c r="CJ108" s="57"/>
      <c r="CK108" s="57"/>
      <c r="CL108" s="57"/>
      <c r="CM108" s="57"/>
      <c r="CN108" s="57"/>
      <c r="CO108" s="57"/>
      <c r="CP108" s="57"/>
      <c r="CQ108" s="57"/>
      <c r="CR108" s="57"/>
      <c r="CS108" s="57"/>
      <c r="CT108" s="57"/>
      <c r="CU108" s="57"/>
      <c r="CV108" s="57"/>
      <c r="CW108" s="57"/>
      <c r="CX108" s="57"/>
      <c r="CY108" s="57"/>
      <c r="CZ108" s="57"/>
      <c r="DA108" s="57">
        <f t="shared" si="36"/>
        <v>1</v>
      </c>
      <c r="DB108" s="57">
        <f t="shared" si="37"/>
        <v>1</v>
      </c>
      <c r="DC108" s="57">
        <v>0.6</v>
      </c>
      <c r="DD108" s="57">
        <f t="shared" si="38"/>
        <v>1</v>
      </c>
      <c r="DE108" s="57">
        <v>33</v>
      </c>
      <c r="DF108" s="61" t="s">
        <v>200</v>
      </c>
      <c r="DG108" s="57"/>
      <c r="DH108" s="57"/>
      <c r="DI108" s="57"/>
      <c r="DJ108" s="57"/>
      <c r="DK108" s="57"/>
      <c r="DL108" s="57"/>
      <c r="DM108" s="57"/>
      <c r="DN108" s="57"/>
      <c r="DO108" s="57"/>
      <c r="DP108" s="57"/>
      <c r="DQ108" s="57"/>
      <c r="DR108" s="57"/>
      <c r="DS108" s="57"/>
      <c r="DT108" s="57"/>
      <c r="DU108" s="57"/>
      <c r="DV108" s="57"/>
      <c r="DW108" s="57"/>
      <c r="DX108" s="57"/>
      <c r="DY108" s="57"/>
      <c r="DZ108" s="57"/>
      <c r="EA108" s="57"/>
      <c r="EB108" s="57"/>
      <c r="EC108" s="57"/>
      <c r="ED108" s="57"/>
      <c r="EE108" s="57"/>
      <c r="EF108" s="57"/>
      <c r="EG108" s="57"/>
      <c r="EH108" s="57"/>
      <c r="EI108" s="57"/>
      <c r="EJ108" s="57"/>
      <c r="EK108" s="57"/>
      <c r="EL108" s="57"/>
      <c r="EM108" s="57"/>
      <c r="EN108" s="57"/>
      <c r="EO108" s="57"/>
      <c r="EP108" s="57"/>
      <c r="EQ108" s="57"/>
      <c r="ER108" s="57"/>
      <c r="ES108" s="57"/>
      <c r="ET108" s="57"/>
      <c r="EU108" s="57"/>
      <c r="EV108" s="57"/>
      <c r="EW108" s="57"/>
      <c r="EX108" s="57"/>
      <c r="EY108" s="57"/>
      <c r="EZ108" s="57"/>
      <c r="FA108" s="57"/>
      <c r="FB108" s="57"/>
      <c r="FC108" s="57"/>
      <c r="FD108" s="57"/>
      <c r="FE108" s="57"/>
      <c r="FF108" s="57"/>
      <c r="FG108" s="57"/>
      <c r="FH108" s="57"/>
      <c r="FI108" s="57"/>
      <c r="FJ108" s="57"/>
      <c r="FK108" s="57"/>
      <c r="FL108" s="57"/>
      <c r="FM108" s="57"/>
      <c r="FN108" s="57"/>
      <c r="FO108" s="57"/>
      <c r="FP108" s="57"/>
      <c r="FQ108" s="61"/>
    </row>
    <row r="109" spans="52:173" x14ac:dyDescent="0.25">
      <c r="AZ109" s="54"/>
      <c r="BA109" s="57"/>
      <c r="BB109" s="57"/>
      <c r="BC109" s="57"/>
      <c r="BD109" s="57"/>
      <c r="BE109" s="57"/>
      <c r="BF109" s="57"/>
      <c r="BG109" s="57"/>
      <c r="BH109" s="57"/>
      <c r="BI109" s="57"/>
      <c r="BJ109" s="57"/>
      <c r="BK109" s="57"/>
      <c r="BL109" s="57"/>
      <c r="BM109" s="57"/>
      <c r="BN109" s="57"/>
      <c r="BO109" s="57"/>
      <c r="BP109" s="57"/>
      <c r="BQ109" s="57"/>
      <c r="BR109" s="57"/>
      <c r="BS109" s="57"/>
      <c r="BT109" s="57"/>
      <c r="BU109" s="57"/>
      <c r="BV109" s="57"/>
      <c r="BW109" s="57"/>
      <c r="BX109" s="57"/>
      <c r="BY109" s="57"/>
      <c r="BZ109" s="57"/>
      <c r="CA109" s="57"/>
      <c r="CB109" s="57"/>
      <c r="CC109" s="57"/>
      <c r="CD109" s="57"/>
      <c r="CE109" s="57"/>
      <c r="CF109" s="57"/>
      <c r="CG109" s="57"/>
      <c r="CH109" s="57"/>
      <c r="CI109" s="57"/>
      <c r="CJ109" s="57"/>
      <c r="CK109" s="57"/>
      <c r="CL109" s="57"/>
      <c r="CM109" s="57"/>
      <c r="CN109" s="57"/>
      <c r="CO109" s="57"/>
      <c r="CP109" s="57"/>
      <c r="CQ109" s="57"/>
      <c r="CR109" s="57"/>
      <c r="CS109" s="57"/>
      <c r="CT109" s="57"/>
      <c r="CU109" s="57"/>
      <c r="CV109" s="57"/>
      <c r="CW109" s="57"/>
      <c r="CX109" s="57"/>
      <c r="CY109" s="57"/>
      <c r="CZ109" s="57"/>
      <c r="DA109" s="57">
        <f t="shared" si="36"/>
        <v>1</v>
      </c>
      <c r="DB109" s="57">
        <f t="shared" si="37"/>
        <v>1</v>
      </c>
      <c r="DC109" s="57">
        <v>0.6</v>
      </c>
      <c r="DD109" s="57">
        <f t="shared" si="38"/>
        <v>1</v>
      </c>
      <c r="DE109" s="57">
        <v>41</v>
      </c>
      <c r="DF109" s="61" t="s">
        <v>206</v>
      </c>
      <c r="DG109" s="57"/>
      <c r="DH109" s="57"/>
      <c r="DI109" s="57"/>
      <c r="DJ109" s="57"/>
      <c r="DK109" s="57"/>
      <c r="DL109" s="57"/>
      <c r="DM109" s="57"/>
      <c r="DN109" s="57"/>
      <c r="DO109" s="57"/>
      <c r="DP109" s="57"/>
      <c r="DQ109" s="57"/>
      <c r="DR109" s="57"/>
      <c r="DS109" s="57"/>
      <c r="DT109" s="57"/>
      <c r="DU109" s="57"/>
      <c r="DV109" s="57"/>
      <c r="DW109" s="57"/>
      <c r="DX109" s="57"/>
      <c r="DY109" s="57"/>
      <c r="DZ109" s="57"/>
      <c r="EA109" s="57"/>
      <c r="EB109" s="57"/>
      <c r="EC109" s="57"/>
      <c r="ED109" s="57"/>
      <c r="EE109" s="57"/>
      <c r="EF109" s="57"/>
      <c r="EG109" s="57"/>
      <c r="EH109" s="57"/>
      <c r="EI109" s="57"/>
      <c r="EJ109" s="57"/>
      <c r="EK109" s="57"/>
      <c r="EL109" s="57"/>
      <c r="EM109" s="57"/>
      <c r="EN109" s="57"/>
      <c r="EO109" s="57"/>
      <c r="EP109" s="57"/>
      <c r="EQ109" s="57"/>
      <c r="ER109" s="57"/>
      <c r="ES109" s="57"/>
      <c r="ET109" s="57"/>
      <c r="EU109" s="57"/>
      <c r="EV109" s="57"/>
      <c r="EW109" s="57"/>
      <c r="EX109" s="57"/>
      <c r="EY109" s="57"/>
      <c r="EZ109" s="57"/>
      <c r="FA109" s="57"/>
      <c r="FB109" s="57"/>
      <c r="FC109" s="57"/>
      <c r="FD109" s="57"/>
      <c r="FE109" s="57"/>
      <c r="FF109" s="57"/>
      <c r="FG109" s="57"/>
      <c r="FH109" s="57"/>
      <c r="FI109" s="57"/>
      <c r="FJ109" s="57"/>
      <c r="FK109" s="57"/>
      <c r="FL109" s="57"/>
      <c r="FM109" s="57"/>
      <c r="FN109" s="57"/>
      <c r="FO109" s="57"/>
      <c r="FP109" s="57"/>
      <c r="FQ109" s="61"/>
    </row>
    <row r="110" spans="52:173" x14ac:dyDescent="0.25">
      <c r="AZ110" s="54"/>
      <c r="BA110" s="57"/>
      <c r="BB110" s="57"/>
      <c r="BC110" s="57"/>
      <c r="BD110" s="57"/>
      <c r="BE110" s="57"/>
      <c r="BF110" s="57"/>
      <c r="BG110" s="57"/>
      <c r="BH110" s="57"/>
      <c r="BI110" s="57"/>
      <c r="BJ110" s="57"/>
      <c r="BK110" s="57"/>
      <c r="BL110" s="57"/>
      <c r="BM110" s="57"/>
      <c r="BN110" s="57"/>
      <c r="BO110" s="57"/>
      <c r="BP110" s="57"/>
      <c r="BQ110" s="57"/>
      <c r="BR110" s="57"/>
      <c r="BS110" s="57"/>
      <c r="BT110" s="57"/>
      <c r="BU110" s="57"/>
      <c r="BV110" s="57"/>
      <c r="BW110" s="57"/>
      <c r="BX110" s="57"/>
      <c r="BY110" s="57"/>
      <c r="BZ110" s="57"/>
      <c r="CA110" s="57"/>
      <c r="CB110" s="57"/>
      <c r="CC110" s="57"/>
      <c r="CD110" s="57"/>
      <c r="CE110" s="57"/>
      <c r="CF110" s="57"/>
      <c r="CG110" s="57"/>
      <c r="CH110" s="57"/>
      <c r="CI110" s="57"/>
      <c r="CJ110" s="57"/>
      <c r="CK110" s="57"/>
      <c r="CL110" s="57"/>
      <c r="CM110" s="57"/>
      <c r="CN110" s="57"/>
      <c r="CO110" s="57"/>
      <c r="CP110" s="57"/>
      <c r="CQ110" s="57"/>
      <c r="CR110" s="57"/>
      <c r="CS110" s="57"/>
      <c r="CT110" s="57"/>
      <c r="CU110" s="57"/>
      <c r="CV110" s="57"/>
      <c r="CW110" s="57"/>
      <c r="CX110" s="57"/>
      <c r="CY110" s="57"/>
      <c r="CZ110" s="57"/>
      <c r="DA110" s="57">
        <f t="shared" si="36"/>
        <v>1</v>
      </c>
      <c r="DB110" s="57">
        <f t="shared" si="37"/>
        <v>1</v>
      </c>
      <c r="DC110" s="57">
        <v>0.6</v>
      </c>
      <c r="DD110" s="57">
        <f t="shared" si="38"/>
        <v>1</v>
      </c>
      <c r="DE110" s="57">
        <v>55</v>
      </c>
      <c r="DF110" s="61" t="s">
        <v>211</v>
      </c>
      <c r="DG110" s="57"/>
      <c r="DH110" s="57"/>
      <c r="DI110" s="57"/>
      <c r="DJ110" s="57"/>
      <c r="DK110" s="57"/>
      <c r="DL110" s="57"/>
      <c r="DM110" s="57"/>
      <c r="DN110" s="57"/>
      <c r="DO110" s="57"/>
      <c r="DP110" s="57"/>
      <c r="DQ110" s="57"/>
      <c r="DR110" s="57"/>
      <c r="DS110" s="57"/>
      <c r="DT110" s="57"/>
      <c r="DU110" s="57"/>
      <c r="DV110" s="57"/>
      <c r="DW110" s="57"/>
      <c r="DX110" s="57"/>
      <c r="DY110" s="57"/>
      <c r="DZ110" s="57"/>
      <c r="EA110" s="57"/>
      <c r="EB110" s="57"/>
      <c r="EC110" s="57"/>
      <c r="ED110" s="57"/>
      <c r="EE110" s="57"/>
      <c r="EF110" s="57"/>
      <c r="EG110" s="57"/>
      <c r="EH110" s="57"/>
      <c r="EI110" s="57"/>
      <c r="EJ110" s="57"/>
      <c r="EK110" s="57"/>
      <c r="EL110" s="57"/>
      <c r="EM110" s="57"/>
      <c r="EN110" s="57"/>
      <c r="EO110" s="57"/>
      <c r="EP110" s="57"/>
      <c r="EQ110" s="57"/>
      <c r="ER110" s="57"/>
      <c r="ES110" s="57"/>
      <c r="ET110" s="57"/>
      <c r="EU110" s="57"/>
      <c r="EV110" s="57"/>
      <c r="EW110" s="57"/>
      <c r="EX110" s="57"/>
      <c r="EY110" s="57"/>
      <c r="EZ110" s="57"/>
      <c r="FA110" s="57"/>
      <c r="FB110" s="57"/>
      <c r="FC110" s="57"/>
      <c r="FD110" s="57"/>
      <c r="FE110" s="57"/>
      <c r="FF110" s="57"/>
      <c r="FG110" s="57"/>
      <c r="FH110" s="57"/>
      <c r="FI110" s="57"/>
      <c r="FJ110" s="57"/>
      <c r="FK110" s="57"/>
      <c r="FL110" s="57"/>
      <c r="FM110" s="57"/>
      <c r="FN110" s="57"/>
      <c r="FO110" s="57"/>
      <c r="FP110" s="57"/>
      <c r="FQ110" s="61"/>
    </row>
    <row r="111" spans="52:173" x14ac:dyDescent="0.25">
      <c r="AZ111" s="54"/>
      <c r="BA111" s="57"/>
      <c r="BB111" s="57"/>
      <c r="BC111" s="57"/>
      <c r="BD111" s="57"/>
      <c r="BE111" s="57"/>
      <c r="BF111" s="57"/>
      <c r="BG111" s="57"/>
      <c r="BH111" s="57"/>
      <c r="BI111" s="57"/>
      <c r="BJ111" s="57"/>
      <c r="BK111" s="57"/>
      <c r="BL111" s="57"/>
      <c r="BM111" s="57"/>
      <c r="BN111" s="57"/>
      <c r="BO111" s="57"/>
      <c r="BP111" s="57"/>
      <c r="BQ111" s="57"/>
      <c r="BR111" s="57"/>
      <c r="BS111" s="57"/>
      <c r="BT111" s="57"/>
      <c r="BU111" s="57"/>
      <c r="BV111" s="57"/>
      <c r="BW111" s="57"/>
      <c r="BX111" s="57"/>
      <c r="BY111" s="57"/>
      <c r="BZ111" s="57"/>
      <c r="CA111" s="57"/>
      <c r="CB111" s="57"/>
      <c r="CC111" s="57"/>
      <c r="CD111" s="57"/>
      <c r="CE111" s="57"/>
      <c r="CF111" s="57"/>
      <c r="CG111" s="57"/>
      <c r="CH111" s="57"/>
      <c r="CI111" s="57"/>
      <c r="CJ111" s="57"/>
      <c r="CK111" s="57"/>
      <c r="CL111" s="57"/>
      <c r="CM111" s="57"/>
      <c r="CN111" s="57"/>
      <c r="CO111" s="57"/>
      <c r="CP111" s="57"/>
      <c r="CQ111" s="57"/>
      <c r="CR111" s="57"/>
      <c r="CS111" s="57"/>
      <c r="CT111" s="57"/>
      <c r="CU111" s="57"/>
      <c r="CV111" s="57"/>
      <c r="CW111" s="57"/>
      <c r="CX111" s="57"/>
      <c r="CY111" s="57"/>
      <c r="CZ111" s="57"/>
      <c r="DA111" s="57">
        <f t="shared" ref="DA111:DA136" si="47">IF(AND(DB111=1,DD111=1),1,0)</f>
        <v>1</v>
      </c>
      <c r="DB111" s="57">
        <f t="shared" ref="DB111:DB133" si="48">IF(DC111&gt;$B$4,1,0)</f>
        <v>1</v>
      </c>
      <c r="DC111" s="57">
        <v>0.6</v>
      </c>
      <c r="DD111" s="57">
        <f>IF(DE111&gt;=$F$11,1,0)</f>
        <v>1</v>
      </c>
      <c r="DE111" s="57">
        <v>120</v>
      </c>
      <c r="DF111" s="61" t="s">
        <v>212</v>
      </c>
      <c r="DG111" s="57"/>
      <c r="DH111" s="57"/>
      <c r="DI111" s="57"/>
      <c r="DJ111" s="57"/>
      <c r="DK111" s="57"/>
      <c r="DL111" s="57"/>
      <c r="DM111" s="57"/>
      <c r="DN111" s="57"/>
      <c r="DO111" s="57"/>
      <c r="DP111" s="57"/>
      <c r="DQ111" s="57"/>
      <c r="DR111" s="57"/>
      <c r="DS111" s="57"/>
      <c r="DT111" s="57"/>
      <c r="DU111" s="57"/>
      <c r="DV111" s="57"/>
      <c r="DW111" s="57"/>
      <c r="DX111" s="57"/>
      <c r="DY111" s="57"/>
      <c r="DZ111" s="57"/>
      <c r="EA111" s="57"/>
      <c r="EB111" s="57"/>
      <c r="EC111" s="57"/>
      <c r="ED111" s="57"/>
      <c r="EE111" s="57"/>
      <c r="EF111" s="57"/>
      <c r="EG111" s="57"/>
      <c r="EH111" s="57"/>
      <c r="EI111" s="57"/>
      <c r="EJ111" s="57"/>
      <c r="EK111" s="57"/>
      <c r="EL111" s="57"/>
      <c r="EM111" s="57"/>
      <c r="EN111" s="57"/>
      <c r="EO111" s="57"/>
      <c r="EP111" s="57"/>
      <c r="EQ111" s="57"/>
      <c r="ER111" s="57"/>
      <c r="ES111" s="57"/>
      <c r="ET111" s="57"/>
      <c r="EU111" s="57"/>
      <c r="EV111" s="57"/>
      <c r="EW111" s="57"/>
      <c r="EX111" s="57"/>
      <c r="EY111" s="57"/>
      <c r="EZ111" s="57"/>
      <c r="FA111" s="57"/>
      <c r="FB111" s="57"/>
      <c r="FC111" s="57"/>
      <c r="FD111" s="57"/>
      <c r="FE111" s="57"/>
      <c r="FF111" s="57"/>
      <c r="FG111" s="57"/>
      <c r="FH111" s="57"/>
      <c r="FI111" s="57"/>
      <c r="FJ111" s="57"/>
      <c r="FK111" s="57"/>
      <c r="FL111" s="57"/>
      <c r="FM111" s="57"/>
      <c r="FN111" s="57"/>
      <c r="FO111" s="57"/>
      <c r="FP111" s="57"/>
      <c r="FQ111" s="61"/>
    </row>
    <row r="112" spans="52:173" x14ac:dyDescent="0.25">
      <c r="AZ112" s="54"/>
      <c r="BA112" s="57"/>
      <c r="BB112" s="57"/>
      <c r="BC112" s="57"/>
      <c r="BD112" s="57"/>
      <c r="BE112" s="57"/>
      <c r="BF112" s="57"/>
      <c r="BG112" s="57"/>
      <c r="BH112" s="57"/>
      <c r="BI112" s="57"/>
      <c r="BJ112" s="57"/>
      <c r="BK112" s="57"/>
      <c r="BL112" s="57"/>
      <c r="BM112" s="57"/>
      <c r="BN112" s="57"/>
      <c r="BO112" s="57"/>
      <c r="BP112" s="57"/>
      <c r="BQ112" s="57"/>
      <c r="BR112" s="57"/>
      <c r="BS112" s="57"/>
      <c r="BT112" s="57"/>
      <c r="BU112" s="57"/>
      <c r="BV112" s="57"/>
      <c r="BW112" s="57"/>
      <c r="BX112" s="57"/>
      <c r="BY112" s="57"/>
      <c r="BZ112" s="57"/>
      <c r="CA112" s="57"/>
      <c r="CB112" s="57"/>
      <c r="CC112" s="57"/>
      <c r="CD112" s="57"/>
      <c r="CE112" s="57"/>
      <c r="CF112" s="57"/>
      <c r="CG112" s="57"/>
      <c r="CH112" s="57"/>
      <c r="CI112" s="57"/>
      <c r="CJ112" s="57"/>
      <c r="CK112" s="57"/>
      <c r="CL112" s="57"/>
      <c r="CM112" s="57"/>
      <c r="CN112" s="57"/>
      <c r="CO112" s="57"/>
      <c r="CP112" s="57"/>
      <c r="CQ112" s="57"/>
      <c r="CR112" s="57"/>
      <c r="CS112" s="57"/>
      <c r="CT112" s="57"/>
      <c r="CU112" s="57"/>
      <c r="CV112" s="57"/>
      <c r="CW112" s="57"/>
      <c r="CX112" s="57"/>
      <c r="CY112" s="57"/>
      <c r="CZ112" s="57"/>
      <c r="DA112" s="57">
        <f t="shared" si="47"/>
        <v>1</v>
      </c>
      <c r="DB112" s="57">
        <f t="shared" si="48"/>
        <v>1</v>
      </c>
      <c r="DC112" s="57">
        <v>0.65</v>
      </c>
      <c r="DD112" s="57">
        <f>IF(DE112&gt;$F$11,1,0)</f>
        <v>1</v>
      </c>
      <c r="DE112" s="57">
        <v>30</v>
      </c>
      <c r="DF112" s="61" t="s">
        <v>200</v>
      </c>
      <c r="DG112" s="57"/>
      <c r="DH112" s="57"/>
      <c r="DI112" s="57"/>
      <c r="DJ112" s="57"/>
      <c r="DK112" s="57"/>
      <c r="DL112" s="57"/>
      <c r="DM112" s="57"/>
      <c r="DN112" s="57"/>
      <c r="DO112" s="57"/>
      <c r="DP112" s="57"/>
      <c r="DQ112" s="57"/>
      <c r="DR112" s="57"/>
      <c r="DS112" s="57"/>
      <c r="DT112" s="57"/>
      <c r="DU112" s="57"/>
      <c r="DV112" s="57"/>
      <c r="DW112" s="57"/>
      <c r="DX112" s="57"/>
      <c r="DY112" s="57"/>
      <c r="DZ112" s="57"/>
      <c r="EA112" s="57"/>
      <c r="EB112" s="57"/>
      <c r="EC112" s="57"/>
      <c r="ED112" s="57"/>
      <c r="EE112" s="57"/>
      <c r="EF112" s="57"/>
      <c r="EG112" s="57"/>
      <c r="EH112" s="57"/>
      <c r="EI112" s="57"/>
      <c r="EJ112" s="57"/>
      <c r="EK112" s="57"/>
      <c r="EL112" s="57"/>
      <c r="EM112" s="57"/>
      <c r="EN112" s="57"/>
      <c r="EO112" s="57"/>
      <c r="EP112" s="57"/>
      <c r="EQ112" s="57"/>
      <c r="ER112" s="57"/>
      <c r="ES112" s="57"/>
      <c r="ET112" s="57"/>
      <c r="EU112" s="57"/>
      <c r="EV112" s="57"/>
      <c r="EW112" s="57"/>
      <c r="EX112" s="57"/>
      <c r="EY112" s="57"/>
      <c r="EZ112" s="57"/>
      <c r="FA112" s="57"/>
      <c r="FB112" s="57"/>
      <c r="FC112" s="57"/>
      <c r="FD112" s="57"/>
      <c r="FE112" s="57"/>
      <c r="FF112" s="57"/>
      <c r="FG112" s="57"/>
      <c r="FH112" s="57"/>
      <c r="FI112" s="57"/>
      <c r="FJ112" s="57"/>
      <c r="FK112" s="57"/>
      <c r="FL112" s="57"/>
      <c r="FM112" s="57"/>
      <c r="FN112" s="57"/>
      <c r="FO112" s="57"/>
      <c r="FP112" s="57"/>
      <c r="FQ112" s="61"/>
    </row>
    <row r="113" spans="52:173" x14ac:dyDescent="0.25">
      <c r="AZ113" s="54"/>
      <c r="BA113" s="57"/>
      <c r="BB113" s="57"/>
      <c r="BC113" s="57"/>
      <c r="BD113" s="57"/>
      <c r="BE113" s="57"/>
      <c r="BF113" s="57"/>
      <c r="BG113" s="57"/>
      <c r="BH113" s="57"/>
      <c r="BI113" s="57"/>
      <c r="BJ113" s="57"/>
      <c r="BK113" s="57"/>
      <c r="BL113" s="57"/>
      <c r="BM113" s="57"/>
      <c r="BN113" s="57"/>
      <c r="BO113" s="57"/>
      <c r="BP113" s="57"/>
      <c r="BQ113" s="57"/>
      <c r="BR113" s="57"/>
      <c r="BS113" s="57"/>
      <c r="BT113" s="57"/>
      <c r="BU113" s="57"/>
      <c r="BV113" s="57"/>
      <c r="BW113" s="57"/>
      <c r="BX113" s="57"/>
      <c r="BY113" s="57"/>
      <c r="BZ113" s="57"/>
      <c r="CA113" s="57"/>
      <c r="CB113" s="57"/>
      <c r="CC113" s="57"/>
      <c r="CD113" s="57"/>
      <c r="CE113" s="57"/>
      <c r="CF113" s="57"/>
      <c r="CG113" s="57"/>
      <c r="CH113" s="57"/>
      <c r="CI113" s="57"/>
      <c r="CJ113" s="57"/>
      <c r="CK113" s="57"/>
      <c r="CL113" s="57"/>
      <c r="CM113" s="57"/>
      <c r="CN113" s="57"/>
      <c r="CO113" s="57"/>
      <c r="CP113" s="57"/>
      <c r="CQ113" s="57"/>
      <c r="CR113" s="57"/>
      <c r="CS113" s="57"/>
      <c r="CT113" s="57"/>
      <c r="CU113" s="57"/>
      <c r="CV113" s="57"/>
      <c r="CW113" s="57"/>
      <c r="CX113" s="57"/>
      <c r="CY113" s="57"/>
      <c r="CZ113" s="57"/>
      <c r="DA113" s="57">
        <f t="shared" si="47"/>
        <v>1</v>
      </c>
      <c r="DB113" s="57">
        <f t="shared" si="48"/>
        <v>1</v>
      </c>
      <c r="DC113" s="57">
        <v>0.65</v>
      </c>
      <c r="DD113" s="57">
        <f>IF(DE113&gt;$F$11,1,0)</f>
        <v>1</v>
      </c>
      <c r="DE113" s="57">
        <v>41</v>
      </c>
      <c r="DF113" s="61" t="s">
        <v>206</v>
      </c>
      <c r="DG113" s="57"/>
      <c r="DH113" s="57"/>
      <c r="DI113" s="57"/>
      <c r="DJ113" s="57"/>
      <c r="DK113" s="57"/>
      <c r="DL113" s="57"/>
      <c r="DM113" s="57"/>
      <c r="DN113" s="57"/>
      <c r="DO113" s="57"/>
      <c r="DP113" s="57"/>
      <c r="DQ113" s="57"/>
      <c r="DR113" s="57"/>
      <c r="DS113" s="57"/>
      <c r="DT113" s="57"/>
      <c r="DU113" s="57"/>
      <c r="DV113" s="57"/>
      <c r="DW113" s="57"/>
      <c r="DX113" s="57"/>
      <c r="DY113" s="57"/>
      <c r="DZ113" s="57"/>
      <c r="EA113" s="57"/>
      <c r="EB113" s="57"/>
      <c r="EC113" s="57"/>
      <c r="ED113" s="57"/>
      <c r="EE113" s="57"/>
      <c r="EF113" s="57"/>
      <c r="EG113" s="57"/>
      <c r="EH113" s="57"/>
      <c r="EI113" s="57"/>
      <c r="EJ113" s="57"/>
      <c r="EK113" s="57"/>
      <c r="EL113" s="57"/>
      <c r="EM113" s="57"/>
      <c r="EN113" s="57"/>
      <c r="EO113" s="57"/>
      <c r="EP113" s="57"/>
      <c r="EQ113" s="57"/>
      <c r="ER113" s="57"/>
      <c r="ES113" s="57"/>
      <c r="ET113" s="57"/>
      <c r="EU113" s="57"/>
      <c r="EV113" s="57"/>
      <c r="EW113" s="57"/>
      <c r="EX113" s="57"/>
      <c r="EY113" s="57"/>
      <c r="EZ113" s="57"/>
      <c r="FA113" s="57"/>
      <c r="FB113" s="57"/>
      <c r="FC113" s="57"/>
      <c r="FD113" s="57"/>
      <c r="FE113" s="57"/>
      <c r="FF113" s="57"/>
      <c r="FG113" s="57"/>
      <c r="FH113" s="57"/>
      <c r="FI113" s="57"/>
      <c r="FJ113" s="57"/>
      <c r="FK113" s="57"/>
      <c r="FL113" s="57"/>
      <c r="FM113" s="57"/>
      <c r="FN113" s="57"/>
      <c r="FO113" s="57"/>
      <c r="FP113" s="57"/>
      <c r="FQ113" s="61"/>
    </row>
    <row r="114" spans="52:173" x14ac:dyDescent="0.25">
      <c r="AZ114" s="54"/>
      <c r="BA114" s="57"/>
      <c r="BB114" s="57"/>
      <c r="BC114" s="57"/>
      <c r="BD114" s="57"/>
      <c r="BE114" s="57"/>
      <c r="BF114" s="57"/>
      <c r="BG114" s="57"/>
      <c r="BH114" s="57"/>
      <c r="BI114" s="57"/>
      <c r="BJ114" s="57"/>
      <c r="BK114" s="57"/>
      <c r="BL114" s="57"/>
      <c r="BM114" s="57"/>
      <c r="BN114" s="57"/>
      <c r="BO114" s="57"/>
      <c r="BP114" s="57"/>
      <c r="BQ114" s="57"/>
      <c r="BR114" s="57"/>
      <c r="BS114" s="57"/>
      <c r="BT114" s="57"/>
      <c r="BU114" s="57"/>
      <c r="BV114" s="57"/>
      <c r="BW114" s="57"/>
      <c r="BX114" s="57"/>
      <c r="BY114" s="57"/>
      <c r="BZ114" s="57"/>
      <c r="CA114" s="57"/>
      <c r="CB114" s="57"/>
      <c r="CC114" s="57"/>
      <c r="CD114" s="57"/>
      <c r="CE114" s="57"/>
      <c r="CF114" s="57"/>
      <c r="CG114" s="57"/>
      <c r="CH114" s="57"/>
      <c r="CI114" s="57"/>
      <c r="CJ114" s="57"/>
      <c r="CK114" s="57"/>
      <c r="CL114" s="57"/>
      <c r="CM114" s="57"/>
      <c r="CN114" s="57"/>
      <c r="CO114" s="57"/>
      <c r="CP114" s="57"/>
      <c r="CQ114" s="57"/>
      <c r="CR114" s="57"/>
      <c r="CS114" s="57"/>
      <c r="CT114" s="57"/>
      <c r="CU114" s="57"/>
      <c r="CV114" s="57"/>
      <c r="CW114" s="57"/>
      <c r="CX114" s="57"/>
      <c r="CY114" s="57"/>
      <c r="CZ114" s="57"/>
      <c r="DA114" s="57">
        <f t="shared" si="47"/>
        <v>1</v>
      </c>
      <c r="DB114" s="57">
        <f t="shared" si="48"/>
        <v>1</v>
      </c>
      <c r="DC114" s="57">
        <v>0.65</v>
      </c>
      <c r="DD114" s="57">
        <f>IF(DE114&gt;$F$11,1,0)</f>
        <v>1</v>
      </c>
      <c r="DE114" s="57">
        <v>51</v>
      </c>
      <c r="DF114" s="61" t="s">
        <v>211</v>
      </c>
      <c r="DG114" s="57"/>
      <c r="DH114" s="57"/>
      <c r="DI114" s="57"/>
      <c r="DJ114" s="57"/>
      <c r="DK114" s="57"/>
      <c r="DL114" s="57"/>
      <c r="DM114" s="57"/>
      <c r="DN114" s="57"/>
      <c r="DO114" s="57"/>
      <c r="DP114" s="57"/>
      <c r="DQ114" s="57"/>
      <c r="DR114" s="57"/>
      <c r="DS114" s="57"/>
      <c r="DT114" s="57"/>
      <c r="DU114" s="57"/>
      <c r="DV114" s="57"/>
      <c r="DW114" s="57"/>
      <c r="DX114" s="57"/>
      <c r="DY114" s="57"/>
      <c r="DZ114" s="57"/>
      <c r="EA114" s="57"/>
      <c r="EB114" s="57"/>
      <c r="EC114" s="57"/>
      <c r="ED114" s="57"/>
      <c r="EE114" s="57"/>
      <c r="EF114" s="57"/>
      <c r="EG114" s="57"/>
      <c r="EH114" s="57"/>
      <c r="EI114" s="57"/>
      <c r="EJ114" s="57"/>
      <c r="EK114" s="57"/>
      <c r="EL114" s="57"/>
      <c r="EM114" s="57"/>
      <c r="EN114" s="57"/>
      <c r="EO114" s="57"/>
      <c r="EP114" s="57"/>
      <c r="EQ114" s="57"/>
      <c r="ER114" s="57"/>
      <c r="ES114" s="57"/>
      <c r="ET114" s="57"/>
      <c r="EU114" s="57"/>
      <c r="EV114" s="57"/>
      <c r="EW114" s="57"/>
      <c r="EX114" s="57"/>
      <c r="EY114" s="57"/>
      <c r="EZ114" s="57"/>
      <c r="FA114" s="57"/>
      <c r="FB114" s="57"/>
      <c r="FC114" s="57"/>
      <c r="FD114" s="57"/>
      <c r="FE114" s="57"/>
      <c r="FF114" s="57"/>
      <c r="FG114" s="57"/>
      <c r="FH114" s="57"/>
      <c r="FI114" s="57"/>
      <c r="FJ114" s="57"/>
      <c r="FK114" s="57"/>
      <c r="FL114" s="57"/>
      <c r="FM114" s="57"/>
      <c r="FN114" s="57"/>
      <c r="FO114" s="57"/>
      <c r="FP114" s="57"/>
      <c r="FQ114" s="61"/>
    </row>
    <row r="115" spans="52:173" x14ac:dyDescent="0.25">
      <c r="AZ115" s="54"/>
      <c r="BA115" s="57"/>
      <c r="BB115" s="57"/>
      <c r="BC115" s="57"/>
      <c r="BD115" s="57"/>
      <c r="BE115" s="57"/>
      <c r="BF115" s="57"/>
      <c r="BG115" s="57"/>
      <c r="BH115" s="57"/>
      <c r="BI115" s="57"/>
      <c r="BJ115" s="57"/>
      <c r="BK115" s="57"/>
      <c r="BL115" s="57"/>
      <c r="BM115" s="57"/>
      <c r="BN115" s="57"/>
      <c r="BO115" s="57"/>
      <c r="BP115" s="57"/>
      <c r="BQ115" s="57"/>
      <c r="BR115" s="57"/>
      <c r="BS115" s="57"/>
      <c r="BT115" s="57"/>
      <c r="BU115" s="57"/>
      <c r="BV115" s="57"/>
      <c r="BW115" s="57"/>
      <c r="BX115" s="57"/>
      <c r="BY115" s="57"/>
      <c r="BZ115" s="57"/>
      <c r="CA115" s="57"/>
      <c r="CB115" s="57"/>
      <c r="CC115" s="57"/>
      <c r="CD115" s="57"/>
      <c r="CE115" s="57"/>
      <c r="CF115" s="57"/>
      <c r="CG115" s="57"/>
      <c r="CH115" s="57"/>
      <c r="CI115" s="57"/>
      <c r="CJ115" s="57"/>
      <c r="CK115" s="57"/>
      <c r="CL115" s="57"/>
      <c r="CM115" s="57"/>
      <c r="CN115" s="57"/>
      <c r="CO115" s="57"/>
      <c r="CP115" s="57"/>
      <c r="CQ115" s="57"/>
      <c r="CR115" s="57"/>
      <c r="CS115" s="57"/>
      <c r="CT115" s="57"/>
      <c r="CU115" s="57"/>
      <c r="CV115" s="57"/>
      <c r="CW115" s="57"/>
      <c r="CX115" s="57"/>
      <c r="CY115" s="57"/>
      <c r="CZ115" s="57"/>
      <c r="DA115" s="57">
        <f t="shared" si="47"/>
        <v>1</v>
      </c>
      <c r="DB115" s="57">
        <f t="shared" si="48"/>
        <v>1</v>
      </c>
      <c r="DC115" s="57">
        <v>0.65</v>
      </c>
      <c r="DD115" s="57">
        <f>IF(DE115&gt;=$F$11,1,0)</f>
        <v>1</v>
      </c>
      <c r="DE115" s="57">
        <v>120</v>
      </c>
      <c r="DF115" s="61" t="s">
        <v>212</v>
      </c>
      <c r="DG115" s="57"/>
      <c r="DH115" s="57"/>
      <c r="DI115" s="57"/>
      <c r="DJ115" s="57"/>
      <c r="DK115" s="57"/>
      <c r="DL115" s="57"/>
      <c r="DM115" s="57"/>
      <c r="DN115" s="57"/>
      <c r="DO115" s="57"/>
      <c r="DP115" s="57"/>
      <c r="DQ115" s="57"/>
      <c r="DR115" s="57"/>
      <c r="DS115" s="57"/>
      <c r="DT115" s="57"/>
      <c r="DU115" s="57"/>
      <c r="DV115" s="57"/>
      <c r="DW115" s="57"/>
      <c r="DX115" s="57"/>
      <c r="DY115" s="57"/>
      <c r="DZ115" s="57"/>
      <c r="EA115" s="57"/>
      <c r="EB115" s="57"/>
      <c r="EC115" s="57"/>
      <c r="ED115" s="57"/>
      <c r="EE115" s="57"/>
      <c r="EF115" s="57"/>
      <c r="EG115" s="57"/>
      <c r="EH115" s="57"/>
      <c r="EI115" s="57"/>
      <c r="EJ115" s="57"/>
      <c r="EK115" s="57"/>
      <c r="EL115" s="57"/>
      <c r="EM115" s="57"/>
      <c r="EN115" s="57"/>
      <c r="EO115" s="57"/>
      <c r="EP115" s="57"/>
      <c r="EQ115" s="57"/>
      <c r="ER115" s="57"/>
      <c r="ES115" s="57"/>
      <c r="ET115" s="57"/>
      <c r="EU115" s="57"/>
      <c r="EV115" s="57"/>
      <c r="EW115" s="57"/>
      <c r="EX115" s="57"/>
      <c r="EY115" s="57"/>
      <c r="EZ115" s="57"/>
      <c r="FA115" s="57"/>
      <c r="FB115" s="57"/>
      <c r="FC115" s="57"/>
      <c r="FD115" s="57"/>
      <c r="FE115" s="57"/>
      <c r="FF115" s="57"/>
      <c r="FG115" s="57"/>
      <c r="FH115" s="57"/>
      <c r="FI115" s="57"/>
      <c r="FJ115" s="57"/>
      <c r="FK115" s="57"/>
      <c r="FL115" s="57"/>
      <c r="FM115" s="57"/>
      <c r="FN115" s="57"/>
      <c r="FO115" s="57"/>
      <c r="FP115" s="57"/>
      <c r="FQ115" s="61"/>
    </row>
    <row r="116" spans="52:173" x14ac:dyDescent="0.25">
      <c r="AZ116" s="54"/>
      <c r="BA116" s="57"/>
      <c r="BB116" s="57"/>
      <c r="BC116" s="57"/>
      <c r="BD116" s="57"/>
      <c r="BE116" s="57"/>
      <c r="BF116" s="57"/>
      <c r="BG116" s="57"/>
      <c r="BH116" s="57"/>
      <c r="BI116" s="57"/>
      <c r="BJ116" s="57"/>
      <c r="BK116" s="57"/>
      <c r="BL116" s="57"/>
      <c r="BM116" s="57"/>
      <c r="BN116" s="57"/>
      <c r="BO116" s="57"/>
      <c r="BP116" s="57"/>
      <c r="BQ116" s="57"/>
      <c r="BR116" s="57"/>
      <c r="BS116" s="57"/>
      <c r="BT116" s="57"/>
      <c r="BU116" s="57"/>
      <c r="BV116" s="57"/>
      <c r="BW116" s="57"/>
      <c r="BX116" s="57"/>
      <c r="BY116" s="57"/>
      <c r="BZ116" s="57"/>
      <c r="CA116" s="57"/>
      <c r="CB116" s="57"/>
      <c r="CC116" s="57"/>
      <c r="CD116" s="57"/>
      <c r="CE116" s="57"/>
      <c r="CF116" s="57"/>
      <c r="CG116" s="57"/>
      <c r="CH116" s="57"/>
      <c r="CI116" s="57"/>
      <c r="CJ116" s="57"/>
      <c r="CK116" s="57"/>
      <c r="CL116" s="57"/>
      <c r="CM116" s="57"/>
      <c r="CN116" s="57"/>
      <c r="CO116" s="57"/>
      <c r="CP116" s="57"/>
      <c r="CQ116" s="57"/>
      <c r="CR116" s="57"/>
      <c r="CS116" s="57"/>
      <c r="CT116" s="57"/>
      <c r="CU116" s="57"/>
      <c r="CV116" s="57"/>
      <c r="CW116" s="57"/>
      <c r="CX116" s="57"/>
      <c r="CY116" s="57"/>
      <c r="CZ116" s="57"/>
      <c r="DA116" s="57">
        <f t="shared" si="47"/>
        <v>1</v>
      </c>
      <c r="DB116" s="57">
        <f t="shared" si="48"/>
        <v>1</v>
      </c>
      <c r="DC116" s="57">
        <v>0.7</v>
      </c>
      <c r="DD116" s="57">
        <f>IF(DE116&gt;$F$11,1,0)</f>
        <v>1</v>
      </c>
      <c r="DE116" s="57">
        <v>40</v>
      </c>
      <c r="DF116" s="61" t="s">
        <v>206</v>
      </c>
      <c r="DG116" s="57"/>
      <c r="DH116" s="57"/>
      <c r="DI116" s="57"/>
      <c r="DJ116" s="57"/>
      <c r="DK116" s="57"/>
      <c r="DL116" s="57"/>
      <c r="DM116" s="57"/>
      <c r="DN116" s="57"/>
      <c r="DO116" s="57"/>
      <c r="DP116" s="57"/>
      <c r="DQ116" s="57"/>
      <c r="DR116" s="57"/>
      <c r="DS116" s="57"/>
      <c r="DT116" s="57"/>
      <c r="DU116" s="57"/>
      <c r="DV116" s="57"/>
      <c r="DW116" s="57"/>
      <c r="DX116" s="57"/>
      <c r="DY116" s="57"/>
      <c r="DZ116" s="57"/>
      <c r="EA116" s="57"/>
      <c r="EB116" s="57"/>
      <c r="EC116" s="57"/>
      <c r="ED116" s="57"/>
      <c r="EE116" s="57"/>
      <c r="EF116" s="57"/>
      <c r="EG116" s="57"/>
      <c r="EH116" s="57"/>
      <c r="EI116" s="57"/>
      <c r="EJ116" s="57"/>
      <c r="EK116" s="57"/>
      <c r="EL116" s="57"/>
      <c r="EM116" s="57"/>
      <c r="EN116" s="57"/>
      <c r="EO116" s="57"/>
      <c r="EP116" s="57"/>
      <c r="EQ116" s="57"/>
      <c r="ER116" s="57"/>
      <c r="ES116" s="57"/>
      <c r="ET116" s="57"/>
      <c r="EU116" s="57"/>
      <c r="EV116" s="57"/>
      <c r="EW116" s="57"/>
      <c r="EX116" s="57"/>
      <c r="EY116" s="57"/>
      <c r="EZ116" s="57"/>
      <c r="FA116" s="57"/>
      <c r="FB116" s="57"/>
      <c r="FC116" s="57"/>
      <c r="FD116" s="57"/>
      <c r="FE116" s="57"/>
      <c r="FF116" s="57"/>
      <c r="FG116" s="57"/>
      <c r="FH116" s="57"/>
      <c r="FI116" s="57"/>
      <c r="FJ116" s="57"/>
      <c r="FK116" s="57"/>
      <c r="FL116" s="57"/>
      <c r="FM116" s="57"/>
      <c r="FN116" s="57"/>
      <c r="FO116" s="57"/>
      <c r="FP116" s="57"/>
      <c r="FQ116" s="61"/>
    </row>
    <row r="117" spans="52:173" x14ac:dyDescent="0.25">
      <c r="AZ117" s="54"/>
      <c r="BA117" s="57"/>
      <c r="BB117" s="57"/>
      <c r="BC117" s="57"/>
      <c r="BD117" s="57"/>
      <c r="BE117" s="57"/>
      <c r="BF117" s="57"/>
      <c r="BG117" s="57"/>
      <c r="BH117" s="57"/>
      <c r="BI117" s="57"/>
      <c r="BJ117" s="57"/>
      <c r="BK117" s="57"/>
      <c r="BL117" s="57"/>
      <c r="BM117" s="57"/>
      <c r="BN117" s="57"/>
      <c r="BO117" s="57"/>
      <c r="BP117" s="57"/>
      <c r="BQ117" s="57"/>
      <c r="BR117" s="57"/>
      <c r="BS117" s="57"/>
      <c r="BT117" s="57"/>
      <c r="BU117" s="57"/>
      <c r="BV117" s="57"/>
      <c r="BW117" s="57"/>
      <c r="BX117" s="57"/>
      <c r="BY117" s="57"/>
      <c r="BZ117" s="57"/>
      <c r="CA117" s="57"/>
      <c r="CB117" s="57"/>
      <c r="CC117" s="57"/>
      <c r="CD117" s="57"/>
      <c r="CE117" s="57"/>
      <c r="CF117" s="57"/>
      <c r="CG117" s="57"/>
      <c r="CH117" s="57"/>
      <c r="CI117" s="57"/>
      <c r="CJ117" s="57"/>
      <c r="CK117" s="57"/>
      <c r="CL117" s="57"/>
      <c r="CM117" s="57"/>
      <c r="CN117" s="57"/>
      <c r="CO117" s="57"/>
      <c r="CP117" s="57"/>
      <c r="CQ117" s="57"/>
      <c r="CR117" s="57"/>
      <c r="CS117" s="57"/>
      <c r="CT117" s="57"/>
      <c r="CU117" s="57"/>
      <c r="CV117" s="57"/>
      <c r="CW117" s="57"/>
      <c r="CX117" s="57"/>
      <c r="CY117" s="57"/>
      <c r="CZ117" s="57"/>
      <c r="DA117" s="57">
        <f t="shared" si="47"/>
        <v>1</v>
      </c>
      <c r="DB117" s="57">
        <f t="shared" si="48"/>
        <v>1</v>
      </c>
      <c r="DC117" s="57">
        <v>0.7</v>
      </c>
      <c r="DD117" s="57">
        <f>IF(DE117&gt;$F$11,1,0)</f>
        <v>1</v>
      </c>
      <c r="DE117" s="57">
        <v>45</v>
      </c>
      <c r="DF117" s="61" t="s">
        <v>211</v>
      </c>
      <c r="DG117" s="57"/>
      <c r="DH117" s="57"/>
      <c r="DI117" s="57"/>
      <c r="DJ117" s="57"/>
      <c r="DK117" s="57"/>
      <c r="DL117" s="57"/>
      <c r="DM117" s="57"/>
      <c r="DN117" s="57"/>
      <c r="DO117" s="57"/>
      <c r="DP117" s="57"/>
      <c r="DQ117" s="57"/>
      <c r="DR117" s="57"/>
      <c r="DS117" s="57"/>
      <c r="DT117" s="57"/>
      <c r="DU117" s="57"/>
      <c r="DV117" s="57"/>
      <c r="DW117" s="57"/>
      <c r="DX117" s="57"/>
      <c r="DY117" s="57"/>
      <c r="DZ117" s="57"/>
      <c r="EA117" s="57"/>
      <c r="EB117" s="57"/>
      <c r="EC117" s="57"/>
      <c r="ED117" s="57"/>
      <c r="EE117" s="57"/>
      <c r="EF117" s="57"/>
      <c r="EG117" s="57"/>
      <c r="EH117" s="57"/>
      <c r="EI117" s="57"/>
      <c r="EJ117" s="57"/>
      <c r="EK117" s="57"/>
      <c r="EL117" s="57"/>
      <c r="EM117" s="57"/>
      <c r="EN117" s="57"/>
      <c r="EO117" s="57"/>
      <c r="EP117" s="57"/>
      <c r="EQ117" s="57"/>
      <c r="ER117" s="57"/>
      <c r="ES117" s="57"/>
      <c r="ET117" s="57"/>
      <c r="EU117" s="57"/>
      <c r="EV117" s="57"/>
      <c r="EW117" s="57"/>
      <c r="EX117" s="57"/>
      <c r="EY117" s="57"/>
      <c r="EZ117" s="57"/>
      <c r="FA117" s="57"/>
      <c r="FB117" s="57"/>
      <c r="FC117" s="57"/>
      <c r="FD117" s="57"/>
      <c r="FE117" s="57"/>
      <c r="FF117" s="57"/>
      <c r="FG117" s="57"/>
      <c r="FH117" s="57"/>
      <c r="FI117" s="57"/>
      <c r="FJ117" s="57"/>
      <c r="FK117" s="57"/>
      <c r="FL117" s="57"/>
      <c r="FM117" s="57"/>
      <c r="FN117" s="57"/>
      <c r="FO117" s="57"/>
      <c r="FP117" s="57"/>
      <c r="FQ117" s="61"/>
    </row>
    <row r="118" spans="52:173" x14ac:dyDescent="0.25">
      <c r="AZ118" s="54"/>
      <c r="BA118" s="57"/>
      <c r="BB118" s="57"/>
      <c r="BC118" s="57"/>
      <c r="BD118" s="57"/>
      <c r="BE118" s="57"/>
      <c r="BF118" s="57"/>
      <c r="BG118" s="57"/>
      <c r="BH118" s="57"/>
      <c r="BI118" s="57"/>
      <c r="BJ118" s="57"/>
      <c r="BK118" s="57"/>
      <c r="BL118" s="57"/>
      <c r="BM118" s="57"/>
      <c r="BN118" s="57"/>
      <c r="BO118" s="57"/>
      <c r="BP118" s="57"/>
      <c r="BQ118" s="57"/>
      <c r="BR118" s="57"/>
      <c r="BS118" s="57"/>
      <c r="BT118" s="57"/>
      <c r="BU118" s="57"/>
      <c r="BV118" s="57"/>
      <c r="BW118" s="57"/>
      <c r="BX118" s="57"/>
      <c r="BY118" s="57"/>
      <c r="BZ118" s="57"/>
      <c r="CA118" s="57"/>
      <c r="CB118" s="57"/>
      <c r="CC118" s="57"/>
      <c r="CD118" s="57"/>
      <c r="CE118" s="57"/>
      <c r="CF118" s="57"/>
      <c r="CG118" s="57"/>
      <c r="CH118" s="57"/>
      <c r="CI118" s="57"/>
      <c r="CJ118" s="57"/>
      <c r="CK118" s="57"/>
      <c r="CL118" s="57"/>
      <c r="CM118" s="57"/>
      <c r="CN118" s="57"/>
      <c r="CO118" s="57"/>
      <c r="CP118" s="57"/>
      <c r="CQ118" s="57"/>
      <c r="CR118" s="57"/>
      <c r="CS118" s="57"/>
      <c r="CT118" s="57"/>
      <c r="CU118" s="57"/>
      <c r="CV118" s="57"/>
      <c r="CW118" s="57"/>
      <c r="CX118" s="57"/>
      <c r="CY118" s="57"/>
      <c r="CZ118" s="57"/>
      <c r="DA118" s="57">
        <f t="shared" si="47"/>
        <v>1</v>
      </c>
      <c r="DB118" s="57">
        <f t="shared" si="48"/>
        <v>1</v>
      </c>
      <c r="DC118" s="57">
        <v>0.7</v>
      </c>
      <c r="DD118" s="57">
        <f>IF(DE118&gt;=$F$11,1,0)</f>
        <v>1</v>
      </c>
      <c r="DE118" s="57">
        <v>120</v>
      </c>
      <c r="DF118" s="61" t="s">
        <v>212</v>
      </c>
      <c r="DG118" s="57"/>
      <c r="DH118" s="57"/>
      <c r="DI118" s="57"/>
      <c r="DJ118" s="57"/>
      <c r="DK118" s="57"/>
      <c r="DL118" s="57"/>
      <c r="DM118" s="57"/>
      <c r="DN118" s="57"/>
      <c r="DO118" s="57"/>
      <c r="DP118" s="57"/>
      <c r="DQ118" s="57"/>
      <c r="DR118" s="57"/>
      <c r="DS118" s="57"/>
      <c r="DT118" s="57"/>
      <c r="DU118" s="57"/>
      <c r="DV118" s="57"/>
      <c r="DW118" s="57"/>
      <c r="DX118" s="57"/>
      <c r="DY118" s="57"/>
      <c r="DZ118" s="57"/>
      <c r="EA118" s="57"/>
      <c r="EB118" s="57"/>
      <c r="EC118" s="57"/>
      <c r="ED118" s="57"/>
      <c r="EE118" s="57"/>
      <c r="EF118" s="57"/>
      <c r="EG118" s="57"/>
      <c r="EH118" s="57"/>
      <c r="EI118" s="57"/>
      <c r="EJ118" s="57"/>
      <c r="EK118" s="57"/>
      <c r="EL118" s="57"/>
      <c r="EM118" s="57"/>
      <c r="EN118" s="57"/>
      <c r="EO118" s="57"/>
      <c r="EP118" s="57"/>
      <c r="EQ118" s="57"/>
      <c r="ER118" s="57"/>
      <c r="ES118" s="57"/>
      <c r="ET118" s="57"/>
      <c r="EU118" s="57"/>
      <c r="EV118" s="57"/>
      <c r="EW118" s="57"/>
      <c r="EX118" s="57"/>
      <c r="EY118" s="57"/>
      <c r="EZ118" s="57"/>
      <c r="FA118" s="57"/>
      <c r="FB118" s="57"/>
      <c r="FC118" s="57"/>
      <c r="FD118" s="57"/>
      <c r="FE118" s="57"/>
      <c r="FF118" s="57"/>
      <c r="FG118" s="57"/>
      <c r="FH118" s="57"/>
      <c r="FI118" s="57"/>
      <c r="FJ118" s="57"/>
      <c r="FK118" s="57"/>
      <c r="FL118" s="57"/>
      <c r="FM118" s="57"/>
      <c r="FN118" s="57"/>
      <c r="FO118" s="57"/>
      <c r="FP118" s="57"/>
      <c r="FQ118" s="61"/>
    </row>
    <row r="119" spans="52:173" x14ac:dyDescent="0.25">
      <c r="AZ119" s="54"/>
      <c r="BA119" s="57"/>
      <c r="BB119" s="57"/>
      <c r="BC119" s="57"/>
      <c r="BD119" s="57"/>
      <c r="BE119" s="57"/>
      <c r="BF119" s="57"/>
      <c r="BG119" s="57"/>
      <c r="BH119" s="57"/>
      <c r="BI119" s="57"/>
      <c r="BJ119" s="57"/>
      <c r="BK119" s="57"/>
      <c r="BL119" s="57"/>
      <c r="BM119" s="57"/>
      <c r="BN119" s="57"/>
      <c r="BO119" s="57"/>
      <c r="BP119" s="57"/>
      <c r="BQ119" s="57"/>
      <c r="BR119" s="57"/>
      <c r="BS119" s="57"/>
      <c r="BT119" s="57"/>
      <c r="BU119" s="57"/>
      <c r="BV119" s="57"/>
      <c r="BW119" s="57"/>
      <c r="BX119" s="57"/>
      <c r="BY119" s="57"/>
      <c r="BZ119" s="57"/>
      <c r="CA119" s="57"/>
      <c r="CB119" s="57"/>
      <c r="CC119" s="57"/>
      <c r="CD119" s="57"/>
      <c r="CE119" s="57"/>
      <c r="CF119" s="57"/>
      <c r="CG119" s="57"/>
      <c r="CH119" s="57"/>
      <c r="CI119" s="57"/>
      <c r="CJ119" s="57"/>
      <c r="CK119" s="57"/>
      <c r="CL119" s="57"/>
      <c r="CM119" s="57"/>
      <c r="CN119" s="57"/>
      <c r="CO119" s="57"/>
      <c r="CP119" s="57"/>
      <c r="CQ119" s="57"/>
      <c r="CR119" s="57"/>
      <c r="CS119" s="57"/>
      <c r="CT119" s="57"/>
      <c r="CU119" s="57"/>
      <c r="CV119" s="57"/>
      <c r="CW119" s="57"/>
      <c r="CX119" s="57"/>
      <c r="CY119" s="57"/>
      <c r="CZ119" s="57"/>
      <c r="DA119" s="57">
        <f t="shared" si="47"/>
        <v>1</v>
      </c>
      <c r="DB119" s="57">
        <f t="shared" si="48"/>
        <v>1</v>
      </c>
      <c r="DC119" s="57">
        <v>0.75</v>
      </c>
      <c r="DD119" s="57">
        <f>IF(DE119&gt;$F$11,1,0)</f>
        <v>1</v>
      </c>
      <c r="DE119" s="57">
        <v>41</v>
      </c>
      <c r="DF119" s="61" t="s">
        <v>206</v>
      </c>
      <c r="DG119" s="57"/>
      <c r="DH119" s="57"/>
      <c r="DI119" s="57"/>
      <c r="DJ119" s="57"/>
      <c r="DK119" s="57"/>
      <c r="DL119" s="57"/>
      <c r="DM119" s="57"/>
      <c r="DN119" s="57"/>
      <c r="DO119" s="57"/>
      <c r="DP119" s="57"/>
      <c r="DQ119" s="57"/>
      <c r="DR119" s="57"/>
      <c r="DS119" s="57"/>
      <c r="DT119" s="57"/>
      <c r="DU119" s="57"/>
      <c r="DV119" s="57"/>
      <c r="DW119" s="57"/>
      <c r="DX119" s="57"/>
      <c r="DY119" s="57"/>
      <c r="DZ119" s="57"/>
      <c r="EA119" s="57"/>
      <c r="EB119" s="57"/>
      <c r="EC119" s="57"/>
      <c r="ED119" s="57"/>
      <c r="EE119" s="57"/>
      <c r="EF119" s="57"/>
      <c r="EG119" s="57"/>
      <c r="EH119" s="57"/>
      <c r="EI119" s="57"/>
      <c r="EJ119" s="57"/>
      <c r="EK119" s="57"/>
      <c r="EL119" s="57"/>
      <c r="EM119" s="57"/>
      <c r="EN119" s="57"/>
      <c r="EO119" s="57"/>
      <c r="EP119" s="57"/>
      <c r="EQ119" s="57"/>
      <c r="ER119" s="57"/>
      <c r="ES119" s="57"/>
      <c r="ET119" s="57"/>
      <c r="EU119" s="57"/>
      <c r="EV119" s="57"/>
      <c r="EW119" s="57"/>
      <c r="EX119" s="57"/>
      <c r="EY119" s="57"/>
      <c r="EZ119" s="57"/>
      <c r="FA119" s="57"/>
      <c r="FB119" s="57"/>
      <c r="FC119" s="57"/>
      <c r="FD119" s="57"/>
      <c r="FE119" s="57"/>
      <c r="FF119" s="57"/>
      <c r="FG119" s="57"/>
      <c r="FH119" s="57"/>
      <c r="FI119" s="57"/>
      <c r="FJ119" s="57"/>
      <c r="FK119" s="57"/>
      <c r="FL119" s="57"/>
      <c r="FM119" s="57"/>
      <c r="FN119" s="57"/>
      <c r="FO119" s="57"/>
      <c r="FP119" s="57"/>
      <c r="FQ119" s="61"/>
    </row>
    <row r="120" spans="52:173" x14ac:dyDescent="0.25">
      <c r="AZ120" s="54"/>
      <c r="BA120" s="57"/>
      <c r="BB120" s="57"/>
      <c r="BC120" s="57"/>
      <c r="BD120" s="57"/>
      <c r="BE120" s="57"/>
      <c r="BF120" s="57"/>
      <c r="BG120" s="57"/>
      <c r="BH120" s="57"/>
      <c r="BI120" s="57"/>
      <c r="BJ120" s="57"/>
      <c r="BK120" s="57"/>
      <c r="BL120" s="57"/>
      <c r="BM120" s="57"/>
      <c r="BN120" s="57"/>
      <c r="BO120" s="57"/>
      <c r="BP120" s="57"/>
      <c r="BQ120" s="57"/>
      <c r="BR120" s="57"/>
      <c r="BS120" s="57"/>
      <c r="BT120" s="57"/>
      <c r="BU120" s="57"/>
      <c r="BV120" s="57"/>
      <c r="BW120" s="57"/>
      <c r="BX120" s="57"/>
      <c r="BY120" s="57"/>
      <c r="BZ120" s="57"/>
      <c r="CA120" s="57"/>
      <c r="CB120" s="57"/>
      <c r="CC120" s="57"/>
      <c r="CD120" s="57"/>
      <c r="CE120" s="57"/>
      <c r="CF120" s="57"/>
      <c r="CG120" s="57"/>
      <c r="CH120" s="57"/>
      <c r="CI120" s="57"/>
      <c r="CJ120" s="57"/>
      <c r="CK120" s="57"/>
      <c r="CL120" s="57"/>
      <c r="CM120" s="57"/>
      <c r="CN120" s="57"/>
      <c r="CO120" s="57"/>
      <c r="CP120" s="57"/>
      <c r="CQ120" s="57"/>
      <c r="CR120" s="57"/>
      <c r="CS120" s="57"/>
      <c r="CT120" s="57"/>
      <c r="CU120" s="57"/>
      <c r="CV120" s="57"/>
      <c r="CW120" s="57"/>
      <c r="CX120" s="57"/>
      <c r="CY120" s="57"/>
      <c r="CZ120" s="57"/>
      <c r="DA120" s="57">
        <f t="shared" si="47"/>
        <v>1</v>
      </c>
      <c r="DB120" s="57">
        <f t="shared" si="48"/>
        <v>1</v>
      </c>
      <c r="DC120" s="57">
        <v>0.75</v>
      </c>
      <c r="DD120" s="57">
        <f>IF(DE120&gt;=$F$11,1,0)</f>
        <v>1</v>
      </c>
      <c r="DE120" s="57">
        <v>120</v>
      </c>
      <c r="DF120" s="61" t="s">
        <v>212</v>
      </c>
      <c r="DG120" s="57"/>
      <c r="DH120" s="57"/>
      <c r="DI120" s="57"/>
      <c r="DJ120" s="57"/>
      <c r="DK120" s="57"/>
      <c r="DL120" s="57"/>
      <c r="DM120" s="57"/>
      <c r="DN120" s="57"/>
      <c r="DO120" s="57"/>
      <c r="DP120" s="57"/>
      <c r="DQ120" s="57"/>
      <c r="DR120" s="57"/>
      <c r="DS120" s="57"/>
      <c r="DT120" s="57"/>
      <c r="DU120" s="57"/>
      <c r="DV120" s="57"/>
      <c r="DW120" s="57"/>
      <c r="DX120" s="57"/>
      <c r="DY120" s="57"/>
      <c r="DZ120" s="57"/>
      <c r="EA120" s="57"/>
      <c r="EB120" s="57"/>
      <c r="EC120" s="57"/>
      <c r="ED120" s="57"/>
      <c r="EE120" s="57"/>
      <c r="EF120" s="57"/>
      <c r="EG120" s="57"/>
      <c r="EH120" s="57"/>
      <c r="EI120" s="57"/>
      <c r="EJ120" s="57"/>
      <c r="EK120" s="57"/>
      <c r="EL120" s="57"/>
      <c r="EM120" s="57"/>
      <c r="EN120" s="57"/>
      <c r="EO120" s="57"/>
      <c r="EP120" s="57"/>
      <c r="EQ120" s="57"/>
      <c r="ER120" s="57"/>
      <c r="ES120" s="57"/>
      <c r="ET120" s="57"/>
      <c r="EU120" s="57"/>
      <c r="EV120" s="57"/>
      <c r="EW120" s="57"/>
      <c r="EX120" s="57"/>
      <c r="EY120" s="57"/>
      <c r="EZ120" s="57"/>
      <c r="FA120" s="57"/>
      <c r="FB120" s="57"/>
      <c r="FC120" s="57"/>
      <c r="FD120" s="57"/>
      <c r="FE120" s="57"/>
      <c r="FF120" s="57"/>
      <c r="FG120" s="57"/>
      <c r="FH120" s="57"/>
      <c r="FI120" s="57"/>
      <c r="FJ120" s="57"/>
      <c r="FK120" s="57"/>
      <c r="FL120" s="57"/>
      <c r="FM120" s="57"/>
      <c r="FN120" s="57"/>
      <c r="FO120" s="57"/>
      <c r="FP120" s="57"/>
      <c r="FQ120" s="61"/>
    </row>
    <row r="121" spans="52:173" x14ac:dyDescent="0.25">
      <c r="AZ121" s="54"/>
      <c r="BA121" s="57"/>
      <c r="BB121" s="57"/>
      <c r="BC121" s="57"/>
      <c r="BD121" s="57"/>
      <c r="BE121" s="57"/>
      <c r="BF121" s="57"/>
      <c r="BG121" s="57"/>
      <c r="BH121" s="57"/>
      <c r="BI121" s="57"/>
      <c r="BJ121" s="57"/>
      <c r="BK121" s="57"/>
      <c r="BL121" s="57"/>
      <c r="BM121" s="57"/>
      <c r="BN121" s="57"/>
      <c r="BO121" s="57"/>
      <c r="BP121" s="57"/>
      <c r="BQ121" s="57"/>
      <c r="BR121" s="57"/>
      <c r="BS121" s="57"/>
      <c r="BT121" s="57"/>
      <c r="BU121" s="57"/>
      <c r="BV121" s="57"/>
      <c r="BW121" s="57"/>
      <c r="BX121" s="57"/>
      <c r="BY121" s="57"/>
      <c r="BZ121" s="57"/>
      <c r="CA121" s="57"/>
      <c r="CB121" s="57"/>
      <c r="CC121" s="57"/>
      <c r="CD121" s="57"/>
      <c r="CE121" s="57"/>
      <c r="CF121" s="57"/>
      <c r="CG121" s="57"/>
      <c r="CH121" s="57"/>
      <c r="CI121" s="57"/>
      <c r="CJ121" s="57"/>
      <c r="CK121" s="57"/>
      <c r="CL121" s="57"/>
      <c r="CM121" s="57"/>
      <c r="CN121" s="57"/>
      <c r="CO121" s="57"/>
      <c r="CP121" s="57"/>
      <c r="CQ121" s="57"/>
      <c r="CR121" s="57"/>
      <c r="CS121" s="57"/>
      <c r="CT121" s="57"/>
      <c r="CU121" s="57"/>
      <c r="CV121" s="57"/>
      <c r="CW121" s="57"/>
      <c r="CX121" s="57"/>
      <c r="CY121" s="57"/>
      <c r="CZ121" s="57"/>
      <c r="DA121" s="57">
        <f t="shared" si="47"/>
        <v>1</v>
      </c>
      <c r="DB121" s="57">
        <f t="shared" si="48"/>
        <v>1</v>
      </c>
      <c r="DC121" s="57">
        <v>0.8</v>
      </c>
      <c r="DD121" s="57">
        <f>IF(DE121&gt;$F$11,1,0)</f>
        <v>1</v>
      </c>
      <c r="DE121" s="57">
        <v>40</v>
      </c>
      <c r="DF121" s="61" t="s">
        <v>206</v>
      </c>
      <c r="DG121" s="57"/>
      <c r="DH121" s="57"/>
      <c r="DI121" s="57"/>
      <c r="DJ121" s="57"/>
      <c r="DK121" s="57"/>
      <c r="DL121" s="57"/>
      <c r="DM121" s="57"/>
      <c r="DN121" s="57"/>
      <c r="DO121" s="57"/>
      <c r="DP121" s="57"/>
      <c r="DQ121" s="57"/>
      <c r="DR121" s="57"/>
      <c r="DS121" s="57"/>
      <c r="DT121" s="57"/>
      <c r="DU121" s="57"/>
      <c r="DV121" s="57"/>
      <c r="DW121" s="57"/>
      <c r="DX121" s="57"/>
      <c r="DY121" s="57"/>
      <c r="DZ121" s="57"/>
      <c r="EA121" s="57"/>
      <c r="EB121" s="57"/>
      <c r="EC121" s="57"/>
      <c r="ED121" s="57"/>
      <c r="EE121" s="57"/>
      <c r="EF121" s="57"/>
      <c r="EG121" s="57"/>
      <c r="EH121" s="57"/>
      <c r="EI121" s="57"/>
      <c r="EJ121" s="57"/>
      <c r="EK121" s="57"/>
      <c r="EL121" s="57"/>
      <c r="EM121" s="57"/>
      <c r="EN121" s="57"/>
      <c r="EO121" s="57"/>
      <c r="EP121" s="57"/>
      <c r="EQ121" s="57"/>
      <c r="ER121" s="57"/>
      <c r="ES121" s="57"/>
      <c r="ET121" s="57"/>
      <c r="EU121" s="57"/>
      <c r="EV121" s="57"/>
      <c r="EW121" s="57"/>
      <c r="EX121" s="57"/>
      <c r="EY121" s="57"/>
      <c r="EZ121" s="57"/>
      <c r="FA121" s="57"/>
      <c r="FB121" s="57"/>
      <c r="FC121" s="57"/>
      <c r="FD121" s="57"/>
      <c r="FE121" s="57"/>
      <c r="FF121" s="57"/>
      <c r="FG121" s="57"/>
      <c r="FH121" s="57"/>
      <c r="FI121" s="57"/>
      <c r="FJ121" s="57"/>
      <c r="FK121" s="57"/>
      <c r="FL121" s="57"/>
      <c r="FM121" s="57"/>
      <c r="FN121" s="57"/>
      <c r="FO121" s="57"/>
      <c r="FP121" s="57"/>
      <c r="FQ121" s="61"/>
    </row>
    <row r="122" spans="52:173" x14ac:dyDescent="0.25">
      <c r="AZ122" s="54"/>
      <c r="BA122" s="57"/>
      <c r="BB122" s="57"/>
      <c r="BC122" s="57"/>
      <c r="BD122" s="57"/>
      <c r="BE122" s="57"/>
      <c r="BF122" s="57"/>
      <c r="BG122" s="57"/>
      <c r="BH122" s="57"/>
      <c r="BI122" s="57"/>
      <c r="BJ122" s="57"/>
      <c r="BK122" s="57"/>
      <c r="BL122" s="57"/>
      <c r="BM122" s="57"/>
      <c r="BN122" s="57"/>
      <c r="BO122" s="57"/>
      <c r="BP122" s="57"/>
      <c r="BQ122" s="57"/>
      <c r="BR122" s="57"/>
      <c r="BS122" s="57"/>
      <c r="BT122" s="57"/>
      <c r="BU122" s="57"/>
      <c r="BV122" s="57"/>
      <c r="BW122" s="57"/>
      <c r="BX122" s="57"/>
      <c r="BY122" s="57"/>
      <c r="BZ122" s="57"/>
      <c r="CA122" s="57"/>
      <c r="CB122" s="57"/>
      <c r="CC122" s="57"/>
      <c r="CD122" s="57"/>
      <c r="CE122" s="57"/>
      <c r="CF122" s="57"/>
      <c r="CG122" s="57"/>
      <c r="CH122" s="57"/>
      <c r="CI122" s="57"/>
      <c r="CJ122" s="57"/>
      <c r="CK122" s="57"/>
      <c r="CL122" s="57"/>
      <c r="CM122" s="57"/>
      <c r="CN122" s="57"/>
      <c r="CO122" s="57"/>
      <c r="CP122" s="57"/>
      <c r="CQ122" s="57"/>
      <c r="CR122" s="57"/>
      <c r="CS122" s="57"/>
      <c r="CT122" s="57"/>
      <c r="CU122" s="57"/>
      <c r="CV122" s="57"/>
      <c r="CW122" s="57"/>
      <c r="CX122" s="57"/>
      <c r="CY122" s="57"/>
      <c r="CZ122" s="57"/>
      <c r="DA122" s="57">
        <f t="shared" si="47"/>
        <v>1</v>
      </c>
      <c r="DB122" s="57">
        <f t="shared" si="48"/>
        <v>1</v>
      </c>
      <c r="DC122" s="57">
        <v>0.8</v>
      </c>
      <c r="DD122" s="57">
        <f>IF(DE122&gt;$F$11,1,0)</f>
        <v>1</v>
      </c>
      <c r="DE122" s="57">
        <v>117</v>
      </c>
      <c r="DF122" s="61" t="s">
        <v>212</v>
      </c>
      <c r="DG122" s="57"/>
      <c r="DH122" s="57"/>
      <c r="DI122" s="57"/>
      <c r="DJ122" s="57"/>
      <c r="DK122" s="57"/>
      <c r="DL122" s="57"/>
      <c r="DM122" s="57"/>
      <c r="DN122" s="57"/>
      <c r="DO122" s="57"/>
      <c r="DP122" s="57"/>
      <c r="DQ122" s="57"/>
      <c r="DR122" s="57"/>
      <c r="DS122" s="57"/>
      <c r="DT122" s="57"/>
      <c r="DU122" s="57"/>
      <c r="DV122" s="57"/>
      <c r="DW122" s="57"/>
      <c r="DX122" s="57"/>
      <c r="DY122" s="57"/>
      <c r="DZ122" s="57"/>
      <c r="EA122" s="57"/>
      <c r="EB122" s="57"/>
      <c r="EC122" s="57"/>
      <c r="ED122" s="57"/>
      <c r="EE122" s="57"/>
      <c r="EF122" s="57"/>
      <c r="EG122" s="57"/>
      <c r="EH122" s="57"/>
      <c r="EI122" s="57"/>
      <c r="EJ122" s="57"/>
      <c r="EK122" s="57"/>
      <c r="EL122" s="57"/>
      <c r="EM122" s="57"/>
      <c r="EN122" s="57"/>
      <c r="EO122" s="57"/>
      <c r="EP122" s="57"/>
      <c r="EQ122" s="57"/>
      <c r="ER122" s="57"/>
      <c r="ES122" s="57"/>
      <c r="ET122" s="57"/>
      <c r="EU122" s="57"/>
      <c r="EV122" s="57"/>
      <c r="EW122" s="57"/>
      <c r="EX122" s="57"/>
      <c r="EY122" s="57"/>
      <c r="EZ122" s="57"/>
      <c r="FA122" s="57"/>
      <c r="FB122" s="57"/>
      <c r="FC122" s="57"/>
      <c r="FD122" s="57"/>
      <c r="FE122" s="57"/>
      <c r="FF122" s="57"/>
      <c r="FG122" s="57"/>
      <c r="FH122" s="57"/>
      <c r="FI122" s="57"/>
      <c r="FJ122" s="57"/>
      <c r="FK122" s="57"/>
      <c r="FL122" s="57"/>
      <c r="FM122" s="57"/>
      <c r="FN122" s="57"/>
      <c r="FO122" s="57"/>
      <c r="FP122" s="57"/>
      <c r="FQ122" s="61"/>
    </row>
    <row r="123" spans="52:173" x14ac:dyDescent="0.25">
      <c r="AZ123" s="54"/>
      <c r="BA123" s="57"/>
      <c r="BB123" s="57"/>
      <c r="BC123" s="57"/>
      <c r="BD123" s="57"/>
      <c r="BE123" s="57"/>
      <c r="BF123" s="57"/>
      <c r="BG123" s="57"/>
      <c r="BH123" s="57"/>
      <c r="BI123" s="57"/>
      <c r="BJ123" s="57"/>
      <c r="BK123" s="57"/>
      <c r="BL123" s="57"/>
      <c r="BM123" s="57"/>
      <c r="BN123" s="57"/>
      <c r="BO123" s="57"/>
      <c r="BP123" s="57"/>
      <c r="BQ123" s="57"/>
      <c r="BR123" s="57"/>
      <c r="BS123" s="57"/>
      <c r="BT123" s="57"/>
      <c r="BU123" s="57"/>
      <c r="BV123" s="57"/>
      <c r="BW123" s="57"/>
      <c r="BX123" s="57"/>
      <c r="BY123" s="57"/>
      <c r="BZ123" s="57"/>
      <c r="CA123" s="57"/>
      <c r="CB123" s="57"/>
      <c r="CC123" s="57"/>
      <c r="CD123" s="57"/>
      <c r="CE123" s="57"/>
      <c r="CF123" s="57"/>
      <c r="CG123" s="57"/>
      <c r="CH123" s="57"/>
      <c r="CI123" s="57"/>
      <c r="CJ123" s="57"/>
      <c r="CK123" s="57"/>
      <c r="CL123" s="57"/>
      <c r="CM123" s="57"/>
      <c r="CN123" s="57"/>
      <c r="CO123" s="57"/>
      <c r="CP123" s="57"/>
      <c r="CQ123" s="57"/>
      <c r="CR123" s="57"/>
      <c r="CS123" s="57"/>
      <c r="CT123" s="57"/>
      <c r="CU123" s="57"/>
      <c r="CV123" s="57"/>
      <c r="CW123" s="57"/>
      <c r="CX123" s="57"/>
      <c r="CY123" s="57"/>
      <c r="CZ123" s="57"/>
      <c r="DA123" s="57">
        <f t="shared" si="47"/>
        <v>1</v>
      </c>
      <c r="DB123" s="57">
        <f t="shared" si="48"/>
        <v>1</v>
      </c>
      <c r="DC123" s="57">
        <v>0.8</v>
      </c>
      <c r="DD123" s="57">
        <f>IF(DE123&gt;=$F$11,1,0)</f>
        <v>1</v>
      </c>
      <c r="DE123" s="57">
        <v>120</v>
      </c>
      <c r="DF123" s="61" t="s">
        <v>213</v>
      </c>
      <c r="DG123" s="57"/>
      <c r="DH123" s="57"/>
      <c r="DI123" s="57"/>
      <c r="DJ123" s="57"/>
      <c r="DK123" s="57"/>
      <c r="DL123" s="57"/>
      <c r="DM123" s="57"/>
      <c r="DN123" s="57"/>
      <c r="DO123" s="57"/>
      <c r="DP123" s="57"/>
      <c r="DQ123" s="57"/>
      <c r="DR123" s="57"/>
      <c r="DS123" s="57"/>
      <c r="DT123" s="57"/>
      <c r="DU123" s="57"/>
      <c r="DV123" s="57"/>
      <c r="DW123" s="57"/>
      <c r="DX123" s="57"/>
      <c r="DY123" s="57"/>
      <c r="DZ123" s="57"/>
      <c r="EA123" s="57"/>
      <c r="EB123" s="57"/>
      <c r="EC123" s="57"/>
      <c r="ED123" s="57"/>
      <c r="EE123" s="57"/>
      <c r="EF123" s="57"/>
      <c r="EG123" s="57"/>
      <c r="EH123" s="57"/>
      <c r="EI123" s="57"/>
      <c r="EJ123" s="57"/>
      <c r="EK123" s="57"/>
      <c r="EL123" s="57"/>
      <c r="EM123" s="57"/>
      <c r="EN123" s="57"/>
      <c r="EO123" s="57"/>
      <c r="EP123" s="57"/>
      <c r="EQ123" s="57"/>
      <c r="ER123" s="57"/>
      <c r="ES123" s="57"/>
      <c r="ET123" s="57"/>
      <c r="EU123" s="57"/>
      <c r="EV123" s="57"/>
      <c r="EW123" s="57"/>
      <c r="EX123" s="57"/>
      <c r="EY123" s="57"/>
      <c r="EZ123" s="57"/>
      <c r="FA123" s="57"/>
      <c r="FB123" s="57"/>
      <c r="FC123" s="57"/>
      <c r="FD123" s="57"/>
      <c r="FE123" s="57"/>
      <c r="FF123" s="57"/>
      <c r="FG123" s="57"/>
      <c r="FH123" s="57"/>
      <c r="FI123" s="57"/>
      <c r="FJ123" s="57"/>
      <c r="FK123" s="57"/>
      <c r="FL123" s="57"/>
      <c r="FM123" s="57"/>
      <c r="FN123" s="57"/>
      <c r="FO123" s="57"/>
      <c r="FP123" s="57"/>
      <c r="FQ123" s="61"/>
    </row>
    <row r="124" spans="52:173" x14ac:dyDescent="0.25">
      <c r="AZ124" s="54"/>
      <c r="BA124" s="57"/>
      <c r="BB124" s="57"/>
      <c r="BC124" s="57"/>
      <c r="BD124" s="57"/>
      <c r="BE124" s="57"/>
      <c r="BF124" s="57"/>
      <c r="BG124" s="57"/>
      <c r="BH124" s="57"/>
      <c r="BI124" s="57"/>
      <c r="BJ124" s="57"/>
      <c r="BK124" s="57"/>
      <c r="BL124" s="57"/>
      <c r="BM124" s="57"/>
      <c r="BN124" s="57"/>
      <c r="BO124" s="57"/>
      <c r="BP124" s="57"/>
      <c r="BQ124" s="57"/>
      <c r="BR124" s="57"/>
      <c r="BS124" s="57"/>
      <c r="BT124" s="57"/>
      <c r="BU124" s="57"/>
      <c r="BV124" s="57"/>
      <c r="BW124" s="57"/>
      <c r="BX124" s="57"/>
      <c r="BY124" s="57"/>
      <c r="BZ124" s="57"/>
      <c r="CA124" s="57"/>
      <c r="CB124" s="57"/>
      <c r="CC124" s="57"/>
      <c r="CD124" s="57"/>
      <c r="CE124" s="57"/>
      <c r="CF124" s="57"/>
      <c r="CG124" s="57"/>
      <c r="CH124" s="57"/>
      <c r="CI124" s="57"/>
      <c r="CJ124" s="57"/>
      <c r="CK124" s="57"/>
      <c r="CL124" s="57"/>
      <c r="CM124" s="57"/>
      <c r="CN124" s="57"/>
      <c r="CO124" s="57"/>
      <c r="CP124" s="57"/>
      <c r="CQ124" s="57"/>
      <c r="CR124" s="57"/>
      <c r="CS124" s="57"/>
      <c r="CT124" s="57"/>
      <c r="CU124" s="57"/>
      <c r="CV124" s="57"/>
      <c r="CW124" s="57"/>
      <c r="CX124" s="57"/>
      <c r="CY124" s="57"/>
      <c r="CZ124" s="57"/>
      <c r="DA124" s="57">
        <f t="shared" si="47"/>
        <v>1</v>
      </c>
      <c r="DB124" s="57">
        <f t="shared" si="48"/>
        <v>1</v>
      </c>
      <c r="DC124" s="57">
        <v>0.85</v>
      </c>
      <c r="DD124" s="57">
        <f>IF(DE124&gt;$F$11,1,0)</f>
        <v>1</v>
      </c>
      <c r="DE124" s="57">
        <v>39</v>
      </c>
      <c r="DF124" s="61" t="s">
        <v>206</v>
      </c>
      <c r="DG124" s="57"/>
      <c r="DH124" s="57"/>
      <c r="DI124" s="57"/>
      <c r="DJ124" s="57"/>
      <c r="DK124" s="57"/>
      <c r="DL124" s="57"/>
      <c r="DM124" s="57"/>
      <c r="DN124" s="57"/>
      <c r="DO124" s="57"/>
      <c r="DP124" s="57"/>
      <c r="DQ124" s="57"/>
      <c r="DR124" s="57"/>
      <c r="DS124" s="57"/>
      <c r="DT124" s="57"/>
      <c r="DU124" s="57"/>
      <c r="DV124" s="57"/>
      <c r="DW124" s="57"/>
      <c r="DX124" s="57"/>
      <c r="DY124" s="57"/>
      <c r="DZ124" s="57"/>
      <c r="EA124" s="57"/>
      <c r="EB124" s="57"/>
      <c r="EC124" s="57"/>
      <c r="ED124" s="57"/>
      <c r="EE124" s="57"/>
      <c r="EF124" s="57"/>
      <c r="EG124" s="57"/>
      <c r="EH124" s="57"/>
      <c r="EI124" s="57"/>
      <c r="EJ124" s="57"/>
      <c r="EK124" s="57"/>
      <c r="EL124" s="57"/>
      <c r="EM124" s="57"/>
      <c r="EN124" s="57"/>
      <c r="EO124" s="57"/>
      <c r="EP124" s="57"/>
      <c r="EQ124" s="57"/>
      <c r="ER124" s="57"/>
      <c r="ES124" s="57"/>
      <c r="ET124" s="57"/>
      <c r="EU124" s="57"/>
      <c r="EV124" s="57"/>
      <c r="EW124" s="57"/>
      <c r="EX124" s="57"/>
      <c r="EY124" s="57"/>
      <c r="EZ124" s="57"/>
      <c r="FA124" s="57"/>
      <c r="FB124" s="57"/>
      <c r="FC124" s="57"/>
      <c r="FD124" s="57"/>
      <c r="FE124" s="57"/>
      <c r="FF124" s="57"/>
      <c r="FG124" s="57"/>
      <c r="FH124" s="57"/>
      <c r="FI124" s="57"/>
      <c r="FJ124" s="57"/>
      <c r="FK124" s="57"/>
      <c r="FL124" s="57"/>
      <c r="FM124" s="57"/>
      <c r="FN124" s="57"/>
      <c r="FO124" s="57"/>
      <c r="FP124" s="57"/>
      <c r="FQ124" s="61"/>
    </row>
    <row r="125" spans="52:173" x14ac:dyDescent="0.25">
      <c r="AZ125" s="54"/>
      <c r="BA125" s="57"/>
      <c r="BB125" s="57"/>
      <c r="BC125" s="57"/>
      <c r="BD125" s="57"/>
      <c r="BE125" s="57"/>
      <c r="BF125" s="57"/>
      <c r="BG125" s="57"/>
      <c r="BH125" s="57"/>
      <c r="BI125" s="57"/>
      <c r="BJ125" s="57"/>
      <c r="BK125" s="57"/>
      <c r="BL125" s="57"/>
      <c r="BM125" s="57"/>
      <c r="BN125" s="57"/>
      <c r="BO125" s="57"/>
      <c r="BP125" s="57"/>
      <c r="BQ125" s="57"/>
      <c r="BR125" s="57"/>
      <c r="BS125" s="57"/>
      <c r="BT125" s="57"/>
      <c r="BU125" s="57"/>
      <c r="BV125" s="57"/>
      <c r="BW125" s="57"/>
      <c r="BX125" s="57"/>
      <c r="BY125" s="57"/>
      <c r="BZ125" s="57"/>
      <c r="CA125" s="57"/>
      <c r="CB125" s="57"/>
      <c r="CC125" s="57"/>
      <c r="CD125" s="57"/>
      <c r="CE125" s="57"/>
      <c r="CF125" s="57"/>
      <c r="CG125" s="57"/>
      <c r="CH125" s="57"/>
      <c r="CI125" s="57"/>
      <c r="CJ125" s="57"/>
      <c r="CK125" s="57"/>
      <c r="CL125" s="57"/>
      <c r="CM125" s="57"/>
      <c r="CN125" s="57"/>
      <c r="CO125" s="57"/>
      <c r="CP125" s="57"/>
      <c r="CQ125" s="57"/>
      <c r="CR125" s="57"/>
      <c r="CS125" s="57"/>
      <c r="CT125" s="57"/>
      <c r="CU125" s="57"/>
      <c r="CV125" s="57"/>
      <c r="CW125" s="57"/>
      <c r="CX125" s="57"/>
      <c r="CY125" s="57"/>
      <c r="CZ125" s="57"/>
      <c r="DA125" s="57">
        <f t="shared" si="47"/>
        <v>1</v>
      </c>
      <c r="DB125" s="57">
        <f t="shared" si="48"/>
        <v>1</v>
      </c>
      <c r="DC125" s="57">
        <v>0.85</v>
      </c>
      <c r="DD125" s="57">
        <f>IF(DE125&gt;$F$11,1,0)</f>
        <v>1</v>
      </c>
      <c r="DE125" s="57">
        <v>114</v>
      </c>
      <c r="DF125" s="61" t="s">
        <v>212</v>
      </c>
      <c r="DG125" s="57"/>
      <c r="DH125" s="57"/>
      <c r="DI125" s="57"/>
      <c r="DJ125" s="57"/>
      <c r="DK125" s="57"/>
      <c r="DL125" s="57"/>
      <c r="DM125" s="57"/>
      <c r="DN125" s="57"/>
      <c r="DO125" s="57"/>
      <c r="DP125" s="57"/>
      <c r="DQ125" s="57"/>
      <c r="DR125" s="57"/>
      <c r="DS125" s="57"/>
      <c r="DT125" s="57"/>
      <c r="DU125" s="57"/>
      <c r="DV125" s="57"/>
      <c r="DW125" s="57"/>
      <c r="DX125" s="57"/>
      <c r="DY125" s="57"/>
      <c r="DZ125" s="57"/>
      <c r="EA125" s="57"/>
      <c r="EB125" s="57"/>
      <c r="EC125" s="57"/>
      <c r="ED125" s="57"/>
      <c r="EE125" s="57"/>
      <c r="EF125" s="57"/>
      <c r="EG125" s="57"/>
      <c r="EH125" s="57"/>
      <c r="EI125" s="57"/>
      <c r="EJ125" s="57"/>
      <c r="EK125" s="57"/>
      <c r="EL125" s="57"/>
      <c r="EM125" s="57"/>
      <c r="EN125" s="57"/>
      <c r="EO125" s="57"/>
      <c r="EP125" s="57"/>
      <c r="EQ125" s="57"/>
      <c r="ER125" s="57"/>
      <c r="ES125" s="57"/>
      <c r="ET125" s="57"/>
      <c r="EU125" s="57"/>
      <c r="EV125" s="57"/>
      <c r="EW125" s="57"/>
      <c r="EX125" s="57"/>
      <c r="EY125" s="57"/>
      <c r="EZ125" s="57"/>
      <c r="FA125" s="57"/>
      <c r="FB125" s="57"/>
      <c r="FC125" s="57"/>
      <c r="FD125" s="57"/>
      <c r="FE125" s="57"/>
      <c r="FF125" s="57"/>
      <c r="FG125" s="57"/>
      <c r="FH125" s="57"/>
      <c r="FI125" s="57"/>
      <c r="FJ125" s="57"/>
      <c r="FK125" s="57"/>
      <c r="FL125" s="57"/>
      <c r="FM125" s="57"/>
      <c r="FN125" s="57"/>
      <c r="FO125" s="57"/>
      <c r="FP125" s="57"/>
      <c r="FQ125" s="61"/>
    </row>
    <row r="126" spans="52:173" x14ac:dyDescent="0.25">
      <c r="AZ126" s="54"/>
      <c r="BA126" s="57"/>
      <c r="BB126" s="57"/>
      <c r="BC126" s="57"/>
      <c r="BD126" s="57"/>
      <c r="BE126" s="57"/>
      <c r="BF126" s="57"/>
      <c r="BG126" s="57"/>
      <c r="BH126" s="57"/>
      <c r="BI126" s="57"/>
      <c r="BJ126" s="57"/>
      <c r="BK126" s="57"/>
      <c r="BL126" s="57"/>
      <c r="BM126" s="57"/>
      <c r="BN126" s="57"/>
      <c r="BO126" s="57"/>
      <c r="BP126" s="57"/>
      <c r="BQ126" s="57"/>
      <c r="BR126" s="57"/>
      <c r="BS126" s="57"/>
      <c r="BT126" s="57"/>
      <c r="BU126" s="57"/>
      <c r="BV126" s="57"/>
      <c r="BW126" s="57"/>
      <c r="BX126" s="57"/>
      <c r="BY126" s="57"/>
      <c r="BZ126" s="57"/>
      <c r="CA126" s="57"/>
      <c r="CB126" s="57"/>
      <c r="CC126" s="57"/>
      <c r="CD126" s="57"/>
      <c r="CE126" s="57"/>
      <c r="CF126" s="57"/>
      <c r="CG126" s="57"/>
      <c r="CH126" s="57"/>
      <c r="CI126" s="57"/>
      <c r="CJ126" s="57"/>
      <c r="CK126" s="57"/>
      <c r="CL126" s="57"/>
      <c r="CM126" s="57"/>
      <c r="CN126" s="57"/>
      <c r="CO126" s="57"/>
      <c r="CP126" s="57"/>
      <c r="CQ126" s="57"/>
      <c r="CR126" s="57"/>
      <c r="CS126" s="57"/>
      <c r="CT126" s="57"/>
      <c r="CU126" s="57"/>
      <c r="CV126" s="57"/>
      <c r="CW126" s="57"/>
      <c r="CX126" s="57"/>
      <c r="CY126" s="57"/>
      <c r="CZ126" s="57"/>
      <c r="DA126" s="57">
        <f t="shared" si="47"/>
        <v>1</v>
      </c>
      <c r="DB126" s="57">
        <f t="shared" si="48"/>
        <v>1</v>
      </c>
      <c r="DC126" s="57">
        <v>0.85</v>
      </c>
      <c r="DD126" s="57">
        <f>IF(DE126&gt;=$F$11,1,0)</f>
        <v>1</v>
      </c>
      <c r="DE126" s="57">
        <v>120</v>
      </c>
      <c r="DF126" s="61" t="s">
        <v>213</v>
      </c>
      <c r="DG126" s="57"/>
      <c r="DH126" s="57"/>
      <c r="DI126" s="57"/>
      <c r="DJ126" s="57"/>
      <c r="DK126" s="57"/>
      <c r="DL126" s="57"/>
      <c r="DM126" s="57"/>
      <c r="DN126" s="57"/>
      <c r="DO126" s="57"/>
      <c r="DP126" s="57"/>
      <c r="DQ126" s="57"/>
      <c r="DR126" s="57"/>
      <c r="DS126" s="57"/>
      <c r="DT126" s="57"/>
      <c r="DU126" s="57"/>
      <c r="DV126" s="57"/>
      <c r="DW126" s="57"/>
      <c r="DX126" s="57"/>
      <c r="DY126" s="57"/>
      <c r="DZ126" s="57"/>
      <c r="EA126" s="57"/>
      <c r="EB126" s="57"/>
      <c r="EC126" s="57"/>
      <c r="ED126" s="57"/>
      <c r="EE126" s="57"/>
      <c r="EF126" s="57"/>
      <c r="EG126" s="57"/>
      <c r="EH126" s="57"/>
      <c r="EI126" s="57"/>
      <c r="EJ126" s="57"/>
      <c r="EK126" s="57"/>
      <c r="EL126" s="57"/>
      <c r="EM126" s="57"/>
      <c r="EN126" s="57"/>
      <c r="EO126" s="57"/>
      <c r="EP126" s="57"/>
      <c r="EQ126" s="57"/>
      <c r="ER126" s="57"/>
      <c r="ES126" s="57"/>
      <c r="ET126" s="57"/>
      <c r="EU126" s="57"/>
      <c r="EV126" s="57"/>
      <c r="EW126" s="57"/>
      <c r="EX126" s="57"/>
      <c r="EY126" s="57"/>
      <c r="EZ126" s="57"/>
      <c r="FA126" s="57"/>
      <c r="FB126" s="57"/>
      <c r="FC126" s="57"/>
      <c r="FD126" s="57"/>
      <c r="FE126" s="57"/>
      <c r="FF126" s="57"/>
      <c r="FG126" s="57"/>
      <c r="FH126" s="57"/>
      <c r="FI126" s="57"/>
      <c r="FJ126" s="57"/>
      <c r="FK126" s="57"/>
      <c r="FL126" s="57"/>
      <c r="FM126" s="57"/>
      <c r="FN126" s="57"/>
      <c r="FO126" s="57"/>
      <c r="FP126" s="57"/>
      <c r="FQ126" s="61"/>
    </row>
    <row r="127" spans="52:173" x14ac:dyDescent="0.25">
      <c r="AZ127" s="54"/>
      <c r="BA127" s="57"/>
      <c r="BB127" s="57"/>
      <c r="BC127" s="57"/>
      <c r="BD127" s="57"/>
      <c r="BE127" s="57"/>
      <c r="BF127" s="57"/>
      <c r="BG127" s="57"/>
      <c r="BH127" s="57"/>
      <c r="BI127" s="57"/>
      <c r="BJ127" s="57"/>
      <c r="BK127" s="57"/>
      <c r="BL127" s="57"/>
      <c r="BM127" s="57"/>
      <c r="BN127" s="57"/>
      <c r="BO127" s="57"/>
      <c r="BP127" s="57"/>
      <c r="BQ127" s="57"/>
      <c r="BR127" s="57"/>
      <c r="BS127" s="57"/>
      <c r="BT127" s="57"/>
      <c r="BU127" s="57"/>
      <c r="BV127" s="57"/>
      <c r="BW127" s="57"/>
      <c r="BX127" s="57"/>
      <c r="BY127" s="57"/>
      <c r="BZ127" s="57"/>
      <c r="CA127" s="57"/>
      <c r="CB127" s="57"/>
      <c r="CC127" s="57"/>
      <c r="CD127" s="57"/>
      <c r="CE127" s="57"/>
      <c r="CF127" s="57"/>
      <c r="CG127" s="57"/>
      <c r="CH127" s="57"/>
      <c r="CI127" s="57"/>
      <c r="CJ127" s="57"/>
      <c r="CK127" s="57"/>
      <c r="CL127" s="57"/>
      <c r="CM127" s="57"/>
      <c r="CN127" s="57"/>
      <c r="CO127" s="57"/>
      <c r="CP127" s="57"/>
      <c r="CQ127" s="57"/>
      <c r="CR127" s="57"/>
      <c r="CS127" s="57"/>
      <c r="CT127" s="57"/>
      <c r="CU127" s="57"/>
      <c r="CV127" s="57"/>
      <c r="CW127" s="57"/>
      <c r="CX127" s="57"/>
      <c r="CY127" s="57"/>
      <c r="CZ127" s="57"/>
      <c r="DA127" s="57">
        <f t="shared" si="47"/>
        <v>1</v>
      </c>
      <c r="DB127" s="57">
        <f t="shared" si="48"/>
        <v>1</v>
      </c>
      <c r="DC127" s="57">
        <v>0.9</v>
      </c>
      <c r="DD127" s="57">
        <f>IF(DE127&gt;$F$11,1,0)</f>
        <v>1</v>
      </c>
      <c r="DE127" s="57">
        <v>37</v>
      </c>
      <c r="DF127" s="61" t="s">
        <v>206</v>
      </c>
      <c r="DG127" s="57"/>
      <c r="DH127" s="57"/>
      <c r="DI127" s="57"/>
      <c r="DJ127" s="57"/>
      <c r="DK127" s="57"/>
      <c r="DL127" s="57"/>
      <c r="DM127" s="57"/>
      <c r="DN127" s="57"/>
      <c r="DO127" s="57"/>
      <c r="DP127" s="57"/>
      <c r="DQ127" s="57"/>
      <c r="DR127" s="57"/>
      <c r="DS127" s="57"/>
      <c r="DT127" s="57"/>
      <c r="DU127" s="57"/>
      <c r="DV127" s="57"/>
      <c r="DW127" s="57"/>
      <c r="DX127" s="57"/>
      <c r="DY127" s="57"/>
      <c r="DZ127" s="57"/>
      <c r="EA127" s="57"/>
      <c r="EB127" s="57"/>
      <c r="EC127" s="57"/>
      <c r="ED127" s="57"/>
      <c r="EE127" s="57"/>
      <c r="EF127" s="57"/>
      <c r="EG127" s="57"/>
      <c r="EH127" s="57"/>
      <c r="EI127" s="57"/>
      <c r="EJ127" s="57"/>
      <c r="EK127" s="57"/>
      <c r="EL127" s="57"/>
      <c r="EM127" s="57"/>
      <c r="EN127" s="57"/>
      <c r="EO127" s="57"/>
      <c r="EP127" s="57"/>
      <c r="EQ127" s="57"/>
      <c r="ER127" s="57"/>
      <c r="ES127" s="57"/>
      <c r="ET127" s="57"/>
      <c r="EU127" s="57"/>
      <c r="EV127" s="57"/>
      <c r="EW127" s="57"/>
      <c r="EX127" s="57"/>
      <c r="EY127" s="57"/>
      <c r="EZ127" s="57"/>
      <c r="FA127" s="57"/>
      <c r="FB127" s="57"/>
      <c r="FC127" s="57"/>
      <c r="FD127" s="57"/>
      <c r="FE127" s="57"/>
      <c r="FF127" s="57"/>
      <c r="FG127" s="57"/>
      <c r="FH127" s="57"/>
      <c r="FI127" s="57"/>
      <c r="FJ127" s="57"/>
      <c r="FK127" s="57"/>
      <c r="FL127" s="57"/>
      <c r="FM127" s="57"/>
      <c r="FN127" s="57"/>
      <c r="FO127" s="57"/>
      <c r="FP127" s="57"/>
      <c r="FQ127" s="61"/>
    </row>
    <row r="128" spans="52:173" x14ac:dyDescent="0.25">
      <c r="AZ128" s="54"/>
      <c r="BA128" s="57"/>
      <c r="BB128" s="57"/>
      <c r="BC128" s="57"/>
      <c r="BD128" s="57"/>
      <c r="BE128" s="57"/>
      <c r="BF128" s="57"/>
      <c r="BG128" s="57"/>
      <c r="BH128" s="57"/>
      <c r="BI128" s="57"/>
      <c r="BJ128" s="57"/>
      <c r="BK128" s="57"/>
      <c r="BL128" s="57"/>
      <c r="BM128" s="57"/>
      <c r="BN128" s="57"/>
      <c r="BO128" s="57"/>
      <c r="BP128" s="57"/>
      <c r="BQ128" s="57"/>
      <c r="BR128" s="57"/>
      <c r="BS128" s="57"/>
      <c r="BT128" s="57"/>
      <c r="BU128" s="57"/>
      <c r="BV128" s="57"/>
      <c r="BW128" s="57"/>
      <c r="BX128" s="57"/>
      <c r="BY128" s="57"/>
      <c r="BZ128" s="57"/>
      <c r="CA128" s="57"/>
      <c r="CB128" s="57"/>
      <c r="CC128" s="57"/>
      <c r="CD128" s="57"/>
      <c r="CE128" s="57"/>
      <c r="CF128" s="57"/>
      <c r="CG128" s="57"/>
      <c r="CH128" s="57"/>
      <c r="CI128" s="57"/>
      <c r="CJ128" s="57"/>
      <c r="CK128" s="57"/>
      <c r="CL128" s="57"/>
      <c r="CM128" s="57"/>
      <c r="CN128" s="57"/>
      <c r="CO128" s="57"/>
      <c r="CP128" s="57"/>
      <c r="CQ128" s="57"/>
      <c r="CR128" s="57"/>
      <c r="CS128" s="57"/>
      <c r="CT128" s="57"/>
      <c r="CU128" s="57"/>
      <c r="CV128" s="57"/>
      <c r="CW128" s="57"/>
      <c r="CX128" s="57"/>
      <c r="CY128" s="57"/>
      <c r="CZ128" s="57"/>
      <c r="DA128" s="57">
        <f t="shared" si="47"/>
        <v>1</v>
      </c>
      <c r="DB128" s="57">
        <f t="shared" si="48"/>
        <v>1</v>
      </c>
      <c r="DC128" s="57">
        <v>0.9</v>
      </c>
      <c r="DD128" s="57">
        <f>IF(DE128&gt;$F$11,1,0)</f>
        <v>1</v>
      </c>
      <c r="DE128" s="57">
        <v>43</v>
      </c>
      <c r="DF128" s="61" t="s">
        <v>210</v>
      </c>
      <c r="DG128" s="57"/>
      <c r="DH128" s="57"/>
      <c r="DI128" s="57"/>
      <c r="DJ128" s="57"/>
      <c r="DK128" s="57"/>
      <c r="DL128" s="57"/>
      <c r="DM128" s="57"/>
      <c r="DN128" s="57"/>
      <c r="DO128" s="57"/>
      <c r="DP128" s="57"/>
      <c r="DQ128" s="57"/>
      <c r="DR128" s="57"/>
      <c r="DS128" s="57"/>
      <c r="DT128" s="57"/>
      <c r="DU128" s="57"/>
      <c r="DV128" s="57"/>
      <c r="DW128" s="57"/>
      <c r="DX128" s="57"/>
      <c r="DY128" s="57"/>
      <c r="DZ128" s="57"/>
      <c r="EA128" s="57"/>
      <c r="EB128" s="57"/>
      <c r="EC128" s="57"/>
      <c r="ED128" s="57"/>
      <c r="EE128" s="57"/>
      <c r="EF128" s="57"/>
      <c r="EG128" s="57"/>
      <c r="EH128" s="57"/>
      <c r="EI128" s="57"/>
      <c r="EJ128" s="57"/>
      <c r="EK128" s="57"/>
      <c r="EL128" s="57"/>
      <c r="EM128" s="57"/>
      <c r="EN128" s="57"/>
      <c r="EO128" s="57"/>
      <c r="EP128" s="57"/>
      <c r="EQ128" s="57"/>
      <c r="ER128" s="57"/>
      <c r="ES128" s="57"/>
      <c r="ET128" s="57"/>
      <c r="EU128" s="57"/>
      <c r="EV128" s="57"/>
      <c r="EW128" s="57"/>
      <c r="EX128" s="57"/>
      <c r="EY128" s="57"/>
      <c r="EZ128" s="57"/>
      <c r="FA128" s="57"/>
      <c r="FB128" s="57"/>
      <c r="FC128" s="57"/>
      <c r="FD128" s="57"/>
      <c r="FE128" s="57"/>
      <c r="FF128" s="57"/>
      <c r="FG128" s="57"/>
      <c r="FH128" s="57"/>
      <c r="FI128" s="57"/>
      <c r="FJ128" s="57"/>
      <c r="FK128" s="57"/>
      <c r="FL128" s="57"/>
      <c r="FM128" s="57"/>
      <c r="FN128" s="57"/>
      <c r="FO128" s="57"/>
      <c r="FP128" s="57"/>
      <c r="FQ128" s="61"/>
    </row>
    <row r="129" spans="52:173" x14ac:dyDescent="0.25">
      <c r="AZ129" s="54"/>
      <c r="BA129" s="57"/>
      <c r="BB129" s="57"/>
      <c r="BC129" s="57"/>
      <c r="BD129" s="57"/>
      <c r="BE129" s="57"/>
      <c r="BF129" s="57"/>
      <c r="BG129" s="57"/>
      <c r="BH129" s="57"/>
      <c r="BI129" s="57"/>
      <c r="BJ129" s="57"/>
      <c r="BK129" s="57"/>
      <c r="BL129" s="57"/>
      <c r="BM129" s="57"/>
      <c r="BN129" s="57"/>
      <c r="BO129" s="57"/>
      <c r="BP129" s="57"/>
      <c r="BQ129" s="57"/>
      <c r="BR129" s="57"/>
      <c r="BS129" s="57"/>
      <c r="BT129" s="57"/>
      <c r="BU129" s="57"/>
      <c r="BV129" s="57"/>
      <c r="BW129" s="57"/>
      <c r="BX129" s="57"/>
      <c r="BY129" s="57"/>
      <c r="BZ129" s="57"/>
      <c r="CA129" s="57"/>
      <c r="CB129" s="57"/>
      <c r="CC129" s="57"/>
      <c r="CD129" s="57"/>
      <c r="CE129" s="57"/>
      <c r="CF129" s="57"/>
      <c r="CG129" s="57"/>
      <c r="CH129" s="57"/>
      <c r="CI129" s="57"/>
      <c r="CJ129" s="57"/>
      <c r="CK129" s="57"/>
      <c r="CL129" s="57"/>
      <c r="CM129" s="57"/>
      <c r="CN129" s="57"/>
      <c r="CO129" s="57"/>
      <c r="CP129" s="57"/>
      <c r="CQ129" s="57"/>
      <c r="CR129" s="57"/>
      <c r="CS129" s="57"/>
      <c r="CT129" s="57"/>
      <c r="CU129" s="57"/>
      <c r="CV129" s="57"/>
      <c r="CW129" s="57"/>
      <c r="CX129" s="57"/>
      <c r="CY129" s="57"/>
      <c r="CZ129" s="57"/>
      <c r="DA129" s="57">
        <f t="shared" si="47"/>
        <v>1</v>
      </c>
      <c r="DB129" s="57">
        <f t="shared" si="48"/>
        <v>1</v>
      </c>
      <c r="DC129" s="57">
        <v>0.9</v>
      </c>
      <c r="DD129" s="57">
        <f>IF(DE129&gt;$F$11,1,0)</f>
        <v>1</v>
      </c>
      <c r="DE129" s="57">
        <v>110</v>
      </c>
      <c r="DF129" s="61" t="s">
        <v>212</v>
      </c>
      <c r="DG129" s="57"/>
      <c r="DH129" s="57"/>
      <c r="DI129" s="57"/>
      <c r="DJ129" s="57"/>
      <c r="DK129" s="57"/>
      <c r="DL129" s="57"/>
      <c r="DM129" s="57"/>
      <c r="DN129" s="57"/>
      <c r="DO129" s="57"/>
      <c r="DP129" s="57"/>
      <c r="DQ129" s="57"/>
      <c r="DR129" s="57"/>
      <c r="DS129" s="57"/>
      <c r="DT129" s="57"/>
      <c r="DU129" s="57"/>
      <c r="DV129" s="57"/>
      <c r="DW129" s="57"/>
      <c r="DX129" s="57"/>
      <c r="DY129" s="57"/>
      <c r="DZ129" s="57"/>
      <c r="EA129" s="57"/>
      <c r="EB129" s="57"/>
      <c r="EC129" s="57"/>
      <c r="ED129" s="57"/>
      <c r="EE129" s="57"/>
      <c r="EF129" s="57"/>
      <c r="EG129" s="57"/>
      <c r="EH129" s="57"/>
      <c r="EI129" s="57"/>
      <c r="EJ129" s="57"/>
      <c r="EK129" s="57"/>
      <c r="EL129" s="57"/>
      <c r="EM129" s="57"/>
      <c r="EN129" s="57"/>
      <c r="EO129" s="57"/>
      <c r="EP129" s="57"/>
      <c r="EQ129" s="57"/>
      <c r="ER129" s="57"/>
      <c r="ES129" s="57"/>
      <c r="ET129" s="57"/>
      <c r="EU129" s="57"/>
      <c r="EV129" s="57"/>
      <c r="EW129" s="57"/>
      <c r="EX129" s="57"/>
      <c r="EY129" s="57"/>
      <c r="EZ129" s="57"/>
      <c r="FA129" s="57"/>
      <c r="FB129" s="57"/>
      <c r="FC129" s="57"/>
      <c r="FD129" s="57"/>
      <c r="FE129" s="57"/>
      <c r="FF129" s="57"/>
      <c r="FG129" s="57"/>
      <c r="FH129" s="57"/>
      <c r="FI129" s="57"/>
      <c r="FJ129" s="57"/>
      <c r="FK129" s="57"/>
      <c r="FL129" s="57"/>
      <c r="FM129" s="57"/>
      <c r="FN129" s="57"/>
      <c r="FO129" s="57"/>
      <c r="FP129" s="57"/>
      <c r="FQ129" s="61"/>
    </row>
    <row r="130" spans="52:173" x14ac:dyDescent="0.25">
      <c r="AZ130" s="54"/>
      <c r="BA130" s="57"/>
      <c r="BB130" s="57"/>
      <c r="BC130" s="57"/>
      <c r="BD130" s="57"/>
      <c r="BE130" s="57"/>
      <c r="BF130" s="57"/>
      <c r="BG130" s="57"/>
      <c r="BH130" s="57"/>
      <c r="BI130" s="57"/>
      <c r="BJ130" s="57"/>
      <c r="BK130" s="57"/>
      <c r="BL130" s="57"/>
      <c r="BM130" s="57"/>
      <c r="BN130" s="57"/>
      <c r="BO130" s="57"/>
      <c r="BP130" s="57"/>
      <c r="BQ130" s="57"/>
      <c r="BR130" s="57"/>
      <c r="BS130" s="57"/>
      <c r="BT130" s="57"/>
      <c r="BU130" s="57"/>
      <c r="BV130" s="57"/>
      <c r="BW130" s="57"/>
      <c r="BX130" s="57"/>
      <c r="BY130" s="57"/>
      <c r="BZ130" s="57"/>
      <c r="CA130" s="57"/>
      <c r="CB130" s="57"/>
      <c r="CC130" s="57"/>
      <c r="CD130" s="57"/>
      <c r="CE130" s="57"/>
      <c r="CF130" s="57"/>
      <c r="CG130" s="57"/>
      <c r="CH130" s="57"/>
      <c r="CI130" s="57"/>
      <c r="CJ130" s="57"/>
      <c r="CK130" s="57"/>
      <c r="CL130" s="57"/>
      <c r="CM130" s="57"/>
      <c r="CN130" s="57"/>
      <c r="CO130" s="57"/>
      <c r="CP130" s="57"/>
      <c r="CQ130" s="57"/>
      <c r="CR130" s="57"/>
      <c r="CS130" s="57"/>
      <c r="CT130" s="57"/>
      <c r="CU130" s="57"/>
      <c r="CV130" s="57"/>
      <c r="CW130" s="57"/>
      <c r="CX130" s="57"/>
      <c r="CY130" s="57"/>
      <c r="CZ130" s="57"/>
      <c r="DA130" s="57">
        <f t="shared" si="47"/>
        <v>1</v>
      </c>
      <c r="DB130" s="57">
        <f t="shared" si="48"/>
        <v>1</v>
      </c>
      <c r="DC130" s="57">
        <v>0.9</v>
      </c>
      <c r="DD130" s="57">
        <f>IF(DE130&gt;=$F$11,1,0)</f>
        <v>1</v>
      </c>
      <c r="DE130" s="57">
        <v>120</v>
      </c>
      <c r="DF130" s="61" t="s">
        <v>213</v>
      </c>
      <c r="DG130" s="57"/>
      <c r="DH130" s="57"/>
      <c r="DI130" s="57"/>
      <c r="DJ130" s="57"/>
      <c r="DK130" s="57"/>
      <c r="DL130" s="57"/>
      <c r="DM130" s="57"/>
      <c r="DN130" s="57"/>
      <c r="DO130" s="57"/>
      <c r="DP130" s="57"/>
      <c r="DQ130" s="57"/>
      <c r="DR130" s="57"/>
      <c r="DS130" s="57"/>
      <c r="DT130" s="57"/>
      <c r="DU130" s="57"/>
      <c r="DV130" s="57"/>
      <c r="DW130" s="57"/>
      <c r="DX130" s="57"/>
      <c r="DY130" s="57"/>
      <c r="DZ130" s="57"/>
      <c r="EA130" s="57"/>
      <c r="EB130" s="57"/>
      <c r="EC130" s="57"/>
      <c r="ED130" s="57"/>
      <c r="EE130" s="57"/>
      <c r="EF130" s="57"/>
      <c r="EG130" s="57"/>
      <c r="EH130" s="57"/>
      <c r="EI130" s="57"/>
      <c r="EJ130" s="57"/>
      <c r="EK130" s="57"/>
      <c r="EL130" s="57"/>
      <c r="EM130" s="57"/>
      <c r="EN130" s="57"/>
      <c r="EO130" s="57"/>
      <c r="EP130" s="57"/>
      <c r="EQ130" s="57"/>
      <c r="ER130" s="57"/>
      <c r="ES130" s="57"/>
      <c r="ET130" s="57"/>
      <c r="EU130" s="57"/>
      <c r="EV130" s="57"/>
      <c r="EW130" s="57"/>
      <c r="EX130" s="57"/>
      <c r="EY130" s="57"/>
      <c r="EZ130" s="57"/>
      <c r="FA130" s="57"/>
      <c r="FB130" s="57"/>
      <c r="FC130" s="57"/>
      <c r="FD130" s="57"/>
      <c r="FE130" s="57"/>
      <c r="FF130" s="57"/>
      <c r="FG130" s="57"/>
      <c r="FH130" s="57"/>
      <c r="FI130" s="57"/>
      <c r="FJ130" s="57"/>
      <c r="FK130" s="57"/>
      <c r="FL130" s="57"/>
      <c r="FM130" s="57"/>
      <c r="FN130" s="57"/>
      <c r="FO130" s="57"/>
      <c r="FP130" s="57"/>
      <c r="FQ130" s="61"/>
    </row>
    <row r="131" spans="52:173" x14ac:dyDescent="0.25">
      <c r="AZ131" s="54"/>
      <c r="BA131" s="57"/>
      <c r="BB131" s="57"/>
      <c r="BC131" s="57"/>
      <c r="BD131" s="57"/>
      <c r="BE131" s="57"/>
      <c r="BF131" s="57"/>
      <c r="BG131" s="57"/>
      <c r="BH131" s="57"/>
      <c r="BI131" s="57"/>
      <c r="BJ131" s="57"/>
      <c r="BK131" s="57"/>
      <c r="BL131" s="57"/>
      <c r="BM131" s="57"/>
      <c r="BN131" s="57"/>
      <c r="BO131" s="57"/>
      <c r="BP131" s="57"/>
      <c r="BQ131" s="57"/>
      <c r="BR131" s="57"/>
      <c r="BS131" s="57"/>
      <c r="BT131" s="57"/>
      <c r="BU131" s="57"/>
      <c r="BV131" s="57"/>
      <c r="BW131" s="57"/>
      <c r="BX131" s="57"/>
      <c r="BY131" s="57"/>
      <c r="BZ131" s="57"/>
      <c r="CA131" s="57"/>
      <c r="CB131" s="57"/>
      <c r="CC131" s="57"/>
      <c r="CD131" s="57"/>
      <c r="CE131" s="57"/>
      <c r="CF131" s="57"/>
      <c r="CG131" s="57"/>
      <c r="CH131" s="57"/>
      <c r="CI131" s="57"/>
      <c r="CJ131" s="57"/>
      <c r="CK131" s="57"/>
      <c r="CL131" s="57"/>
      <c r="CM131" s="57"/>
      <c r="CN131" s="57"/>
      <c r="CO131" s="57"/>
      <c r="CP131" s="57"/>
      <c r="CQ131" s="57"/>
      <c r="CR131" s="57"/>
      <c r="CS131" s="57"/>
      <c r="CT131" s="57"/>
      <c r="CU131" s="57"/>
      <c r="CV131" s="57"/>
      <c r="CW131" s="57"/>
      <c r="CX131" s="57"/>
      <c r="CY131" s="57"/>
      <c r="CZ131" s="57"/>
      <c r="DA131" s="57">
        <f t="shared" si="47"/>
        <v>1</v>
      </c>
      <c r="DB131" s="57">
        <f t="shared" si="48"/>
        <v>1</v>
      </c>
      <c r="DC131" s="57">
        <v>0.95</v>
      </c>
      <c r="DD131" s="57">
        <f>IF(DE131&gt;$F$11,1,0)</f>
        <v>1</v>
      </c>
      <c r="DE131" s="57">
        <v>44</v>
      </c>
      <c r="DF131" s="61" t="s">
        <v>210</v>
      </c>
      <c r="DG131" s="57"/>
      <c r="DH131" s="57"/>
      <c r="DI131" s="57"/>
      <c r="DJ131" s="57"/>
      <c r="DK131" s="57"/>
      <c r="DL131" s="57"/>
      <c r="DM131" s="57"/>
      <c r="DN131" s="57"/>
      <c r="DO131" s="57"/>
      <c r="DP131" s="57"/>
      <c r="DQ131" s="57"/>
      <c r="DR131" s="57"/>
      <c r="DS131" s="57"/>
      <c r="DT131" s="57"/>
      <c r="DU131" s="57"/>
      <c r="DV131" s="57"/>
      <c r="DW131" s="57"/>
      <c r="DX131" s="57"/>
      <c r="DY131" s="57"/>
      <c r="DZ131" s="57"/>
      <c r="EA131" s="57"/>
      <c r="EB131" s="57"/>
      <c r="EC131" s="57"/>
      <c r="ED131" s="57"/>
      <c r="EE131" s="57"/>
      <c r="EF131" s="57"/>
      <c r="EG131" s="57"/>
      <c r="EH131" s="57"/>
      <c r="EI131" s="57"/>
      <c r="EJ131" s="57"/>
      <c r="EK131" s="57"/>
      <c r="EL131" s="57"/>
      <c r="EM131" s="57"/>
      <c r="EN131" s="57"/>
      <c r="EO131" s="57"/>
      <c r="EP131" s="57"/>
      <c r="EQ131" s="57"/>
      <c r="ER131" s="57"/>
      <c r="ES131" s="57"/>
      <c r="ET131" s="57"/>
      <c r="EU131" s="57"/>
      <c r="EV131" s="57"/>
      <c r="EW131" s="57"/>
      <c r="EX131" s="57"/>
      <c r="EY131" s="57"/>
      <c r="EZ131" s="57"/>
      <c r="FA131" s="57"/>
      <c r="FB131" s="57"/>
      <c r="FC131" s="57"/>
      <c r="FD131" s="57"/>
      <c r="FE131" s="57"/>
      <c r="FF131" s="57"/>
      <c r="FG131" s="57"/>
      <c r="FH131" s="57"/>
      <c r="FI131" s="57"/>
      <c r="FJ131" s="57"/>
      <c r="FK131" s="57"/>
      <c r="FL131" s="57"/>
      <c r="FM131" s="57"/>
      <c r="FN131" s="57"/>
      <c r="FO131" s="57"/>
      <c r="FP131" s="57"/>
      <c r="FQ131" s="61"/>
    </row>
    <row r="132" spans="52:173" x14ac:dyDescent="0.25">
      <c r="AZ132" s="54"/>
      <c r="BA132" s="57"/>
      <c r="BB132" s="57"/>
      <c r="BC132" s="57"/>
      <c r="BD132" s="57"/>
      <c r="BE132" s="57"/>
      <c r="BF132" s="57"/>
      <c r="BG132" s="57"/>
      <c r="BH132" s="57"/>
      <c r="BI132" s="57"/>
      <c r="BJ132" s="57"/>
      <c r="BK132" s="57"/>
      <c r="BL132" s="57"/>
      <c r="BM132" s="57"/>
      <c r="BN132" s="57"/>
      <c r="BO132" s="57"/>
      <c r="BP132" s="57"/>
      <c r="BQ132" s="57"/>
      <c r="BR132" s="57"/>
      <c r="BS132" s="57"/>
      <c r="BT132" s="57"/>
      <c r="BU132" s="57"/>
      <c r="BV132" s="57"/>
      <c r="BW132" s="57"/>
      <c r="BX132" s="57"/>
      <c r="BY132" s="57"/>
      <c r="BZ132" s="57"/>
      <c r="CA132" s="57"/>
      <c r="CB132" s="57"/>
      <c r="CC132" s="57"/>
      <c r="CD132" s="57"/>
      <c r="CE132" s="57"/>
      <c r="CF132" s="57"/>
      <c r="CG132" s="57"/>
      <c r="CH132" s="57"/>
      <c r="CI132" s="57"/>
      <c r="CJ132" s="57"/>
      <c r="CK132" s="57"/>
      <c r="CL132" s="57"/>
      <c r="CM132" s="57"/>
      <c r="CN132" s="57"/>
      <c r="CO132" s="57"/>
      <c r="CP132" s="57"/>
      <c r="CQ132" s="57"/>
      <c r="CR132" s="57"/>
      <c r="CS132" s="57"/>
      <c r="CT132" s="57"/>
      <c r="CU132" s="57"/>
      <c r="CV132" s="57"/>
      <c r="CW132" s="57"/>
      <c r="CX132" s="57"/>
      <c r="CY132" s="57"/>
      <c r="CZ132" s="57"/>
      <c r="DA132" s="57">
        <f t="shared" si="47"/>
        <v>1</v>
      </c>
      <c r="DB132" s="57">
        <f t="shared" si="48"/>
        <v>1</v>
      </c>
      <c r="DC132" s="57">
        <v>0.95</v>
      </c>
      <c r="DD132" s="57">
        <f>IF(DE132&gt;$F$11,1,0)</f>
        <v>1</v>
      </c>
      <c r="DE132" s="57">
        <v>106</v>
      </c>
      <c r="DF132" s="61" t="s">
        <v>212</v>
      </c>
      <c r="DG132" s="57"/>
      <c r="DH132" s="57"/>
      <c r="DI132" s="57"/>
      <c r="DJ132" s="57"/>
      <c r="DK132" s="57"/>
      <c r="DL132" s="57"/>
      <c r="DM132" s="57"/>
      <c r="DN132" s="57"/>
      <c r="DO132" s="57"/>
      <c r="DP132" s="57"/>
      <c r="DQ132" s="57"/>
      <c r="DR132" s="57"/>
      <c r="DS132" s="57"/>
      <c r="DT132" s="57"/>
      <c r="DU132" s="57"/>
      <c r="DV132" s="57"/>
      <c r="DW132" s="57"/>
      <c r="DX132" s="57"/>
      <c r="DY132" s="57"/>
      <c r="DZ132" s="57"/>
      <c r="EA132" s="57"/>
      <c r="EB132" s="57"/>
      <c r="EC132" s="57"/>
      <c r="ED132" s="57"/>
      <c r="EE132" s="57"/>
      <c r="EF132" s="57"/>
      <c r="EG132" s="57"/>
      <c r="EH132" s="57"/>
      <c r="EI132" s="57"/>
      <c r="EJ132" s="57"/>
      <c r="EK132" s="57"/>
      <c r="EL132" s="57"/>
      <c r="EM132" s="57"/>
      <c r="EN132" s="57"/>
      <c r="EO132" s="57"/>
      <c r="EP132" s="57"/>
      <c r="EQ132" s="57"/>
      <c r="ER132" s="57"/>
      <c r="ES132" s="57"/>
      <c r="ET132" s="57"/>
      <c r="EU132" s="57"/>
      <c r="EV132" s="57"/>
      <c r="EW132" s="57"/>
      <c r="EX132" s="57"/>
      <c r="EY132" s="57"/>
      <c r="EZ132" s="57"/>
      <c r="FA132" s="57"/>
      <c r="FB132" s="57"/>
      <c r="FC132" s="57"/>
      <c r="FD132" s="57"/>
      <c r="FE132" s="57"/>
      <c r="FF132" s="57"/>
      <c r="FG132" s="57"/>
      <c r="FH132" s="57"/>
      <c r="FI132" s="57"/>
      <c r="FJ132" s="57"/>
      <c r="FK132" s="57"/>
      <c r="FL132" s="57"/>
      <c r="FM132" s="57"/>
      <c r="FN132" s="57"/>
      <c r="FO132" s="57"/>
      <c r="FP132" s="57"/>
      <c r="FQ132" s="61"/>
    </row>
    <row r="133" spans="52:173" x14ac:dyDescent="0.25">
      <c r="AZ133" s="54"/>
      <c r="BA133" s="57"/>
      <c r="BB133" s="57"/>
      <c r="BC133" s="57"/>
      <c r="BD133" s="57"/>
      <c r="BE133" s="57"/>
      <c r="BF133" s="57"/>
      <c r="BG133" s="57"/>
      <c r="BH133" s="57"/>
      <c r="BI133" s="57"/>
      <c r="BJ133" s="57"/>
      <c r="BK133" s="57"/>
      <c r="BL133" s="57"/>
      <c r="BM133" s="57"/>
      <c r="BN133" s="57"/>
      <c r="BO133" s="57"/>
      <c r="BP133" s="57"/>
      <c r="BQ133" s="57"/>
      <c r="BR133" s="57"/>
      <c r="BS133" s="57"/>
      <c r="BT133" s="57"/>
      <c r="BU133" s="57"/>
      <c r="BV133" s="57"/>
      <c r="BW133" s="57"/>
      <c r="BX133" s="57"/>
      <c r="BY133" s="57"/>
      <c r="BZ133" s="57"/>
      <c r="CA133" s="57"/>
      <c r="CB133" s="57"/>
      <c r="CC133" s="57"/>
      <c r="CD133" s="57"/>
      <c r="CE133" s="57"/>
      <c r="CF133" s="57"/>
      <c r="CG133" s="57"/>
      <c r="CH133" s="57"/>
      <c r="CI133" s="57"/>
      <c r="CJ133" s="57"/>
      <c r="CK133" s="57"/>
      <c r="CL133" s="57"/>
      <c r="CM133" s="57"/>
      <c r="CN133" s="57"/>
      <c r="CO133" s="57"/>
      <c r="CP133" s="57"/>
      <c r="CQ133" s="57"/>
      <c r="CR133" s="57"/>
      <c r="CS133" s="57"/>
      <c r="CT133" s="57"/>
      <c r="CU133" s="57"/>
      <c r="CV133" s="57"/>
      <c r="CW133" s="57"/>
      <c r="CX133" s="57"/>
      <c r="CY133" s="57"/>
      <c r="CZ133" s="57"/>
      <c r="DA133" s="57">
        <f t="shared" si="47"/>
        <v>1</v>
      </c>
      <c r="DB133" s="57">
        <f t="shared" si="48"/>
        <v>1</v>
      </c>
      <c r="DC133" s="57">
        <v>0.95</v>
      </c>
      <c r="DD133" s="57">
        <f>IF(DE133&gt;=$F$11,1,0)</f>
        <v>1</v>
      </c>
      <c r="DE133" s="57">
        <v>120</v>
      </c>
      <c r="DF133" s="61" t="s">
        <v>213</v>
      </c>
      <c r="DG133" s="57"/>
      <c r="DH133" s="57"/>
      <c r="DI133" s="57"/>
      <c r="DJ133" s="57"/>
      <c r="DK133" s="57"/>
      <c r="DL133" s="57"/>
      <c r="DM133" s="57"/>
      <c r="DN133" s="57"/>
      <c r="DO133" s="57"/>
      <c r="DP133" s="57"/>
      <c r="DQ133" s="57"/>
      <c r="DR133" s="57"/>
      <c r="DS133" s="57"/>
      <c r="DT133" s="57"/>
      <c r="DU133" s="57"/>
      <c r="DV133" s="57"/>
      <c r="DW133" s="57"/>
      <c r="DX133" s="57"/>
      <c r="DY133" s="57"/>
      <c r="DZ133" s="57"/>
      <c r="EA133" s="57"/>
      <c r="EB133" s="57"/>
      <c r="EC133" s="57"/>
      <c r="ED133" s="57"/>
      <c r="EE133" s="57"/>
      <c r="EF133" s="57"/>
      <c r="EG133" s="57"/>
      <c r="EH133" s="57"/>
      <c r="EI133" s="57"/>
      <c r="EJ133" s="57"/>
      <c r="EK133" s="57"/>
      <c r="EL133" s="57"/>
      <c r="EM133" s="57"/>
      <c r="EN133" s="57"/>
      <c r="EO133" s="57"/>
      <c r="EP133" s="57"/>
      <c r="EQ133" s="57"/>
      <c r="ER133" s="57"/>
      <c r="ES133" s="57"/>
      <c r="ET133" s="57"/>
      <c r="EU133" s="57"/>
      <c r="EV133" s="57"/>
      <c r="EW133" s="57"/>
      <c r="EX133" s="57"/>
      <c r="EY133" s="57"/>
      <c r="EZ133" s="57"/>
      <c r="FA133" s="57"/>
      <c r="FB133" s="57"/>
      <c r="FC133" s="57"/>
      <c r="FD133" s="57"/>
      <c r="FE133" s="57"/>
      <c r="FF133" s="57"/>
      <c r="FG133" s="57"/>
      <c r="FH133" s="57"/>
      <c r="FI133" s="57"/>
      <c r="FJ133" s="57"/>
      <c r="FK133" s="57"/>
      <c r="FL133" s="57"/>
      <c r="FM133" s="57"/>
      <c r="FN133" s="57"/>
      <c r="FO133" s="57"/>
      <c r="FP133" s="57"/>
      <c r="FQ133" s="61"/>
    </row>
    <row r="134" spans="52:173" x14ac:dyDescent="0.25">
      <c r="AZ134" s="54"/>
      <c r="BA134" s="57"/>
      <c r="BB134" s="57"/>
      <c r="BC134" s="57"/>
      <c r="BD134" s="57"/>
      <c r="BE134" s="57"/>
      <c r="BF134" s="57"/>
      <c r="BG134" s="57"/>
      <c r="BH134" s="57"/>
      <c r="BI134" s="57"/>
      <c r="BJ134" s="57"/>
      <c r="BK134" s="57"/>
      <c r="BL134" s="57"/>
      <c r="BM134" s="57"/>
      <c r="BN134" s="57"/>
      <c r="BO134" s="57"/>
      <c r="BP134" s="57"/>
      <c r="BQ134" s="57"/>
      <c r="BR134" s="57"/>
      <c r="BS134" s="57"/>
      <c r="BT134" s="57"/>
      <c r="BU134" s="57"/>
      <c r="BV134" s="57"/>
      <c r="BW134" s="57"/>
      <c r="BX134" s="57"/>
      <c r="BY134" s="57"/>
      <c r="BZ134" s="57"/>
      <c r="CA134" s="57"/>
      <c r="CB134" s="57"/>
      <c r="CC134" s="57"/>
      <c r="CD134" s="57"/>
      <c r="CE134" s="57"/>
      <c r="CF134" s="57"/>
      <c r="CG134" s="57"/>
      <c r="CH134" s="57"/>
      <c r="CI134" s="57"/>
      <c r="CJ134" s="57"/>
      <c r="CK134" s="57"/>
      <c r="CL134" s="57"/>
      <c r="CM134" s="57"/>
      <c r="CN134" s="57"/>
      <c r="CO134" s="57"/>
      <c r="CP134" s="57"/>
      <c r="CQ134" s="57"/>
      <c r="CR134" s="57"/>
      <c r="CS134" s="57"/>
      <c r="CT134" s="57"/>
      <c r="CU134" s="57"/>
      <c r="CV134" s="57"/>
      <c r="CW134" s="57"/>
      <c r="CX134" s="57"/>
      <c r="CY134" s="57"/>
      <c r="CZ134" s="57"/>
      <c r="DA134" s="57">
        <f t="shared" si="47"/>
        <v>1</v>
      </c>
      <c r="DB134" s="57">
        <f>IF(DC134&gt;=$B$4,1,0)</f>
        <v>1</v>
      </c>
      <c r="DC134" s="57">
        <v>1</v>
      </c>
      <c r="DD134" s="57">
        <f>IF(DE134&gt;$F$11,1,0)</f>
        <v>1</v>
      </c>
      <c r="DE134" s="57">
        <v>41</v>
      </c>
      <c r="DF134" s="61" t="s">
        <v>210</v>
      </c>
      <c r="DG134" s="57"/>
      <c r="DH134" s="57"/>
      <c r="DI134" s="57"/>
      <c r="DJ134" s="57"/>
      <c r="DK134" s="57"/>
      <c r="DL134" s="57"/>
      <c r="DM134" s="57"/>
      <c r="DN134" s="57"/>
      <c r="DO134" s="57"/>
      <c r="DP134" s="57"/>
      <c r="DQ134" s="57"/>
      <c r="DR134" s="57"/>
      <c r="DS134" s="57"/>
      <c r="DT134" s="57"/>
      <c r="DU134" s="57"/>
      <c r="DV134" s="57"/>
      <c r="DW134" s="57"/>
      <c r="DX134" s="57"/>
      <c r="DY134" s="57"/>
      <c r="DZ134" s="57"/>
      <c r="EA134" s="57"/>
      <c r="EB134" s="57"/>
      <c r="EC134" s="57"/>
      <c r="ED134" s="57"/>
      <c r="EE134" s="57"/>
      <c r="EF134" s="57"/>
      <c r="EG134" s="57"/>
      <c r="EH134" s="57"/>
      <c r="EI134" s="57"/>
      <c r="EJ134" s="57"/>
      <c r="EK134" s="57"/>
      <c r="EL134" s="57"/>
      <c r="EM134" s="57"/>
      <c r="EN134" s="57"/>
      <c r="EO134" s="57"/>
      <c r="EP134" s="57"/>
      <c r="EQ134" s="57"/>
      <c r="ER134" s="57"/>
      <c r="ES134" s="57"/>
      <c r="ET134" s="57"/>
      <c r="EU134" s="57"/>
      <c r="EV134" s="57"/>
      <c r="EW134" s="57"/>
      <c r="EX134" s="57"/>
      <c r="EY134" s="57"/>
      <c r="EZ134" s="57"/>
      <c r="FA134" s="57"/>
      <c r="FB134" s="57"/>
      <c r="FC134" s="57"/>
      <c r="FD134" s="57"/>
      <c r="FE134" s="57"/>
      <c r="FF134" s="57"/>
      <c r="FG134" s="57"/>
      <c r="FH134" s="57"/>
      <c r="FI134" s="57"/>
      <c r="FJ134" s="57"/>
      <c r="FK134" s="57"/>
      <c r="FL134" s="57"/>
      <c r="FM134" s="57"/>
      <c r="FN134" s="57"/>
      <c r="FO134" s="57"/>
      <c r="FP134" s="57"/>
      <c r="FQ134" s="61"/>
    </row>
    <row r="135" spans="52:173" x14ac:dyDescent="0.25">
      <c r="AZ135" s="54"/>
      <c r="BA135" s="57"/>
      <c r="BB135" s="57"/>
      <c r="BC135" s="57"/>
      <c r="BD135" s="57"/>
      <c r="BE135" s="57"/>
      <c r="BF135" s="57"/>
      <c r="BG135" s="57"/>
      <c r="BH135" s="57"/>
      <c r="BI135" s="57"/>
      <c r="BJ135" s="57"/>
      <c r="BK135" s="57"/>
      <c r="BL135" s="57"/>
      <c r="BM135" s="57"/>
      <c r="BN135" s="57"/>
      <c r="BO135" s="57"/>
      <c r="BP135" s="57"/>
      <c r="BQ135" s="57"/>
      <c r="BR135" s="57"/>
      <c r="BS135" s="57"/>
      <c r="BT135" s="57"/>
      <c r="BU135" s="57"/>
      <c r="BV135" s="57"/>
      <c r="BW135" s="57"/>
      <c r="BX135" s="57"/>
      <c r="BY135" s="57"/>
      <c r="BZ135" s="57"/>
      <c r="CA135" s="57"/>
      <c r="CB135" s="57"/>
      <c r="CC135" s="57"/>
      <c r="CD135" s="57"/>
      <c r="CE135" s="57"/>
      <c r="CF135" s="57"/>
      <c r="CG135" s="57"/>
      <c r="CH135" s="57"/>
      <c r="CI135" s="57"/>
      <c r="CJ135" s="57"/>
      <c r="CK135" s="57"/>
      <c r="CL135" s="57"/>
      <c r="CM135" s="57"/>
      <c r="CN135" s="57"/>
      <c r="CO135" s="57"/>
      <c r="CP135" s="57"/>
      <c r="CQ135" s="57"/>
      <c r="CR135" s="57"/>
      <c r="CS135" s="57"/>
      <c r="CT135" s="57"/>
      <c r="CU135" s="57"/>
      <c r="CV135" s="57"/>
      <c r="CW135" s="57"/>
      <c r="CX135" s="57"/>
      <c r="CY135" s="57"/>
      <c r="CZ135" s="57"/>
      <c r="DA135" s="57">
        <f t="shared" si="47"/>
        <v>1</v>
      </c>
      <c r="DB135" s="57">
        <f>IF(DC135&gt;=$B$4,1,0)</f>
        <v>1</v>
      </c>
      <c r="DC135" s="57">
        <v>1</v>
      </c>
      <c r="DD135" s="57">
        <f>IF(DE135&gt;$F$11,1,0)</f>
        <v>1</v>
      </c>
      <c r="DE135" s="57">
        <v>101</v>
      </c>
      <c r="DF135" s="61" t="s">
        <v>212</v>
      </c>
      <c r="DG135" s="57"/>
      <c r="DH135" s="57"/>
      <c r="DI135" s="57"/>
      <c r="DJ135" s="57"/>
      <c r="DK135" s="57"/>
      <c r="DL135" s="57"/>
      <c r="DM135" s="57"/>
      <c r="DN135" s="57"/>
      <c r="DO135" s="57"/>
      <c r="DP135" s="57"/>
      <c r="DQ135" s="57"/>
      <c r="DR135" s="57"/>
      <c r="DS135" s="57"/>
      <c r="DT135" s="57"/>
      <c r="DU135" s="57"/>
      <c r="DV135" s="57"/>
      <c r="DW135" s="57"/>
      <c r="DX135" s="57"/>
      <c r="DY135" s="57"/>
      <c r="DZ135" s="57"/>
      <c r="EA135" s="57"/>
      <c r="EB135" s="57"/>
      <c r="EC135" s="57"/>
      <c r="ED135" s="57"/>
      <c r="EE135" s="57"/>
      <c r="EF135" s="57"/>
      <c r="EG135" s="57"/>
      <c r="EH135" s="57"/>
      <c r="EI135" s="57"/>
      <c r="EJ135" s="57"/>
      <c r="EK135" s="57"/>
      <c r="EL135" s="57"/>
      <c r="EM135" s="57"/>
      <c r="EN135" s="57"/>
      <c r="EO135" s="57"/>
      <c r="EP135" s="57"/>
      <c r="EQ135" s="57"/>
      <c r="ER135" s="57"/>
      <c r="ES135" s="57"/>
      <c r="ET135" s="57"/>
      <c r="EU135" s="57"/>
      <c r="EV135" s="57"/>
      <c r="EW135" s="57"/>
      <c r="EX135" s="57"/>
      <c r="EY135" s="57"/>
      <c r="EZ135" s="57"/>
      <c r="FA135" s="57"/>
      <c r="FB135" s="57"/>
      <c r="FC135" s="57"/>
      <c r="FD135" s="57"/>
      <c r="FE135" s="57"/>
      <c r="FF135" s="57"/>
      <c r="FG135" s="57"/>
      <c r="FH135" s="57"/>
      <c r="FI135" s="57"/>
      <c r="FJ135" s="57"/>
      <c r="FK135" s="57"/>
      <c r="FL135" s="57"/>
      <c r="FM135" s="57"/>
      <c r="FN135" s="57"/>
      <c r="FO135" s="57"/>
      <c r="FP135" s="57"/>
      <c r="FQ135" s="61"/>
    </row>
    <row r="136" spans="52:173" x14ac:dyDescent="0.25">
      <c r="AZ136" s="54"/>
      <c r="BA136" s="57"/>
      <c r="BB136" s="57"/>
      <c r="BC136" s="57"/>
      <c r="BD136" s="57"/>
      <c r="BE136" s="57"/>
      <c r="BF136" s="57"/>
      <c r="BG136" s="57"/>
      <c r="BH136" s="57"/>
      <c r="BI136" s="57"/>
      <c r="BJ136" s="57"/>
      <c r="BK136" s="57"/>
      <c r="BL136" s="57"/>
      <c r="BM136" s="57"/>
      <c r="BN136" s="57"/>
      <c r="BO136" s="57"/>
      <c r="BP136" s="57"/>
      <c r="BQ136" s="57"/>
      <c r="BR136" s="57"/>
      <c r="BS136" s="57"/>
      <c r="BT136" s="57"/>
      <c r="BU136" s="57"/>
      <c r="BV136" s="57"/>
      <c r="BW136" s="57"/>
      <c r="BX136" s="57"/>
      <c r="BY136" s="57"/>
      <c r="BZ136" s="57"/>
      <c r="CA136" s="57"/>
      <c r="CB136" s="57"/>
      <c r="CC136" s="57"/>
      <c r="CD136" s="57"/>
      <c r="CE136" s="57"/>
      <c r="CF136" s="57"/>
      <c r="CG136" s="57"/>
      <c r="CH136" s="57"/>
      <c r="CI136" s="57"/>
      <c r="CJ136" s="57"/>
      <c r="CK136" s="57"/>
      <c r="CL136" s="57"/>
      <c r="CM136" s="57"/>
      <c r="CN136" s="57"/>
      <c r="CO136" s="57"/>
      <c r="CP136" s="57"/>
      <c r="CQ136" s="57"/>
      <c r="CR136" s="57"/>
      <c r="CS136" s="57"/>
      <c r="CT136" s="57"/>
      <c r="CU136" s="57"/>
      <c r="CV136" s="57"/>
      <c r="CW136" s="57"/>
      <c r="CX136" s="57"/>
      <c r="CY136" s="57"/>
      <c r="CZ136" s="57"/>
      <c r="DA136" s="57">
        <f t="shared" si="47"/>
        <v>1</v>
      </c>
      <c r="DB136" s="57">
        <f>IF(DC136&gt;=$B$4,1,0)</f>
        <v>1</v>
      </c>
      <c r="DC136" s="57">
        <v>1</v>
      </c>
      <c r="DD136" s="57">
        <f>IF(DE136&gt;=$F$11,1,0)</f>
        <v>1</v>
      </c>
      <c r="DE136" s="57">
        <v>120</v>
      </c>
      <c r="DF136" s="61" t="s">
        <v>213</v>
      </c>
      <c r="DG136" s="57"/>
      <c r="DH136" s="57"/>
      <c r="DI136" s="57"/>
      <c r="DJ136" s="57"/>
      <c r="DK136" s="57"/>
      <c r="DL136" s="57"/>
      <c r="DM136" s="57"/>
      <c r="DN136" s="57"/>
      <c r="DO136" s="57"/>
      <c r="DP136" s="57"/>
      <c r="DQ136" s="57"/>
      <c r="DR136" s="57"/>
      <c r="DS136" s="57"/>
      <c r="DT136" s="57"/>
      <c r="DU136" s="57"/>
      <c r="DV136" s="57"/>
      <c r="DW136" s="57"/>
      <c r="DX136" s="57"/>
      <c r="DY136" s="57"/>
      <c r="DZ136" s="57"/>
      <c r="EA136" s="57"/>
      <c r="EB136" s="57"/>
      <c r="EC136" s="57"/>
      <c r="ED136" s="57"/>
      <c r="EE136" s="57"/>
      <c r="EF136" s="57"/>
      <c r="EG136" s="57"/>
      <c r="EH136" s="57"/>
      <c r="EI136" s="57"/>
      <c r="EJ136" s="57"/>
      <c r="EK136" s="57"/>
      <c r="EL136" s="57"/>
      <c r="EM136" s="57"/>
      <c r="EN136" s="57"/>
      <c r="EO136" s="57"/>
      <c r="EP136" s="57"/>
      <c r="EQ136" s="57"/>
      <c r="ER136" s="57"/>
      <c r="ES136" s="57"/>
      <c r="ET136" s="57"/>
      <c r="EU136" s="57"/>
      <c r="EV136" s="57"/>
      <c r="EW136" s="57"/>
      <c r="EX136" s="57"/>
      <c r="EY136" s="57"/>
      <c r="EZ136" s="57"/>
      <c r="FA136" s="57"/>
      <c r="FB136" s="57"/>
      <c r="FC136" s="57"/>
      <c r="FD136" s="57"/>
      <c r="FE136" s="57"/>
      <c r="FF136" s="57"/>
      <c r="FG136" s="57"/>
      <c r="FH136" s="57"/>
      <c r="FI136" s="57"/>
      <c r="FJ136" s="57"/>
      <c r="FK136" s="57"/>
      <c r="FL136" s="57"/>
      <c r="FM136" s="57"/>
      <c r="FN136" s="57"/>
      <c r="FO136" s="57"/>
      <c r="FP136" s="57"/>
      <c r="FQ136" s="61"/>
    </row>
    <row r="137" spans="52:173" x14ac:dyDescent="0.25">
      <c r="AZ137" s="54"/>
      <c r="BA137" s="57"/>
      <c r="BB137" s="57"/>
      <c r="BC137" s="57"/>
      <c r="BD137" s="57"/>
      <c r="BE137" s="57"/>
      <c r="BF137" s="57"/>
      <c r="BG137" s="57"/>
      <c r="BH137" s="57"/>
      <c r="BI137" s="57"/>
      <c r="BJ137" s="57"/>
      <c r="BK137" s="57"/>
      <c r="BL137" s="57"/>
      <c r="BM137" s="57"/>
      <c r="BN137" s="57"/>
      <c r="BO137" s="57"/>
      <c r="BP137" s="57"/>
      <c r="BQ137" s="57"/>
      <c r="BR137" s="57"/>
      <c r="BS137" s="57"/>
      <c r="BT137" s="57"/>
      <c r="BU137" s="57"/>
      <c r="BV137" s="57"/>
      <c r="BW137" s="57"/>
      <c r="BX137" s="57"/>
      <c r="BY137" s="57"/>
      <c r="BZ137" s="57"/>
      <c r="CA137" s="57"/>
      <c r="CB137" s="57"/>
      <c r="CC137" s="57"/>
      <c r="CD137" s="57"/>
      <c r="CE137" s="57"/>
      <c r="CF137" s="57"/>
      <c r="CG137" s="57"/>
      <c r="CH137" s="57"/>
      <c r="CI137" s="57"/>
      <c r="CJ137" s="57"/>
      <c r="CK137" s="57"/>
      <c r="CL137" s="57"/>
      <c r="CM137" s="57"/>
      <c r="CN137" s="57"/>
      <c r="CO137" s="57"/>
      <c r="CP137" s="57"/>
      <c r="CQ137" s="57"/>
      <c r="CR137" s="57"/>
      <c r="CS137" s="57"/>
      <c r="CT137" s="57"/>
      <c r="CU137" s="57"/>
      <c r="CV137" s="57"/>
      <c r="CW137" s="57"/>
      <c r="CX137" s="57"/>
      <c r="CY137" s="57"/>
      <c r="CZ137" s="57"/>
      <c r="DA137" s="57"/>
      <c r="DB137" s="57"/>
      <c r="DC137" s="57"/>
      <c r="DD137" s="57"/>
      <c r="DE137" s="57"/>
      <c r="DF137" s="57"/>
      <c r="DG137" s="57"/>
      <c r="DH137" s="57"/>
      <c r="DI137" s="57"/>
      <c r="DJ137" s="57"/>
      <c r="DK137" s="57"/>
      <c r="DL137" s="57"/>
      <c r="DM137" s="57"/>
      <c r="DN137" s="57"/>
      <c r="DO137" s="57"/>
      <c r="DP137" s="57"/>
      <c r="DQ137" s="57"/>
      <c r="DR137" s="57"/>
      <c r="DS137" s="57"/>
      <c r="DT137" s="57"/>
      <c r="DU137" s="57"/>
      <c r="DV137" s="57"/>
      <c r="DW137" s="57"/>
      <c r="DX137" s="57"/>
      <c r="DY137" s="57"/>
      <c r="DZ137" s="57"/>
      <c r="EA137" s="57"/>
      <c r="EB137" s="57"/>
      <c r="EC137" s="57"/>
      <c r="ED137" s="57"/>
      <c r="EE137" s="57"/>
      <c r="EF137" s="57"/>
      <c r="EG137" s="57"/>
      <c r="EH137" s="57"/>
      <c r="EI137" s="57"/>
      <c r="EJ137" s="57"/>
      <c r="EK137" s="57"/>
      <c r="EL137" s="57"/>
      <c r="EM137" s="57"/>
      <c r="EN137" s="57"/>
      <c r="EO137" s="57"/>
      <c r="EP137" s="57"/>
      <c r="EQ137" s="57"/>
      <c r="ER137" s="57"/>
      <c r="ES137" s="57"/>
      <c r="ET137" s="57"/>
      <c r="EU137" s="57"/>
      <c r="EV137" s="57"/>
      <c r="EW137" s="57"/>
      <c r="EX137" s="57"/>
      <c r="EY137" s="57"/>
      <c r="EZ137" s="57"/>
      <c r="FA137" s="57"/>
      <c r="FB137" s="57"/>
      <c r="FC137" s="57"/>
      <c r="FD137" s="57"/>
      <c r="FE137" s="57"/>
      <c r="FF137" s="57"/>
      <c r="FG137" s="57"/>
      <c r="FH137" s="57"/>
      <c r="FI137" s="57"/>
      <c r="FJ137" s="57"/>
      <c r="FK137" s="57"/>
      <c r="FL137" s="57"/>
      <c r="FM137" s="57"/>
      <c r="FN137" s="57"/>
      <c r="FO137" s="57"/>
      <c r="FP137" s="57"/>
      <c r="FQ137" s="61"/>
    </row>
    <row r="138" spans="52:173" x14ac:dyDescent="0.25">
      <c r="AZ138" s="54"/>
      <c r="BA138" s="57"/>
      <c r="BB138" s="57"/>
      <c r="BC138" s="57"/>
      <c r="BD138" s="57"/>
      <c r="BE138" s="57"/>
      <c r="BF138" s="57"/>
      <c r="BG138" s="57"/>
      <c r="BH138" s="57"/>
      <c r="BI138" s="57"/>
      <c r="BJ138" s="57"/>
      <c r="BK138" s="57"/>
      <c r="BL138" s="57"/>
      <c r="BM138" s="57"/>
      <c r="BN138" s="57"/>
      <c r="BO138" s="57"/>
      <c r="BP138" s="57"/>
      <c r="BQ138" s="57"/>
      <c r="BR138" s="57"/>
      <c r="BS138" s="57"/>
      <c r="BT138" s="57"/>
      <c r="BU138" s="57"/>
      <c r="BV138" s="57"/>
      <c r="BW138" s="57"/>
      <c r="BX138" s="57"/>
      <c r="BY138" s="57"/>
      <c r="BZ138" s="57"/>
      <c r="CA138" s="57"/>
      <c r="CB138" s="57"/>
      <c r="CC138" s="57"/>
      <c r="CD138" s="57"/>
      <c r="CE138" s="57"/>
      <c r="CF138" s="57"/>
      <c r="CG138" s="57"/>
      <c r="CH138" s="57"/>
      <c r="CI138" s="57"/>
      <c r="CJ138" s="57"/>
      <c r="CK138" s="57"/>
      <c r="CL138" s="57"/>
      <c r="CM138" s="57"/>
      <c r="CN138" s="57"/>
      <c r="CO138" s="57"/>
      <c r="CP138" s="57"/>
      <c r="CQ138" s="57"/>
      <c r="CR138" s="57"/>
      <c r="CS138" s="57"/>
      <c r="CT138" s="57"/>
      <c r="CU138" s="57"/>
      <c r="CV138" s="57"/>
      <c r="CW138" s="57"/>
      <c r="CX138" s="57"/>
      <c r="CY138" s="57"/>
      <c r="CZ138" s="57"/>
      <c r="DA138" s="57"/>
      <c r="DB138" s="57"/>
      <c r="DC138" s="57"/>
      <c r="DD138" s="57"/>
      <c r="DE138" s="57"/>
      <c r="DF138" s="57"/>
      <c r="DG138" s="57"/>
      <c r="DH138" s="57"/>
      <c r="DI138" s="57"/>
      <c r="DJ138" s="57"/>
      <c r="DK138" s="57"/>
      <c r="DL138" s="57"/>
      <c r="DM138" s="57"/>
      <c r="DN138" s="57"/>
      <c r="DO138" s="57"/>
      <c r="DP138" s="57"/>
      <c r="DQ138" s="57"/>
      <c r="DR138" s="57"/>
      <c r="DS138" s="57"/>
      <c r="DT138" s="57"/>
      <c r="DU138" s="57"/>
      <c r="DV138" s="57"/>
      <c r="DW138" s="57"/>
      <c r="DX138" s="57"/>
      <c r="DY138" s="57"/>
      <c r="DZ138" s="57"/>
      <c r="EA138" s="57"/>
      <c r="EB138" s="57"/>
      <c r="EC138" s="57"/>
      <c r="ED138" s="57"/>
      <c r="EE138" s="57"/>
      <c r="EF138" s="57"/>
      <c r="EG138" s="57"/>
      <c r="EH138" s="57"/>
      <c r="EI138" s="57"/>
      <c r="EJ138" s="57"/>
      <c r="EK138" s="57"/>
      <c r="EL138" s="57"/>
      <c r="EM138" s="57"/>
      <c r="EN138" s="57"/>
      <c r="EO138" s="57"/>
      <c r="EP138" s="57"/>
      <c r="EQ138" s="57"/>
      <c r="ER138" s="57"/>
      <c r="ES138" s="57"/>
      <c r="ET138" s="57"/>
      <c r="EU138" s="57"/>
      <c r="EV138" s="57"/>
      <c r="EW138" s="57"/>
      <c r="EX138" s="57"/>
      <c r="EY138" s="57"/>
      <c r="EZ138" s="57"/>
      <c r="FA138" s="57"/>
      <c r="FB138" s="57"/>
      <c r="FC138" s="57"/>
      <c r="FD138" s="57"/>
      <c r="FE138" s="57"/>
      <c r="FF138" s="57"/>
      <c r="FG138" s="57"/>
      <c r="FH138" s="57"/>
      <c r="FI138" s="57"/>
      <c r="FJ138" s="57"/>
      <c r="FK138" s="57"/>
      <c r="FL138" s="57"/>
      <c r="FM138" s="57"/>
      <c r="FN138" s="57"/>
      <c r="FO138" s="57"/>
      <c r="FP138" s="57"/>
      <c r="FQ138" s="61"/>
    </row>
    <row r="139" spans="52:173" x14ac:dyDescent="0.25">
      <c r="AZ139" s="54"/>
      <c r="BA139" s="57"/>
      <c r="BB139" s="57"/>
      <c r="BC139" s="57"/>
      <c r="BD139" s="57"/>
      <c r="BE139" s="57"/>
      <c r="BF139" s="57"/>
      <c r="BG139" s="57"/>
      <c r="BH139" s="57"/>
      <c r="BI139" s="57"/>
      <c r="BJ139" s="57"/>
      <c r="BK139" s="57"/>
      <c r="BL139" s="57"/>
      <c r="BM139" s="57"/>
      <c r="BN139" s="57"/>
      <c r="BO139" s="57"/>
      <c r="BP139" s="57"/>
      <c r="BQ139" s="57"/>
      <c r="BR139" s="57"/>
      <c r="BS139" s="57"/>
      <c r="BT139" s="57"/>
      <c r="BU139" s="57"/>
      <c r="BV139" s="57"/>
      <c r="BW139" s="57"/>
      <c r="BX139" s="57"/>
      <c r="BY139" s="57"/>
      <c r="BZ139" s="57"/>
      <c r="CA139" s="57"/>
      <c r="CB139" s="57"/>
      <c r="CC139" s="57"/>
      <c r="CD139" s="57"/>
      <c r="CE139" s="57"/>
      <c r="CF139" s="57"/>
      <c r="CG139" s="57"/>
      <c r="CH139" s="57"/>
      <c r="CI139" s="57"/>
      <c r="CJ139" s="57"/>
      <c r="CK139" s="57"/>
      <c r="CL139" s="57"/>
      <c r="CM139" s="57"/>
      <c r="CN139" s="57"/>
      <c r="CO139" s="57"/>
      <c r="CP139" s="57"/>
      <c r="CQ139" s="57"/>
      <c r="CR139" s="57"/>
      <c r="CS139" s="57"/>
      <c r="CT139" s="57"/>
      <c r="CU139" s="57"/>
      <c r="CV139" s="57"/>
      <c r="CW139" s="57"/>
      <c r="CX139" s="57"/>
      <c r="CY139" s="57"/>
      <c r="CZ139" s="57"/>
      <c r="DA139" s="57"/>
      <c r="DB139" s="57"/>
      <c r="DC139" s="57"/>
      <c r="DD139" s="57"/>
      <c r="DE139" s="57"/>
      <c r="DF139" s="57"/>
      <c r="DG139" s="57"/>
      <c r="DH139" s="57"/>
      <c r="DI139" s="57"/>
      <c r="DJ139" s="57"/>
      <c r="DK139" s="57"/>
      <c r="DL139" s="57"/>
      <c r="DM139" s="57"/>
      <c r="DN139" s="57"/>
      <c r="DO139" s="57"/>
      <c r="DP139" s="57"/>
      <c r="DQ139" s="57"/>
      <c r="DR139" s="57"/>
      <c r="DS139" s="57"/>
      <c r="DT139" s="57"/>
      <c r="DU139" s="57"/>
      <c r="DV139" s="57"/>
      <c r="DW139" s="57"/>
      <c r="DX139" s="57"/>
      <c r="DY139" s="57"/>
      <c r="DZ139" s="57"/>
      <c r="EA139" s="57"/>
      <c r="EB139" s="57"/>
      <c r="EC139" s="57"/>
      <c r="ED139" s="57"/>
      <c r="EE139" s="57"/>
      <c r="EF139" s="57"/>
      <c r="EG139" s="57"/>
      <c r="EH139" s="57"/>
      <c r="EI139" s="57"/>
      <c r="EJ139" s="57"/>
      <c r="EK139" s="57"/>
      <c r="EL139" s="57"/>
      <c r="EM139" s="57"/>
      <c r="EN139" s="57"/>
      <c r="EO139" s="57"/>
      <c r="EP139" s="57"/>
      <c r="EQ139" s="57"/>
      <c r="ER139" s="57"/>
      <c r="ES139" s="57"/>
      <c r="ET139" s="57"/>
      <c r="EU139" s="57"/>
      <c r="EV139" s="57"/>
      <c r="EW139" s="57"/>
      <c r="EX139" s="57"/>
      <c r="EY139" s="57"/>
      <c r="EZ139" s="57"/>
      <c r="FA139" s="57"/>
      <c r="FB139" s="57"/>
      <c r="FC139" s="57"/>
      <c r="FD139" s="57"/>
      <c r="FE139" s="57"/>
      <c r="FF139" s="57"/>
      <c r="FG139" s="57"/>
      <c r="FH139" s="57"/>
      <c r="FI139" s="57"/>
      <c r="FJ139" s="57"/>
      <c r="FK139" s="57"/>
      <c r="FL139" s="57"/>
      <c r="FM139" s="57"/>
      <c r="FN139" s="57"/>
      <c r="FO139" s="57"/>
      <c r="FP139" s="57"/>
      <c r="FQ139" s="61"/>
    </row>
    <row r="140" spans="52:173" x14ac:dyDescent="0.25">
      <c r="AZ140" s="54"/>
      <c r="BA140" s="57"/>
      <c r="BB140" s="57"/>
      <c r="BC140" s="57"/>
      <c r="BD140" s="57"/>
      <c r="BE140" s="57"/>
      <c r="BF140" s="57"/>
      <c r="BG140" s="57"/>
      <c r="BH140" s="57"/>
      <c r="BI140" s="57"/>
      <c r="BJ140" s="57"/>
      <c r="BK140" s="57"/>
      <c r="BL140" s="57"/>
      <c r="BM140" s="57"/>
      <c r="BN140" s="57"/>
      <c r="BO140" s="57"/>
      <c r="BP140" s="57"/>
      <c r="BQ140" s="57"/>
      <c r="BR140" s="57"/>
      <c r="BS140" s="57"/>
      <c r="BT140" s="57"/>
      <c r="BU140" s="57"/>
      <c r="BV140" s="57"/>
      <c r="BW140" s="57"/>
      <c r="BX140" s="57"/>
      <c r="BY140" s="57"/>
      <c r="BZ140" s="57"/>
      <c r="CA140" s="57"/>
      <c r="CB140" s="57"/>
      <c r="CC140" s="57"/>
      <c r="CD140" s="57"/>
      <c r="CE140" s="57"/>
      <c r="CF140" s="57"/>
      <c r="CG140" s="57"/>
      <c r="CH140" s="57"/>
      <c r="CI140" s="57"/>
      <c r="CJ140" s="57"/>
      <c r="CK140" s="57"/>
      <c r="CL140" s="57"/>
      <c r="CM140" s="57"/>
      <c r="CN140" s="57"/>
      <c r="CO140" s="57"/>
      <c r="CP140" s="57"/>
      <c r="CQ140" s="57"/>
      <c r="CR140" s="57"/>
      <c r="CS140" s="57"/>
      <c r="CT140" s="57"/>
      <c r="CU140" s="57"/>
      <c r="CV140" s="57"/>
      <c r="CW140" s="57"/>
      <c r="CX140" s="57"/>
      <c r="CY140" s="57"/>
      <c r="CZ140" s="57"/>
      <c r="DA140" s="57"/>
      <c r="DB140" s="57"/>
      <c r="DC140" s="57"/>
      <c r="DD140" s="57"/>
      <c r="DE140" s="57"/>
      <c r="DF140" s="57"/>
      <c r="DG140" s="57"/>
      <c r="DH140" s="57"/>
      <c r="DI140" s="57"/>
      <c r="DJ140" s="57"/>
      <c r="DK140" s="57"/>
      <c r="DL140" s="57"/>
      <c r="DM140" s="57"/>
      <c r="DN140" s="57"/>
      <c r="DO140" s="57"/>
      <c r="DP140" s="57"/>
      <c r="DQ140" s="57"/>
      <c r="DR140" s="57"/>
      <c r="DS140" s="57"/>
      <c r="DT140" s="57"/>
      <c r="DU140" s="57"/>
      <c r="DV140" s="57"/>
      <c r="DW140" s="57"/>
      <c r="DX140" s="57"/>
      <c r="DY140" s="57"/>
      <c r="DZ140" s="57"/>
      <c r="EA140" s="57"/>
      <c r="EB140" s="57"/>
      <c r="EC140" s="57"/>
      <c r="ED140" s="57"/>
      <c r="EE140" s="57"/>
      <c r="EF140" s="57"/>
      <c r="EG140" s="57"/>
      <c r="EH140" s="57"/>
      <c r="EI140" s="57"/>
      <c r="EJ140" s="57"/>
      <c r="EK140" s="57"/>
      <c r="EL140" s="57"/>
      <c r="EM140" s="57"/>
      <c r="EN140" s="57"/>
      <c r="EO140" s="57"/>
      <c r="EP140" s="57"/>
      <c r="EQ140" s="57"/>
      <c r="ER140" s="57"/>
      <c r="ES140" s="57"/>
      <c r="ET140" s="57"/>
      <c r="EU140" s="57"/>
      <c r="EV140" s="57"/>
      <c r="EW140" s="57"/>
      <c r="EX140" s="57"/>
      <c r="EY140" s="57"/>
      <c r="EZ140" s="57"/>
      <c r="FA140" s="57"/>
      <c r="FB140" s="57"/>
      <c r="FC140" s="57"/>
      <c r="FD140" s="57"/>
      <c r="FE140" s="57"/>
      <c r="FF140" s="57"/>
      <c r="FG140" s="57"/>
      <c r="FH140" s="57"/>
      <c r="FI140" s="57"/>
      <c r="FJ140" s="57"/>
      <c r="FK140" s="57"/>
      <c r="FL140" s="57"/>
      <c r="FM140" s="57"/>
      <c r="FN140" s="57"/>
      <c r="FO140" s="57"/>
      <c r="FP140" s="57"/>
      <c r="FQ140" s="61"/>
    </row>
    <row r="141" spans="52:173" x14ac:dyDescent="0.25">
      <c r="AZ141" s="54"/>
      <c r="BA141" s="57"/>
      <c r="BB141" s="57"/>
      <c r="BC141" s="57"/>
      <c r="BD141" s="57"/>
      <c r="BE141" s="57"/>
      <c r="BF141" s="57"/>
      <c r="BG141" s="57"/>
      <c r="BH141" s="57"/>
      <c r="BI141" s="57"/>
      <c r="BJ141" s="57"/>
      <c r="BK141" s="57"/>
      <c r="BL141" s="57"/>
      <c r="BM141" s="57"/>
      <c r="BN141" s="57"/>
      <c r="BO141" s="57"/>
      <c r="BP141" s="57"/>
      <c r="BQ141" s="57"/>
      <c r="BR141" s="57"/>
      <c r="BS141" s="57"/>
      <c r="BT141" s="57"/>
      <c r="BU141" s="57"/>
      <c r="BV141" s="57"/>
      <c r="BW141" s="57"/>
      <c r="BX141" s="57"/>
      <c r="BY141" s="57"/>
      <c r="BZ141" s="57"/>
      <c r="CA141" s="57"/>
      <c r="CB141" s="57"/>
      <c r="CC141" s="57"/>
      <c r="CD141" s="57"/>
      <c r="CE141" s="57"/>
      <c r="CF141" s="57"/>
      <c r="CG141" s="57"/>
      <c r="CH141" s="57"/>
      <c r="CI141" s="57"/>
      <c r="CJ141" s="57"/>
      <c r="CK141" s="57"/>
      <c r="CL141" s="57"/>
      <c r="CM141" s="57"/>
      <c r="CN141" s="57"/>
      <c r="CO141" s="57"/>
      <c r="CP141" s="57"/>
      <c r="CQ141" s="57"/>
      <c r="CR141" s="57"/>
      <c r="CS141" s="57"/>
      <c r="CT141" s="57"/>
      <c r="CU141" s="57"/>
      <c r="CV141" s="57"/>
      <c r="CW141" s="57"/>
      <c r="CX141" s="57"/>
      <c r="CY141" s="57"/>
      <c r="CZ141" s="57"/>
      <c r="DA141" s="57"/>
      <c r="DB141" s="57"/>
      <c r="DC141" s="57"/>
      <c r="DD141" s="57"/>
      <c r="DE141" s="57"/>
      <c r="DF141" s="57"/>
      <c r="DG141" s="57"/>
      <c r="DH141" s="57"/>
      <c r="DI141" s="57"/>
      <c r="DJ141" s="57"/>
      <c r="DK141" s="57"/>
      <c r="DL141" s="57"/>
      <c r="DM141" s="57"/>
      <c r="DN141" s="57"/>
      <c r="DO141" s="57"/>
      <c r="DP141" s="57"/>
      <c r="DQ141" s="57"/>
      <c r="DR141" s="57"/>
      <c r="DS141" s="57"/>
      <c r="DT141" s="57"/>
      <c r="DU141" s="57"/>
      <c r="DV141" s="57"/>
      <c r="DW141" s="57"/>
      <c r="DX141" s="57"/>
      <c r="DY141" s="57"/>
      <c r="DZ141" s="57"/>
      <c r="EA141" s="57"/>
      <c r="EB141" s="57"/>
      <c r="EC141" s="57"/>
      <c r="ED141" s="57"/>
      <c r="EE141" s="57"/>
      <c r="EF141" s="57"/>
      <c r="EG141" s="57"/>
      <c r="EH141" s="57"/>
      <c r="EI141" s="57"/>
      <c r="EJ141" s="57"/>
      <c r="EK141" s="57"/>
      <c r="EL141" s="57"/>
      <c r="EM141" s="57"/>
      <c r="EN141" s="57"/>
      <c r="EO141" s="57"/>
      <c r="EP141" s="57"/>
      <c r="EQ141" s="57"/>
      <c r="ER141" s="57"/>
      <c r="ES141" s="57"/>
      <c r="ET141" s="57"/>
      <c r="EU141" s="57"/>
      <c r="EV141" s="57"/>
      <c r="EW141" s="57"/>
      <c r="EX141" s="57"/>
      <c r="EY141" s="57"/>
      <c r="EZ141" s="57"/>
      <c r="FA141" s="57"/>
      <c r="FB141" s="57"/>
      <c r="FC141" s="57"/>
      <c r="FD141" s="57"/>
      <c r="FE141" s="57"/>
      <c r="FF141" s="57"/>
      <c r="FG141" s="57"/>
      <c r="FH141" s="57"/>
      <c r="FI141" s="57"/>
      <c r="FJ141" s="57"/>
      <c r="FK141" s="57"/>
      <c r="FL141" s="57"/>
      <c r="FM141" s="57"/>
      <c r="FN141" s="57"/>
      <c r="FO141" s="57"/>
      <c r="FP141" s="57"/>
      <c r="FQ141" s="61"/>
    </row>
    <row r="142" spans="52:173" x14ac:dyDescent="0.25">
      <c r="AZ142" s="54"/>
      <c r="BA142" s="57"/>
      <c r="BB142" s="57"/>
      <c r="BC142" s="57"/>
      <c r="BD142" s="57"/>
      <c r="BE142" s="57"/>
      <c r="BF142" s="57"/>
      <c r="BG142" s="57"/>
      <c r="BH142" s="57"/>
      <c r="BI142" s="57"/>
      <c r="BJ142" s="57"/>
      <c r="BK142" s="57"/>
      <c r="BL142" s="57"/>
      <c r="BM142" s="57"/>
      <c r="BN142" s="57"/>
      <c r="BO142" s="57"/>
      <c r="BP142" s="57"/>
      <c r="BQ142" s="57"/>
      <c r="BR142" s="57"/>
      <c r="BS142" s="57"/>
      <c r="BT142" s="57"/>
      <c r="BU142" s="57"/>
      <c r="BV142" s="57"/>
      <c r="BW142" s="57"/>
      <c r="BX142" s="57"/>
      <c r="BY142" s="57"/>
      <c r="BZ142" s="57"/>
      <c r="CA142" s="57"/>
      <c r="CB142" s="57"/>
      <c r="CC142" s="57"/>
      <c r="CD142" s="57"/>
      <c r="CE142" s="57"/>
      <c r="CF142" s="57"/>
      <c r="CG142" s="57"/>
      <c r="CH142" s="57"/>
      <c r="CI142" s="57"/>
      <c r="CJ142" s="57"/>
      <c r="CK142" s="57"/>
      <c r="CL142" s="57"/>
      <c r="CM142" s="57"/>
      <c r="CN142" s="57"/>
      <c r="CO142" s="57"/>
      <c r="CP142" s="57"/>
      <c r="CQ142" s="57"/>
      <c r="CR142" s="57"/>
      <c r="CS142" s="57"/>
      <c r="CT142" s="57"/>
      <c r="CU142" s="57"/>
      <c r="CV142" s="57"/>
      <c r="CW142" s="57"/>
      <c r="CX142" s="57"/>
      <c r="CY142" s="57"/>
      <c r="CZ142" s="57"/>
      <c r="DA142" s="57"/>
      <c r="DB142" s="57"/>
      <c r="DC142" s="57"/>
      <c r="DD142" s="57"/>
      <c r="DE142" s="57"/>
      <c r="DF142" s="57"/>
      <c r="DG142" s="57"/>
      <c r="DH142" s="57"/>
      <c r="DI142" s="57"/>
      <c r="DJ142" s="57"/>
      <c r="DK142" s="57"/>
      <c r="DL142" s="57"/>
      <c r="DM142" s="57"/>
      <c r="DN142" s="57"/>
      <c r="DO142" s="57"/>
      <c r="DP142" s="57"/>
      <c r="DQ142" s="57"/>
      <c r="DR142" s="57"/>
      <c r="DS142" s="57"/>
      <c r="DT142" s="57"/>
      <c r="DU142" s="57"/>
      <c r="DV142" s="57"/>
      <c r="DW142" s="57"/>
      <c r="DX142" s="57"/>
      <c r="DY142" s="57"/>
      <c r="DZ142" s="57"/>
      <c r="EA142" s="57"/>
      <c r="EB142" s="57"/>
      <c r="EC142" s="57"/>
      <c r="ED142" s="57"/>
      <c r="EE142" s="57"/>
      <c r="EF142" s="57"/>
      <c r="EG142" s="57"/>
      <c r="EH142" s="57"/>
      <c r="EI142" s="57"/>
      <c r="EJ142" s="57"/>
      <c r="EK142" s="57"/>
      <c r="EL142" s="57"/>
      <c r="EM142" s="57"/>
      <c r="EN142" s="57"/>
      <c r="EO142" s="57"/>
      <c r="EP142" s="57"/>
      <c r="EQ142" s="57"/>
      <c r="ER142" s="57"/>
      <c r="ES142" s="57"/>
      <c r="ET142" s="57"/>
      <c r="EU142" s="57"/>
      <c r="EV142" s="57"/>
      <c r="EW142" s="57"/>
      <c r="EX142" s="57"/>
      <c r="EY142" s="57"/>
      <c r="EZ142" s="57"/>
      <c r="FA142" s="57"/>
      <c r="FB142" s="57"/>
      <c r="FC142" s="57"/>
      <c r="FD142" s="57"/>
      <c r="FE142" s="57"/>
      <c r="FF142" s="57"/>
      <c r="FG142" s="57"/>
      <c r="FH142" s="57"/>
      <c r="FI142" s="57"/>
      <c r="FJ142" s="57"/>
      <c r="FK142" s="57"/>
      <c r="FL142" s="57"/>
      <c r="FM142" s="57"/>
      <c r="FN142" s="57"/>
      <c r="FO142" s="57"/>
      <c r="FP142" s="57"/>
      <c r="FQ142" s="61"/>
    </row>
    <row r="143" spans="52:173" x14ac:dyDescent="0.25">
      <c r="AZ143" s="54"/>
      <c r="BA143" s="57"/>
      <c r="BB143" s="57"/>
      <c r="BC143" s="57"/>
      <c r="BD143" s="57"/>
      <c r="BE143" s="57"/>
      <c r="BF143" s="57"/>
      <c r="BG143" s="57"/>
      <c r="BH143" s="57"/>
      <c r="BI143" s="57"/>
      <c r="BJ143" s="57"/>
      <c r="BK143" s="57"/>
      <c r="BL143" s="57"/>
      <c r="BM143" s="57"/>
      <c r="BN143" s="57"/>
      <c r="BO143" s="57"/>
      <c r="BP143" s="57"/>
      <c r="BQ143" s="57"/>
      <c r="BR143" s="57"/>
      <c r="BS143" s="57"/>
      <c r="BT143" s="57"/>
      <c r="BU143" s="57"/>
      <c r="BV143" s="57"/>
      <c r="BW143" s="57"/>
      <c r="BX143" s="57"/>
      <c r="BY143" s="57"/>
      <c r="BZ143" s="57"/>
      <c r="CA143" s="57"/>
      <c r="CB143" s="57"/>
      <c r="CC143" s="57"/>
      <c r="CD143" s="57"/>
      <c r="CE143" s="57"/>
      <c r="CF143" s="57"/>
      <c r="CG143" s="57"/>
      <c r="CH143" s="57"/>
      <c r="CI143" s="57"/>
      <c r="CJ143" s="57"/>
      <c r="CK143" s="57"/>
      <c r="CL143" s="57"/>
      <c r="CM143" s="57"/>
      <c r="CN143" s="57"/>
      <c r="CO143" s="57"/>
      <c r="CP143" s="57"/>
      <c r="CQ143" s="57"/>
      <c r="CR143" s="57"/>
      <c r="CS143" s="57"/>
      <c r="CT143" s="57"/>
      <c r="CU143" s="57"/>
      <c r="CV143" s="57"/>
      <c r="CW143" s="57"/>
      <c r="CX143" s="57"/>
      <c r="CY143" s="57"/>
      <c r="CZ143" s="57"/>
      <c r="DA143" s="57"/>
      <c r="DB143" s="57"/>
      <c r="DC143" s="57"/>
      <c r="DD143" s="57"/>
      <c r="DE143" s="57"/>
      <c r="DF143" s="57"/>
      <c r="DG143" s="57"/>
      <c r="DH143" s="57"/>
      <c r="DI143" s="57"/>
      <c r="DJ143" s="57"/>
      <c r="DK143" s="57"/>
      <c r="DL143" s="57"/>
      <c r="DM143" s="57"/>
      <c r="DN143" s="57"/>
      <c r="DO143" s="57"/>
      <c r="DP143" s="57"/>
      <c r="DQ143" s="57"/>
      <c r="DR143" s="57"/>
      <c r="DS143" s="57"/>
      <c r="DT143" s="57"/>
      <c r="DU143" s="57"/>
      <c r="DV143" s="57"/>
      <c r="DW143" s="57"/>
      <c r="DX143" s="57"/>
      <c r="DY143" s="57"/>
      <c r="DZ143" s="57"/>
      <c r="EA143" s="57"/>
      <c r="EB143" s="57"/>
      <c r="EC143" s="57"/>
      <c r="ED143" s="57"/>
      <c r="EE143" s="57"/>
      <c r="EF143" s="57"/>
      <c r="EG143" s="57"/>
      <c r="EH143" s="57"/>
      <c r="EI143" s="57"/>
      <c r="EJ143" s="57"/>
      <c r="EK143" s="57"/>
      <c r="EL143" s="57"/>
      <c r="EM143" s="57"/>
      <c r="EN143" s="57"/>
      <c r="EO143" s="57"/>
      <c r="EP143" s="57"/>
      <c r="EQ143" s="57"/>
      <c r="ER143" s="57"/>
      <c r="ES143" s="57"/>
      <c r="ET143" s="57"/>
      <c r="EU143" s="57"/>
      <c r="EV143" s="57"/>
      <c r="EW143" s="57"/>
      <c r="EX143" s="57"/>
      <c r="EY143" s="57"/>
      <c r="EZ143" s="57"/>
      <c r="FA143" s="57"/>
      <c r="FB143" s="57"/>
      <c r="FC143" s="57"/>
      <c r="FD143" s="57"/>
      <c r="FE143" s="57"/>
      <c r="FF143" s="57"/>
      <c r="FG143" s="57"/>
      <c r="FH143" s="57"/>
      <c r="FI143" s="57"/>
      <c r="FJ143" s="57"/>
      <c r="FK143" s="57"/>
      <c r="FL143" s="57"/>
      <c r="FM143" s="57"/>
      <c r="FN143" s="57"/>
      <c r="FO143" s="57"/>
      <c r="FP143" s="57"/>
      <c r="FQ143" s="61"/>
    </row>
    <row r="144" spans="52:173" x14ac:dyDescent="0.25">
      <c r="AZ144" s="54"/>
      <c r="BA144" s="57"/>
      <c r="BB144" s="57"/>
      <c r="BC144" s="57"/>
      <c r="BD144" s="57"/>
      <c r="BE144" s="57"/>
      <c r="BF144" s="57"/>
      <c r="BG144" s="57"/>
      <c r="BH144" s="57"/>
      <c r="BI144" s="57"/>
      <c r="BJ144" s="57"/>
      <c r="BK144" s="57"/>
      <c r="BL144" s="57"/>
      <c r="BM144" s="57"/>
      <c r="BN144" s="57"/>
      <c r="BO144" s="57"/>
      <c r="BP144" s="57"/>
      <c r="BQ144" s="57"/>
      <c r="BR144" s="57"/>
      <c r="BS144" s="57"/>
      <c r="BT144" s="57"/>
      <c r="BU144" s="57"/>
      <c r="BV144" s="57"/>
      <c r="BW144" s="57"/>
      <c r="BX144" s="57"/>
      <c r="BY144" s="57"/>
      <c r="BZ144" s="57"/>
      <c r="CA144" s="57"/>
      <c r="CB144" s="57"/>
      <c r="CC144" s="57"/>
      <c r="CD144" s="57"/>
      <c r="CE144" s="57"/>
      <c r="CF144" s="57"/>
      <c r="CG144" s="57"/>
      <c r="CH144" s="57"/>
      <c r="CI144" s="57"/>
      <c r="CJ144" s="57"/>
      <c r="CK144" s="57"/>
      <c r="CL144" s="57"/>
      <c r="CM144" s="57"/>
      <c r="CN144" s="57"/>
      <c r="CO144" s="57"/>
      <c r="CP144" s="57"/>
      <c r="CQ144" s="57"/>
      <c r="CR144" s="57"/>
      <c r="CS144" s="57"/>
      <c r="CT144" s="57"/>
      <c r="CU144" s="57"/>
      <c r="CV144" s="57"/>
      <c r="CW144" s="57"/>
      <c r="CX144" s="57"/>
      <c r="CY144" s="57"/>
      <c r="CZ144" s="57"/>
      <c r="DA144" s="57"/>
      <c r="DB144" s="57"/>
      <c r="DC144" s="57"/>
      <c r="DD144" s="57"/>
      <c r="DE144" s="57"/>
      <c r="DF144" s="57"/>
      <c r="DG144" s="57"/>
      <c r="DH144" s="57"/>
      <c r="DI144" s="57"/>
      <c r="DJ144" s="57"/>
      <c r="DK144" s="57"/>
      <c r="DL144" s="57"/>
      <c r="DM144" s="57"/>
      <c r="DN144" s="57"/>
      <c r="DO144" s="57"/>
      <c r="DP144" s="57"/>
      <c r="DQ144" s="57"/>
      <c r="DR144" s="57"/>
      <c r="DS144" s="57"/>
      <c r="DT144" s="57"/>
      <c r="DU144" s="57"/>
      <c r="DV144" s="57"/>
      <c r="DW144" s="57"/>
      <c r="DX144" s="57"/>
      <c r="DY144" s="57"/>
      <c r="DZ144" s="57"/>
      <c r="EA144" s="57"/>
      <c r="EB144" s="57"/>
      <c r="EC144" s="57"/>
      <c r="ED144" s="57"/>
      <c r="EE144" s="57"/>
      <c r="EF144" s="57"/>
      <c r="EG144" s="57"/>
      <c r="EH144" s="57"/>
      <c r="EI144" s="57"/>
      <c r="EJ144" s="57"/>
      <c r="EK144" s="57"/>
      <c r="EL144" s="57"/>
      <c r="EM144" s="57"/>
      <c r="EN144" s="57"/>
      <c r="EO144" s="57"/>
      <c r="EP144" s="57"/>
      <c r="EQ144" s="57"/>
      <c r="ER144" s="57"/>
      <c r="ES144" s="57"/>
      <c r="ET144" s="57"/>
      <c r="EU144" s="57"/>
      <c r="EV144" s="57"/>
      <c r="EW144" s="57"/>
      <c r="EX144" s="57"/>
      <c r="EY144" s="57"/>
      <c r="EZ144" s="57"/>
      <c r="FA144" s="57"/>
      <c r="FB144" s="57"/>
      <c r="FC144" s="57"/>
      <c r="FD144" s="57"/>
      <c r="FE144" s="57"/>
      <c r="FF144" s="57"/>
      <c r="FG144" s="57"/>
      <c r="FH144" s="57"/>
      <c r="FI144" s="57"/>
      <c r="FJ144" s="57"/>
      <c r="FK144" s="57"/>
      <c r="FL144" s="57"/>
      <c r="FM144" s="57"/>
      <c r="FN144" s="57"/>
      <c r="FO144" s="57"/>
      <c r="FP144" s="57"/>
      <c r="FQ144" s="61"/>
    </row>
    <row r="145" spans="52:173" x14ac:dyDescent="0.25">
      <c r="AZ145" s="54"/>
      <c r="BA145" s="57"/>
      <c r="BB145" s="57"/>
      <c r="BC145" s="57"/>
      <c r="BD145" s="57"/>
      <c r="BE145" s="57"/>
      <c r="BF145" s="57"/>
      <c r="BG145" s="57"/>
      <c r="BH145" s="57"/>
      <c r="BI145" s="57"/>
      <c r="BJ145" s="57"/>
      <c r="BK145" s="57"/>
      <c r="BL145" s="57"/>
      <c r="BM145" s="57"/>
      <c r="BN145" s="57"/>
      <c r="BO145" s="57"/>
      <c r="BP145" s="57"/>
      <c r="BQ145" s="57"/>
      <c r="BR145" s="57"/>
      <c r="BS145" s="57"/>
      <c r="BT145" s="57"/>
      <c r="BU145" s="57"/>
      <c r="BV145" s="57"/>
      <c r="BW145" s="57"/>
      <c r="BX145" s="57"/>
      <c r="BY145" s="57"/>
      <c r="BZ145" s="57"/>
      <c r="CA145" s="57"/>
      <c r="CB145" s="57"/>
      <c r="CC145" s="57"/>
      <c r="CD145" s="57"/>
      <c r="CE145" s="57"/>
      <c r="CF145" s="57"/>
      <c r="CG145" s="57"/>
      <c r="CH145" s="57"/>
      <c r="CI145" s="57"/>
      <c r="CJ145" s="57"/>
      <c r="CK145" s="57"/>
      <c r="CL145" s="57"/>
      <c r="CM145" s="57"/>
      <c r="CN145" s="57"/>
      <c r="CO145" s="57"/>
      <c r="CP145" s="57"/>
      <c r="CQ145" s="57"/>
      <c r="CR145" s="57"/>
      <c r="CS145" s="57"/>
      <c r="CT145" s="57"/>
      <c r="CU145" s="57"/>
      <c r="CV145" s="57"/>
      <c r="CW145" s="57"/>
      <c r="CX145" s="57"/>
      <c r="CY145" s="57"/>
      <c r="CZ145" s="57"/>
      <c r="DA145" s="57"/>
      <c r="DB145" s="57"/>
      <c r="DC145" s="57"/>
      <c r="DD145" s="57"/>
      <c r="DE145" s="57"/>
      <c r="DF145" s="57"/>
      <c r="DG145" s="57"/>
      <c r="DH145" s="57"/>
      <c r="DI145" s="57"/>
      <c r="DJ145" s="57"/>
      <c r="DK145" s="57"/>
      <c r="DL145" s="57"/>
      <c r="DM145" s="57"/>
      <c r="DN145" s="57"/>
      <c r="DO145" s="57"/>
      <c r="DP145" s="57"/>
      <c r="DQ145" s="57"/>
      <c r="DR145" s="57"/>
      <c r="DS145" s="57"/>
      <c r="DT145" s="57"/>
      <c r="DU145" s="57"/>
      <c r="DV145" s="57"/>
      <c r="DW145" s="57"/>
      <c r="DX145" s="57"/>
      <c r="DY145" s="57"/>
      <c r="DZ145" s="57"/>
      <c r="EA145" s="57"/>
      <c r="EB145" s="57"/>
      <c r="EC145" s="57"/>
      <c r="ED145" s="57"/>
      <c r="EE145" s="57"/>
      <c r="EF145" s="57"/>
      <c r="EG145" s="57"/>
      <c r="EH145" s="57"/>
      <c r="EI145" s="57"/>
      <c r="EJ145" s="57"/>
      <c r="EK145" s="57"/>
      <c r="EL145" s="57"/>
      <c r="EM145" s="57"/>
      <c r="EN145" s="57"/>
      <c r="EO145" s="57"/>
      <c r="EP145" s="57"/>
      <c r="EQ145" s="57"/>
      <c r="ER145" s="57"/>
      <c r="ES145" s="57"/>
      <c r="ET145" s="57"/>
      <c r="EU145" s="57"/>
      <c r="EV145" s="57"/>
      <c r="EW145" s="57"/>
      <c r="EX145" s="57"/>
      <c r="EY145" s="57"/>
      <c r="EZ145" s="57"/>
      <c r="FA145" s="57"/>
      <c r="FB145" s="57"/>
      <c r="FC145" s="57"/>
      <c r="FD145" s="57"/>
      <c r="FE145" s="57"/>
      <c r="FF145" s="57"/>
      <c r="FG145" s="57"/>
      <c r="FH145" s="57"/>
      <c r="FI145" s="57"/>
      <c r="FJ145" s="57"/>
      <c r="FK145" s="57"/>
      <c r="FL145" s="57"/>
      <c r="FM145" s="57"/>
      <c r="FN145" s="57"/>
      <c r="FO145" s="57"/>
      <c r="FP145" s="57"/>
      <c r="FQ145" s="61"/>
    </row>
    <row r="146" spans="52:173" x14ac:dyDescent="0.25">
      <c r="AZ146" s="54"/>
      <c r="BA146" s="57"/>
      <c r="BB146" s="57"/>
      <c r="BC146" s="57"/>
      <c r="BD146" s="57"/>
      <c r="BE146" s="57"/>
      <c r="BF146" s="57"/>
      <c r="BG146" s="57"/>
      <c r="BH146" s="57"/>
      <c r="BI146" s="57"/>
      <c r="BJ146" s="57"/>
      <c r="BK146" s="57"/>
      <c r="BL146" s="57"/>
      <c r="BM146" s="57"/>
      <c r="BN146" s="57"/>
      <c r="BO146" s="57"/>
      <c r="BP146" s="57"/>
      <c r="BQ146" s="57"/>
      <c r="BR146" s="57"/>
      <c r="BS146" s="57"/>
      <c r="BT146" s="57"/>
      <c r="BU146" s="57"/>
      <c r="BV146" s="57"/>
      <c r="BW146" s="57"/>
      <c r="BX146" s="57"/>
      <c r="BY146" s="57"/>
      <c r="BZ146" s="57"/>
      <c r="CA146" s="57"/>
      <c r="CB146" s="57"/>
      <c r="CC146" s="57"/>
      <c r="CD146" s="57"/>
      <c r="CE146" s="57"/>
      <c r="CF146" s="57"/>
      <c r="CG146" s="57"/>
      <c r="CH146" s="57"/>
      <c r="CI146" s="57"/>
      <c r="CJ146" s="57"/>
      <c r="CK146" s="57"/>
      <c r="CL146" s="57"/>
      <c r="CM146" s="57"/>
      <c r="CN146" s="57"/>
      <c r="CO146" s="57"/>
      <c r="CP146" s="57"/>
      <c r="CQ146" s="57"/>
      <c r="CR146" s="57"/>
      <c r="CS146" s="57"/>
      <c r="CT146" s="57"/>
      <c r="CU146" s="57"/>
      <c r="CV146" s="57"/>
      <c r="CW146" s="57"/>
      <c r="CX146" s="57"/>
      <c r="CY146" s="57"/>
      <c r="CZ146" s="57"/>
      <c r="DA146" s="57"/>
      <c r="DB146" s="57"/>
      <c r="DC146" s="57"/>
      <c r="DD146" s="57"/>
      <c r="DE146" s="57"/>
      <c r="DF146" s="57"/>
      <c r="DG146" s="57"/>
      <c r="DH146" s="57"/>
      <c r="DI146" s="57"/>
      <c r="DJ146" s="57"/>
      <c r="DK146" s="57"/>
      <c r="DL146" s="57"/>
      <c r="DM146" s="57"/>
      <c r="DN146" s="57"/>
      <c r="DO146" s="57"/>
      <c r="DP146" s="57"/>
      <c r="DQ146" s="57"/>
      <c r="DR146" s="57"/>
      <c r="DS146" s="57"/>
      <c r="DT146" s="57"/>
      <c r="DU146" s="57"/>
      <c r="DV146" s="57"/>
      <c r="DW146" s="57"/>
      <c r="DX146" s="57"/>
      <c r="DY146" s="57"/>
      <c r="DZ146" s="57"/>
      <c r="EA146" s="57"/>
      <c r="EB146" s="57"/>
      <c r="EC146" s="57"/>
      <c r="ED146" s="57"/>
      <c r="EE146" s="57"/>
      <c r="EF146" s="57"/>
      <c r="EG146" s="57"/>
      <c r="EH146" s="57"/>
      <c r="EI146" s="57"/>
      <c r="EJ146" s="57"/>
      <c r="EK146" s="57"/>
      <c r="EL146" s="57"/>
      <c r="EM146" s="57"/>
      <c r="EN146" s="57"/>
      <c r="EO146" s="57"/>
      <c r="EP146" s="57"/>
      <c r="EQ146" s="57"/>
      <c r="ER146" s="57"/>
      <c r="ES146" s="57"/>
      <c r="ET146" s="57"/>
      <c r="EU146" s="57"/>
      <c r="EV146" s="57"/>
      <c r="EW146" s="57"/>
      <c r="EX146" s="57"/>
      <c r="EY146" s="57"/>
      <c r="EZ146" s="57"/>
      <c r="FA146" s="57"/>
      <c r="FB146" s="57"/>
      <c r="FC146" s="57"/>
      <c r="FD146" s="57"/>
      <c r="FE146" s="57"/>
      <c r="FF146" s="57"/>
      <c r="FG146" s="57"/>
      <c r="FH146" s="57"/>
      <c r="FI146" s="57"/>
      <c r="FJ146" s="57"/>
      <c r="FK146" s="57"/>
      <c r="FL146" s="57"/>
      <c r="FM146" s="57"/>
      <c r="FN146" s="57"/>
      <c r="FO146" s="57"/>
      <c r="FP146" s="57"/>
      <c r="FQ146" s="61"/>
    </row>
    <row r="147" spans="52:173" x14ac:dyDescent="0.25">
      <c r="AZ147" s="54"/>
      <c r="BA147" s="57"/>
      <c r="BB147" s="57"/>
      <c r="BC147" s="57"/>
      <c r="BD147" s="57"/>
      <c r="BE147" s="57"/>
      <c r="BF147" s="57"/>
      <c r="BG147" s="57"/>
      <c r="BH147" s="57"/>
      <c r="BI147" s="57"/>
      <c r="BJ147" s="57"/>
      <c r="BK147" s="57"/>
      <c r="BL147" s="57"/>
      <c r="BM147" s="57"/>
      <c r="BN147" s="57"/>
      <c r="BO147" s="57"/>
      <c r="BP147" s="57"/>
      <c r="BQ147" s="57"/>
      <c r="BR147" s="57"/>
      <c r="BS147" s="57"/>
      <c r="BT147" s="57"/>
      <c r="BU147" s="57"/>
      <c r="BV147" s="57"/>
      <c r="BW147" s="57"/>
      <c r="BX147" s="57"/>
      <c r="BY147" s="57"/>
      <c r="BZ147" s="57"/>
      <c r="CA147" s="57"/>
      <c r="CB147" s="57"/>
      <c r="CC147" s="57"/>
      <c r="CD147" s="57"/>
      <c r="CE147" s="57"/>
      <c r="CF147" s="57"/>
      <c r="CG147" s="57"/>
      <c r="CH147" s="57"/>
      <c r="CI147" s="57"/>
      <c r="CJ147" s="57"/>
      <c r="CK147" s="57"/>
      <c r="CL147" s="57"/>
      <c r="CM147" s="57"/>
      <c r="CN147" s="57"/>
      <c r="CO147" s="57"/>
      <c r="CP147" s="57"/>
      <c r="CQ147" s="57"/>
      <c r="CR147" s="57"/>
      <c r="CS147" s="57"/>
      <c r="CT147" s="57"/>
      <c r="CU147" s="57"/>
      <c r="CV147" s="57"/>
      <c r="CW147" s="57"/>
      <c r="CX147" s="57"/>
      <c r="CY147" s="57"/>
      <c r="CZ147" s="57"/>
      <c r="DA147" s="57"/>
      <c r="DB147" s="57"/>
      <c r="DC147" s="57"/>
      <c r="DD147" s="57"/>
      <c r="DE147" s="57"/>
      <c r="DF147" s="57"/>
      <c r="DG147" s="57"/>
      <c r="DH147" s="57"/>
      <c r="DI147" s="57"/>
      <c r="DJ147" s="57"/>
      <c r="DK147" s="57"/>
      <c r="DL147" s="57"/>
      <c r="DM147" s="57"/>
      <c r="DN147" s="57"/>
      <c r="DO147" s="57"/>
      <c r="DP147" s="57"/>
      <c r="DQ147" s="57"/>
      <c r="DR147" s="57"/>
      <c r="DS147" s="57"/>
      <c r="DT147" s="57"/>
      <c r="DU147" s="57"/>
      <c r="DV147" s="57"/>
      <c r="DW147" s="57"/>
      <c r="DX147" s="57"/>
      <c r="DY147" s="57"/>
      <c r="DZ147" s="57"/>
      <c r="EA147" s="57"/>
      <c r="EB147" s="57"/>
      <c r="EC147" s="57"/>
      <c r="ED147" s="57"/>
      <c r="EE147" s="57"/>
      <c r="EF147" s="57"/>
      <c r="EG147" s="57"/>
      <c r="EH147" s="57"/>
      <c r="EI147" s="57"/>
      <c r="EJ147" s="57"/>
      <c r="EK147" s="57"/>
      <c r="EL147" s="57"/>
      <c r="EM147" s="57"/>
      <c r="EN147" s="57"/>
      <c r="EO147" s="57"/>
      <c r="EP147" s="57"/>
      <c r="EQ147" s="57"/>
      <c r="ER147" s="57"/>
      <c r="ES147" s="57"/>
      <c r="ET147" s="57"/>
      <c r="EU147" s="57"/>
      <c r="EV147" s="57"/>
      <c r="EW147" s="57"/>
      <c r="EX147" s="57"/>
      <c r="EY147" s="57"/>
      <c r="EZ147" s="57"/>
      <c r="FA147" s="57"/>
      <c r="FB147" s="57"/>
      <c r="FC147" s="57"/>
      <c r="FD147" s="57"/>
      <c r="FE147" s="57"/>
      <c r="FF147" s="57"/>
      <c r="FG147" s="57"/>
      <c r="FH147" s="57"/>
      <c r="FI147" s="57"/>
      <c r="FJ147" s="57"/>
      <c r="FK147" s="57"/>
      <c r="FL147" s="57"/>
      <c r="FM147" s="57"/>
      <c r="FN147" s="57"/>
      <c r="FO147" s="57"/>
      <c r="FP147" s="57"/>
      <c r="FQ147" s="61"/>
    </row>
    <row r="148" spans="52:173" x14ac:dyDescent="0.25">
      <c r="AZ148" s="54"/>
      <c r="BA148" s="57"/>
      <c r="BB148" s="57"/>
      <c r="BC148" s="57"/>
      <c r="BD148" s="57"/>
      <c r="BE148" s="57"/>
      <c r="BF148" s="57"/>
      <c r="BG148" s="57"/>
      <c r="BH148" s="57"/>
      <c r="BI148" s="57"/>
      <c r="BJ148" s="57"/>
      <c r="BK148" s="57"/>
      <c r="BL148" s="57"/>
      <c r="BM148" s="57"/>
      <c r="BN148" s="57"/>
      <c r="BO148" s="57"/>
      <c r="BP148" s="57"/>
      <c r="BQ148" s="57"/>
      <c r="BR148" s="57"/>
      <c r="BS148" s="57"/>
      <c r="BT148" s="57"/>
      <c r="BU148" s="57"/>
      <c r="BV148" s="57"/>
      <c r="BW148" s="57"/>
      <c r="BX148" s="57"/>
      <c r="BY148" s="57"/>
      <c r="BZ148" s="57"/>
      <c r="CA148" s="57"/>
      <c r="CB148" s="57"/>
      <c r="CC148" s="57"/>
      <c r="CD148" s="57"/>
      <c r="CE148" s="57"/>
      <c r="CF148" s="57"/>
      <c r="CG148" s="57"/>
      <c r="CH148" s="57"/>
      <c r="CI148" s="57"/>
      <c r="CJ148" s="57"/>
      <c r="CK148" s="57"/>
      <c r="CL148" s="57"/>
      <c r="CM148" s="57"/>
      <c r="CN148" s="57"/>
      <c r="CO148" s="57"/>
      <c r="CP148" s="57"/>
      <c r="CQ148" s="57"/>
      <c r="CR148" s="57"/>
      <c r="CS148" s="57"/>
      <c r="CT148" s="57"/>
      <c r="CU148" s="57"/>
      <c r="CV148" s="57"/>
      <c r="CW148" s="57"/>
      <c r="CX148" s="57"/>
      <c r="CY148" s="57"/>
      <c r="CZ148" s="57"/>
      <c r="DA148" s="57"/>
      <c r="DB148" s="57"/>
      <c r="DC148" s="57"/>
      <c r="DD148" s="57"/>
      <c r="DE148" s="57"/>
      <c r="DF148" s="57"/>
      <c r="DG148" s="57"/>
      <c r="DH148" s="57"/>
      <c r="DI148" s="57"/>
      <c r="DJ148" s="57"/>
      <c r="DK148" s="57"/>
      <c r="DL148" s="57"/>
      <c r="DM148" s="57"/>
      <c r="DN148" s="57"/>
      <c r="DO148" s="57"/>
      <c r="DP148" s="57"/>
      <c r="DQ148" s="57"/>
      <c r="DR148" s="57"/>
      <c r="DS148" s="57"/>
      <c r="DT148" s="57"/>
      <c r="DU148" s="57"/>
      <c r="DV148" s="57"/>
      <c r="DW148" s="57"/>
      <c r="DX148" s="57"/>
      <c r="DY148" s="57"/>
      <c r="DZ148" s="57"/>
      <c r="EA148" s="57"/>
      <c r="EB148" s="57"/>
      <c r="EC148" s="57"/>
      <c r="ED148" s="57"/>
      <c r="EE148" s="57"/>
      <c r="EF148" s="57"/>
      <c r="EG148" s="57"/>
      <c r="EH148" s="57"/>
      <c r="EI148" s="57"/>
      <c r="EJ148" s="57"/>
      <c r="EK148" s="57"/>
      <c r="EL148" s="57"/>
      <c r="EM148" s="57"/>
      <c r="EN148" s="57"/>
      <c r="EO148" s="57"/>
      <c r="EP148" s="57"/>
      <c r="EQ148" s="57"/>
      <c r="ER148" s="57"/>
      <c r="ES148" s="57"/>
      <c r="ET148" s="57"/>
      <c r="EU148" s="57"/>
      <c r="EV148" s="57"/>
      <c r="EW148" s="57"/>
      <c r="EX148" s="57"/>
      <c r="EY148" s="57"/>
      <c r="EZ148" s="57"/>
      <c r="FA148" s="57"/>
      <c r="FB148" s="57"/>
      <c r="FC148" s="57"/>
      <c r="FD148" s="57"/>
      <c r="FE148" s="57"/>
      <c r="FF148" s="57"/>
      <c r="FG148" s="57"/>
      <c r="FH148" s="57"/>
      <c r="FI148" s="57"/>
      <c r="FJ148" s="57"/>
      <c r="FK148" s="57"/>
      <c r="FL148" s="57"/>
      <c r="FM148" s="57"/>
      <c r="FN148" s="57"/>
      <c r="FO148" s="57"/>
      <c r="FP148" s="57"/>
      <c r="FQ148" s="61"/>
    </row>
    <row r="149" spans="52:173" x14ac:dyDescent="0.25">
      <c r="AZ149" s="54"/>
      <c r="BA149" s="57"/>
      <c r="BB149" s="57"/>
      <c r="BC149" s="57"/>
      <c r="BD149" s="57"/>
      <c r="BE149" s="57"/>
      <c r="BF149" s="57"/>
      <c r="BG149" s="57"/>
      <c r="BH149" s="57"/>
      <c r="BI149" s="57"/>
      <c r="BJ149" s="57"/>
      <c r="BK149" s="57"/>
      <c r="BL149" s="57"/>
      <c r="BM149" s="57"/>
      <c r="BN149" s="57"/>
      <c r="BO149" s="57"/>
      <c r="BP149" s="57"/>
      <c r="BQ149" s="57"/>
      <c r="BR149" s="57"/>
      <c r="BS149" s="57"/>
      <c r="BT149" s="57"/>
      <c r="BU149" s="57"/>
      <c r="BV149" s="57"/>
      <c r="BW149" s="57"/>
      <c r="BX149" s="57"/>
      <c r="BY149" s="57"/>
      <c r="BZ149" s="57"/>
      <c r="CA149" s="57"/>
      <c r="CB149" s="57"/>
      <c r="CC149" s="57"/>
      <c r="CD149" s="57"/>
      <c r="CE149" s="57"/>
      <c r="CF149" s="57"/>
      <c r="CG149" s="57"/>
      <c r="CH149" s="57"/>
      <c r="CI149" s="57"/>
      <c r="CJ149" s="57"/>
      <c r="CK149" s="57"/>
      <c r="CL149" s="57"/>
      <c r="CM149" s="57"/>
      <c r="CN149" s="57"/>
      <c r="CO149" s="57"/>
      <c r="CP149" s="57"/>
      <c r="CQ149" s="57"/>
      <c r="CR149" s="57"/>
      <c r="CS149" s="57"/>
      <c r="CT149" s="57"/>
      <c r="CU149" s="57"/>
      <c r="CV149" s="57"/>
      <c r="CW149" s="57"/>
      <c r="CX149" s="57"/>
      <c r="CY149" s="57"/>
      <c r="CZ149" s="57"/>
      <c r="DA149" s="57"/>
      <c r="DB149" s="57"/>
      <c r="DC149" s="57"/>
      <c r="DD149" s="57"/>
      <c r="DE149" s="57"/>
      <c r="DF149" s="57"/>
      <c r="DG149" s="57"/>
      <c r="DH149" s="57"/>
      <c r="DI149" s="57"/>
      <c r="DJ149" s="57"/>
      <c r="DK149" s="57"/>
      <c r="DL149" s="57"/>
      <c r="DM149" s="57"/>
      <c r="DN149" s="57"/>
      <c r="DO149" s="57"/>
      <c r="DP149" s="57"/>
      <c r="DQ149" s="57"/>
      <c r="DR149" s="57"/>
      <c r="DS149" s="57"/>
      <c r="DT149" s="57"/>
      <c r="DU149" s="57"/>
      <c r="DV149" s="57"/>
      <c r="DW149" s="57"/>
      <c r="DX149" s="57"/>
      <c r="DY149" s="57"/>
      <c r="DZ149" s="57"/>
      <c r="EA149" s="57"/>
      <c r="EB149" s="57"/>
      <c r="EC149" s="57"/>
      <c r="ED149" s="57"/>
      <c r="EE149" s="57"/>
      <c r="EF149" s="57"/>
      <c r="EG149" s="57"/>
      <c r="EH149" s="57"/>
      <c r="EI149" s="57"/>
      <c r="EJ149" s="57"/>
      <c r="EK149" s="57"/>
      <c r="EL149" s="57"/>
      <c r="EM149" s="57"/>
      <c r="EN149" s="57"/>
      <c r="EO149" s="57"/>
      <c r="EP149" s="57"/>
      <c r="EQ149" s="57"/>
      <c r="ER149" s="57"/>
      <c r="ES149" s="57"/>
      <c r="ET149" s="57"/>
      <c r="EU149" s="57"/>
      <c r="EV149" s="57"/>
      <c r="EW149" s="57"/>
      <c r="EX149" s="57"/>
      <c r="EY149" s="57"/>
      <c r="EZ149" s="57"/>
      <c r="FA149" s="57"/>
      <c r="FB149" s="57"/>
      <c r="FC149" s="57"/>
      <c r="FD149" s="57"/>
      <c r="FE149" s="57"/>
      <c r="FF149" s="57"/>
      <c r="FG149" s="57"/>
      <c r="FH149" s="57"/>
      <c r="FI149" s="57"/>
      <c r="FJ149" s="57"/>
      <c r="FK149" s="57"/>
      <c r="FL149" s="57"/>
      <c r="FM149" s="57"/>
      <c r="FN149" s="57"/>
      <c r="FO149" s="57"/>
      <c r="FP149" s="57"/>
      <c r="FQ149" s="61"/>
    </row>
    <row r="150" spans="52:173" x14ac:dyDescent="0.25">
      <c r="AZ150" s="54"/>
      <c r="BA150" s="57"/>
      <c r="BB150" s="57"/>
      <c r="BC150" s="57"/>
      <c r="BD150" s="57"/>
      <c r="BE150" s="57"/>
      <c r="BF150" s="57"/>
      <c r="BG150" s="57"/>
      <c r="BH150" s="57"/>
      <c r="BI150" s="57"/>
      <c r="BJ150" s="57"/>
      <c r="BK150" s="57"/>
      <c r="BL150" s="57"/>
      <c r="BM150" s="57"/>
      <c r="BN150" s="57"/>
      <c r="BO150" s="57"/>
      <c r="BP150" s="57"/>
      <c r="BQ150" s="57"/>
      <c r="BR150" s="57"/>
      <c r="BS150" s="57"/>
      <c r="BT150" s="57"/>
      <c r="BU150" s="57"/>
      <c r="BV150" s="57"/>
      <c r="BW150" s="57"/>
      <c r="BX150" s="57"/>
      <c r="BY150" s="57"/>
      <c r="BZ150" s="57"/>
      <c r="CA150" s="57"/>
      <c r="CB150" s="57"/>
      <c r="CC150" s="57"/>
      <c r="CD150" s="57"/>
      <c r="CE150" s="57"/>
      <c r="CF150" s="57"/>
      <c r="CG150" s="57"/>
      <c r="CH150" s="57"/>
      <c r="CI150" s="57"/>
      <c r="CJ150" s="57"/>
      <c r="CK150" s="57"/>
      <c r="CL150" s="57"/>
      <c r="CM150" s="57"/>
      <c r="CN150" s="57"/>
      <c r="CO150" s="57"/>
      <c r="CP150" s="57"/>
      <c r="CQ150" s="57"/>
      <c r="CR150" s="57"/>
      <c r="CS150" s="57"/>
      <c r="CT150" s="57"/>
      <c r="CU150" s="57"/>
      <c r="CV150" s="57"/>
      <c r="CW150" s="57"/>
      <c r="CX150" s="57"/>
      <c r="CY150" s="57"/>
      <c r="CZ150" s="57"/>
      <c r="DA150" s="57"/>
      <c r="DB150" s="57"/>
      <c r="DC150" s="57"/>
      <c r="DD150" s="57"/>
      <c r="DE150" s="57"/>
      <c r="DF150" s="57"/>
      <c r="DG150" s="57"/>
      <c r="DH150" s="57"/>
      <c r="DI150" s="57"/>
      <c r="DJ150" s="57"/>
      <c r="DK150" s="57"/>
      <c r="DL150" s="57"/>
      <c r="DM150" s="57"/>
      <c r="DN150" s="57"/>
      <c r="DO150" s="57"/>
      <c r="DP150" s="57"/>
      <c r="DQ150" s="57"/>
      <c r="DR150" s="57"/>
      <c r="DS150" s="57"/>
      <c r="DT150" s="57"/>
      <c r="DU150" s="57"/>
      <c r="DV150" s="57"/>
      <c r="DW150" s="57"/>
      <c r="DX150" s="57"/>
      <c r="DY150" s="57"/>
      <c r="DZ150" s="57"/>
      <c r="EA150" s="57"/>
      <c r="EB150" s="57"/>
      <c r="EC150" s="57"/>
      <c r="ED150" s="57"/>
      <c r="EE150" s="57"/>
      <c r="EF150" s="57"/>
      <c r="EG150" s="57"/>
      <c r="EH150" s="57"/>
      <c r="EI150" s="57"/>
      <c r="EJ150" s="57"/>
      <c r="EK150" s="57"/>
      <c r="EL150" s="57"/>
      <c r="EM150" s="57"/>
      <c r="EN150" s="57"/>
      <c r="EO150" s="57"/>
      <c r="EP150" s="57"/>
      <c r="EQ150" s="57"/>
      <c r="ER150" s="57"/>
      <c r="ES150" s="57"/>
      <c r="ET150" s="57"/>
      <c r="EU150" s="57"/>
      <c r="EV150" s="57"/>
      <c r="EW150" s="57"/>
      <c r="EX150" s="57"/>
      <c r="EY150" s="57"/>
      <c r="EZ150" s="57"/>
      <c r="FA150" s="57"/>
      <c r="FB150" s="57"/>
      <c r="FC150" s="57"/>
      <c r="FD150" s="57"/>
      <c r="FE150" s="57"/>
      <c r="FF150" s="57"/>
      <c r="FG150" s="57"/>
      <c r="FH150" s="57"/>
      <c r="FI150" s="57"/>
      <c r="FJ150" s="57"/>
      <c r="FK150" s="57"/>
      <c r="FL150" s="57"/>
      <c r="FM150" s="57"/>
      <c r="FN150" s="57"/>
      <c r="FO150" s="57"/>
      <c r="FP150" s="57"/>
      <c r="FQ150" s="61"/>
    </row>
    <row r="151" spans="52:173" x14ac:dyDescent="0.25">
      <c r="AZ151" s="54"/>
      <c r="BA151" s="57"/>
      <c r="BB151" s="57"/>
      <c r="BC151" s="57"/>
      <c r="BD151" s="57"/>
      <c r="BE151" s="57"/>
      <c r="BF151" s="57"/>
      <c r="BG151" s="57"/>
      <c r="BH151" s="57"/>
      <c r="BI151" s="57"/>
      <c r="BJ151" s="57"/>
      <c r="BK151" s="57"/>
      <c r="BL151" s="57"/>
      <c r="BM151" s="57"/>
      <c r="BN151" s="57"/>
      <c r="BO151" s="57"/>
      <c r="BP151" s="57"/>
      <c r="BQ151" s="57"/>
      <c r="BR151" s="57"/>
      <c r="BS151" s="57"/>
      <c r="BT151" s="57"/>
      <c r="BU151" s="57"/>
      <c r="BV151" s="57"/>
      <c r="BW151" s="57"/>
      <c r="BX151" s="57"/>
      <c r="BY151" s="57"/>
      <c r="BZ151" s="57"/>
      <c r="CA151" s="57"/>
      <c r="CB151" s="57"/>
      <c r="CC151" s="57"/>
      <c r="CD151" s="57"/>
      <c r="CE151" s="57"/>
      <c r="CF151" s="57"/>
      <c r="CG151" s="57"/>
      <c r="CH151" s="57"/>
      <c r="CI151" s="57"/>
      <c r="CJ151" s="57"/>
      <c r="CK151" s="57"/>
      <c r="CL151" s="57"/>
      <c r="CM151" s="57"/>
      <c r="CN151" s="57"/>
      <c r="CO151" s="57"/>
      <c r="CP151" s="57"/>
      <c r="CQ151" s="57"/>
      <c r="CR151" s="57"/>
      <c r="CS151" s="57"/>
      <c r="CT151" s="57"/>
      <c r="CU151" s="57"/>
      <c r="CV151" s="57"/>
      <c r="CW151" s="57"/>
      <c r="CX151" s="57"/>
      <c r="CY151" s="57"/>
      <c r="CZ151" s="57"/>
      <c r="DA151" s="57"/>
      <c r="DB151" s="57"/>
      <c r="DC151" s="57"/>
      <c r="DD151" s="57"/>
      <c r="DE151" s="57"/>
      <c r="DF151" s="57"/>
      <c r="DG151" s="57"/>
      <c r="DH151" s="57"/>
      <c r="DI151" s="57"/>
      <c r="DJ151" s="57"/>
      <c r="DK151" s="57"/>
      <c r="DL151" s="57"/>
      <c r="DM151" s="57"/>
      <c r="DN151" s="57"/>
      <c r="DO151" s="57"/>
      <c r="DP151" s="57"/>
      <c r="DQ151" s="57"/>
      <c r="DR151" s="57"/>
      <c r="DS151" s="57"/>
      <c r="DT151" s="57"/>
      <c r="DU151" s="57"/>
      <c r="DV151" s="57"/>
      <c r="DW151" s="57"/>
      <c r="DX151" s="57"/>
      <c r="DY151" s="57"/>
      <c r="DZ151" s="57"/>
      <c r="EA151" s="57"/>
      <c r="EB151" s="57"/>
      <c r="EC151" s="57"/>
      <c r="ED151" s="57"/>
      <c r="EE151" s="57"/>
      <c r="EF151" s="57"/>
      <c r="EG151" s="57"/>
      <c r="EH151" s="57"/>
      <c r="EI151" s="57"/>
      <c r="EJ151" s="57"/>
      <c r="EK151" s="57"/>
      <c r="EL151" s="57"/>
      <c r="EM151" s="57"/>
      <c r="EN151" s="57"/>
      <c r="EO151" s="57"/>
      <c r="EP151" s="57"/>
      <c r="EQ151" s="57"/>
      <c r="ER151" s="57"/>
      <c r="ES151" s="57"/>
      <c r="ET151" s="57"/>
      <c r="EU151" s="57"/>
      <c r="EV151" s="57"/>
      <c r="EW151" s="57"/>
      <c r="EX151" s="57"/>
      <c r="EY151" s="57"/>
      <c r="EZ151" s="57"/>
      <c r="FA151" s="57"/>
      <c r="FB151" s="57"/>
      <c r="FC151" s="57"/>
      <c r="FD151" s="57"/>
      <c r="FE151" s="57"/>
      <c r="FF151" s="57"/>
      <c r="FG151" s="57"/>
      <c r="FH151" s="57"/>
      <c r="FI151" s="57"/>
      <c r="FJ151" s="57"/>
      <c r="FK151" s="57"/>
      <c r="FL151" s="57"/>
      <c r="FM151" s="57"/>
      <c r="FN151" s="57"/>
      <c r="FO151" s="57"/>
      <c r="FP151" s="57"/>
      <c r="FQ151" s="61"/>
    </row>
    <row r="152" spans="52:173" x14ac:dyDescent="0.25">
      <c r="AZ152" s="54"/>
      <c r="BA152" s="57"/>
      <c r="BB152" s="57"/>
      <c r="BC152" s="57"/>
      <c r="BD152" s="57"/>
      <c r="BE152" s="57"/>
      <c r="BF152" s="57"/>
      <c r="BG152" s="57"/>
      <c r="BH152" s="57"/>
      <c r="BI152" s="57"/>
      <c r="BJ152" s="57"/>
      <c r="BK152" s="57"/>
      <c r="BL152" s="57"/>
      <c r="BM152" s="57"/>
      <c r="BN152" s="57"/>
      <c r="BO152" s="57"/>
      <c r="BP152" s="57"/>
      <c r="BQ152" s="57"/>
      <c r="BR152" s="57"/>
      <c r="BS152" s="57"/>
      <c r="BT152" s="57"/>
      <c r="BU152" s="57"/>
      <c r="BV152" s="57"/>
      <c r="BW152" s="57"/>
      <c r="BX152" s="57"/>
      <c r="BY152" s="57"/>
      <c r="BZ152" s="57"/>
      <c r="CA152" s="57"/>
      <c r="CB152" s="57"/>
      <c r="CC152" s="57"/>
      <c r="CD152" s="57"/>
      <c r="CE152" s="57"/>
      <c r="CF152" s="57"/>
      <c r="CG152" s="57"/>
      <c r="CH152" s="57"/>
      <c r="CI152" s="57"/>
      <c r="CJ152" s="57"/>
      <c r="CK152" s="57"/>
      <c r="CL152" s="57"/>
      <c r="CM152" s="57"/>
      <c r="CN152" s="57"/>
      <c r="CO152" s="57"/>
      <c r="CP152" s="57"/>
      <c r="CQ152" s="57"/>
      <c r="CR152" s="57"/>
      <c r="CS152" s="57"/>
      <c r="CT152" s="57"/>
      <c r="CU152" s="57"/>
      <c r="CV152" s="57"/>
      <c r="CW152" s="57"/>
      <c r="CX152" s="57"/>
      <c r="CY152" s="57"/>
      <c r="CZ152" s="57"/>
      <c r="DA152" s="57"/>
      <c r="DB152" s="57"/>
      <c r="DC152" s="57"/>
      <c r="DD152" s="57"/>
      <c r="DE152" s="57"/>
      <c r="DF152" s="57"/>
      <c r="DG152" s="57"/>
      <c r="DH152" s="57"/>
      <c r="DI152" s="57"/>
      <c r="DJ152" s="57"/>
      <c r="DK152" s="57"/>
      <c r="DL152" s="57"/>
      <c r="DM152" s="57"/>
      <c r="DN152" s="57"/>
      <c r="DO152" s="57"/>
      <c r="DP152" s="57"/>
      <c r="DQ152" s="57"/>
      <c r="DR152" s="57"/>
      <c r="DS152" s="57"/>
      <c r="DT152" s="57"/>
      <c r="DU152" s="57"/>
      <c r="DV152" s="57"/>
      <c r="DW152" s="57"/>
      <c r="DX152" s="57"/>
      <c r="DY152" s="57"/>
      <c r="DZ152" s="57"/>
      <c r="EA152" s="57"/>
      <c r="EB152" s="57"/>
      <c r="EC152" s="57"/>
      <c r="ED152" s="57"/>
      <c r="EE152" s="57"/>
      <c r="EF152" s="57"/>
      <c r="EG152" s="57"/>
      <c r="EH152" s="57"/>
      <c r="EI152" s="57"/>
      <c r="EJ152" s="57"/>
      <c r="EK152" s="57"/>
      <c r="EL152" s="57"/>
      <c r="EM152" s="57"/>
      <c r="EN152" s="57"/>
      <c r="EO152" s="57"/>
      <c r="EP152" s="57"/>
      <c r="EQ152" s="57"/>
      <c r="ER152" s="57"/>
      <c r="ES152" s="57"/>
      <c r="ET152" s="57"/>
      <c r="EU152" s="57"/>
      <c r="EV152" s="57"/>
      <c r="EW152" s="57"/>
      <c r="EX152" s="57"/>
      <c r="EY152" s="57"/>
      <c r="EZ152" s="57"/>
      <c r="FA152" s="57"/>
      <c r="FB152" s="57"/>
      <c r="FC152" s="57"/>
      <c r="FD152" s="57"/>
      <c r="FE152" s="57"/>
      <c r="FF152" s="57"/>
      <c r="FG152" s="57"/>
      <c r="FH152" s="57"/>
      <c r="FI152" s="57"/>
      <c r="FJ152" s="57"/>
      <c r="FK152" s="57"/>
      <c r="FL152" s="57"/>
      <c r="FM152" s="57"/>
      <c r="FN152" s="57"/>
      <c r="FO152" s="57"/>
      <c r="FP152" s="57"/>
      <c r="FQ152" s="61"/>
    </row>
    <row r="153" spans="52:173" x14ac:dyDescent="0.25">
      <c r="AZ153" s="54"/>
      <c r="BA153" s="57"/>
      <c r="BB153" s="57"/>
      <c r="BC153" s="57"/>
      <c r="BD153" s="57"/>
      <c r="BE153" s="57"/>
      <c r="BF153" s="57"/>
      <c r="BG153" s="57"/>
      <c r="BH153" s="57"/>
      <c r="BI153" s="57"/>
      <c r="BJ153" s="57"/>
      <c r="BK153" s="57"/>
      <c r="BL153" s="57"/>
      <c r="BM153" s="57"/>
      <c r="BN153" s="57"/>
      <c r="BO153" s="57"/>
      <c r="BP153" s="57"/>
      <c r="BQ153" s="57"/>
      <c r="BR153" s="57"/>
      <c r="BS153" s="57"/>
      <c r="BT153" s="57"/>
      <c r="BU153" s="57"/>
      <c r="BV153" s="57"/>
      <c r="BW153" s="57"/>
      <c r="BX153" s="57"/>
      <c r="BY153" s="57"/>
      <c r="BZ153" s="57"/>
      <c r="CA153" s="57"/>
      <c r="CB153" s="57"/>
      <c r="CC153" s="57"/>
      <c r="CD153" s="57"/>
      <c r="CE153" s="57"/>
      <c r="CF153" s="57"/>
      <c r="CG153" s="57"/>
      <c r="CH153" s="57"/>
      <c r="CI153" s="57"/>
      <c r="CJ153" s="57"/>
      <c r="CK153" s="57"/>
      <c r="CL153" s="57"/>
      <c r="CM153" s="57"/>
      <c r="CN153" s="57"/>
      <c r="CO153" s="57"/>
      <c r="CP153" s="57"/>
      <c r="CQ153" s="57"/>
      <c r="CR153" s="57"/>
      <c r="CS153" s="57"/>
      <c r="CT153" s="57"/>
      <c r="CU153" s="57"/>
      <c r="CV153" s="57"/>
      <c r="CW153" s="57"/>
      <c r="CX153" s="57"/>
      <c r="CY153" s="57"/>
      <c r="CZ153" s="57"/>
      <c r="DA153" s="57"/>
      <c r="DB153" s="57"/>
      <c r="DC153" s="57"/>
      <c r="DD153" s="57"/>
      <c r="DE153" s="57"/>
      <c r="DF153" s="57"/>
      <c r="DG153" s="57"/>
      <c r="DH153" s="57"/>
      <c r="DI153" s="57"/>
      <c r="DJ153" s="57"/>
      <c r="DK153" s="57"/>
      <c r="DL153" s="57"/>
      <c r="DM153" s="57"/>
      <c r="DN153" s="57"/>
      <c r="DO153" s="57"/>
      <c r="DP153" s="57"/>
      <c r="DQ153" s="57"/>
      <c r="DR153" s="57"/>
      <c r="DS153" s="57"/>
      <c r="DT153" s="57"/>
      <c r="DU153" s="57"/>
      <c r="DV153" s="57"/>
      <c r="DW153" s="57"/>
      <c r="DX153" s="57"/>
      <c r="DY153" s="57"/>
      <c r="DZ153" s="57"/>
      <c r="EA153" s="57"/>
      <c r="EB153" s="57"/>
      <c r="EC153" s="57"/>
      <c r="ED153" s="57"/>
      <c r="EE153" s="57"/>
      <c r="EF153" s="57"/>
      <c r="EG153" s="57"/>
      <c r="EH153" s="57"/>
      <c r="EI153" s="57"/>
      <c r="EJ153" s="57"/>
      <c r="EK153" s="57"/>
      <c r="EL153" s="57"/>
      <c r="EM153" s="57"/>
      <c r="EN153" s="57"/>
      <c r="EO153" s="57"/>
      <c r="EP153" s="57"/>
      <c r="EQ153" s="57"/>
      <c r="ER153" s="57"/>
      <c r="ES153" s="57"/>
      <c r="ET153" s="57"/>
      <c r="EU153" s="57"/>
      <c r="EV153" s="57"/>
      <c r="EW153" s="57"/>
      <c r="EX153" s="57"/>
      <c r="EY153" s="57"/>
      <c r="EZ153" s="57"/>
      <c r="FA153" s="57"/>
      <c r="FB153" s="57"/>
      <c r="FC153" s="57"/>
      <c r="FD153" s="57"/>
      <c r="FE153" s="57"/>
      <c r="FF153" s="57"/>
      <c r="FG153" s="57"/>
      <c r="FH153" s="57"/>
      <c r="FI153" s="57"/>
      <c r="FJ153" s="57"/>
      <c r="FK153" s="57"/>
      <c r="FL153" s="57"/>
      <c r="FM153" s="57"/>
      <c r="FN153" s="57"/>
      <c r="FO153" s="57"/>
      <c r="FP153" s="57"/>
      <c r="FQ153" s="61"/>
    </row>
    <row r="154" spans="52:173" x14ac:dyDescent="0.25">
      <c r="AZ154" s="54"/>
      <c r="BA154" s="57"/>
      <c r="BB154" s="57"/>
      <c r="BC154" s="57"/>
      <c r="BD154" s="57"/>
      <c r="BE154" s="57"/>
      <c r="BF154" s="57"/>
      <c r="BG154" s="57"/>
      <c r="BH154" s="57"/>
      <c r="BI154" s="57"/>
      <c r="BJ154" s="57"/>
      <c r="BK154" s="57"/>
      <c r="BL154" s="57"/>
      <c r="BM154" s="57"/>
      <c r="BN154" s="57"/>
      <c r="BO154" s="57"/>
      <c r="BP154" s="57"/>
      <c r="BQ154" s="57"/>
      <c r="BR154" s="57"/>
      <c r="BS154" s="57"/>
      <c r="BT154" s="57"/>
      <c r="BU154" s="57"/>
      <c r="BV154" s="57"/>
      <c r="BW154" s="57"/>
      <c r="BX154" s="57"/>
      <c r="BY154" s="57"/>
      <c r="BZ154" s="57"/>
      <c r="CA154" s="57"/>
      <c r="CB154" s="57"/>
      <c r="CC154" s="57"/>
      <c r="CD154" s="57"/>
      <c r="CE154" s="57"/>
      <c r="CF154" s="57"/>
      <c r="CG154" s="57"/>
      <c r="CH154" s="57"/>
      <c r="CI154" s="57"/>
      <c r="CJ154" s="57"/>
      <c r="CK154" s="57"/>
      <c r="CL154" s="57"/>
      <c r="CM154" s="57"/>
      <c r="CN154" s="57"/>
      <c r="CO154" s="57"/>
      <c r="CP154" s="57"/>
      <c r="CQ154" s="57"/>
      <c r="CR154" s="57"/>
      <c r="CS154" s="57"/>
      <c r="CT154" s="57"/>
      <c r="CU154" s="57"/>
      <c r="CV154" s="57"/>
      <c r="CW154" s="57"/>
      <c r="CX154" s="57"/>
      <c r="CY154" s="57"/>
      <c r="CZ154" s="57"/>
      <c r="DA154" s="57"/>
      <c r="DB154" s="57"/>
      <c r="DC154" s="57"/>
      <c r="DD154" s="57"/>
      <c r="DE154" s="57"/>
      <c r="DF154" s="57"/>
      <c r="DG154" s="57"/>
      <c r="DH154" s="57"/>
      <c r="DI154" s="57"/>
      <c r="DJ154" s="57"/>
      <c r="DK154" s="57"/>
      <c r="DL154" s="57"/>
      <c r="DM154" s="57"/>
      <c r="DN154" s="57"/>
      <c r="DO154" s="57"/>
      <c r="DP154" s="57"/>
      <c r="DQ154" s="57"/>
      <c r="DR154" s="57"/>
      <c r="DS154" s="57"/>
      <c r="DT154" s="57"/>
      <c r="DU154" s="57"/>
      <c r="DV154" s="57"/>
      <c r="DW154" s="57"/>
      <c r="DX154" s="57"/>
      <c r="DY154" s="57"/>
      <c r="DZ154" s="57"/>
      <c r="EA154" s="57"/>
      <c r="EB154" s="57"/>
      <c r="EC154" s="57"/>
      <c r="ED154" s="57"/>
      <c r="EE154" s="57"/>
      <c r="EF154" s="57"/>
      <c r="EG154" s="57"/>
      <c r="EH154" s="57"/>
      <c r="EI154" s="57"/>
      <c r="EJ154" s="57"/>
      <c r="EK154" s="57"/>
      <c r="EL154" s="57"/>
      <c r="EM154" s="57"/>
      <c r="EN154" s="57"/>
      <c r="EO154" s="57"/>
      <c r="EP154" s="57"/>
      <c r="EQ154" s="57"/>
      <c r="ER154" s="57"/>
      <c r="ES154" s="57"/>
      <c r="ET154" s="57"/>
      <c r="EU154" s="57"/>
      <c r="EV154" s="57"/>
      <c r="EW154" s="57"/>
      <c r="EX154" s="57"/>
      <c r="EY154" s="57"/>
      <c r="EZ154" s="57"/>
      <c r="FA154" s="57"/>
      <c r="FB154" s="57"/>
      <c r="FC154" s="57"/>
      <c r="FD154" s="57"/>
      <c r="FE154" s="57"/>
      <c r="FF154" s="57"/>
      <c r="FG154" s="57"/>
      <c r="FH154" s="57"/>
      <c r="FI154" s="57"/>
      <c r="FJ154" s="57"/>
      <c r="FK154" s="57"/>
      <c r="FL154" s="57"/>
      <c r="FM154" s="57"/>
      <c r="FN154" s="57"/>
      <c r="FO154" s="57"/>
      <c r="FP154" s="57"/>
      <c r="FQ154" s="61"/>
    </row>
    <row r="155" spans="52:173" x14ac:dyDescent="0.25">
      <c r="AZ155" s="54"/>
      <c r="BA155" s="57"/>
      <c r="BB155" s="57"/>
      <c r="BC155" s="57"/>
      <c r="BD155" s="57"/>
      <c r="BE155" s="57"/>
      <c r="BF155" s="57"/>
      <c r="BG155" s="57"/>
      <c r="BH155" s="57"/>
      <c r="BI155" s="57"/>
      <c r="BJ155" s="57"/>
      <c r="BK155" s="57"/>
      <c r="BL155" s="57"/>
      <c r="BM155" s="57"/>
      <c r="BN155" s="57"/>
      <c r="BO155" s="57"/>
      <c r="BP155" s="57"/>
      <c r="BQ155" s="57"/>
      <c r="BR155" s="57"/>
      <c r="BS155" s="57"/>
      <c r="BT155" s="57"/>
      <c r="BU155" s="57"/>
      <c r="BV155" s="57"/>
      <c r="BW155" s="57"/>
      <c r="BX155" s="57"/>
      <c r="BY155" s="57"/>
      <c r="BZ155" s="57"/>
      <c r="CA155" s="57"/>
      <c r="CB155" s="57"/>
      <c r="CC155" s="57"/>
      <c r="CD155" s="57"/>
      <c r="CE155" s="57"/>
      <c r="CF155" s="57"/>
      <c r="CG155" s="57"/>
      <c r="CH155" s="57"/>
      <c r="CI155" s="57"/>
      <c r="CJ155" s="57"/>
      <c r="CK155" s="57"/>
      <c r="CL155" s="57"/>
      <c r="CM155" s="57"/>
      <c r="CN155" s="57"/>
      <c r="CO155" s="57"/>
      <c r="CP155" s="57"/>
      <c r="CQ155" s="57"/>
      <c r="CR155" s="57"/>
      <c r="CS155" s="57"/>
      <c r="CT155" s="57"/>
      <c r="CU155" s="57"/>
      <c r="CV155" s="57"/>
      <c r="CW155" s="57"/>
      <c r="CX155" s="57"/>
      <c r="CY155" s="57"/>
      <c r="CZ155" s="57"/>
      <c r="DA155" s="57"/>
      <c r="DB155" s="57"/>
      <c r="DC155" s="57"/>
      <c r="DD155" s="57"/>
      <c r="DE155" s="57"/>
      <c r="DF155" s="57"/>
      <c r="DG155" s="57"/>
      <c r="DH155" s="57"/>
      <c r="DI155" s="57"/>
      <c r="DJ155" s="57"/>
      <c r="DK155" s="57"/>
      <c r="DL155" s="57"/>
      <c r="DM155" s="57"/>
      <c r="DN155" s="57"/>
      <c r="DO155" s="57"/>
      <c r="DP155" s="57"/>
      <c r="DQ155" s="57"/>
      <c r="DR155" s="57"/>
      <c r="DS155" s="57"/>
      <c r="DT155" s="57"/>
      <c r="DU155" s="57"/>
      <c r="DV155" s="57"/>
      <c r="DW155" s="57"/>
      <c r="DX155" s="57"/>
      <c r="DY155" s="57"/>
      <c r="DZ155" s="57"/>
      <c r="EA155" s="57"/>
      <c r="EB155" s="57"/>
      <c r="EC155" s="57"/>
      <c r="ED155" s="57"/>
      <c r="EE155" s="57"/>
      <c r="EF155" s="57"/>
      <c r="EG155" s="57"/>
      <c r="EH155" s="57"/>
      <c r="EI155" s="57"/>
      <c r="EJ155" s="57"/>
      <c r="EK155" s="57"/>
      <c r="EL155" s="57"/>
      <c r="EM155" s="57"/>
      <c r="EN155" s="57"/>
      <c r="EO155" s="57"/>
      <c r="EP155" s="57"/>
      <c r="EQ155" s="57"/>
      <c r="ER155" s="57"/>
      <c r="ES155" s="57"/>
      <c r="ET155" s="57"/>
      <c r="EU155" s="57"/>
      <c r="EV155" s="57"/>
      <c r="EW155" s="57"/>
      <c r="EX155" s="57"/>
      <c r="EY155" s="57"/>
      <c r="EZ155" s="57"/>
      <c r="FA155" s="57"/>
      <c r="FB155" s="57"/>
      <c r="FC155" s="57"/>
      <c r="FD155" s="57"/>
      <c r="FE155" s="57"/>
      <c r="FF155" s="57"/>
      <c r="FG155" s="57"/>
      <c r="FH155" s="57"/>
      <c r="FI155" s="57"/>
      <c r="FJ155" s="57"/>
      <c r="FK155" s="57"/>
      <c r="FL155" s="57"/>
      <c r="FM155" s="57"/>
      <c r="FN155" s="57"/>
      <c r="FO155" s="57"/>
      <c r="FP155" s="57"/>
      <c r="FQ155" s="61"/>
    </row>
    <row r="156" spans="52:173" ht="15.75" thickBot="1" x14ac:dyDescent="0.3">
      <c r="AZ156" s="83"/>
      <c r="BA156" s="87"/>
      <c r="BB156" s="87"/>
      <c r="BC156" s="87"/>
      <c r="BD156" s="87"/>
      <c r="BE156" s="87"/>
      <c r="BF156" s="87"/>
      <c r="BG156" s="87"/>
      <c r="BH156" s="87"/>
      <c r="BI156" s="87"/>
      <c r="BJ156" s="87"/>
      <c r="BK156" s="87"/>
      <c r="BL156" s="87"/>
      <c r="BM156" s="87"/>
      <c r="BN156" s="87"/>
      <c r="BO156" s="87"/>
      <c r="BP156" s="87"/>
      <c r="BQ156" s="87"/>
      <c r="BR156" s="87"/>
      <c r="BS156" s="87"/>
      <c r="BT156" s="87"/>
      <c r="BU156" s="87"/>
      <c r="BV156" s="87"/>
      <c r="BW156" s="87"/>
      <c r="BX156" s="87"/>
      <c r="BY156" s="87"/>
      <c r="BZ156" s="87"/>
      <c r="CA156" s="87"/>
      <c r="CB156" s="87"/>
      <c r="CC156" s="87"/>
      <c r="CD156" s="87"/>
      <c r="CE156" s="87"/>
      <c r="CF156" s="87"/>
      <c r="CG156" s="87"/>
      <c r="CH156" s="87"/>
      <c r="CI156" s="87"/>
      <c r="CJ156" s="87"/>
      <c r="CK156" s="87"/>
      <c r="CL156" s="87"/>
      <c r="CM156" s="87"/>
      <c r="CN156" s="87"/>
      <c r="CO156" s="87"/>
      <c r="CP156" s="87"/>
      <c r="CQ156" s="87"/>
      <c r="CR156" s="87"/>
      <c r="CS156" s="87"/>
      <c r="CT156" s="87"/>
      <c r="CU156" s="87"/>
      <c r="CV156" s="87"/>
      <c r="CW156" s="87"/>
      <c r="CX156" s="87"/>
      <c r="CY156" s="87"/>
      <c r="CZ156" s="87"/>
      <c r="DA156" s="87"/>
      <c r="DB156" s="87"/>
      <c r="DC156" s="87"/>
      <c r="DD156" s="87"/>
      <c r="DE156" s="87"/>
      <c r="DF156" s="87"/>
      <c r="DG156" s="87"/>
      <c r="DH156" s="87"/>
      <c r="DI156" s="87"/>
      <c r="DJ156" s="87"/>
      <c r="DK156" s="87"/>
      <c r="DL156" s="87"/>
      <c r="DM156" s="87"/>
      <c r="DN156" s="87"/>
      <c r="DO156" s="87"/>
      <c r="DP156" s="87"/>
      <c r="DQ156" s="87"/>
      <c r="DR156" s="87"/>
      <c r="DS156" s="87"/>
      <c r="DT156" s="87"/>
      <c r="DU156" s="87"/>
      <c r="DV156" s="87"/>
      <c r="DW156" s="87"/>
      <c r="DX156" s="87"/>
      <c r="DY156" s="87"/>
      <c r="DZ156" s="87"/>
      <c r="EA156" s="87"/>
      <c r="EB156" s="87"/>
      <c r="EC156" s="87"/>
      <c r="ED156" s="87"/>
      <c r="EE156" s="87"/>
      <c r="EF156" s="87"/>
      <c r="EG156" s="87"/>
      <c r="EH156" s="87"/>
      <c r="EI156" s="87"/>
      <c r="EJ156" s="87"/>
      <c r="EK156" s="87"/>
      <c r="EL156" s="87"/>
      <c r="EM156" s="87"/>
      <c r="EN156" s="87"/>
      <c r="EO156" s="87"/>
      <c r="EP156" s="87"/>
      <c r="EQ156" s="87"/>
      <c r="ER156" s="87"/>
      <c r="ES156" s="87"/>
      <c r="ET156" s="87"/>
      <c r="EU156" s="87"/>
      <c r="EV156" s="87"/>
      <c r="EW156" s="87"/>
      <c r="EX156" s="87"/>
      <c r="EY156" s="87"/>
      <c r="EZ156" s="87"/>
      <c r="FA156" s="87"/>
      <c r="FB156" s="87"/>
      <c r="FC156" s="87"/>
      <c r="FD156" s="87"/>
      <c r="FE156" s="87"/>
      <c r="FF156" s="87"/>
      <c r="FG156" s="87"/>
      <c r="FH156" s="87"/>
      <c r="FI156" s="87"/>
      <c r="FJ156" s="87"/>
      <c r="FK156" s="87"/>
      <c r="FL156" s="87"/>
      <c r="FM156" s="87"/>
      <c r="FN156" s="87"/>
      <c r="FO156" s="87"/>
      <c r="FP156" s="87"/>
      <c r="FQ156" s="89"/>
    </row>
    <row r="160" spans="52:173" ht="15.75" thickBot="1" x14ac:dyDescent="0.3"/>
    <row r="161" spans="52:162" ht="15.75" thickBot="1" x14ac:dyDescent="0.3">
      <c r="AZ161" s="63"/>
      <c r="BA161" s="64"/>
      <c r="BB161" s="64"/>
      <c r="BC161" s="64"/>
      <c r="BD161" s="64"/>
      <c r="BE161" s="64"/>
      <c r="BF161" s="64"/>
      <c r="BG161" s="64"/>
      <c r="BH161" s="64"/>
      <c r="BI161" s="64"/>
      <c r="BJ161" s="64"/>
      <c r="BK161" s="64"/>
      <c r="BL161" s="64"/>
      <c r="BM161" s="64"/>
      <c r="BN161" s="64"/>
      <c r="BO161" s="64"/>
      <c r="BP161" s="64"/>
      <c r="BQ161" s="64"/>
      <c r="BR161" s="64"/>
      <c r="BS161" s="64"/>
      <c r="BT161" s="64"/>
      <c r="BU161" s="64"/>
      <c r="BV161" s="64"/>
      <c r="BW161" s="64"/>
      <c r="BX161" s="64"/>
      <c r="BY161" s="64"/>
      <c r="BZ161" s="64"/>
      <c r="CA161" s="64"/>
      <c r="CB161" s="64"/>
      <c r="CC161" s="64"/>
      <c r="CD161" s="64"/>
      <c r="CE161" s="64"/>
      <c r="CF161" s="64"/>
      <c r="CG161" s="64"/>
      <c r="CH161" s="64"/>
      <c r="CI161" s="64"/>
      <c r="CJ161" s="64"/>
      <c r="CK161" s="64"/>
      <c r="CL161" s="175"/>
      <c r="CM161" s="175"/>
      <c r="CN161" s="64"/>
      <c r="CO161" s="64"/>
      <c r="CP161" s="64"/>
      <c r="CQ161" s="64"/>
      <c r="CR161" s="64"/>
      <c r="CS161" s="64"/>
      <c r="CT161" s="64"/>
      <c r="CU161" s="64"/>
      <c r="CV161" s="64"/>
      <c r="CW161" s="64"/>
      <c r="CX161" s="64"/>
      <c r="CY161" s="64"/>
      <c r="CZ161" s="64"/>
      <c r="DA161" s="64"/>
      <c r="DB161" s="64"/>
      <c r="DC161" s="64"/>
      <c r="DD161" s="64"/>
      <c r="DE161" s="64"/>
      <c r="DF161" s="64"/>
      <c r="DG161" s="64"/>
      <c r="DH161" s="64"/>
      <c r="DI161" s="64"/>
      <c r="DJ161" s="64"/>
      <c r="DK161" s="64"/>
      <c r="DL161" s="64"/>
      <c r="DM161" s="64"/>
      <c r="DN161" s="64"/>
      <c r="DO161" s="64"/>
      <c r="DP161" s="64"/>
      <c r="DQ161" s="64"/>
      <c r="DR161" s="64"/>
      <c r="DS161" s="64"/>
      <c r="DT161" s="64"/>
      <c r="DU161" s="64"/>
      <c r="DV161" s="64"/>
      <c r="DW161" s="64"/>
      <c r="DX161" s="64"/>
      <c r="DY161" s="64"/>
      <c r="DZ161" s="64"/>
      <c r="EA161" s="64"/>
      <c r="EB161" s="64"/>
      <c r="EC161" s="64"/>
      <c r="ED161" s="64"/>
      <c r="EE161" s="64"/>
      <c r="EF161" s="64"/>
      <c r="EG161" s="64"/>
      <c r="EH161" s="64"/>
      <c r="EI161" s="64"/>
      <c r="EJ161" s="64"/>
      <c r="EK161" s="64"/>
      <c r="EL161" s="64"/>
      <c r="EM161" s="64"/>
      <c r="EN161" s="64"/>
      <c r="EO161" s="64"/>
      <c r="EP161" s="64"/>
      <c r="EQ161" s="64"/>
      <c r="ER161" s="64"/>
      <c r="ES161" s="64"/>
      <c r="ET161" s="64"/>
      <c r="EU161" s="64"/>
      <c r="EV161" s="64"/>
      <c r="EW161" s="64"/>
      <c r="EX161" s="64"/>
      <c r="EY161" s="64"/>
      <c r="EZ161" s="64"/>
      <c r="FA161" s="64"/>
      <c r="FB161" s="64"/>
      <c r="FC161" s="64"/>
      <c r="FD161" s="64"/>
      <c r="FE161" s="64"/>
      <c r="FF161" s="65"/>
    </row>
    <row r="162" spans="52:162" ht="15.75" thickBot="1" x14ac:dyDescent="0.3">
      <c r="AZ162" s="54"/>
      <c r="BA162" s="57" t="s">
        <v>3</v>
      </c>
      <c r="BB162" s="57"/>
      <c r="BC162" s="57"/>
      <c r="BD162" s="57"/>
      <c r="BE162" s="57"/>
      <c r="BF162" s="57"/>
      <c r="BG162" s="57"/>
      <c r="BH162" s="6" t="s">
        <v>30</v>
      </c>
      <c r="BI162" s="6"/>
      <c r="BJ162" s="6"/>
      <c r="BK162" s="6"/>
      <c r="BL162" s="6"/>
      <c r="BM162" s="6"/>
      <c r="BN162" s="6"/>
      <c r="BO162" s="6"/>
      <c r="BP162" s="6"/>
      <c r="BQ162" s="6"/>
      <c r="BR162" s="6"/>
      <c r="BS162" s="6"/>
      <c r="BT162" s="6"/>
      <c r="BU162" s="57"/>
      <c r="BV162" s="7" t="s">
        <v>31</v>
      </c>
      <c r="BW162" s="7"/>
      <c r="BX162" s="7"/>
      <c r="BY162" s="7"/>
      <c r="BZ162" s="7"/>
      <c r="CA162" s="7"/>
      <c r="CB162" s="7"/>
      <c r="CC162" s="7"/>
      <c r="CD162" s="7"/>
      <c r="CE162" s="7"/>
      <c r="CF162" s="7"/>
      <c r="CG162" s="7"/>
      <c r="CH162" s="57"/>
      <c r="CI162" s="135" t="s">
        <v>168</v>
      </c>
      <c r="CJ162" s="135"/>
      <c r="CK162" s="135"/>
      <c r="CL162" s="47"/>
      <c r="CM162" s="48"/>
      <c r="CN162" s="57"/>
      <c r="CO162" s="7" t="s">
        <v>169</v>
      </c>
      <c r="CP162" s="7"/>
      <c r="CQ162" s="7"/>
      <c r="CR162" s="57"/>
      <c r="CS162" s="7" t="s">
        <v>36</v>
      </c>
      <c r="CT162" s="7"/>
      <c r="CU162" s="7"/>
      <c r="CV162" s="57"/>
      <c r="CW162" s="57"/>
      <c r="CX162" s="13" t="s">
        <v>37</v>
      </c>
      <c r="CY162" s="13"/>
      <c r="CZ162" s="18"/>
      <c r="DA162" s="37"/>
      <c r="DB162" s="5" t="s">
        <v>38</v>
      </c>
      <c r="DC162" s="5"/>
      <c r="DD162" s="38"/>
      <c r="DE162" s="39"/>
      <c r="DF162" s="4" t="s">
        <v>39</v>
      </c>
      <c r="DG162" s="4"/>
      <c r="DH162" s="4"/>
      <c r="DI162" s="18"/>
      <c r="DJ162" s="37"/>
      <c r="DK162" s="5" t="s">
        <v>40</v>
      </c>
      <c r="DL162" s="5"/>
      <c r="DM162" s="18"/>
      <c r="DN162" s="37"/>
      <c r="DO162" s="37" t="s">
        <v>41</v>
      </c>
      <c r="DP162" s="99"/>
      <c r="DQ162" s="18"/>
      <c r="DR162" s="37"/>
      <c r="DS162" s="37" t="s">
        <v>42</v>
      </c>
      <c r="DT162" s="99"/>
      <c r="DU162" s="18"/>
      <c r="DV162" s="37"/>
      <c r="DW162" s="5" t="s">
        <v>43</v>
      </c>
      <c r="DX162" s="5"/>
      <c r="DY162" s="18"/>
      <c r="DZ162" s="37"/>
      <c r="EA162" s="5" t="s">
        <v>44</v>
      </c>
      <c r="EB162" s="5"/>
      <c r="EC162" s="18"/>
      <c r="ED162" s="37"/>
      <c r="EE162" s="5" t="s">
        <v>45</v>
      </c>
      <c r="EF162" s="5"/>
      <c r="EG162" s="18"/>
      <c r="EH162" s="37"/>
      <c r="EI162" s="3" t="s">
        <v>46</v>
      </c>
      <c r="EJ162" s="3"/>
      <c r="EK162" s="3"/>
      <c r="EL162" s="3"/>
      <c r="EM162" s="3"/>
      <c r="EN162" s="38"/>
      <c r="EO162" s="14" t="s">
        <v>47</v>
      </c>
      <c r="EP162" s="14"/>
      <c r="EQ162" s="14"/>
      <c r="ER162" s="40"/>
      <c r="ES162" s="18"/>
      <c r="ET162" s="14" t="s">
        <v>170</v>
      </c>
      <c r="EU162" s="14"/>
      <c r="EV162" s="14"/>
      <c r="EW162" s="38"/>
      <c r="EX162" s="14" t="s">
        <v>171</v>
      </c>
      <c r="EY162" s="14"/>
      <c r="EZ162" s="14"/>
      <c r="FA162" s="38"/>
      <c r="FB162" s="14" t="s">
        <v>172</v>
      </c>
      <c r="FC162" s="14"/>
      <c r="FD162" s="14"/>
      <c r="FE162" s="57"/>
      <c r="FF162" s="61"/>
    </row>
    <row r="163" spans="52:162" ht="15.75" thickBot="1" x14ac:dyDescent="0.3">
      <c r="AZ163" s="54"/>
      <c r="BA163" s="57"/>
      <c r="BB163" s="57"/>
      <c r="BC163" s="57"/>
      <c r="BD163" s="57"/>
      <c r="BE163" s="57"/>
      <c r="BF163" s="57"/>
      <c r="BG163" s="57"/>
      <c r="BH163" s="42"/>
      <c r="BI163" s="43" t="s">
        <v>48</v>
      </c>
      <c r="BJ163" s="44" t="s">
        <v>49</v>
      </c>
      <c r="BK163" s="43" t="s">
        <v>50</v>
      </c>
      <c r="BL163" s="45"/>
      <c r="BM163" s="42"/>
      <c r="BN163" s="43" t="s">
        <v>173</v>
      </c>
      <c r="BO163" s="44" t="s">
        <v>49</v>
      </c>
      <c r="BP163" s="45" t="s">
        <v>50</v>
      </c>
      <c r="BQ163" s="43"/>
      <c r="BR163" s="43" t="s">
        <v>174</v>
      </c>
      <c r="BS163" s="44" t="s">
        <v>49</v>
      </c>
      <c r="BT163" s="45" t="s">
        <v>50</v>
      </c>
      <c r="BU163" s="57"/>
      <c r="BV163" s="42" t="s">
        <v>53</v>
      </c>
      <c r="BW163" s="43" t="s">
        <v>54</v>
      </c>
      <c r="BX163" s="45" t="s">
        <v>55</v>
      </c>
      <c r="BY163" s="7" t="s">
        <v>53</v>
      </c>
      <c r="BZ163" s="7"/>
      <c r="CA163" s="7"/>
      <c r="CB163" s="7" t="s">
        <v>54</v>
      </c>
      <c r="CC163" s="7"/>
      <c r="CD163" s="7"/>
      <c r="CE163" s="7" t="s">
        <v>55</v>
      </c>
      <c r="CF163" s="7"/>
      <c r="CG163" s="7"/>
      <c r="CH163" s="57"/>
      <c r="CI163" s="67" t="s">
        <v>56</v>
      </c>
      <c r="CJ163" s="34"/>
      <c r="CK163" s="100"/>
      <c r="CL163" s="34"/>
      <c r="CM163" s="61"/>
      <c r="CN163" s="57"/>
      <c r="CO163" s="54">
        <f t="shared" ref="CO163:CO168" si="49">IF($F$11&lt;CP163,1,0)</f>
        <v>1</v>
      </c>
      <c r="CP163" s="57">
        <v>2</v>
      </c>
      <c r="CQ163" s="61" t="s">
        <v>175</v>
      </c>
      <c r="CR163" s="57"/>
      <c r="CS163" s="63">
        <v>6.6000000000000003E-2</v>
      </c>
      <c r="CT163" s="64">
        <f>IF($B$4&lt;CS163,1,0)</f>
        <v>1</v>
      </c>
      <c r="CU163" s="65" t="s">
        <v>176</v>
      </c>
      <c r="CV163" s="57"/>
      <c r="CW163" s="57"/>
      <c r="CX163" s="50" t="s">
        <v>61</v>
      </c>
      <c r="CY163" s="34" t="s">
        <v>62</v>
      </c>
      <c r="CZ163" s="51"/>
      <c r="DA163" s="34" t="s">
        <v>85</v>
      </c>
      <c r="DB163" s="52" t="s">
        <v>61</v>
      </c>
      <c r="DC163" s="31" t="s">
        <v>63</v>
      </c>
      <c r="DD163" s="53"/>
      <c r="DE163" s="54" t="s">
        <v>31</v>
      </c>
      <c r="DF163" s="52" t="s">
        <v>61</v>
      </c>
      <c r="DG163" s="31" t="s">
        <v>63</v>
      </c>
      <c r="DH163" s="55" t="s">
        <v>64</v>
      </c>
      <c r="DI163" s="51"/>
      <c r="DJ163" s="34" t="s">
        <v>31</v>
      </c>
      <c r="DK163" s="56" t="s">
        <v>61</v>
      </c>
      <c r="DL163" s="34" t="s">
        <v>65</v>
      </c>
      <c r="DM163" s="51"/>
      <c r="DN163" s="66" t="s">
        <v>177</v>
      </c>
      <c r="DO163" s="101" t="s">
        <v>61</v>
      </c>
      <c r="DP163" s="17" t="s">
        <v>63</v>
      </c>
      <c r="DQ163" s="51"/>
      <c r="DR163" s="66" t="s">
        <v>98</v>
      </c>
      <c r="DS163" s="101" t="s">
        <v>61</v>
      </c>
      <c r="DT163" s="17" t="s">
        <v>63</v>
      </c>
      <c r="DU163" s="51"/>
      <c r="DV163" s="34" t="s">
        <v>178</v>
      </c>
      <c r="DW163" s="52" t="s">
        <v>61</v>
      </c>
      <c r="DX163" s="31" t="s">
        <v>63</v>
      </c>
      <c r="DY163" s="51"/>
      <c r="DZ163" s="34" t="s">
        <v>179</v>
      </c>
      <c r="EA163" s="52" t="s">
        <v>61</v>
      </c>
      <c r="EB163" s="31" t="s">
        <v>63</v>
      </c>
      <c r="EC163" s="51"/>
      <c r="ED163" s="34" t="s">
        <v>180</v>
      </c>
      <c r="EE163" s="52" t="s">
        <v>61</v>
      </c>
      <c r="EF163" s="31" t="s">
        <v>63</v>
      </c>
      <c r="EG163" s="51"/>
      <c r="EH163" s="34"/>
      <c r="EI163" s="52" t="s">
        <v>61</v>
      </c>
      <c r="EJ163" s="34" t="s">
        <v>66</v>
      </c>
      <c r="EK163" s="34"/>
      <c r="EL163" s="34"/>
      <c r="EM163" s="34" t="s">
        <v>66</v>
      </c>
      <c r="EN163" s="53"/>
      <c r="EO163" s="57"/>
      <c r="EP163" s="56" t="s">
        <v>61</v>
      </c>
      <c r="EQ163" s="34" t="s">
        <v>66</v>
      </c>
      <c r="ER163" s="53"/>
      <c r="ES163" s="51"/>
      <c r="ET163" s="34"/>
      <c r="EU163" s="52" t="s">
        <v>61</v>
      </c>
      <c r="EV163" s="31" t="s">
        <v>67</v>
      </c>
      <c r="EW163" s="53"/>
      <c r="EX163" s="34"/>
      <c r="EY163" s="52" t="s">
        <v>61</v>
      </c>
      <c r="EZ163" s="31" t="s">
        <v>68</v>
      </c>
      <c r="FA163" s="53"/>
      <c r="FB163" s="34"/>
      <c r="FC163" s="52" t="s">
        <v>61</v>
      </c>
      <c r="FD163" s="30" t="s">
        <v>69</v>
      </c>
      <c r="FE163" s="57"/>
      <c r="FF163" s="61"/>
    </row>
    <row r="164" spans="52:162" ht="45" x14ac:dyDescent="0.25">
      <c r="AZ164" s="170" t="s">
        <v>70</v>
      </c>
      <c r="BA164" s="176">
        <f>IF(D37=1,C17,0)</f>
        <v>0.4</v>
      </c>
      <c r="BB164" s="57" t="s">
        <v>71</v>
      </c>
      <c r="BC164" s="57"/>
      <c r="BD164" s="57" t="s">
        <v>72</v>
      </c>
      <c r="BE164" s="74">
        <f>BA164*1000/(BA165-BA166)</f>
        <v>10</v>
      </c>
      <c r="BF164" s="57"/>
      <c r="BG164" s="57"/>
      <c r="BH164" s="54">
        <f t="shared" ref="BH164:BH177" si="50">IF($B$11&lt;12,(IF((BK164&gt;4)*AND(BK164&lt;16),2,0)),IF((BK164&gt;4)*AND(BK164&lt;20),2,0))</f>
        <v>0</v>
      </c>
      <c r="BI164" s="57">
        <v>15</v>
      </c>
      <c r="BJ164" s="57">
        <f>1/POWER(1.14+2*LOG10((BI164/1000)/($BJ$181/1000)),2)</f>
        <v>5.9655827422120798E-2</v>
      </c>
      <c r="BK164" s="57">
        <f>0.00638*BJ164*POWER($BE$164,2)/(POWER(BI164/1000,5)*$BJ$180)</f>
        <v>52296.23844310212</v>
      </c>
      <c r="BL164" s="61"/>
      <c r="BM164" s="54">
        <f t="shared" ref="BM164:BM177" si="51">IF((BP164&gt;4)*AND(BP164&lt;16),1,0)</f>
        <v>0</v>
      </c>
      <c r="BN164" s="57">
        <v>15</v>
      </c>
      <c r="BO164" s="57">
        <f>1/POWER(1.14+2*LOG10((BN164/1000)/($BJ$181/1000)),2)</f>
        <v>5.9655827422120798E-2</v>
      </c>
      <c r="BP164" s="61">
        <f>0.00638*BO164*POWER($BE$171,2)/(POWER(BN164/1000,5)*$BJ$180)</f>
        <v>3346959.2603585357</v>
      </c>
      <c r="BQ164" s="57">
        <f t="shared" ref="BQ164:BQ177" si="52">BM164</f>
        <v>0</v>
      </c>
      <c r="BR164" s="57">
        <v>15</v>
      </c>
      <c r="BS164" s="57"/>
      <c r="BT164" s="61"/>
      <c r="BU164" s="57"/>
      <c r="BV164" s="62" t="s">
        <v>73</v>
      </c>
      <c r="BW164" s="57">
        <f>IF(BA171&gt;12,3,1.8)</f>
        <v>3</v>
      </c>
      <c r="BX164" s="57"/>
      <c r="BY164" s="63">
        <f t="shared" ref="BY164:BY181" si="53">IF(CA164&gt;$X$5,1,0)</f>
        <v>1</v>
      </c>
      <c r="BZ164" s="64">
        <v>15</v>
      </c>
      <c r="CA164" s="65">
        <v>1.6</v>
      </c>
      <c r="CB164" s="63">
        <f t="shared" ref="CB164:CB182" si="54">IF(CD164&gt;$X$5,1,0)</f>
        <v>1</v>
      </c>
      <c r="CC164" s="64">
        <v>15</v>
      </c>
      <c r="CD164" s="65">
        <v>1.6</v>
      </c>
      <c r="CE164" s="57">
        <f t="shared" ref="CE164:CE176" si="55">IF(CG164&gt;$X$5,1,0)</f>
        <v>1</v>
      </c>
      <c r="CF164" s="57">
        <v>15</v>
      </c>
      <c r="CG164" s="61">
        <v>1.6</v>
      </c>
      <c r="CH164" s="57"/>
      <c r="CI164" s="53">
        <v>1.5</v>
      </c>
      <c r="CJ164" s="57">
        <f>IF($F$17&lt;CI164,1,0)</f>
        <v>1</v>
      </c>
      <c r="CK164" s="61" t="s">
        <v>181</v>
      </c>
      <c r="CL164" s="57">
        <f>IF($F$17&lt;CI164,1,0)</f>
        <v>1</v>
      </c>
      <c r="CM164" s="103" t="s">
        <v>182</v>
      </c>
      <c r="CN164" s="57"/>
      <c r="CO164" s="54">
        <f t="shared" si="49"/>
        <v>1</v>
      </c>
      <c r="CP164" s="57">
        <v>3</v>
      </c>
      <c r="CQ164" s="61" t="s">
        <v>183</v>
      </c>
      <c r="CR164" s="57"/>
      <c r="CS164" s="54">
        <v>0.375</v>
      </c>
      <c r="CT164" s="57">
        <f>IF($B$4&lt;CS164,1,0)</f>
        <v>1</v>
      </c>
      <c r="CU164" s="61" t="s">
        <v>184</v>
      </c>
      <c r="CV164" s="57"/>
      <c r="CW164" s="57"/>
      <c r="CX164" s="50" t="s">
        <v>78</v>
      </c>
      <c r="CY164" s="34" t="s">
        <v>185</v>
      </c>
      <c r="CZ164" s="51"/>
      <c r="DA164" s="34">
        <f t="shared" ref="DA164:DA175" si="56">IF($F$5=DC164,1,0)</f>
        <v>0</v>
      </c>
      <c r="DB164" s="56" t="s">
        <v>80</v>
      </c>
      <c r="DC164" s="34">
        <v>15</v>
      </c>
      <c r="DD164" s="53"/>
      <c r="DE164" s="70">
        <f t="shared" ref="DE164:DE186" si="57">IF($F$7=DH164,1,0)</f>
        <v>0</v>
      </c>
      <c r="DF164" s="56" t="s">
        <v>80</v>
      </c>
      <c r="DG164" s="34">
        <v>15</v>
      </c>
      <c r="DH164" s="55">
        <v>0.63</v>
      </c>
      <c r="DI164" s="51"/>
      <c r="DJ164" s="34">
        <f>IF($B$14=DL164,1,0)</f>
        <v>0</v>
      </c>
      <c r="DK164" s="56" t="s">
        <v>78</v>
      </c>
      <c r="DL164" s="34" t="s">
        <v>53</v>
      </c>
      <c r="DM164" s="51"/>
      <c r="DN164" s="70">
        <f t="shared" ref="DN164:DN175" si="58">IF($F$5=DP164,1,0)</f>
        <v>0</v>
      </c>
      <c r="DO164" s="56" t="s">
        <v>81</v>
      </c>
      <c r="DP164" s="55">
        <v>15</v>
      </c>
      <c r="DQ164" s="51"/>
      <c r="DR164" s="70">
        <f t="shared" ref="DR164:DR175" si="59">IF($F$5=DT164,1,0)</f>
        <v>0</v>
      </c>
      <c r="DS164" s="56" t="s">
        <v>81</v>
      </c>
      <c r="DT164" s="55">
        <v>15</v>
      </c>
      <c r="DU164" s="51"/>
      <c r="DV164" s="34">
        <f t="shared" ref="DV164:DV175" si="60">IF($F$12=DX164,1,0)</f>
        <v>0</v>
      </c>
      <c r="DW164" s="56" t="s">
        <v>80</v>
      </c>
      <c r="DX164" s="34">
        <v>15</v>
      </c>
      <c r="DY164" s="51"/>
      <c r="DZ164" s="34">
        <f t="shared" ref="DZ164:DZ175" si="61">IF($F$16=EB164,1,0)</f>
        <v>0</v>
      </c>
      <c r="EA164" s="56" t="s">
        <v>80</v>
      </c>
      <c r="EB164" s="34">
        <v>15</v>
      </c>
      <c r="EC164" s="51"/>
      <c r="ED164" s="34">
        <f t="shared" ref="ED164:ED169" si="62">IF($E$13=EF164,1,0)</f>
        <v>0</v>
      </c>
      <c r="EE164" s="56" t="s">
        <v>78</v>
      </c>
      <c r="EF164" s="61" t="s">
        <v>175</v>
      </c>
      <c r="EG164" s="51"/>
      <c r="EH164" s="34">
        <f>IF($E$18=EJ164,1,0)</f>
        <v>0</v>
      </c>
      <c r="EI164" s="31">
        <v>1</v>
      </c>
      <c r="EJ164" s="57" t="s">
        <v>181</v>
      </c>
      <c r="EK164" s="31">
        <f>IF($E$18=EM164,1,0)</f>
        <v>0</v>
      </c>
      <c r="EL164" s="31">
        <v>1</v>
      </c>
      <c r="EM164" s="103" t="s">
        <v>182</v>
      </c>
      <c r="EN164" s="53"/>
      <c r="EO164" s="57"/>
      <c r="EP164" s="31"/>
      <c r="EQ164" s="57"/>
      <c r="ER164" s="53"/>
      <c r="ES164" s="51"/>
      <c r="ET164" s="34"/>
      <c r="EU164" s="56"/>
      <c r="EV164" s="57"/>
      <c r="EW164" s="53"/>
      <c r="EX164" s="34">
        <f>IF($B$16=EZ164,1,0)</f>
        <v>0</v>
      </c>
      <c r="EY164" s="56" t="s">
        <v>78</v>
      </c>
      <c r="EZ164" s="34" t="s">
        <v>83</v>
      </c>
      <c r="FA164" s="53"/>
      <c r="FB164" s="34">
        <f>IF($B$17=FD164,1,0)</f>
        <v>0</v>
      </c>
      <c r="FC164" s="56" t="s">
        <v>78</v>
      </c>
      <c r="FD164" s="61" t="s">
        <v>84</v>
      </c>
      <c r="FE164" s="57"/>
      <c r="FF164" s="61"/>
    </row>
    <row r="165" spans="52:162" ht="45" x14ac:dyDescent="0.25">
      <c r="AZ165" s="170" t="s">
        <v>85</v>
      </c>
      <c r="BA165" s="176">
        <v>70</v>
      </c>
      <c r="BB165" s="171" t="s">
        <v>86</v>
      </c>
      <c r="BC165" s="57"/>
      <c r="BD165" s="57" t="s">
        <v>48</v>
      </c>
      <c r="BE165" s="57">
        <f>VLOOKUP(2,BH164:BK177,2,0)</f>
        <v>80</v>
      </c>
      <c r="BF165" s="57"/>
      <c r="BG165" s="57"/>
      <c r="BH165" s="54">
        <f t="shared" si="50"/>
        <v>0</v>
      </c>
      <c r="BI165" s="57">
        <v>20</v>
      </c>
      <c r="BJ165" s="57">
        <f t="shared" ref="BJ165:BJ177" si="63">1/POWER(1.14+2*LOG10((BI165/1000)/($BJ$181/1000)),2)</f>
        <v>5.2990299783484442E-2</v>
      </c>
      <c r="BK165" s="57">
        <f t="shared" ref="BK165:BK177" si="64">0.00638*BJ165*POWER($BE$164,2)/(POWER(BI165/1000,5)*$BJ$180)</f>
        <v>11023.519427516914</v>
      </c>
      <c r="BL165" s="61"/>
      <c r="BM165" s="54">
        <f t="shared" si="51"/>
        <v>0</v>
      </c>
      <c r="BN165" s="57">
        <v>20</v>
      </c>
      <c r="BO165" s="57">
        <f t="shared" ref="BO165:BO177" si="65">1/POWER(1.14+2*LOG10((BN165/1000)/($BJ$181/1000)),2)</f>
        <v>5.2990299783484442E-2</v>
      </c>
      <c r="BP165" s="61">
        <f t="shared" ref="BP165:BP177" si="66">0.00638*BO165*POWER($BE$171,2)/(POWER(BN165/1000,5)*$BJ$180)</f>
        <v>705505.24336108251</v>
      </c>
      <c r="BQ165" s="57">
        <f t="shared" si="52"/>
        <v>0</v>
      </c>
      <c r="BR165" s="57">
        <v>15</v>
      </c>
      <c r="BS165" s="57"/>
      <c r="BT165" s="61"/>
      <c r="BU165" s="57"/>
      <c r="BV165" s="62" t="s">
        <v>87</v>
      </c>
      <c r="BW165" s="74">
        <f>BE164/SQRT(0.1*BW164)</f>
        <v>18.257418583505533</v>
      </c>
      <c r="BX165" s="74"/>
      <c r="BY165" s="54">
        <f t="shared" si="53"/>
        <v>1</v>
      </c>
      <c r="BZ165" s="57">
        <v>15</v>
      </c>
      <c r="CA165" s="61">
        <v>2.5</v>
      </c>
      <c r="CB165" s="54">
        <f t="shared" si="54"/>
        <v>1</v>
      </c>
      <c r="CC165" s="57">
        <v>15</v>
      </c>
      <c r="CD165" s="61">
        <v>2.5</v>
      </c>
      <c r="CE165" s="57">
        <f t="shared" si="55"/>
        <v>1</v>
      </c>
      <c r="CF165" s="57">
        <v>15</v>
      </c>
      <c r="CG165" s="61">
        <v>2.5</v>
      </c>
      <c r="CH165" s="57"/>
      <c r="CI165" s="53">
        <v>4</v>
      </c>
      <c r="CJ165" s="57">
        <f>IF($F$17&lt;CI165,1,0)</f>
        <v>1</v>
      </c>
      <c r="CK165" s="61" t="s">
        <v>186</v>
      </c>
      <c r="CL165" s="57">
        <f>IF($F$17&lt;CI165,1,0)</f>
        <v>1</v>
      </c>
      <c r="CM165" s="103" t="s">
        <v>187</v>
      </c>
      <c r="CN165" s="57"/>
      <c r="CO165" s="54">
        <f t="shared" si="49"/>
        <v>1</v>
      </c>
      <c r="CP165" s="57">
        <v>5</v>
      </c>
      <c r="CQ165" s="61" t="s">
        <v>188</v>
      </c>
      <c r="CR165" s="57"/>
      <c r="CS165" s="54">
        <v>0.61</v>
      </c>
      <c r="CT165" s="57">
        <f>IF($B$4&lt;CS165,1,0)</f>
        <v>1</v>
      </c>
      <c r="CU165" s="61" t="s">
        <v>189</v>
      </c>
      <c r="CV165" s="57"/>
      <c r="CW165" s="57"/>
      <c r="CX165" s="50" t="s">
        <v>94</v>
      </c>
      <c r="CY165" s="34" t="s">
        <v>190</v>
      </c>
      <c r="CZ165" s="51"/>
      <c r="DA165" s="34">
        <f t="shared" si="56"/>
        <v>0</v>
      </c>
      <c r="DB165" s="56" t="s">
        <v>96</v>
      </c>
      <c r="DC165" s="34">
        <v>20</v>
      </c>
      <c r="DD165" s="53"/>
      <c r="DE165" s="70">
        <f t="shared" si="57"/>
        <v>0</v>
      </c>
      <c r="DF165" s="56" t="s">
        <v>96</v>
      </c>
      <c r="DG165" s="34">
        <v>15</v>
      </c>
      <c r="DH165" s="55">
        <v>1.25</v>
      </c>
      <c r="DI165" s="51"/>
      <c r="DJ165" s="34">
        <f>IF($B$14=DL165,1,0)</f>
        <v>0</v>
      </c>
      <c r="DK165" s="56" t="s">
        <v>94</v>
      </c>
      <c r="DL165" s="34" t="s">
        <v>55</v>
      </c>
      <c r="DM165" s="51"/>
      <c r="DN165" s="70">
        <f t="shared" si="58"/>
        <v>0</v>
      </c>
      <c r="DO165" s="56" t="s">
        <v>81</v>
      </c>
      <c r="DP165" s="55">
        <v>20</v>
      </c>
      <c r="DQ165" s="51"/>
      <c r="DR165" s="70">
        <f t="shared" si="59"/>
        <v>0</v>
      </c>
      <c r="DS165" s="56" t="s">
        <v>81</v>
      </c>
      <c r="DT165" s="55">
        <v>20</v>
      </c>
      <c r="DU165" s="51"/>
      <c r="DV165" s="34">
        <f t="shared" si="60"/>
        <v>0</v>
      </c>
      <c r="DW165" s="56" t="s">
        <v>96</v>
      </c>
      <c r="DX165" s="34">
        <v>20</v>
      </c>
      <c r="DY165" s="51"/>
      <c r="DZ165" s="34">
        <f t="shared" si="61"/>
        <v>0</v>
      </c>
      <c r="EA165" s="56" t="s">
        <v>96</v>
      </c>
      <c r="EB165" s="34">
        <v>20</v>
      </c>
      <c r="EC165" s="51"/>
      <c r="ED165" s="34">
        <f t="shared" si="62"/>
        <v>0</v>
      </c>
      <c r="EE165" s="56" t="s">
        <v>94</v>
      </c>
      <c r="EF165" s="61" t="s">
        <v>183</v>
      </c>
      <c r="EG165" s="51"/>
      <c r="EH165" s="34">
        <f>IF($E$18=EJ165,1,0)</f>
        <v>1</v>
      </c>
      <c r="EI165" s="31"/>
      <c r="EJ165" s="57"/>
      <c r="EK165" s="31">
        <f>IF($E$18=EM165,1,0)</f>
        <v>0</v>
      </c>
      <c r="EL165" s="31">
        <v>2</v>
      </c>
      <c r="EM165" s="103" t="s">
        <v>187</v>
      </c>
      <c r="EN165" s="53"/>
      <c r="EO165" s="57">
        <f>IF($B$15=EQ165,1,0)</f>
        <v>0</v>
      </c>
      <c r="EP165" s="31">
        <v>1</v>
      </c>
      <c r="EQ165" s="31" t="s">
        <v>191</v>
      </c>
      <c r="ER165" s="53"/>
      <c r="ES165" s="51"/>
      <c r="ET165" s="34">
        <f t="shared" ref="ET165:ET179" si="67">IF($E$9=EV165,1,0)</f>
        <v>0</v>
      </c>
      <c r="EU165" s="56" t="s">
        <v>80</v>
      </c>
      <c r="EV165" s="61" t="s">
        <v>176</v>
      </c>
      <c r="EW165" s="53"/>
      <c r="EX165" s="34">
        <f>IF($B$16=EZ165,1,0)</f>
        <v>0</v>
      </c>
      <c r="EY165" s="56" t="s">
        <v>94</v>
      </c>
      <c r="EZ165" s="34" t="s">
        <v>55</v>
      </c>
      <c r="FA165" s="53"/>
      <c r="FB165" s="34">
        <f>IF($B$17=FD165,1,0)</f>
        <v>0</v>
      </c>
      <c r="FC165" s="56" t="s">
        <v>81</v>
      </c>
      <c r="FD165" s="55" t="s">
        <v>97</v>
      </c>
      <c r="FE165" s="57"/>
      <c r="FF165" s="61"/>
    </row>
    <row r="166" spans="52:162" ht="45" x14ac:dyDescent="0.25">
      <c r="AZ166" s="170" t="s">
        <v>98</v>
      </c>
      <c r="BA166" s="176">
        <v>30</v>
      </c>
      <c r="BB166" s="171" t="s">
        <v>86</v>
      </c>
      <c r="BC166" s="57"/>
      <c r="BD166" s="57" t="s">
        <v>99</v>
      </c>
      <c r="BE166" s="57">
        <f>VLOOKUP(1,IF(BA174="IMI Hydronic",BY164:CA181,IF(BA174="Siemens",CB164:CD182,CE164:CG176)),2,0)</f>
        <v>15</v>
      </c>
      <c r="BF166" s="57"/>
      <c r="BG166" s="57"/>
      <c r="BH166" s="54">
        <f t="shared" si="50"/>
        <v>0</v>
      </c>
      <c r="BI166" s="57">
        <v>25</v>
      </c>
      <c r="BJ166" s="57">
        <f t="shared" si="63"/>
        <v>4.8560427292756572E-2</v>
      </c>
      <c r="BK166" s="57">
        <f t="shared" si="64"/>
        <v>3310.2159719830311</v>
      </c>
      <c r="BL166" s="61"/>
      <c r="BM166" s="54">
        <f t="shared" si="51"/>
        <v>0</v>
      </c>
      <c r="BN166" s="57">
        <v>25</v>
      </c>
      <c r="BO166" s="57">
        <f t="shared" si="65"/>
        <v>4.8560427292756572E-2</v>
      </c>
      <c r="BP166" s="61">
        <f t="shared" si="66"/>
        <v>211853.82220691399</v>
      </c>
      <c r="BQ166" s="57">
        <f t="shared" si="52"/>
        <v>0</v>
      </c>
      <c r="BR166" s="57">
        <v>20</v>
      </c>
      <c r="BS166" s="57"/>
      <c r="BT166" s="61"/>
      <c r="BU166" s="57"/>
      <c r="BV166" s="54"/>
      <c r="BW166" s="57"/>
      <c r="BX166" s="57"/>
      <c r="BY166" s="54">
        <f t="shared" si="53"/>
        <v>1</v>
      </c>
      <c r="BZ166" s="57">
        <v>15</v>
      </c>
      <c r="CA166" s="61">
        <v>4</v>
      </c>
      <c r="CB166" s="54">
        <f t="shared" si="54"/>
        <v>1</v>
      </c>
      <c r="CC166" s="57">
        <v>15</v>
      </c>
      <c r="CD166" s="61">
        <v>4</v>
      </c>
      <c r="CE166" s="57">
        <f t="shared" si="55"/>
        <v>1</v>
      </c>
      <c r="CF166" s="57">
        <v>15</v>
      </c>
      <c r="CG166" s="61">
        <v>4</v>
      </c>
      <c r="CH166" s="57"/>
      <c r="CI166" s="53">
        <v>6</v>
      </c>
      <c r="CJ166" s="57">
        <f>IF($F$17&lt;CI166,1,0)</f>
        <v>1</v>
      </c>
      <c r="CK166" s="61" t="s">
        <v>186</v>
      </c>
      <c r="CL166" s="57">
        <f>IF($F$17&lt;CI166,1,0)</f>
        <v>1</v>
      </c>
      <c r="CM166" s="103" t="s">
        <v>192</v>
      </c>
      <c r="CN166" s="57"/>
      <c r="CO166" s="54">
        <f t="shared" si="49"/>
        <v>1</v>
      </c>
      <c r="CP166" s="57">
        <v>8</v>
      </c>
      <c r="CQ166" s="61" t="s">
        <v>193</v>
      </c>
      <c r="CR166" s="57"/>
      <c r="CS166" s="54">
        <v>0.83499999999999996</v>
      </c>
      <c r="CT166" s="57">
        <f>IF($B$4&lt;CS166,1,0)</f>
        <v>1</v>
      </c>
      <c r="CU166" s="61" t="s">
        <v>194</v>
      </c>
      <c r="CV166" s="57"/>
      <c r="CW166" s="57"/>
      <c r="CX166" s="50"/>
      <c r="CY166" s="34"/>
      <c r="CZ166" s="51"/>
      <c r="DA166" s="34">
        <f t="shared" si="56"/>
        <v>0</v>
      </c>
      <c r="DB166" s="56" t="s">
        <v>103</v>
      </c>
      <c r="DC166" s="34">
        <v>25</v>
      </c>
      <c r="DD166" s="53"/>
      <c r="DE166" s="70">
        <f t="shared" si="57"/>
        <v>0</v>
      </c>
      <c r="DF166" s="56" t="s">
        <v>103</v>
      </c>
      <c r="DG166" s="34">
        <v>15</v>
      </c>
      <c r="DH166" s="55">
        <v>1.6</v>
      </c>
      <c r="DI166" s="51"/>
      <c r="DJ166" s="34">
        <f>IF($B$14=DL166,1,0)</f>
        <v>0</v>
      </c>
      <c r="DK166" s="56" t="s">
        <v>104</v>
      </c>
      <c r="DL166" s="34" t="s">
        <v>54</v>
      </c>
      <c r="DM166" s="51"/>
      <c r="DN166" s="70">
        <f t="shared" si="58"/>
        <v>0</v>
      </c>
      <c r="DO166" s="56" t="s">
        <v>81</v>
      </c>
      <c r="DP166" s="55">
        <v>25</v>
      </c>
      <c r="DQ166" s="51"/>
      <c r="DR166" s="70">
        <f t="shared" si="59"/>
        <v>0</v>
      </c>
      <c r="DS166" s="56" t="s">
        <v>81</v>
      </c>
      <c r="DT166" s="55">
        <v>25</v>
      </c>
      <c r="DU166" s="51"/>
      <c r="DV166" s="34">
        <f t="shared" si="60"/>
        <v>0</v>
      </c>
      <c r="DW166" s="56" t="s">
        <v>103</v>
      </c>
      <c r="DX166" s="34">
        <v>25</v>
      </c>
      <c r="DY166" s="51"/>
      <c r="DZ166" s="34">
        <f t="shared" si="61"/>
        <v>0</v>
      </c>
      <c r="EA166" s="56" t="s">
        <v>103</v>
      </c>
      <c r="EB166" s="34">
        <v>25</v>
      </c>
      <c r="EC166" s="51"/>
      <c r="ED166" s="34">
        <f t="shared" si="62"/>
        <v>0</v>
      </c>
      <c r="EE166" s="56" t="s">
        <v>104</v>
      </c>
      <c r="EF166" s="61" t="s">
        <v>188</v>
      </c>
      <c r="EG166" s="51"/>
      <c r="EH166" s="34">
        <f>IF($E$18=EJ166,1,0)</f>
        <v>0</v>
      </c>
      <c r="EI166" s="31">
        <v>3</v>
      </c>
      <c r="EJ166" s="57" t="s">
        <v>186</v>
      </c>
      <c r="EK166" s="31">
        <f>IF($E$18=EM166,1,0)</f>
        <v>0</v>
      </c>
      <c r="EL166" s="31">
        <v>3</v>
      </c>
      <c r="EM166" s="103" t="s">
        <v>192</v>
      </c>
      <c r="EN166" s="53"/>
      <c r="EO166" s="57">
        <f>IF($B$15=EQ166,1,0)</f>
        <v>0</v>
      </c>
      <c r="EP166" s="31">
        <v>2</v>
      </c>
      <c r="EQ166" s="76" t="s">
        <v>195</v>
      </c>
      <c r="ER166" s="53"/>
      <c r="ES166" s="51"/>
      <c r="ET166" s="34">
        <f t="shared" si="67"/>
        <v>0</v>
      </c>
      <c r="EU166" s="56" t="s">
        <v>96</v>
      </c>
      <c r="EV166" s="61" t="s">
        <v>196</v>
      </c>
      <c r="EW166" s="53"/>
      <c r="EX166" s="34">
        <f>IF($B$16=EZ166,1,0)</f>
        <v>0</v>
      </c>
      <c r="EY166" s="56" t="s">
        <v>104</v>
      </c>
      <c r="EZ166" s="76" t="s">
        <v>54</v>
      </c>
      <c r="FA166" s="53"/>
      <c r="FB166" s="34"/>
      <c r="FC166" s="56"/>
      <c r="FD166" s="55"/>
      <c r="FE166" s="57"/>
      <c r="FF166" s="61"/>
    </row>
    <row r="167" spans="52:162" ht="45" x14ac:dyDescent="0.25">
      <c r="AZ167" s="170" t="s">
        <v>178</v>
      </c>
      <c r="BA167" s="176">
        <f>IF((N17-BA168)&lt;5,BA168+5,N17)</f>
        <v>5</v>
      </c>
      <c r="BB167" s="171" t="s">
        <v>86</v>
      </c>
      <c r="BC167" s="57"/>
      <c r="BD167" s="57" t="s">
        <v>106</v>
      </c>
      <c r="BE167" s="57">
        <f>VLOOKUP(1,IF(BA174="IMI Hydronic",BY164:CA181,IF(BA174="Siemens",CB164:CD182,CE164:CG176)),3,0)</f>
        <v>1.6</v>
      </c>
      <c r="BF167" s="57"/>
      <c r="BG167" s="57"/>
      <c r="BH167" s="54">
        <f t="shared" si="50"/>
        <v>0</v>
      </c>
      <c r="BI167" s="57">
        <v>32</v>
      </c>
      <c r="BJ167" s="57">
        <f t="shared" si="63"/>
        <v>4.4277322004702871E-2</v>
      </c>
      <c r="BK167" s="57">
        <f t="shared" si="64"/>
        <v>878.4262957564614</v>
      </c>
      <c r="BL167" s="61"/>
      <c r="BM167" s="54">
        <f t="shared" si="51"/>
        <v>0</v>
      </c>
      <c r="BN167" s="57">
        <v>32</v>
      </c>
      <c r="BO167" s="57">
        <f t="shared" si="65"/>
        <v>4.4277322004702871E-2</v>
      </c>
      <c r="BP167" s="61">
        <f t="shared" si="66"/>
        <v>56219.28292841353</v>
      </c>
      <c r="BQ167" s="57">
        <f t="shared" si="52"/>
        <v>0</v>
      </c>
      <c r="BR167" s="57">
        <v>25</v>
      </c>
      <c r="BS167" s="57"/>
      <c r="BT167" s="61"/>
      <c r="BU167" s="57"/>
      <c r="BV167" s="54"/>
      <c r="BW167" s="57"/>
      <c r="BX167" s="57"/>
      <c r="BY167" s="54">
        <f t="shared" si="53"/>
        <v>1</v>
      </c>
      <c r="BZ167" s="57">
        <v>20</v>
      </c>
      <c r="CA167" s="61">
        <v>6.3</v>
      </c>
      <c r="CB167" s="54">
        <f t="shared" si="54"/>
        <v>1</v>
      </c>
      <c r="CC167" s="57">
        <v>20</v>
      </c>
      <c r="CD167" s="61">
        <v>6.3</v>
      </c>
      <c r="CE167" s="57">
        <f t="shared" si="55"/>
        <v>1</v>
      </c>
      <c r="CF167" s="57">
        <v>20</v>
      </c>
      <c r="CG167" s="61">
        <v>6.3</v>
      </c>
      <c r="CH167" s="57"/>
      <c r="CI167" s="53">
        <v>12</v>
      </c>
      <c r="CJ167" s="57">
        <f>IF($F$17&lt;CI167,1,0)</f>
        <v>1</v>
      </c>
      <c r="CK167" s="61" t="s">
        <v>197</v>
      </c>
      <c r="CL167" s="57">
        <f>IF($F$17&lt;CI167,1,0)</f>
        <v>1</v>
      </c>
      <c r="CM167" s="103" t="s">
        <v>198</v>
      </c>
      <c r="CN167" s="57"/>
      <c r="CO167" s="54">
        <f t="shared" si="49"/>
        <v>1</v>
      </c>
      <c r="CP167" s="57">
        <v>14</v>
      </c>
      <c r="CQ167" s="61" t="s">
        <v>199</v>
      </c>
      <c r="CR167" s="57"/>
      <c r="CS167" s="54">
        <v>1.0009999999999999</v>
      </c>
      <c r="CT167" s="57">
        <f>IF($B$4&lt;CS167,1,0)</f>
        <v>1</v>
      </c>
      <c r="CU167" s="61" t="s">
        <v>200</v>
      </c>
      <c r="CV167" s="57"/>
      <c r="CW167" s="57"/>
      <c r="CX167" s="50"/>
      <c r="CY167" s="34"/>
      <c r="CZ167" s="51"/>
      <c r="DA167" s="34">
        <f t="shared" si="56"/>
        <v>0</v>
      </c>
      <c r="DB167" s="56" t="s">
        <v>110</v>
      </c>
      <c r="DC167" s="34">
        <v>32</v>
      </c>
      <c r="DD167" s="53"/>
      <c r="DE167" s="70">
        <f t="shared" si="57"/>
        <v>0</v>
      </c>
      <c r="DF167" s="56" t="s">
        <v>110</v>
      </c>
      <c r="DG167" s="34">
        <v>15</v>
      </c>
      <c r="DH167" s="55">
        <v>2.5</v>
      </c>
      <c r="DI167" s="51"/>
      <c r="DJ167" s="34"/>
      <c r="DK167" s="56"/>
      <c r="DL167" s="34"/>
      <c r="DM167" s="51"/>
      <c r="DN167" s="70">
        <f t="shared" si="58"/>
        <v>0</v>
      </c>
      <c r="DO167" s="56" t="s">
        <v>81</v>
      </c>
      <c r="DP167" s="55">
        <v>32</v>
      </c>
      <c r="DQ167" s="51"/>
      <c r="DR167" s="70">
        <f t="shared" si="59"/>
        <v>0</v>
      </c>
      <c r="DS167" s="56" t="s">
        <v>81</v>
      </c>
      <c r="DT167" s="55">
        <v>32</v>
      </c>
      <c r="DU167" s="51"/>
      <c r="DV167" s="34">
        <f t="shared" si="60"/>
        <v>0</v>
      </c>
      <c r="DW167" s="56" t="s">
        <v>110</v>
      </c>
      <c r="DX167" s="34">
        <v>32</v>
      </c>
      <c r="DY167" s="51"/>
      <c r="DZ167" s="34">
        <f t="shared" si="61"/>
        <v>0</v>
      </c>
      <c r="EA167" s="56" t="s">
        <v>110</v>
      </c>
      <c r="EB167" s="34">
        <v>32</v>
      </c>
      <c r="EC167" s="51"/>
      <c r="ED167" s="34">
        <f t="shared" si="62"/>
        <v>0</v>
      </c>
      <c r="EE167" s="56" t="s">
        <v>116</v>
      </c>
      <c r="EF167" s="61" t="s">
        <v>193</v>
      </c>
      <c r="EG167" s="51"/>
      <c r="EH167" s="34">
        <f>IF($E$18=EJ167,1,0)</f>
        <v>0</v>
      </c>
      <c r="EI167" s="76">
        <v>4</v>
      </c>
      <c r="EJ167" s="57" t="s">
        <v>197</v>
      </c>
      <c r="EK167" s="31">
        <f>IF($E$18=EM167,1,0)</f>
        <v>0</v>
      </c>
      <c r="EL167" s="76">
        <v>4</v>
      </c>
      <c r="EM167" s="103" t="s">
        <v>198</v>
      </c>
      <c r="EN167" s="53"/>
      <c r="EO167" s="57"/>
      <c r="EP167" s="31"/>
      <c r="EQ167" s="57"/>
      <c r="ER167" s="53"/>
      <c r="ES167" s="51"/>
      <c r="ET167" s="34">
        <f t="shared" si="67"/>
        <v>0</v>
      </c>
      <c r="EU167" s="56" t="s">
        <v>103</v>
      </c>
      <c r="EV167" s="61" t="s">
        <v>201</v>
      </c>
      <c r="EW167" s="53"/>
      <c r="EX167" s="34"/>
      <c r="EY167" s="57"/>
      <c r="EZ167" s="57"/>
      <c r="FA167" s="53"/>
      <c r="FB167" s="34"/>
      <c r="FC167" s="56"/>
      <c r="FD167" s="30"/>
      <c r="FE167" s="57"/>
      <c r="FF167" s="61"/>
    </row>
    <row r="168" spans="52:162" x14ac:dyDescent="0.25">
      <c r="AZ168" s="170" t="s">
        <v>202</v>
      </c>
      <c r="BA168" s="176">
        <f>R17</f>
        <v>0</v>
      </c>
      <c r="BB168" s="171" t="s">
        <v>86</v>
      </c>
      <c r="BC168" s="57"/>
      <c r="BD168" s="78" t="s">
        <v>73</v>
      </c>
      <c r="BE168" s="74">
        <f>(BE164^2/BE167^2)*10</f>
        <v>390.62499999999994</v>
      </c>
      <c r="BF168" s="57"/>
      <c r="BG168" s="57"/>
      <c r="BH168" s="54">
        <f t="shared" si="50"/>
        <v>0</v>
      </c>
      <c r="BI168" s="57">
        <v>40</v>
      </c>
      <c r="BJ168" s="57">
        <f t="shared" si="63"/>
        <v>4.0875226338606248E-2</v>
      </c>
      <c r="BK168" s="57">
        <f t="shared" si="64"/>
        <v>265.72602290469865</v>
      </c>
      <c r="BL168" s="61"/>
      <c r="BM168" s="54">
        <f t="shared" si="51"/>
        <v>0</v>
      </c>
      <c r="BN168" s="57">
        <v>40</v>
      </c>
      <c r="BO168" s="57">
        <f t="shared" si="65"/>
        <v>4.0875226338606248E-2</v>
      </c>
      <c r="BP168" s="61">
        <f t="shared" si="66"/>
        <v>17006.465465900714</v>
      </c>
      <c r="BQ168" s="57">
        <f t="shared" si="52"/>
        <v>0</v>
      </c>
      <c r="BR168" s="57">
        <v>32</v>
      </c>
      <c r="BS168" s="57"/>
      <c r="BT168" s="61"/>
      <c r="BU168" s="57"/>
      <c r="BV168" s="62"/>
      <c r="BW168" s="57"/>
      <c r="BX168" s="74"/>
      <c r="BY168" s="54">
        <f t="shared" si="53"/>
        <v>1</v>
      </c>
      <c r="BZ168" s="57">
        <v>25</v>
      </c>
      <c r="CA168" s="61">
        <v>10</v>
      </c>
      <c r="CB168" s="54">
        <f t="shared" si="54"/>
        <v>1</v>
      </c>
      <c r="CC168" s="57">
        <v>25</v>
      </c>
      <c r="CD168" s="61">
        <v>10</v>
      </c>
      <c r="CE168" s="57">
        <f t="shared" si="55"/>
        <v>1</v>
      </c>
      <c r="CF168" s="57">
        <v>25</v>
      </c>
      <c r="CG168" s="61">
        <v>10</v>
      </c>
      <c r="CH168" s="57"/>
      <c r="CI168" s="53"/>
      <c r="CJ168" s="34"/>
      <c r="CK168" s="61"/>
      <c r="CL168" s="57"/>
      <c r="CM168" s="61"/>
      <c r="CN168" s="57"/>
      <c r="CO168" s="54">
        <f t="shared" si="49"/>
        <v>1</v>
      </c>
      <c r="CP168" s="57">
        <v>20</v>
      </c>
      <c r="CQ168" s="61" t="s">
        <v>203</v>
      </c>
      <c r="CR168" s="57"/>
      <c r="CS168" s="54"/>
      <c r="CT168" s="57"/>
      <c r="CU168" s="61"/>
      <c r="CV168" s="57"/>
      <c r="CW168" s="57"/>
      <c r="CX168" s="50"/>
      <c r="CY168" s="34"/>
      <c r="CZ168" s="51"/>
      <c r="DA168" s="34">
        <f t="shared" si="56"/>
        <v>0</v>
      </c>
      <c r="DB168" s="56" t="s">
        <v>115</v>
      </c>
      <c r="DC168" s="34">
        <v>40</v>
      </c>
      <c r="DD168" s="53"/>
      <c r="DE168" s="70">
        <f t="shared" si="57"/>
        <v>0</v>
      </c>
      <c r="DF168" s="56" t="s">
        <v>115</v>
      </c>
      <c r="DG168" s="34">
        <v>15</v>
      </c>
      <c r="DH168" s="55">
        <v>4</v>
      </c>
      <c r="DI168" s="51"/>
      <c r="DJ168" s="34"/>
      <c r="DK168" s="56"/>
      <c r="DL168" s="34"/>
      <c r="DM168" s="51"/>
      <c r="DN168" s="70">
        <f t="shared" si="58"/>
        <v>0</v>
      </c>
      <c r="DO168" s="56" t="s">
        <v>81</v>
      </c>
      <c r="DP168" s="55">
        <v>40</v>
      </c>
      <c r="DQ168" s="51"/>
      <c r="DR168" s="70">
        <f t="shared" si="59"/>
        <v>0</v>
      </c>
      <c r="DS168" s="56" t="s">
        <v>81</v>
      </c>
      <c r="DT168" s="55">
        <v>40</v>
      </c>
      <c r="DU168" s="51"/>
      <c r="DV168" s="34">
        <f t="shared" si="60"/>
        <v>0</v>
      </c>
      <c r="DW168" s="56" t="s">
        <v>115</v>
      </c>
      <c r="DX168" s="34">
        <v>40</v>
      </c>
      <c r="DY168" s="51"/>
      <c r="DZ168" s="34">
        <f t="shared" si="61"/>
        <v>0</v>
      </c>
      <c r="EA168" s="56" t="s">
        <v>115</v>
      </c>
      <c r="EB168" s="34">
        <v>40</v>
      </c>
      <c r="EC168" s="51"/>
      <c r="ED168" s="34">
        <f t="shared" si="62"/>
        <v>0</v>
      </c>
      <c r="EE168" s="56" t="s">
        <v>124</v>
      </c>
      <c r="EF168" s="61" t="s">
        <v>199</v>
      </c>
      <c r="EG168" s="51"/>
      <c r="EH168" s="34"/>
      <c r="EI168" s="76"/>
      <c r="EJ168" s="31"/>
      <c r="EK168" s="31"/>
      <c r="EL168" s="76"/>
      <c r="EM168" s="31"/>
      <c r="EN168" s="53"/>
      <c r="EO168" s="57"/>
      <c r="EP168" s="57"/>
      <c r="EQ168" s="57"/>
      <c r="ER168" s="53"/>
      <c r="ES168" s="51"/>
      <c r="ET168" s="34">
        <f t="shared" si="67"/>
        <v>0</v>
      </c>
      <c r="EU168" s="56" t="s">
        <v>110</v>
      </c>
      <c r="EV168" s="61" t="s">
        <v>204</v>
      </c>
      <c r="EW168" s="53"/>
      <c r="EX168" s="34"/>
      <c r="EY168" s="56"/>
      <c r="EZ168" s="34"/>
      <c r="FA168" s="53"/>
      <c r="FB168" s="34"/>
      <c r="FC168" s="56"/>
      <c r="FD168" s="55"/>
      <c r="FE168" s="57"/>
      <c r="FF168" s="61"/>
    </row>
    <row r="169" spans="52:162" ht="15.75" thickBot="1" x14ac:dyDescent="0.3">
      <c r="AZ169" s="170" t="s">
        <v>117</v>
      </c>
      <c r="BA169" s="176">
        <f>W13*100</f>
        <v>60</v>
      </c>
      <c r="BB169" s="171" t="s">
        <v>118</v>
      </c>
      <c r="BC169" s="57"/>
      <c r="BD169" s="1" t="str">
        <f>VLOOKUP(1,CT163:CU167,2,0)</f>
        <v>НН08-16/1</v>
      </c>
      <c r="BE169" s="1"/>
      <c r="BF169" s="57"/>
      <c r="BG169" s="57"/>
      <c r="BH169" s="54">
        <f t="shared" si="50"/>
        <v>0</v>
      </c>
      <c r="BI169" s="57">
        <v>50</v>
      </c>
      <c r="BJ169" s="57">
        <f t="shared" si="63"/>
        <v>3.7850686611455138E-2</v>
      </c>
      <c r="BK169" s="57">
        <f t="shared" si="64"/>
        <v>80.630177155620586</v>
      </c>
      <c r="BL169" s="61"/>
      <c r="BM169" s="54">
        <f t="shared" si="51"/>
        <v>0</v>
      </c>
      <c r="BN169" s="57">
        <v>50</v>
      </c>
      <c r="BO169" s="57">
        <f t="shared" si="65"/>
        <v>3.7850686611455138E-2</v>
      </c>
      <c r="BP169" s="61">
        <f t="shared" si="66"/>
        <v>5160.3313379597175</v>
      </c>
      <c r="BQ169" s="57">
        <f t="shared" si="52"/>
        <v>0</v>
      </c>
      <c r="BR169" s="57">
        <v>40</v>
      </c>
      <c r="BS169" s="57"/>
      <c r="BT169" s="61"/>
      <c r="BU169" s="57"/>
      <c r="BV169" s="62"/>
      <c r="BW169" s="74"/>
      <c r="BX169" s="57"/>
      <c r="BY169" s="54">
        <f t="shared" si="53"/>
        <v>1</v>
      </c>
      <c r="BZ169" s="57">
        <v>32</v>
      </c>
      <c r="CA169" s="61">
        <v>16</v>
      </c>
      <c r="CB169" s="54">
        <f t="shared" si="54"/>
        <v>1</v>
      </c>
      <c r="CC169" s="57">
        <v>32</v>
      </c>
      <c r="CD169" s="61">
        <v>16</v>
      </c>
      <c r="CE169" s="57">
        <f t="shared" si="55"/>
        <v>1</v>
      </c>
      <c r="CF169" s="57">
        <v>32</v>
      </c>
      <c r="CG169" s="61">
        <v>16</v>
      </c>
      <c r="CH169" s="57"/>
      <c r="CI169" s="53"/>
      <c r="CJ169" s="34"/>
      <c r="CK169" s="61"/>
      <c r="CL169" s="57"/>
      <c r="CM169" s="61"/>
      <c r="CN169" s="57"/>
      <c r="CO169" s="83"/>
      <c r="CP169" s="87"/>
      <c r="CQ169" s="89"/>
      <c r="CR169" s="57"/>
      <c r="CS169" s="83"/>
      <c r="CT169" s="87"/>
      <c r="CU169" s="89"/>
      <c r="CV169" s="57"/>
      <c r="CW169" s="57"/>
      <c r="CX169" s="50"/>
      <c r="CY169" s="34"/>
      <c r="CZ169" s="51"/>
      <c r="DA169" s="34">
        <f t="shared" si="56"/>
        <v>0</v>
      </c>
      <c r="DB169" s="56" t="s">
        <v>123</v>
      </c>
      <c r="DC169" s="34">
        <v>50</v>
      </c>
      <c r="DD169" s="53"/>
      <c r="DE169" s="70">
        <f t="shared" si="57"/>
        <v>0</v>
      </c>
      <c r="DF169" s="56" t="s">
        <v>123</v>
      </c>
      <c r="DG169" s="34">
        <v>20</v>
      </c>
      <c r="DH169" s="55">
        <v>5</v>
      </c>
      <c r="DI169" s="51"/>
      <c r="DJ169" s="34"/>
      <c r="DK169" s="56"/>
      <c r="DL169" s="34"/>
      <c r="DM169" s="51"/>
      <c r="DN169" s="70">
        <f t="shared" si="58"/>
        <v>0</v>
      </c>
      <c r="DO169" s="56" t="s">
        <v>81</v>
      </c>
      <c r="DP169" s="55">
        <v>50</v>
      </c>
      <c r="DQ169" s="51"/>
      <c r="DR169" s="70">
        <f t="shared" si="59"/>
        <v>0</v>
      </c>
      <c r="DS169" s="56" t="s">
        <v>81</v>
      </c>
      <c r="DT169" s="55">
        <v>50</v>
      </c>
      <c r="DU169" s="51"/>
      <c r="DV169" s="34">
        <f t="shared" si="60"/>
        <v>0</v>
      </c>
      <c r="DW169" s="56" t="s">
        <v>123</v>
      </c>
      <c r="DX169" s="34">
        <v>50</v>
      </c>
      <c r="DY169" s="51"/>
      <c r="DZ169" s="34">
        <f t="shared" si="61"/>
        <v>0</v>
      </c>
      <c r="EA169" s="56" t="s">
        <v>123</v>
      </c>
      <c r="EB169" s="34">
        <v>50</v>
      </c>
      <c r="EC169" s="51"/>
      <c r="ED169" s="34">
        <f t="shared" si="62"/>
        <v>0</v>
      </c>
      <c r="EE169" s="56" t="s">
        <v>131</v>
      </c>
      <c r="EF169" s="61" t="s">
        <v>203</v>
      </c>
      <c r="EG169" s="51"/>
      <c r="EH169" s="34"/>
      <c r="EI169" s="76"/>
      <c r="EJ169" s="31"/>
      <c r="EK169" s="31"/>
      <c r="EL169" s="76"/>
      <c r="EM169" s="31"/>
      <c r="EN169" s="53"/>
      <c r="EO169" s="57"/>
      <c r="EP169" s="57"/>
      <c r="EQ169" s="57"/>
      <c r="ER169" s="53"/>
      <c r="ES169" s="51"/>
      <c r="ET169" s="34">
        <f t="shared" si="67"/>
        <v>0</v>
      </c>
      <c r="EU169" s="56" t="s">
        <v>115</v>
      </c>
      <c r="EV169" s="61" t="s">
        <v>184</v>
      </c>
      <c r="EW169" s="53"/>
      <c r="EX169" s="34"/>
      <c r="EY169" s="56"/>
      <c r="EZ169" s="34"/>
      <c r="FA169" s="53"/>
      <c r="FB169" s="34"/>
      <c r="FC169" s="56"/>
      <c r="FD169" s="55"/>
      <c r="FE169" s="57"/>
      <c r="FF169" s="61"/>
    </row>
    <row r="170" spans="52:162" x14ac:dyDescent="0.25">
      <c r="AZ170" s="170" t="s">
        <v>125</v>
      </c>
      <c r="BA170" s="176">
        <f>AC13*100</f>
        <v>40</v>
      </c>
      <c r="BB170" s="171" t="s">
        <v>118</v>
      </c>
      <c r="BC170" s="57"/>
      <c r="BD170" s="57"/>
      <c r="BE170" s="57"/>
      <c r="BF170" s="57"/>
      <c r="BG170" s="57"/>
      <c r="BH170" s="54">
        <f t="shared" si="50"/>
        <v>0</v>
      </c>
      <c r="BI170" s="57">
        <v>65</v>
      </c>
      <c r="BJ170" s="57">
        <f t="shared" si="63"/>
        <v>3.4705101432211748E-2</v>
      </c>
      <c r="BK170" s="57">
        <f t="shared" si="64"/>
        <v>19.911336341534742</v>
      </c>
      <c r="BL170" s="61"/>
      <c r="BM170" s="54">
        <f t="shared" si="51"/>
        <v>0</v>
      </c>
      <c r="BN170" s="57">
        <v>65</v>
      </c>
      <c r="BO170" s="57">
        <f t="shared" si="65"/>
        <v>3.4705101432211748E-2</v>
      </c>
      <c r="BP170" s="61">
        <f t="shared" si="66"/>
        <v>1274.3255258582235</v>
      </c>
      <c r="BQ170" s="57">
        <f t="shared" si="52"/>
        <v>0</v>
      </c>
      <c r="BR170" s="57">
        <v>50</v>
      </c>
      <c r="BS170" s="57"/>
      <c r="BT170" s="61"/>
      <c r="BU170" s="57"/>
      <c r="BV170" s="54"/>
      <c r="BW170" s="57"/>
      <c r="BX170" s="57"/>
      <c r="BY170" s="54">
        <f t="shared" si="53"/>
        <v>1</v>
      </c>
      <c r="BZ170" s="57">
        <v>40</v>
      </c>
      <c r="CA170" s="61">
        <v>20</v>
      </c>
      <c r="CB170" s="54">
        <f t="shared" si="54"/>
        <v>1</v>
      </c>
      <c r="CC170" s="57">
        <v>40</v>
      </c>
      <c r="CD170" s="61">
        <v>25</v>
      </c>
      <c r="CE170" s="57">
        <f t="shared" si="55"/>
        <v>1</v>
      </c>
      <c r="CF170" s="57">
        <v>40</v>
      </c>
      <c r="CG170" s="61">
        <v>25</v>
      </c>
      <c r="CH170" s="57"/>
      <c r="CI170" s="53"/>
      <c r="CJ170" s="34"/>
      <c r="CK170" s="61"/>
      <c r="CL170" s="57"/>
      <c r="CM170" s="61"/>
      <c r="CN170" s="57"/>
      <c r="CO170" s="57"/>
      <c r="CP170" s="57"/>
      <c r="CQ170" s="57"/>
      <c r="CR170" s="57"/>
      <c r="CS170" s="57"/>
      <c r="CT170" s="57"/>
      <c r="CU170" s="57"/>
      <c r="CV170" s="57"/>
      <c r="CW170" s="57"/>
      <c r="CX170" s="50"/>
      <c r="CY170" s="34"/>
      <c r="CZ170" s="51"/>
      <c r="DA170" s="34">
        <f t="shared" si="56"/>
        <v>0</v>
      </c>
      <c r="DB170" s="56" t="s">
        <v>130</v>
      </c>
      <c r="DC170" s="34">
        <v>65</v>
      </c>
      <c r="DD170" s="53"/>
      <c r="DE170" s="70">
        <f t="shared" si="57"/>
        <v>0</v>
      </c>
      <c r="DF170" s="56" t="s">
        <v>130</v>
      </c>
      <c r="DG170" s="34">
        <v>20</v>
      </c>
      <c r="DH170" s="55">
        <v>6.3</v>
      </c>
      <c r="DI170" s="51"/>
      <c r="DJ170" s="34"/>
      <c r="DK170" s="56"/>
      <c r="DL170" s="34"/>
      <c r="DM170" s="51"/>
      <c r="DN170" s="70">
        <f t="shared" si="58"/>
        <v>0</v>
      </c>
      <c r="DO170" s="56" t="s">
        <v>81</v>
      </c>
      <c r="DP170" s="55">
        <v>65</v>
      </c>
      <c r="DQ170" s="51"/>
      <c r="DR170" s="70">
        <f t="shared" si="59"/>
        <v>0</v>
      </c>
      <c r="DS170" s="56" t="s">
        <v>81</v>
      </c>
      <c r="DT170" s="55">
        <v>65</v>
      </c>
      <c r="DU170" s="51"/>
      <c r="DV170" s="34">
        <f t="shared" si="60"/>
        <v>0</v>
      </c>
      <c r="DW170" s="56" t="s">
        <v>130</v>
      </c>
      <c r="DX170" s="34">
        <v>65</v>
      </c>
      <c r="DY170" s="51"/>
      <c r="DZ170" s="34">
        <f t="shared" si="61"/>
        <v>0</v>
      </c>
      <c r="EA170" s="56" t="s">
        <v>130</v>
      </c>
      <c r="EB170" s="34">
        <v>65</v>
      </c>
      <c r="EC170" s="51"/>
      <c r="ED170" s="34"/>
      <c r="EE170" s="56"/>
      <c r="EF170" s="34"/>
      <c r="EG170" s="51"/>
      <c r="EH170" s="34"/>
      <c r="EI170" s="76"/>
      <c r="EJ170" s="31"/>
      <c r="EK170" s="31"/>
      <c r="EL170" s="76"/>
      <c r="EM170" s="31"/>
      <c r="EN170" s="53"/>
      <c r="EO170" s="57"/>
      <c r="EP170" s="57"/>
      <c r="EQ170" s="57"/>
      <c r="ER170" s="53"/>
      <c r="ES170" s="51"/>
      <c r="ET170" s="34">
        <f t="shared" si="67"/>
        <v>0</v>
      </c>
      <c r="EU170" s="56" t="s">
        <v>123</v>
      </c>
      <c r="EV170" s="61" t="s">
        <v>189</v>
      </c>
      <c r="EW170" s="53"/>
      <c r="EX170" s="34"/>
      <c r="EY170" s="56"/>
      <c r="EZ170" s="34"/>
      <c r="FA170" s="53"/>
      <c r="FB170" s="34"/>
      <c r="FC170" s="56"/>
      <c r="FD170" s="55"/>
      <c r="FE170" s="57"/>
      <c r="FF170" s="61"/>
    </row>
    <row r="171" spans="52:162" ht="15.75" thickBot="1" x14ac:dyDescent="0.3">
      <c r="AZ171" s="172" t="s">
        <v>137</v>
      </c>
      <c r="BA171" s="57">
        <f>BA169-BA170</f>
        <v>20</v>
      </c>
      <c r="BB171" s="171" t="s">
        <v>118</v>
      </c>
      <c r="BC171" s="57"/>
      <c r="BD171" s="57" t="s">
        <v>205</v>
      </c>
      <c r="BE171" s="74">
        <f>BA164*1000/(BA167-BA168)</f>
        <v>80</v>
      </c>
      <c r="BF171" s="57"/>
      <c r="BG171" s="57"/>
      <c r="BH171" s="54">
        <f t="shared" si="50"/>
        <v>2</v>
      </c>
      <c r="BI171" s="57">
        <v>80</v>
      </c>
      <c r="BJ171" s="57">
        <f t="shared" si="63"/>
        <v>3.248549788373601E-2</v>
      </c>
      <c r="BK171" s="57">
        <f t="shared" si="64"/>
        <v>6.5995369689328687</v>
      </c>
      <c r="BL171" s="61"/>
      <c r="BM171" s="54">
        <f t="shared" si="51"/>
        <v>0</v>
      </c>
      <c r="BN171" s="57">
        <v>80</v>
      </c>
      <c r="BO171" s="57">
        <f t="shared" si="65"/>
        <v>3.248549788373601E-2</v>
      </c>
      <c r="BP171" s="61">
        <f t="shared" si="66"/>
        <v>422.3703660117036</v>
      </c>
      <c r="BQ171" s="57">
        <f t="shared" si="52"/>
        <v>0</v>
      </c>
      <c r="BR171" s="57">
        <v>65</v>
      </c>
      <c r="BS171" s="57"/>
      <c r="BT171" s="61"/>
      <c r="BU171" s="57"/>
      <c r="BV171" s="54"/>
      <c r="BW171" s="57"/>
      <c r="BX171" s="74"/>
      <c r="BY171" s="54">
        <f t="shared" si="53"/>
        <v>1</v>
      </c>
      <c r="BZ171" s="57">
        <v>40</v>
      </c>
      <c r="CA171" s="61">
        <v>25</v>
      </c>
      <c r="CB171" s="54">
        <f t="shared" si="54"/>
        <v>1</v>
      </c>
      <c r="CC171" s="57">
        <v>50</v>
      </c>
      <c r="CD171" s="61">
        <v>31.5</v>
      </c>
      <c r="CE171" s="57">
        <f t="shared" si="55"/>
        <v>1</v>
      </c>
      <c r="CF171" s="57">
        <v>50</v>
      </c>
      <c r="CG171" s="61">
        <v>40</v>
      </c>
      <c r="CH171" s="57"/>
      <c r="CI171" s="85"/>
      <c r="CJ171" s="93"/>
      <c r="CK171" s="89"/>
      <c r="CL171" s="87"/>
      <c r="CM171" s="89"/>
      <c r="CN171" s="57"/>
      <c r="CO171" s="57"/>
      <c r="CP171" s="57"/>
      <c r="CQ171" s="57"/>
      <c r="CR171" s="57"/>
      <c r="CS171" s="57"/>
      <c r="CT171" s="57"/>
      <c r="CU171" s="57"/>
      <c r="CV171" s="57"/>
      <c r="CW171" s="57"/>
      <c r="CX171" s="50"/>
      <c r="CY171" s="34"/>
      <c r="CZ171" s="51"/>
      <c r="DA171" s="34">
        <f t="shared" si="56"/>
        <v>0</v>
      </c>
      <c r="DB171" s="56" t="s">
        <v>136</v>
      </c>
      <c r="DC171" s="34">
        <v>80</v>
      </c>
      <c r="DD171" s="53"/>
      <c r="DE171" s="70">
        <f t="shared" si="57"/>
        <v>0</v>
      </c>
      <c r="DF171" s="56" t="s">
        <v>136</v>
      </c>
      <c r="DG171" s="34">
        <v>25</v>
      </c>
      <c r="DH171" s="55">
        <v>8</v>
      </c>
      <c r="DI171" s="51"/>
      <c r="DJ171" s="34"/>
      <c r="DK171" s="56"/>
      <c r="DL171" s="34"/>
      <c r="DM171" s="51"/>
      <c r="DN171" s="70">
        <f t="shared" si="58"/>
        <v>0</v>
      </c>
      <c r="DO171" s="56" t="s">
        <v>81</v>
      </c>
      <c r="DP171" s="55">
        <v>80</v>
      </c>
      <c r="DQ171" s="51"/>
      <c r="DR171" s="70">
        <f t="shared" si="59"/>
        <v>0</v>
      </c>
      <c r="DS171" s="56" t="s">
        <v>81</v>
      </c>
      <c r="DT171" s="55">
        <v>80</v>
      </c>
      <c r="DU171" s="51"/>
      <c r="DV171" s="34">
        <f t="shared" si="60"/>
        <v>0</v>
      </c>
      <c r="DW171" s="56" t="s">
        <v>136</v>
      </c>
      <c r="DX171" s="34">
        <v>80</v>
      </c>
      <c r="DY171" s="51"/>
      <c r="DZ171" s="34">
        <f t="shared" si="61"/>
        <v>0</v>
      </c>
      <c r="EA171" s="56" t="s">
        <v>136</v>
      </c>
      <c r="EB171" s="34">
        <v>80</v>
      </c>
      <c r="EC171" s="51"/>
      <c r="ED171" s="34"/>
      <c r="EE171" s="56"/>
      <c r="EF171" s="34"/>
      <c r="EG171" s="51"/>
      <c r="EH171" s="34"/>
      <c r="EI171" s="76"/>
      <c r="EJ171" s="31"/>
      <c r="EK171" s="31"/>
      <c r="EL171" s="31"/>
      <c r="EM171" s="31"/>
      <c r="EN171" s="53"/>
      <c r="EO171" s="57"/>
      <c r="EP171" s="57"/>
      <c r="EQ171" s="57"/>
      <c r="ER171" s="53"/>
      <c r="ES171" s="51"/>
      <c r="ET171" s="34">
        <f t="shared" si="67"/>
        <v>0</v>
      </c>
      <c r="EU171" s="56" t="s">
        <v>130</v>
      </c>
      <c r="EV171" s="61" t="s">
        <v>194</v>
      </c>
      <c r="EW171" s="53"/>
      <c r="EX171" s="34"/>
      <c r="EY171" s="56"/>
      <c r="EZ171" s="34"/>
      <c r="FA171" s="53"/>
      <c r="FB171" s="34"/>
      <c r="FC171" s="56"/>
      <c r="FD171" s="55"/>
      <c r="FE171" s="57"/>
      <c r="FF171" s="61"/>
    </row>
    <row r="172" spans="52:162" x14ac:dyDescent="0.25">
      <c r="AZ172" s="54"/>
      <c r="BA172" s="57"/>
      <c r="BB172" s="57"/>
      <c r="BC172" s="57"/>
      <c r="BD172" s="57" t="s">
        <v>173</v>
      </c>
      <c r="BE172" s="57">
        <f>VLOOKUP(1,BM164:BP177,2,0)</f>
        <v>150</v>
      </c>
      <c r="BF172" s="57"/>
      <c r="BG172" s="57"/>
      <c r="BH172" s="54">
        <f t="shared" si="50"/>
        <v>0</v>
      </c>
      <c r="BI172" s="57">
        <v>100</v>
      </c>
      <c r="BJ172" s="57">
        <f t="shared" si="63"/>
        <v>3.0329450982592862E-2</v>
      </c>
      <c r="BK172" s="57">
        <f t="shared" si="64"/>
        <v>2.0190097795173449</v>
      </c>
      <c r="BL172" s="61"/>
      <c r="BM172" s="54">
        <f t="shared" si="51"/>
        <v>0</v>
      </c>
      <c r="BN172" s="57">
        <v>100</v>
      </c>
      <c r="BO172" s="57">
        <f t="shared" si="65"/>
        <v>3.0329450982592862E-2</v>
      </c>
      <c r="BP172" s="61">
        <f t="shared" si="66"/>
        <v>129.21662588911008</v>
      </c>
      <c r="BQ172" s="57">
        <f t="shared" si="52"/>
        <v>0</v>
      </c>
      <c r="BR172" s="57">
        <v>80</v>
      </c>
      <c r="BS172" s="57"/>
      <c r="BT172" s="61"/>
      <c r="BU172" s="57"/>
      <c r="BV172" s="62"/>
      <c r="BW172" s="57"/>
      <c r="BX172" s="57"/>
      <c r="BY172" s="54">
        <f t="shared" si="53"/>
        <v>1</v>
      </c>
      <c r="BZ172" s="57">
        <v>50</v>
      </c>
      <c r="CA172" s="61">
        <v>31.5</v>
      </c>
      <c r="CB172" s="54">
        <f t="shared" si="54"/>
        <v>1</v>
      </c>
      <c r="CC172" s="57">
        <v>50</v>
      </c>
      <c r="CD172" s="61">
        <v>40</v>
      </c>
      <c r="CE172" s="57">
        <f t="shared" si="55"/>
        <v>1</v>
      </c>
      <c r="CF172" s="57">
        <v>65</v>
      </c>
      <c r="CG172" s="61">
        <v>63</v>
      </c>
      <c r="CH172" s="57"/>
      <c r="CI172" s="57"/>
      <c r="CJ172" s="57"/>
      <c r="CK172" s="57"/>
      <c r="CL172" s="57"/>
      <c r="CM172" s="57"/>
      <c r="CN172" s="57"/>
      <c r="CO172" s="57"/>
      <c r="CP172" s="57"/>
      <c r="CQ172" s="57"/>
      <c r="CR172" s="57"/>
      <c r="CS172" s="57"/>
      <c r="CT172" s="57"/>
      <c r="CU172" s="57"/>
      <c r="CV172" s="57"/>
      <c r="CW172" s="57"/>
      <c r="CX172" s="50"/>
      <c r="CY172" s="34"/>
      <c r="CZ172" s="51"/>
      <c r="DA172" s="34">
        <f t="shared" si="56"/>
        <v>0</v>
      </c>
      <c r="DB172" s="56" t="s">
        <v>138</v>
      </c>
      <c r="DC172" s="34">
        <v>100</v>
      </c>
      <c r="DD172" s="53"/>
      <c r="DE172" s="70">
        <f t="shared" si="57"/>
        <v>0</v>
      </c>
      <c r="DF172" s="56" t="s">
        <v>138</v>
      </c>
      <c r="DG172" s="34">
        <v>25</v>
      </c>
      <c r="DH172" s="55">
        <v>10</v>
      </c>
      <c r="DI172" s="51"/>
      <c r="DJ172" s="34"/>
      <c r="DK172" s="56"/>
      <c r="DL172" s="34"/>
      <c r="DM172" s="51"/>
      <c r="DN172" s="70">
        <f t="shared" si="58"/>
        <v>0</v>
      </c>
      <c r="DO172" s="56" t="s">
        <v>81</v>
      </c>
      <c r="DP172" s="55">
        <v>100</v>
      </c>
      <c r="DQ172" s="51"/>
      <c r="DR172" s="70">
        <f t="shared" si="59"/>
        <v>0</v>
      </c>
      <c r="DS172" s="56" t="s">
        <v>81</v>
      </c>
      <c r="DT172" s="55">
        <v>100</v>
      </c>
      <c r="DU172" s="51"/>
      <c r="DV172" s="34">
        <f t="shared" si="60"/>
        <v>0</v>
      </c>
      <c r="DW172" s="56" t="s">
        <v>138</v>
      </c>
      <c r="DX172" s="34">
        <v>100</v>
      </c>
      <c r="DY172" s="51"/>
      <c r="DZ172" s="34">
        <f t="shared" si="61"/>
        <v>0</v>
      </c>
      <c r="EA172" s="56" t="s">
        <v>138</v>
      </c>
      <c r="EB172" s="34">
        <v>100</v>
      </c>
      <c r="EC172" s="51"/>
      <c r="ED172" s="34"/>
      <c r="EE172" s="56"/>
      <c r="EF172" s="34"/>
      <c r="EG172" s="51"/>
      <c r="EH172" s="34"/>
      <c r="EI172" s="31"/>
      <c r="EJ172" s="57"/>
      <c r="EK172" s="57"/>
      <c r="EL172" s="57"/>
      <c r="EM172" s="57"/>
      <c r="EN172" s="53"/>
      <c r="EO172" s="57"/>
      <c r="EP172" s="57"/>
      <c r="EQ172" s="57"/>
      <c r="ER172" s="53"/>
      <c r="ES172" s="51"/>
      <c r="ET172" s="34">
        <f t="shared" si="67"/>
        <v>0</v>
      </c>
      <c r="EU172" s="56" t="s">
        <v>136</v>
      </c>
      <c r="EV172" s="61" t="s">
        <v>200</v>
      </c>
      <c r="EW172" s="53"/>
      <c r="EX172" s="34"/>
      <c r="EY172" s="56"/>
      <c r="EZ172" s="34"/>
      <c r="FA172" s="53"/>
      <c r="FB172" s="34"/>
      <c r="FC172" s="56"/>
      <c r="FD172" s="55"/>
      <c r="FE172" s="57"/>
      <c r="FF172" s="61"/>
    </row>
    <row r="173" spans="52:162" x14ac:dyDescent="0.25">
      <c r="AZ173" s="170"/>
      <c r="BA173" s="57"/>
      <c r="BB173" s="171"/>
      <c r="BC173" s="57"/>
      <c r="BD173" s="1" t="str">
        <f>VLOOKUP(1,CO163:CQ169,3,0)</f>
        <v>"Пульсар" 15</v>
      </c>
      <c r="BE173" s="1"/>
      <c r="BF173" s="57"/>
      <c r="BG173" s="57"/>
      <c r="BH173" s="54">
        <f t="shared" si="50"/>
        <v>0</v>
      </c>
      <c r="BI173" s="57">
        <v>125</v>
      </c>
      <c r="BJ173" s="57">
        <f t="shared" si="63"/>
        <v>2.8381135828692533E-2</v>
      </c>
      <c r="BK173" s="57">
        <f t="shared" si="64"/>
        <v>0.61908970318914125</v>
      </c>
      <c r="BL173" s="61"/>
      <c r="BM173" s="54">
        <f t="shared" si="51"/>
        <v>0</v>
      </c>
      <c r="BN173" s="57">
        <v>125</v>
      </c>
      <c r="BO173" s="57">
        <f t="shared" si="65"/>
        <v>2.8381135828692533E-2</v>
      </c>
      <c r="BP173" s="61">
        <f t="shared" si="66"/>
        <v>39.62174100410504</v>
      </c>
      <c r="BQ173" s="57">
        <f t="shared" si="52"/>
        <v>0</v>
      </c>
      <c r="BR173" s="57">
        <v>100</v>
      </c>
      <c r="BS173" s="57"/>
      <c r="BT173" s="61"/>
      <c r="BU173" s="57"/>
      <c r="BV173" s="62"/>
      <c r="BW173" s="74"/>
      <c r="BX173" s="57"/>
      <c r="BY173" s="54">
        <f t="shared" si="53"/>
        <v>1</v>
      </c>
      <c r="BZ173" s="57">
        <v>50</v>
      </c>
      <c r="CA173" s="61">
        <v>40</v>
      </c>
      <c r="CB173" s="54">
        <f t="shared" si="54"/>
        <v>1</v>
      </c>
      <c r="CC173" s="57">
        <v>65</v>
      </c>
      <c r="CD173" s="61">
        <v>50</v>
      </c>
      <c r="CE173" s="57">
        <f t="shared" si="55"/>
        <v>1</v>
      </c>
      <c r="CF173" s="57">
        <v>80</v>
      </c>
      <c r="CG173" s="61">
        <v>100</v>
      </c>
      <c r="CH173" s="57"/>
      <c r="CI173" s="57"/>
      <c r="CJ173" s="57"/>
      <c r="CK173" s="57"/>
      <c r="CL173" s="57"/>
      <c r="CM173" s="57"/>
      <c r="CN173" s="57"/>
      <c r="CO173" s="57"/>
      <c r="CP173" s="57"/>
      <c r="CQ173" s="57"/>
      <c r="CR173" s="57"/>
      <c r="CS173" s="57"/>
      <c r="CT173" s="57"/>
      <c r="CU173" s="57"/>
      <c r="CV173" s="57"/>
      <c r="CW173" s="57"/>
      <c r="CX173" s="50"/>
      <c r="CY173" s="34"/>
      <c r="CZ173" s="51"/>
      <c r="DA173" s="34">
        <f t="shared" si="56"/>
        <v>0</v>
      </c>
      <c r="DB173" s="56" t="s">
        <v>140</v>
      </c>
      <c r="DC173" s="34">
        <v>125</v>
      </c>
      <c r="DD173" s="53"/>
      <c r="DE173" s="70">
        <f t="shared" si="57"/>
        <v>0</v>
      </c>
      <c r="DF173" s="56" t="s">
        <v>140</v>
      </c>
      <c r="DG173" s="34">
        <v>32</v>
      </c>
      <c r="DH173" s="55">
        <v>12.5</v>
      </c>
      <c r="DI173" s="51"/>
      <c r="DJ173" s="34"/>
      <c r="DK173" s="56"/>
      <c r="DL173" s="34"/>
      <c r="DM173" s="51"/>
      <c r="DN173" s="70">
        <f t="shared" si="58"/>
        <v>0</v>
      </c>
      <c r="DO173" s="56" t="s">
        <v>81</v>
      </c>
      <c r="DP173" s="55">
        <v>125</v>
      </c>
      <c r="DQ173" s="51"/>
      <c r="DR173" s="70">
        <f t="shared" si="59"/>
        <v>0</v>
      </c>
      <c r="DS173" s="56" t="s">
        <v>81</v>
      </c>
      <c r="DT173" s="55">
        <v>125</v>
      </c>
      <c r="DU173" s="51"/>
      <c r="DV173" s="34">
        <f t="shared" si="60"/>
        <v>0</v>
      </c>
      <c r="DW173" s="56" t="s">
        <v>140</v>
      </c>
      <c r="DX173" s="34">
        <v>125</v>
      </c>
      <c r="DY173" s="51"/>
      <c r="DZ173" s="34">
        <f t="shared" si="61"/>
        <v>0</v>
      </c>
      <c r="EA173" s="56" t="s">
        <v>140</v>
      </c>
      <c r="EB173" s="34">
        <v>125</v>
      </c>
      <c r="EC173" s="51"/>
      <c r="ED173" s="34"/>
      <c r="EE173" s="56"/>
      <c r="EF173" s="34"/>
      <c r="EG173" s="51"/>
      <c r="EH173" s="34"/>
      <c r="EI173" s="31"/>
      <c r="EJ173" s="76"/>
      <c r="EK173" s="34"/>
      <c r="EL173" s="31"/>
      <c r="EM173" s="76"/>
      <c r="EN173" s="53"/>
      <c r="EO173" s="57"/>
      <c r="EP173" s="76"/>
      <c r="EQ173" s="57"/>
      <c r="ER173" s="53"/>
      <c r="ES173" s="51"/>
      <c r="ET173" s="34">
        <f t="shared" si="67"/>
        <v>0</v>
      </c>
      <c r="EU173" s="56" t="s">
        <v>138</v>
      </c>
      <c r="EV173" s="61" t="s">
        <v>206</v>
      </c>
      <c r="EW173" s="53"/>
      <c r="EX173" s="34"/>
      <c r="EY173" s="56"/>
      <c r="EZ173" s="34"/>
      <c r="FA173" s="53"/>
      <c r="FB173" s="34"/>
      <c r="FC173" s="56"/>
      <c r="FD173" s="55"/>
      <c r="FE173" s="57"/>
      <c r="FF173" s="61"/>
    </row>
    <row r="174" spans="52:162" x14ac:dyDescent="0.25">
      <c r="AZ174" s="170" t="s">
        <v>31</v>
      </c>
      <c r="BA174" s="1">
        <f>O36</f>
        <v>0</v>
      </c>
      <c r="BB174" s="1"/>
      <c r="BC174" s="57"/>
      <c r="BD174" s="57"/>
      <c r="BE174" s="57"/>
      <c r="BF174" s="57"/>
      <c r="BG174" s="57"/>
      <c r="BH174" s="54">
        <f t="shared" si="50"/>
        <v>0</v>
      </c>
      <c r="BI174" s="57">
        <v>150</v>
      </c>
      <c r="BJ174" s="57">
        <f t="shared" si="63"/>
        <v>2.6925299052784474E-2</v>
      </c>
      <c r="BK174" s="57">
        <f t="shared" si="64"/>
        <v>0.23603592813367263</v>
      </c>
      <c r="BL174" s="61"/>
      <c r="BM174" s="54">
        <f t="shared" si="51"/>
        <v>1</v>
      </c>
      <c r="BN174" s="57">
        <v>150</v>
      </c>
      <c r="BO174" s="57">
        <f t="shared" si="65"/>
        <v>2.6925299052784474E-2</v>
      </c>
      <c r="BP174" s="61">
        <f t="shared" si="66"/>
        <v>15.106299400555049</v>
      </c>
      <c r="BQ174" s="57">
        <f t="shared" si="52"/>
        <v>1</v>
      </c>
      <c r="BR174" s="57">
        <v>125</v>
      </c>
      <c r="BS174" s="57"/>
      <c r="BT174" s="61"/>
      <c r="BU174" s="57"/>
      <c r="BV174" s="54"/>
      <c r="BW174" s="57"/>
      <c r="BX174" s="57"/>
      <c r="BY174" s="54">
        <f t="shared" si="53"/>
        <v>1</v>
      </c>
      <c r="BZ174" s="57">
        <v>65</v>
      </c>
      <c r="CA174" s="61">
        <v>50</v>
      </c>
      <c r="CB174" s="54">
        <f t="shared" si="54"/>
        <v>1</v>
      </c>
      <c r="CC174" s="57">
        <v>65</v>
      </c>
      <c r="CD174" s="61">
        <v>63</v>
      </c>
      <c r="CE174" s="57">
        <f t="shared" si="55"/>
        <v>1</v>
      </c>
      <c r="CF174" s="57">
        <v>100</v>
      </c>
      <c r="CG174" s="61">
        <v>160</v>
      </c>
      <c r="CH174" s="57"/>
      <c r="CI174" s="57"/>
      <c r="CJ174" s="57"/>
      <c r="CK174" s="57"/>
      <c r="CL174" s="57"/>
      <c r="CM174" s="57"/>
      <c r="CN174" s="57"/>
      <c r="CO174" s="57"/>
      <c r="CP174" s="57"/>
      <c r="CQ174" s="57"/>
      <c r="CR174" s="57"/>
      <c r="CS174" s="57"/>
      <c r="CT174" s="57"/>
      <c r="CU174" s="57"/>
      <c r="CV174" s="57"/>
      <c r="CW174" s="57"/>
      <c r="CX174" s="50"/>
      <c r="CY174" s="34"/>
      <c r="CZ174" s="51"/>
      <c r="DA174" s="34">
        <f t="shared" si="56"/>
        <v>0</v>
      </c>
      <c r="DB174" s="56" t="s">
        <v>141</v>
      </c>
      <c r="DC174" s="34">
        <v>150</v>
      </c>
      <c r="DD174" s="53"/>
      <c r="DE174" s="70">
        <f t="shared" si="57"/>
        <v>0</v>
      </c>
      <c r="DF174" s="56" t="s">
        <v>141</v>
      </c>
      <c r="DG174" s="34">
        <v>32</v>
      </c>
      <c r="DH174" s="55">
        <v>16</v>
      </c>
      <c r="DI174" s="51"/>
      <c r="DJ174" s="34"/>
      <c r="DK174" s="56"/>
      <c r="DL174" s="34"/>
      <c r="DM174" s="51"/>
      <c r="DN174" s="70">
        <f t="shared" si="58"/>
        <v>0</v>
      </c>
      <c r="DO174" s="56" t="s">
        <v>81</v>
      </c>
      <c r="DP174" s="55">
        <v>150</v>
      </c>
      <c r="DQ174" s="51"/>
      <c r="DR174" s="70">
        <f t="shared" si="59"/>
        <v>0</v>
      </c>
      <c r="DS174" s="56" t="s">
        <v>81</v>
      </c>
      <c r="DT174" s="55">
        <v>150</v>
      </c>
      <c r="DU174" s="51"/>
      <c r="DV174" s="34">
        <f t="shared" si="60"/>
        <v>0</v>
      </c>
      <c r="DW174" s="56" t="s">
        <v>141</v>
      </c>
      <c r="DX174" s="34">
        <v>150</v>
      </c>
      <c r="DY174" s="51"/>
      <c r="DZ174" s="34">
        <f t="shared" si="61"/>
        <v>0</v>
      </c>
      <c r="EA174" s="56" t="s">
        <v>141</v>
      </c>
      <c r="EB174" s="34">
        <v>150</v>
      </c>
      <c r="EC174" s="51"/>
      <c r="ED174" s="34"/>
      <c r="EE174" s="56"/>
      <c r="EF174" s="34"/>
      <c r="EG174" s="51"/>
      <c r="EH174" s="34"/>
      <c r="EI174" s="31"/>
      <c r="EJ174" s="76"/>
      <c r="EK174" s="34"/>
      <c r="EL174" s="31"/>
      <c r="EM174" s="76"/>
      <c r="EN174" s="53"/>
      <c r="EO174" s="57"/>
      <c r="EP174" s="76"/>
      <c r="EQ174" s="57"/>
      <c r="ER174" s="53"/>
      <c r="ES174" s="51"/>
      <c r="ET174" s="34">
        <f t="shared" si="67"/>
        <v>0</v>
      </c>
      <c r="EU174" s="56" t="s">
        <v>140</v>
      </c>
      <c r="EV174" s="61" t="s">
        <v>207</v>
      </c>
      <c r="EW174" s="53"/>
      <c r="EX174" s="34"/>
      <c r="EY174" s="56"/>
      <c r="EZ174" s="34"/>
      <c r="FA174" s="53"/>
      <c r="FB174" s="34"/>
      <c r="FC174" s="56"/>
      <c r="FD174" s="55"/>
      <c r="FE174" s="57"/>
      <c r="FF174" s="61"/>
    </row>
    <row r="175" spans="52:162" x14ac:dyDescent="0.25">
      <c r="AZ175" s="170" t="s">
        <v>32</v>
      </c>
      <c r="BA175" s="1">
        <f>I36</f>
        <v>0</v>
      </c>
      <c r="BB175" s="1"/>
      <c r="BC175" s="57"/>
      <c r="BD175" s="57" t="s">
        <v>208</v>
      </c>
      <c r="BE175" s="74">
        <f>3.6*BA164*1.163/0.42</f>
        <v>3.987428571428572</v>
      </c>
      <c r="BF175" s="57"/>
      <c r="BG175" s="57"/>
      <c r="BH175" s="54">
        <f t="shared" si="50"/>
        <v>0</v>
      </c>
      <c r="BI175" s="57">
        <v>200</v>
      </c>
      <c r="BJ175" s="57">
        <f t="shared" si="63"/>
        <v>2.4846042519733526E-2</v>
      </c>
      <c r="BK175" s="57">
        <f t="shared" si="64"/>
        <v>5.168697545254454E-2</v>
      </c>
      <c r="BL175" s="61"/>
      <c r="BM175" s="54">
        <f t="shared" si="51"/>
        <v>0</v>
      </c>
      <c r="BN175" s="57">
        <v>200</v>
      </c>
      <c r="BO175" s="57">
        <f t="shared" si="65"/>
        <v>2.4846042519733526E-2</v>
      </c>
      <c r="BP175" s="61">
        <f t="shared" si="66"/>
        <v>3.3079664289628505</v>
      </c>
      <c r="BQ175" s="57">
        <f t="shared" si="52"/>
        <v>0</v>
      </c>
      <c r="BR175" s="57">
        <v>150</v>
      </c>
      <c r="BS175" s="57"/>
      <c r="BT175" s="61"/>
      <c r="BU175" s="57"/>
      <c r="BV175" s="54"/>
      <c r="BW175" s="57"/>
      <c r="BX175" s="57"/>
      <c r="BY175" s="54">
        <f t="shared" si="53"/>
        <v>1</v>
      </c>
      <c r="BZ175" s="57">
        <v>65</v>
      </c>
      <c r="CA175" s="61">
        <v>63</v>
      </c>
      <c r="CB175" s="54">
        <f t="shared" si="54"/>
        <v>1</v>
      </c>
      <c r="CC175" s="57">
        <v>80</v>
      </c>
      <c r="CD175" s="61">
        <v>80</v>
      </c>
      <c r="CE175" s="57">
        <f t="shared" si="55"/>
        <v>1</v>
      </c>
      <c r="CF175" s="57">
        <v>125</v>
      </c>
      <c r="CG175" s="61">
        <v>250</v>
      </c>
      <c r="CH175" s="57"/>
      <c r="CI175" s="57"/>
      <c r="CJ175" s="57"/>
      <c r="CK175" s="57"/>
      <c r="CL175" s="57"/>
      <c r="CM175" s="57"/>
      <c r="CN175" s="57"/>
      <c r="CO175" s="57"/>
      <c r="CP175" s="57"/>
      <c r="CQ175" s="57"/>
      <c r="CR175" s="57"/>
      <c r="CS175" s="57"/>
      <c r="CT175" s="57"/>
      <c r="CU175" s="57"/>
      <c r="CV175" s="57"/>
      <c r="CW175" s="57"/>
      <c r="CX175" s="50"/>
      <c r="CY175" s="34"/>
      <c r="CZ175" s="51"/>
      <c r="DA175" s="34">
        <f t="shared" si="56"/>
        <v>0</v>
      </c>
      <c r="DB175" s="56" t="s">
        <v>142</v>
      </c>
      <c r="DC175" s="34">
        <v>200</v>
      </c>
      <c r="DD175" s="53"/>
      <c r="DE175" s="70">
        <f t="shared" si="57"/>
        <v>0</v>
      </c>
      <c r="DF175" s="56" t="s">
        <v>142</v>
      </c>
      <c r="DG175" s="34">
        <v>40</v>
      </c>
      <c r="DH175" s="55">
        <v>20</v>
      </c>
      <c r="DI175" s="51"/>
      <c r="DJ175" s="34"/>
      <c r="DK175" s="56"/>
      <c r="DL175" s="34"/>
      <c r="DM175" s="51"/>
      <c r="DN175" s="70">
        <f t="shared" si="58"/>
        <v>0</v>
      </c>
      <c r="DO175" s="56" t="s">
        <v>81</v>
      </c>
      <c r="DP175" s="55">
        <v>200</v>
      </c>
      <c r="DQ175" s="51"/>
      <c r="DR175" s="70">
        <f t="shared" si="59"/>
        <v>0</v>
      </c>
      <c r="DS175" s="56" t="s">
        <v>81</v>
      </c>
      <c r="DT175" s="55">
        <v>200</v>
      </c>
      <c r="DU175" s="51"/>
      <c r="DV175" s="34">
        <f t="shared" si="60"/>
        <v>0</v>
      </c>
      <c r="DW175" s="56" t="s">
        <v>142</v>
      </c>
      <c r="DX175" s="34">
        <v>200</v>
      </c>
      <c r="DY175" s="51"/>
      <c r="DZ175" s="34">
        <f t="shared" si="61"/>
        <v>0</v>
      </c>
      <c r="EA175" s="56" t="s">
        <v>142</v>
      </c>
      <c r="EB175" s="34">
        <v>200</v>
      </c>
      <c r="EC175" s="51"/>
      <c r="ED175" s="34"/>
      <c r="EE175" s="56"/>
      <c r="EF175" s="34"/>
      <c r="EG175" s="51"/>
      <c r="EH175" s="34"/>
      <c r="EI175" s="31"/>
      <c r="EJ175" s="57"/>
      <c r="EK175" s="57"/>
      <c r="EL175" s="57"/>
      <c r="EM175" s="57"/>
      <c r="EN175" s="53"/>
      <c r="EO175" s="57"/>
      <c r="EP175" s="57"/>
      <c r="EQ175" s="57"/>
      <c r="ER175" s="53"/>
      <c r="ES175" s="51"/>
      <c r="ET175" s="34">
        <f t="shared" si="67"/>
        <v>0</v>
      </c>
      <c r="EU175" s="56" t="s">
        <v>141</v>
      </c>
      <c r="EV175" s="61" t="s">
        <v>209</v>
      </c>
      <c r="EW175" s="53"/>
      <c r="EX175" s="34"/>
      <c r="EY175" s="56"/>
      <c r="EZ175" s="34"/>
      <c r="FA175" s="53"/>
      <c r="FB175" s="34"/>
      <c r="FC175" s="56"/>
      <c r="FD175" s="55"/>
      <c r="FE175" s="57"/>
      <c r="FF175" s="61"/>
    </row>
    <row r="176" spans="52:162" x14ac:dyDescent="0.25">
      <c r="AZ176" s="170" t="s">
        <v>143</v>
      </c>
      <c r="BA176" s="1">
        <f>U36</f>
        <v>0</v>
      </c>
      <c r="BB176" s="1"/>
      <c r="BC176" s="57"/>
      <c r="BD176" s="57" t="s">
        <v>174</v>
      </c>
      <c r="BE176" s="57">
        <f>VLOOKUP(1,BQ164:BT177,2,0)</f>
        <v>125</v>
      </c>
      <c r="BF176" s="57"/>
      <c r="BG176" s="57"/>
      <c r="BH176" s="54">
        <f t="shared" si="50"/>
        <v>0</v>
      </c>
      <c r="BI176" s="57">
        <v>250</v>
      </c>
      <c r="BJ176" s="57">
        <f t="shared" si="63"/>
        <v>2.339473539768467E-2</v>
      </c>
      <c r="BK176" s="57">
        <f t="shared" si="64"/>
        <v>1.5947476389954265E-2</v>
      </c>
      <c r="BL176" s="61"/>
      <c r="BM176" s="54">
        <f t="shared" si="51"/>
        <v>0</v>
      </c>
      <c r="BN176" s="57">
        <v>250</v>
      </c>
      <c r="BO176" s="57">
        <f t="shared" si="65"/>
        <v>2.339473539768467E-2</v>
      </c>
      <c r="BP176" s="61">
        <f t="shared" si="66"/>
        <v>1.020638488957073</v>
      </c>
      <c r="BQ176" s="57">
        <f t="shared" si="52"/>
        <v>0</v>
      </c>
      <c r="BR176" s="57">
        <v>200</v>
      </c>
      <c r="BS176" s="57"/>
      <c r="BT176" s="61"/>
      <c r="BU176" s="57"/>
      <c r="BV176" s="54"/>
      <c r="BW176" s="57"/>
      <c r="BX176" s="57"/>
      <c r="BY176" s="54">
        <f t="shared" si="53"/>
        <v>1</v>
      </c>
      <c r="BZ176" s="57">
        <v>80</v>
      </c>
      <c r="CA176" s="61">
        <v>80</v>
      </c>
      <c r="CB176" s="54">
        <f t="shared" si="54"/>
        <v>1</v>
      </c>
      <c r="CC176" s="57">
        <v>80</v>
      </c>
      <c r="CD176" s="61">
        <v>100</v>
      </c>
      <c r="CE176" s="57">
        <f t="shared" si="55"/>
        <v>1</v>
      </c>
      <c r="CF176" s="57">
        <v>150</v>
      </c>
      <c r="CG176" s="61">
        <v>400</v>
      </c>
      <c r="CH176" s="57"/>
      <c r="CI176" s="57"/>
      <c r="CJ176" s="57"/>
      <c r="CK176" s="57"/>
      <c r="CL176" s="57"/>
      <c r="CM176" s="57"/>
      <c r="CN176" s="57"/>
      <c r="CO176" s="57"/>
      <c r="CP176" s="57"/>
      <c r="CQ176" s="57"/>
      <c r="CR176" s="57"/>
      <c r="CS176" s="57"/>
      <c r="CT176" s="57"/>
      <c r="CU176" s="57"/>
      <c r="CV176" s="57"/>
      <c r="CW176" s="57"/>
      <c r="CX176" s="50"/>
      <c r="CY176" s="34"/>
      <c r="CZ176" s="51"/>
      <c r="DA176" s="34"/>
      <c r="DB176" s="56"/>
      <c r="DC176" s="34"/>
      <c r="DD176" s="53"/>
      <c r="DE176" s="70">
        <f t="shared" si="57"/>
        <v>0</v>
      </c>
      <c r="DF176" s="56" t="s">
        <v>145</v>
      </c>
      <c r="DG176" s="34">
        <v>40</v>
      </c>
      <c r="DH176" s="55">
        <v>25</v>
      </c>
      <c r="DI176" s="51"/>
      <c r="DJ176" s="34"/>
      <c r="DK176" s="56"/>
      <c r="DL176" s="34"/>
      <c r="DM176" s="53"/>
      <c r="DN176" s="54"/>
      <c r="DO176" s="57"/>
      <c r="DP176" s="61"/>
      <c r="DQ176" s="53"/>
      <c r="DR176" s="57"/>
      <c r="DS176" s="57"/>
      <c r="DT176" s="61"/>
      <c r="DU176" s="53"/>
      <c r="DV176" s="57"/>
      <c r="DW176" s="57"/>
      <c r="DX176" s="57"/>
      <c r="DY176" s="53"/>
      <c r="DZ176" s="57"/>
      <c r="EA176" s="57"/>
      <c r="EB176" s="57"/>
      <c r="EC176" s="53"/>
      <c r="ED176" s="57"/>
      <c r="EE176" s="57"/>
      <c r="EF176" s="57"/>
      <c r="EG176" s="53"/>
      <c r="EH176" s="34"/>
      <c r="EI176" s="57"/>
      <c r="EJ176" s="57"/>
      <c r="EK176" s="57"/>
      <c r="EL176" s="57"/>
      <c r="EM176" s="57"/>
      <c r="EN176" s="53"/>
      <c r="EO176" s="57"/>
      <c r="EP176" s="57"/>
      <c r="EQ176" s="57"/>
      <c r="ER176" s="53"/>
      <c r="ES176" s="53"/>
      <c r="ET176" s="34">
        <f t="shared" si="67"/>
        <v>0</v>
      </c>
      <c r="EU176" s="56" t="s">
        <v>142</v>
      </c>
      <c r="EV176" s="61" t="s">
        <v>210</v>
      </c>
      <c r="EW176" s="53"/>
      <c r="EX176" s="57"/>
      <c r="EY176" s="57"/>
      <c r="EZ176" s="57"/>
      <c r="FA176" s="53"/>
      <c r="FB176" s="57"/>
      <c r="FC176" s="57"/>
      <c r="FD176" s="61"/>
      <c r="FE176" s="57"/>
      <c r="FF176" s="61"/>
    </row>
    <row r="177" spans="52:162" x14ac:dyDescent="0.25">
      <c r="AZ177" s="170" t="s">
        <v>69</v>
      </c>
      <c r="BA177" s="1">
        <f>AA36</f>
        <v>0</v>
      </c>
      <c r="BB177" s="1"/>
      <c r="BC177" s="57"/>
      <c r="BD177" s="57" t="s">
        <v>56</v>
      </c>
      <c r="BE177" s="74">
        <f>BE175</f>
        <v>3.987428571428572</v>
      </c>
      <c r="BF177" s="57"/>
      <c r="BG177" s="57"/>
      <c r="BH177" s="54">
        <f t="shared" si="50"/>
        <v>0</v>
      </c>
      <c r="BI177" s="57">
        <v>300</v>
      </c>
      <c r="BJ177" s="57">
        <f t="shared" si="63"/>
        <v>2.2301284149115197E-2</v>
      </c>
      <c r="BK177" s="57">
        <f t="shared" si="64"/>
        <v>6.1093846771090952E-3</v>
      </c>
      <c r="BL177" s="61"/>
      <c r="BM177" s="54">
        <f t="shared" si="51"/>
        <v>0</v>
      </c>
      <c r="BN177" s="57">
        <v>300</v>
      </c>
      <c r="BO177" s="57">
        <f t="shared" si="65"/>
        <v>2.2301284149115197E-2</v>
      </c>
      <c r="BP177" s="61">
        <f t="shared" si="66"/>
        <v>0.39100061933498209</v>
      </c>
      <c r="BQ177" s="57">
        <f t="shared" si="52"/>
        <v>0</v>
      </c>
      <c r="BR177" s="57">
        <v>250</v>
      </c>
      <c r="BS177" s="57"/>
      <c r="BT177" s="61"/>
      <c r="BU177" s="57"/>
      <c r="BV177" s="54"/>
      <c r="BW177" s="57"/>
      <c r="BX177" s="57"/>
      <c r="BY177" s="54">
        <f t="shared" si="53"/>
        <v>1</v>
      </c>
      <c r="BZ177" s="57">
        <v>80</v>
      </c>
      <c r="CA177" s="61">
        <v>100</v>
      </c>
      <c r="CB177" s="54">
        <f t="shared" si="54"/>
        <v>1</v>
      </c>
      <c r="CC177" s="57">
        <v>100</v>
      </c>
      <c r="CD177" s="61">
        <v>125</v>
      </c>
      <c r="CE177" s="57"/>
      <c r="CF177" s="57"/>
      <c r="CG177" s="61"/>
      <c r="CH177" s="57"/>
      <c r="CI177" s="57"/>
      <c r="CJ177" s="57"/>
      <c r="CK177" s="57"/>
      <c r="CL177" s="57"/>
      <c r="CM177" s="57"/>
      <c r="CN177" s="57"/>
      <c r="CO177" s="57"/>
      <c r="CP177" s="57"/>
      <c r="CQ177" s="57"/>
      <c r="CR177" s="57"/>
      <c r="CS177" s="57"/>
      <c r="CT177" s="57"/>
      <c r="CU177" s="57"/>
      <c r="CV177" s="57"/>
      <c r="CW177" s="57"/>
      <c r="CX177" s="50"/>
      <c r="CY177" s="34"/>
      <c r="CZ177" s="51"/>
      <c r="DA177" s="34"/>
      <c r="DB177" s="56"/>
      <c r="DC177" s="34"/>
      <c r="DD177" s="53"/>
      <c r="DE177" s="70">
        <f t="shared" si="57"/>
        <v>0</v>
      </c>
      <c r="DF177" s="56" t="s">
        <v>146</v>
      </c>
      <c r="DG177" s="34">
        <v>50</v>
      </c>
      <c r="DH177" s="55">
        <v>31.5</v>
      </c>
      <c r="DI177" s="51"/>
      <c r="DJ177" s="34"/>
      <c r="DK177" s="56"/>
      <c r="DL177" s="34"/>
      <c r="DM177" s="53"/>
      <c r="DN177" s="54"/>
      <c r="DO177" s="57"/>
      <c r="DP177" s="61"/>
      <c r="DQ177" s="53"/>
      <c r="DR177" s="57"/>
      <c r="DS177" s="57"/>
      <c r="DT177" s="61"/>
      <c r="DU177" s="53"/>
      <c r="DV177" s="57"/>
      <c r="DW177" s="57"/>
      <c r="DX177" s="57"/>
      <c r="DY177" s="53"/>
      <c r="DZ177" s="57"/>
      <c r="EA177" s="57"/>
      <c r="EB177" s="57"/>
      <c r="EC177" s="53"/>
      <c r="ED177" s="57"/>
      <c r="EE177" s="57"/>
      <c r="EF177" s="57"/>
      <c r="EG177" s="53"/>
      <c r="EH177" s="34"/>
      <c r="EI177" s="57"/>
      <c r="EJ177" s="57"/>
      <c r="EK177" s="57"/>
      <c r="EL177" s="57"/>
      <c r="EM177" s="57"/>
      <c r="EN177" s="53"/>
      <c r="EO177" s="57"/>
      <c r="EP177" s="57"/>
      <c r="EQ177" s="57"/>
      <c r="ER177" s="53"/>
      <c r="ES177" s="53"/>
      <c r="ET177" s="34">
        <f t="shared" si="67"/>
        <v>0</v>
      </c>
      <c r="EU177" s="56" t="s">
        <v>145</v>
      </c>
      <c r="EV177" s="61" t="s">
        <v>211</v>
      </c>
      <c r="EW177" s="53"/>
      <c r="EX177" s="57"/>
      <c r="EY177" s="57"/>
      <c r="EZ177" s="57"/>
      <c r="FA177" s="53"/>
      <c r="FB177" s="57"/>
      <c r="FC177" s="57"/>
      <c r="FD177" s="61"/>
      <c r="FE177" s="57"/>
      <c r="FF177" s="61"/>
    </row>
    <row r="178" spans="52:162" x14ac:dyDescent="0.25">
      <c r="AZ178" s="170"/>
      <c r="BA178" s="57"/>
      <c r="BB178" s="171"/>
      <c r="BC178" s="57"/>
      <c r="BD178" s="1" t="e">
        <f>VLOOKUP(1,IF(BA175="Stratos-Z",CJ164:CK168,IF(BA175="Yonos MAXO-Z",CL164:CM168,0)),2,0)</f>
        <v>#N/A</v>
      </c>
      <c r="BE178" s="1"/>
      <c r="BF178" s="57"/>
      <c r="BG178" s="57"/>
      <c r="BH178" s="54"/>
      <c r="BI178" s="57"/>
      <c r="BJ178" s="57"/>
      <c r="BK178" s="57"/>
      <c r="BL178" s="61"/>
      <c r="BM178" s="54"/>
      <c r="BN178" s="57"/>
      <c r="BO178" s="57"/>
      <c r="BP178" s="61"/>
      <c r="BQ178" s="57"/>
      <c r="BR178" s="57"/>
      <c r="BS178" s="57"/>
      <c r="BT178" s="61"/>
      <c r="BU178" s="57"/>
      <c r="BV178" s="54"/>
      <c r="BW178" s="57"/>
      <c r="BX178" s="57"/>
      <c r="BY178" s="54">
        <f t="shared" si="53"/>
        <v>1</v>
      </c>
      <c r="BZ178" s="57">
        <v>100</v>
      </c>
      <c r="CA178" s="61">
        <v>125</v>
      </c>
      <c r="CB178" s="54">
        <f t="shared" si="54"/>
        <v>1</v>
      </c>
      <c r="CC178" s="57">
        <v>100</v>
      </c>
      <c r="CD178" s="61">
        <v>160</v>
      </c>
      <c r="CE178" s="57"/>
      <c r="CF178" s="57"/>
      <c r="CG178" s="61"/>
      <c r="CH178" s="57"/>
      <c r="CI178" s="57"/>
      <c r="CJ178" s="57"/>
      <c r="CK178" s="57"/>
      <c r="CL178" s="57"/>
      <c r="CM178" s="57"/>
      <c r="CN178" s="57"/>
      <c r="CO178" s="57"/>
      <c r="CP178" s="57"/>
      <c r="CQ178" s="57"/>
      <c r="CR178" s="57"/>
      <c r="CS178" s="57"/>
      <c r="CT178" s="57"/>
      <c r="CU178" s="57"/>
      <c r="CV178" s="57"/>
      <c r="CW178" s="57"/>
      <c r="CX178" s="50"/>
      <c r="CY178" s="34"/>
      <c r="CZ178" s="51"/>
      <c r="DA178" s="34"/>
      <c r="DB178" s="56"/>
      <c r="DC178" s="34"/>
      <c r="DD178" s="53"/>
      <c r="DE178" s="70">
        <f t="shared" si="57"/>
        <v>0</v>
      </c>
      <c r="DF178" s="56" t="s">
        <v>148</v>
      </c>
      <c r="DG178" s="34">
        <v>50</v>
      </c>
      <c r="DH178" s="55">
        <v>40</v>
      </c>
      <c r="DI178" s="51"/>
      <c r="DJ178" s="34"/>
      <c r="DK178" s="56"/>
      <c r="DL178" s="34"/>
      <c r="DM178" s="53"/>
      <c r="DN178" s="54"/>
      <c r="DO178" s="57"/>
      <c r="DP178" s="61"/>
      <c r="DQ178" s="53"/>
      <c r="DR178" s="57"/>
      <c r="DS178" s="57"/>
      <c r="DT178" s="61"/>
      <c r="DU178" s="53"/>
      <c r="DV178" s="57"/>
      <c r="DW178" s="57"/>
      <c r="DX178" s="57"/>
      <c r="DY178" s="53"/>
      <c r="DZ178" s="57"/>
      <c r="EA178" s="57"/>
      <c r="EB178" s="57"/>
      <c r="EC178" s="53"/>
      <c r="ED178" s="57"/>
      <c r="EE178" s="57"/>
      <c r="EF178" s="57"/>
      <c r="EG178" s="53"/>
      <c r="EH178" s="34"/>
      <c r="EI178" s="57"/>
      <c r="EJ178" s="57"/>
      <c r="EK178" s="57"/>
      <c r="EL178" s="57"/>
      <c r="EM178" s="57"/>
      <c r="EN178" s="53"/>
      <c r="EO178" s="57"/>
      <c r="EP178" s="57"/>
      <c r="EQ178" s="57"/>
      <c r="ER178" s="53"/>
      <c r="ES178" s="53"/>
      <c r="ET178" s="34">
        <f t="shared" si="67"/>
        <v>0</v>
      </c>
      <c r="EU178" s="56" t="s">
        <v>146</v>
      </c>
      <c r="EV178" s="61" t="s">
        <v>212</v>
      </c>
      <c r="EW178" s="53"/>
      <c r="EX178" s="57"/>
      <c r="EY178" s="57"/>
      <c r="EZ178" s="57"/>
      <c r="FA178" s="53"/>
      <c r="FB178" s="57"/>
      <c r="FC178" s="57"/>
      <c r="FD178" s="61"/>
      <c r="FE178" s="57"/>
      <c r="FF178" s="61"/>
    </row>
    <row r="179" spans="52:162" x14ac:dyDescent="0.25">
      <c r="AZ179" s="170"/>
      <c r="BA179" s="57"/>
      <c r="BB179" s="171"/>
      <c r="BC179" s="57"/>
      <c r="BD179" s="57"/>
      <c r="BE179" s="57"/>
      <c r="BF179" s="57"/>
      <c r="BG179" s="57"/>
      <c r="BH179" s="54"/>
      <c r="BI179" s="90"/>
      <c r="BJ179" s="57"/>
      <c r="BK179" s="57"/>
      <c r="BL179" s="61"/>
      <c r="BM179" s="54"/>
      <c r="BN179" s="57"/>
      <c r="BO179" s="57"/>
      <c r="BP179" s="61"/>
      <c r="BQ179" s="57"/>
      <c r="BR179" s="57"/>
      <c r="BS179" s="57"/>
      <c r="BT179" s="61"/>
      <c r="BU179" s="57"/>
      <c r="BV179" s="54"/>
      <c r="BW179" s="57"/>
      <c r="BX179" s="57"/>
      <c r="BY179" s="54">
        <f t="shared" si="53"/>
        <v>1</v>
      </c>
      <c r="BZ179" s="57">
        <v>100</v>
      </c>
      <c r="CA179" s="61">
        <v>160</v>
      </c>
      <c r="CB179" s="54">
        <f t="shared" si="54"/>
        <v>1</v>
      </c>
      <c r="CC179" s="57">
        <v>125</v>
      </c>
      <c r="CD179" s="61">
        <v>200</v>
      </c>
      <c r="CE179" s="57"/>
      <c r="CF179" s="57"/>
      <c r="CG179" s="61"/>
      <c r="CH179" s="57"/>
      <c r="CI179" s="57"/>
      <c r="CJ179" s="57"/>
      <c r="CK179" s="57"/>
      <c r="CL179" s="57"/>
      <c r="CM179" s="57"/>
      <c r="CN179" s="57"/>
      <c r="CO179" s="57"/>
      <c r="CP179" s="57"/>
      <c r="CQ179" s="57"/>
      <c r="CR179" s="57"/>
      <c r="CS179" s="57"/>
      <c r="CT179" s="57"/>
      <c r="CU179" s="57"/>
      <c r="CV179" s="57"/>
      <c r="CW179" s="57"/>
      <c r="CX179" s="50"/>
      <c r="CY179" s="34"/>
      <c r="CZ179" s="51"/>
      <c r="DA179" s="34"/>
      <c r="DB179" s="56"/>
      <c r="DC179" s="34"/>
      <c r="DD179" s="53"/>
      <c r="DE179" s="70">
        <f t="shared" si="57"/>
        <v>0</v>
      </c>
      <c r="DF179" s="56" t="s">
        <v>149</v>
      </c>
      <c r="DG179" s="34">
        <v>65</v>
      </c>
      <c r="DH179" s="55">
        <v>50</v>
      </c>
      <c r="DI179" s="51"/>
      <c r="DJ179" s="34"/>
      <c r="DK179" s="56"/>
      <c r="DL179" s="34"/>
      <c r="DM179" s="53"/>
      <c r="DN179" s="54"/>
      <c r="DO179" s="57"/>
      <c r="DP179" s="61"/>
      <c r="DQ179" s="53"/>
      <c r="DR179" s="57"/>
      <c r="DS179" s="57"/>
      <c r="DT179" s="61"/>
      <c r="DU179" s="53"/>
      <c r="DV179" s="57"/>
      <c r="DW179" s="57"/>
      <c r="DX179" s="57"/>
      <c r="DY179" s="53"/>
      <c r="DZ179" s="57"/>
      <c r="EA179" s="57"/>
      <c r="EB179" s="57"/>
      <c r="EC179" s="53"/>
      <c r="ED179" s="57"/>
      <c r="EE179" s="57"/>
      <c r="EF179" s="57"/>
      <c r="EG179" s="53"/>
      <c r="EH179" s="57"/>
      <c r="EI179" s="57"/>
      <c r="EJ179" s="57"/>
      <c r="EK179" s="57"/>
      <c r="EL179" s="57"/>
      <c r="EM179" s="57"/>
      <c r="EN179" s="53"/>
      <c r="EO179" s="57"/>
      <c r="EP179" s="57"/>
      <c r="EQ179" s="57"/>
      <c r="ER179" s="53"/>
      <c r="ES179" s="53"/>
      <c r="ET179" s="34">
        <f t="shared" si="67"/>
        <v>0</v>
      </c>
      <c r="EU179" s="56" t="s">
        <v>148</v>
      </c>
      <c r="EV179" s="61" t="s">
        <v>213</v>
      </c>
      <c r="EW179" s="53"/>
      <c r="EX179" s="57"/>
      <c r="EY179" s="57"/>
      <c r="EZ179" s="57"/>
      <c r="FA179" s="53"/>
      <c r="FB179" s="57"/>
      <c r="FC179" s="57"/>
      <c r="FD179" s="61"/>
      <c r="FE179" s="57"/>
      <c r="FF179" s="61"/>
    </row>
    <row r="180" spans="52:162" x14ac:dyDescent="0.25">
      <c r="AZ180" s="170"/>
      <c r="BA180" s="57"/>
      <c r="BB180" s="171"/>
      <c r="BC180" s="57"/>
      <c r="BD180" s="57"/>
      <c r="BE180" s="57"/>
      <c r="BF180" s="57"/>
      <c r="BG180" s="57"/>
      <c r="BH180" s="54"/>
      <c r="BI180" s="90" t="s">
        <v>150</v>
      </c>
      <c r="BJ180" s="57">
        <v>958.4</v>
      </c>
      <c r="BK180" s="57"/>
      <c r="BL180" s="61"/>
      <c r="BM180" s="54"/>
      <c r="BN180" s="57"/>
      <c r="BO180" s="57"/>
      <c r="BP180" s="61"/>
      <c r="BQ180" s="57"/>
      <c r="BR180" s="57"/>
      <c r="BS180" s="57"/>
      <c r="BT180" s="61"/>
      <c r="BU180" s="57"/>
      <c r="BV180" s="54"/>
      <c r="BW180" s="57"/>
      <c r="BX180" s="57"/>
      <c r="BY180" s="54">
        <f t="shared" si="53"/>
        <v>1</v>
      </c>
      <c r="BZ180" s="57">
        <v>125</v>
      </c>
      <c r="CA180" s="61">
        <v>250</v>
      </c>
      <c r="CB180" s="54">
        <f t="shared" si="54"/>
        <v>1</v>
      </c>
      <c r="CC180" s="57">
        <v>125</v>
      </c>
      <c r="CD180" s="61">
        <v>250</v>
      </c>
      <c r="CE180" s="57"/>
      <c r="CF180" s="57"/>
      <c r="CG180" s="61"/>
      <c r="CH180" s="57"/>
      <c r="CI180" s="57"/>
      <c r="CJ180" s="57"/>
      <c r="CK180" s="57"/>
      <c r="CL180" s="57"/>
      <c r="CM180" s="57"/>
      <c r="CN180" s="57"/>
      <c r="CO180" s="57"/>
      <c r="CP180" s="57"/>
      <c r="CQ180" s="57"/>
      <c r="CR180" s="57"/>
      <c r="CS180" s="57"/>
      <c r="CT180" s="57"/>
      <c r="CU180" s="57"/>
      <c r="CV180" s="57"/>
      <c r="CW180" s="57"/>
      <c r="CX180" s="50"/>
      <c r="CY180" s="34"/>
      <c r="CZ180" s="51"/>
      <c r="DA180" s="34"/>
      <c r="DB180" s="56"/>
      <c r="DC180" s="34"/>
      <c r="DD180" s="53"/>
      <c r="DE180" s="70">
        <f t="shared" si="57"/>
        <v>0</v>
      </c>
      <c r="DF180" s="56" t="s">
        <v>151</v>
      </c>
      <c r="DG180" s="34">
        <v>65</v>
      </c>
      <c r="DH180" s="55">
        <v>63</v>
      </c>
      <c r="DI180" s="51"/>
      <c r="DJ180" s="34"/>
      <c r="DK180" s="56"/>
      <c r="DL180" s="34"/>
      <c r="DM180" s="53"/>
      <c r="DN180" s="54"/>
      <c r="DO180" s="57"/>
      <c r="DP180" s="61"/>
      <c r="DQ180" s="53"/>
      <c r="DR180" s="57"/>
      <c r="DS180" s="57"/>
      <c r="DT180" s="61"/>
      <c r="DU180" s="53"/>
      <c r="DV180" s="57"/>
      <c r="DW180" s="57"/>
      <c r="DX180" s="57"/>
      <c r="DY180" s="53"/>
      <c r="DZ180" s="57"/>
      <c r="EA180" s="57"/>
      <c r="EB180" s="57"/>
      <c r="EC180" s="53"/>
      <c r="ED180" s="57"/>
      <c r="EE180" s="57"/>
      <c r="EF180" s="57"/>
      <c r="EG180" s="53"/>
      <c r="EH180" s="57"/>
      <c r="EI180" s="57"/>
      <c r="EJ180" s="57"/>
      <c r="EK180" s="57"/>
      <c r="EL180" s="57"/>
      <c r="EM180" s="57"/>
      <c r="EN180" s="53"/>
      <c r="EO180" s="57"/>
      <c r="EP180" s="57"/>
      <c r="EQ180" s="57"/>
      <c r="ER180" s="53"/>
      <c r="ES180" s="53"/>
      <c r="ET180" s="57"/>
      <c r="EU180" s="57"/>
      <c r="EV180" s="57"/>
      <c r="EW180" s="53"/>
      <c r="EX180" s="57"/>
      <c r="EY180" s="57"/>
      <c r="EZ180" s="57"/>
      <c r="FA180" s="53"/>
      <c r="FB180" s="57"/>
      <c r="FC180" s="57"/>
      <c r="FD180" s="61"/>
      <c r="FE180" s="57"/>
      <c r="FF180" s="61"/>
    </row>
    <row r="181" spans="52:162" ht="15.75" thickBot="1" x14ac:dyDescent="0.3">
      <c r="AZ181" s="54"/>
      <c r="BA181" s="57"/>
      <c r="BB181" s="57"/>
      <c r="BC181" s="57"/>
      <c r="BD181" s="57"/>
      <c r="BE181" s="57"/>
      <c r="BF181" s="57"/>
      <c r="BG181" s="57"/>
      <c r="BH181" s="83"/>
      <c r="BI181" s="91" t="s">
        <v>152</v>
      </c>
      <c r="BJ181" s="87">
        <v>0.5</v>
      </c>
      <c r="BK181" s="87"/>
      <c r="BL181" s="89"/>
      <c r="BM181" s="83"/>
      <c r="BN181" s="87"/>
      <c r="BO181" s="87"/>
      <c r="BP181" s="89"/>
      <c r="BQ181" s="87"/>
      <c r="BR181" s="87"/>
      <c r="BS181" s="87"/>
      <c r="BT181" s="89"/>
      <c r="BU181" s="57"/>
      <c r="BV181" s="54"/>
      <c r="BW181" s="57"/>
      <c r="BX181" s="57"/>
      <c r="BY181" s="54">
        <f t="shared" si="53"/>
        <v>1</v>
      </c>
      <c r="BZ181" s="57">
        <v>150</v>
      </c>
      <c r="CA181" s="61">
        <v>315</v>
      </c>
      <c r="CB181" s="54">
        <f t="shared" si="54"/>
        <v>1</v>
      </c>
      <c r="CC181" s="57">
        <v>150</v>
      </c>
      <c r="CD181" s="61">
        <v>315</v>
      </c>
      <c r="CE181" s="57"/>
      <c r="CF181" s="57"/>
      <c r="CG181" s="61"/>
      <c r="CH181" s="57"/>
      <c r="CI181" s="57"/>
      <c r="CJ181" s="57"/>
      <c r="CK181" s="57"/>
      <c r="CL181" s="57"/>
      <c r="CM181" s="57"/>
      <c r="CN181" s="57"/>
      <c r="CO181" s="57"/>
      <c r="CP181" s="57"/>
      <c r="CQ181" s="57"/>
      <c r="CR181" s="57"/>
      <c r="CS181" s="57"/>
      <c r="CT181" s="57"/>
      <c r="CU181" s="57"/>
      <c r="CV181" s="57"/>
      <c r="CW181" s="57"/>
      <c r="CX181" s="50"/>
      <c r="CY181" s="34"/>
      <c r="CZ181" s="51"/>
      <c r="DA181" s="34"/>
      <c r="DB181" s="56"/>
      <c r="DC181" s="34"/>
      <c r="DD181" s="53"/>
      <c r="DE181" s="70">
        <f t="shared" si="57"/>
        <v>0</v>
      </c>
      <c r="DF181" s="56" t="s">
        <v>153</v>
      </c>
      <c r="DG181" s="34">
        <v>80</v>
      </c>
      <c r="DH181" s="55">
        <v>80</v>
      </c>
      <c r="DI181" s="51"/>
      <c r="DJ181" s="34"/>
      <c r="DK181" s="56"/>
      <c r="DL181" s="34"/>
      <c r="DM181" s="53"/>
      <c r="DN181" s="54"/>
      <c r="DO181" s="57"/>
      <c r="DP181" s="61"/>
      <c r="DQ181" s="53"/>
      <c r="DR181" s="57"/>
      <c r="DS181" s="57"/>
      <c r="DT181" s="61"/>
      <c r="DU181" s="53"/>
      <c r="DV181" s="57"/>
      <c r="DW181" s="57"/>
      <c r="DX181" s="57"/>
      <c r="DY181" s="53"/>
      <c r="DZ181" s="57"/>
      <c r="EA181" s="57"/>
      <c r="EB181" s="57"/>
      <c r="EC181" s="53"/>
      <c r="ED181" s="57"/>
      <c r="EE181" s="57"/>
      <c r="EF181" s="57"/>
      <c r="EG181" s="53"/>
      <c r="EH181" s="57"/>
      <c r="EI181" s="57"/>
      <c r="EJ181" s="57"/>
      <c r="EK181" s="57"/>
      <c r="EL181" s="57"/>
      <c r="EM181" s="57"/>
      <c r="EN181" s="53"/>
      <c r="EO181" s="57"/>
      <c r="EP181" s="57"/>
      <c r="EQ181" s="57"/>
      <c r="ER181" s="53"/>
      <c r="ES181" s="53"/>
      <c r="ET181" s="57"/>
      <c r="EU181" s="57"/>
      <c r="EV181" s="57"/>
      <c r="EW181" s="53"/>
      <c r="EX181" s="57"/>
      <c r="EY181" s="57"/>
      <c r="EZ181" s="57"/>
      <c r="FA181" s="53"/>
      <c r="FB181" s="57"/>
      <c r="FC181" s="57"/>
      <c r="FD181" s="61"/>
      <c r="FE181" s="57"/>
      <c r="FF181" s="61"/>
    </row>
    <row r="182" spans="52:162" ht="15.75" thickBot="1" x14ac:dyDescent="0.3">
      <c r="AZ182" s="54"/>
      <c r="BA182" s="57"/>
      <c r="BB182" s="57"/>
      <c r="BC182" s="57"/>
      <c r="BD182" s="57"/>
      <c r="BE182" s="57"/>
      <c r="BF182" s="57"/>
      <c r="BG182" s="57"/>
      <c r="BH182" s="57"/>
      <c r="BI182" s="90"/>
      <c r="BJ182" s="57"/>
      <c r="BK182" s="57"/>
      <c r="BL182" s="57"/>
      <c r="BM182" s="57"/>
      <c r="BN182" s="57"/>
      <c r="BO182" s="57"/>
      <c r="BP182" s="57"/>
      <c r="BQ182" s="57"/>
      <c r="BR182" s="57"/>
      <c r="BS182" s="57"/>
      <c r="BT182" s="57"/>
      <c r="BU182" s="57"/>
      <c r="BV182" s="83"/>
      <c r="BW182" s="87"/>
      <c r="BX182" s="87"/>
      <c r="BY182" s="83"/>
      <c r="BZ182" s="87"/>
      <c r="CA182" s="89"/>
      <c r="CB182" s="83">
        <f t="shared" si="54"/>
        <v>1</v>
      </c>
      <c r="CC182" s="87">
        <v>150</v>
      </c>
      <c r="CD182" s="89">
        <v>400</v>
      </c>
      <c r="CE182" s="87"/>
      <c r="CF182" s="87"/>
      <c r="CG182" s="89"/>
      <c r="CH182" s="57"/>
      <c r="CI182" s="57"/>
      <c r="CJ182" s="57"/>
      <c r="CK182" s="57"/>
      <c r="CL182" s="57"/>
      <c r="CM182" s="57"/>
      <c r="CN182" s="57"/>
      <c r="CO182" s="57"/>
      <c r="CP182" s="57"/>
      <c r="CQ182" s="57"/>
      <c r="CR182" s="57"/>
      <c r="CS182" s="57"/>
      <c r="CT182" s="57"/>
      <c r="CU182" s="57"/>
      <c r="CV182" s="57"/>
      <c r="CW182" s="57"/>
      <c r="CX182" s="50"/>
      <c r="CY182" s="34"/>
      <c r="CZ182" s="51"/>
      <c r="DA182" s="34"/>
      <c r="DB182" s="56"/>
      <c r="DC182" s="34"/>
      <c r="DD182" s="53"/>
      <c r="DE182" s="70">
        <f t="shared" si="57"/>
        <v>0</v>
      </c>
      <c r="DF182" s="56" t="s">
        <v>154</v>
      </c>
      <c r="DG182" s="34">
        <v>80</v>
      </c>
      <c r="DH182" s="55">
        <v>100</v>
      </c>
      <c r="DI182" s="51"/>
      <c r="DJ182" s="34"/>
      <c r="DK182" s="56"/>
      <c r="DL182" s="34"/>
      <c r="DM182" s="53"/>
      <c r="DN182" s="54"/>
      <c r="DO182" s="57"/>
      <c r="DP182" s="61"/>
      <c r="DQ182" s="53"/>
      <c r="DR182" s="57"/>
      <c r="DS182" s="57"/>
      <c r="DT182" s="61"/>
      <c r="DU182" s="53"/>
      <c r="DV182" s="57"/>
      <c r="DW182" s="57"/>
      <c r="DX182" s="57"/>
      <c r="DY182" s="53"/>
      <c r="DZ182" s="57"/>
      <c r="EA182" s="57"/>
      <c r="EB182" s="57"/>
      <c r="EC182" s="53"/>
      <c r="ED182" s="57"/>
      <c r="EE182" s="57"/>
      <c r="EF182" s="57"/>
      <c r="EG182" s="53"/>
      <c r="EH182" s="57"/>
      <c r="EI182" s="57"/>
      <c r="EJ182" s="57"/>
      <c r="EK182" s="57"/>
      <c r="EL182" s="57"/>
      <c r="EM182" s="57"/>
      <c r="EN182" s="53"/>
      <c r="EO182" s="57"/>
      <c r="EP182" s="57"/>
      <c r="EQ182" s="57"/>
      <c r="ER182" s="53"/>
      <c r="ES182" s="53"/>
      <c r="ET182" s="57"/>
      <c r="EU182" s="57"/>
      <c r="EV182" s="57"/>
      <c r="EW182" s="53"/>
      <c r="EX182" s="57"/>
      <c r="EY182" s="57"/>
      <c r="EZ182" s="57"/>
      <c r="FA182" s="53"/>
      <c r="FB182" s="57"/>
      <c r="FC182" s="57"/>
      <c r="FD182" s="61"/>
      <c r="FE182" s="57"/>
      <c r="FF182" s="61"/>
    </row>
    <row r="183" spans="52:162" x14ac:dyDescent="0.25">
      <c r="AZ183" s="54"/>
      <c r="BA183" s="57"/>
      <c r="BB183" s="57"/>
      <c r="BC183" s="57"/>
      <c r="BD183" s="57"/>
      <c r="BE183" s="57"/>
      <c r="BF183" s="57"/>
      <c r="BG183" s="57"/>
      <c r="BH183" s="57"/>
      <c r="BI183" s="57"/>
      <c r="BJ183" s="57"/>
      <c r="BK183" s="57"/>
      <c r="BL183" s="57"/>
      <c r="BM183" s="57"/>
      <c r="BN183" s="57"/>
      <c r="BO183" s="57"/>
      <c r="BP183" s="57"/>
      <c r="BQ183" s="57"/>
      <c r="BR183" s="57"/>
      <c r="BS183" s="57"/>
      <c r="BT183" s="57"/>
      <c r="BU183" s="57"/>
      <c r="BV183" s="57"/>
      <c r="BW183" s="57"/>
      <c r="BX183" s="57"/>
      <c r="BY183" s="57"/>
      <c r="BZ183" s="57"/>
      <c r="CA183" s="57"/>
      <c r="CB183" s="57"/>
      <c r="CC183" s="57"/>
      <c r="CD183" s="57"/>
      <c r="CE183" s="57"/>
      <c r="CF183" s="57"/>
      <c r="CG183" s="57"/>
      <c r="CH183" s="57"/>
      <c r="CI183" s="57"/>
      <c r="CJ183" s="57"/>
      <c r="CK183" s="57"/>
      <c r="CL183" s="57"/>
      <c r="CM183" s="57"/>
      <c r="CN183" s="57"/>
      <c r="CO183" s="57"/>
      <c r="CP183" s="57"/>
      <c r="CQ183" s="57"/>
      <c r="CR183" s="57"/>
      <c r="CS183" s="57"/>
      <c r="CT183" s="57"/>
      <c r="CU183" s="57"/>
      <c r="CV183" s="57"/>
      <c r="CW183" s="57"/>
      <c r="CX183" s="50"/>
      <c r="CY183" s="34"/>
      <c r="CZ183" s="51"/>
      <c r="DA183" s="34"/>
      <c r="DB183" s="56"/>
      <c r="DC183" s="34"/>
      <c r="DD183" s="53"/>
      <c r="DE183" s="70">
        <f t="shared" si="57"/>
        <v>0</v>
      </c>
      <c r="DF183" s="56" t="s">
        <v>155</v>
      </c>
      <c r="DG183" s="34">
        <v>100</v>
      </c>
      <c r="DH183" s="55">
        <v>125</v>
      </c>
      <c r="DI183" s="51"/>
      <c r="DJ183" s="34"/>
      <c r="DK183" s="56"/>
      <c r="DL183" s="34"/>
      <c r="DM183" s="53"/>
      <c r="DN183" s="54"/>
      <c r="DO183" s="57"/>
      <c r="DP183" s="61"/>
      <c r="DQ183" s="53"/>
      <c r="DR183" s="57"/>
      <c r="DS183" s="57"/>
      <c r="DT183" s="61"/>
      <c r="DU183" s="53"/>
      <c r="DV183" s="57"/>
      <c r="DW183" s="57"/>
      <c r="DX183" s="57"/>
      <c r="DY183" s="53"/>
      <c r="DZ183" s="57"/>
      <c r="EA183" s="57"/>
      <c r="EB183" s="57"/>
      <c r="EC183" s="53"/>
      <c r="ED183" s="57"/>
      <c r="EE183" s="57"/>
      <c r="EF183" s="57"/>
      <c r="EG183" s="53"/>
      <c r="EH183" s="57"/>
      <c r="EI183" s="57"/>
      <c r="EJ183" s="57"/>
      <c r="EK183" s="57"/>
      <c r="EL183" s="57"/>
      <c r="EM183" s="57"/>
      <c r="EN183" s="53"/>
      <c r="EO183" s="57"/>
      <c r="EP183" s="57"/>
      <c r="EQ183" s="57"/>
      <c r="ER183" s="53"/>
      <c r="ES183" s="53"/>
      <c r="ET183" s="57"/>
      <c r="EU183" s="57"/>
      <c r="EV183" s="57"/>
      <c r="EW183" s="53"/>
      <c r="EX183" s="57"/>
      <c r="EY183" s="57"/>
      <c r="EZ183" s="57"/>
      <c r="FA183" s="53"/>
      <c r="FB183" s="57"/>
      <c r="FC183" s="57"/>
      <c r="FD183" s="61"/>
      <c r="FE183" s="57"/>
      <c r="FF183" s="61"/>
    </row>
    <row r="184" spans="52:162" x14ac:dyDescent="0.25">
      <c r="AZ184" s="54"/>
      <c r="BA184" s="57"/>
      <c r="BB184" s="57"/>
      <c r="BC184" s="57"/>
      <c r="BD184" s="57"/>
      <c r="BE184" s="57"/>
      <c r="BF184" s="57"/>
      <c r="BG184" s="57"/>
      <c r="BH184" s="57"/>
      <c r="BI184" s="57"/>
      <c r="BJ184" s="57"/>
      <c r="BK184" s="57"/>
      <c r="BL184" s="57"/>
      <c r="BM184" s="57"/>
      <c r="BN184" s="57"/>
      <c r="BO184" s="57"/>
      <c r="BP184" s="57"/>
      <c r="BQ184" s="57"/>
      <c r="BR184" s="57"/>
      <c r="BS184" s="57"/>
      <c r="BT184" s="57"/>
      <c r="BU184" s="57"/>
      <c r="BV184" s="57"/>
      <c r="BW184" s="57"/>
      <c r="BX184" s="57"/>
      <c r="BY184" s="57"/>
      <c r="BZ184" s="57"/>
      <c r="CA184" s="57"/>
      <c r="CB184" s="57"/>
      <c r="CC184" s="57"/>
      <c r="CD184" s="57"/>
      <c r="CE184" s="57"/>
      <c r="CF184" s="57"/>
      <c r="CG184" s="57"/>
      <c r="CH184" s="57"/>
      <c r="CI184" s="57"/>
      <c r="CJ184" s="57"/>
      <c r="CK184" s="57"/>
      <c r="CL184" s="57"/>
      <c r="CM184" s="57"/>
      <c r="CN184" s="57"/>
      <c r="CO184" s="57"/>
      <c r="CP184" s="57"/>
      <c r="CQ184" s="57"/>
      <c r="CR184" s="57"/>
      <c r="CS184" s="57"/>
      <c r="CT184" s="57"/>
      <c r="CU184" s="57"/>
      <c r="CV184" s="57"/>
      <c r="CW184" s="57"/>
      <c r="CX184" s="50"/>
      <c r="CY184" s="34"/>
      <c r="CZ184" s="51"/>
      <c r="DA184" s="34"/>
      <c r="DB184" s="56"/>
      <c r="DC184" s="34"/>
      <c r="DD184" s="53"/>
      <c r="DE184" s="70">
        <f t="shared" si="57"/>
        <v>0</v>
      </c>
      <c r="DF184" s="56" t="s">
        <v>156</v>
      </c>
      <c r="DG184" s="34">
        <v>100</v>
      </c>
      <c r="DH184" s="55">
        <v>160</v>
      </c>
      <c r="DI184" s="51"/>
      <c r="DJ184" s="34"/>
      <c r="DK184" s="56"/>
      <c r="DL184" s="34"/>
      <c r="DM184" s="53"/>
      <c r="DN184" s="54"/>
      <c r="DO184" s="57"/>
      <c r="DP184" s="61"/>
      <c r="DQ184" s="53"/>
      <c r="DR184" s="57"/>
      <c r="DS184" s="57"/>
      <c r="DT184" s="61"/>
      <c r="DU184" s="53"/>
      <c r="DV184" s="57"/>
      <c r="DW184" s="57"/>
      <c r="DX184" s="57"/>
      <c r="DY184" s="53"/>
      <c r="DZ184" s="57"/>
      <c r="EA184" s="57"/>
      <c r="EB184" s="57"/>
      <c r="EC184" s="53"/>
      <c r="ED184" s="57"/>
      <c r="EE184" s="57"/>
      <c r="EF184" s="57"/>
      <c r="EG184" s="53"/>
      <c r="EH184" s="57"/>
      <c r="EI184" s="57"/>
      <c r="EJ184" s="57"/>
      <c r="EK184" s="57"/>
      <c r="EL184" s="57"/>
      <c r="EM184" s="57"/>
      <c r="EN184" s="53"/>
      <c r="EO184" s="57"/>
      <c r="EP184" s="57"/>
      <c r="EQ184" s="57"/>
      <c r="ER184" s="53"/>
      <c r="ES184" s="53"/>
      <c r="ET184" s="57"/>
      <c r="EU184" s="57"/>
      <c r="EV184" s="57"/>
      <c r="EW184" s="53"/>
      <c r="EX184" s="57"/>
      <c r="EY184" s="57"/>
      <c r="EZ184" s="57"/>
      <c r="FA184" s="53"/>
      <c r="FB184" s="57"/>
      <c r="FC184" s="57"/>
      <c r="FD184" s="61"/>
      <c r="FE184" s="57"/>
      <c r="FF184" s="61"/>
    </row>
    <row r="185" spans="52:162" x14ac:dyDescent="0.25">
      <c r="AZ185" s="54"/>
      <c r="BA185" s="57"/>
      <c r="BB185" s="57"/>
      <c r="BC185" s="57"/>
      <c r="BD185" s="57"/>
      <c r="BE185" s="57"/>
      <c r="BF185" s="57"/>
      <c r="BG185" s="57"/>
      <c r="BH185" s="57"/>
      <c r="BI185" s="57"/>
      <c r="BJ185" s="57"/>
      <c r="BK185" s="57"/>
      <c r="BL185" s="57"/>
      <c r="BM185" s="57"/>
      <c r="BN185" s="57"/>
      <c r="BO185" s="57"/>
      <c r="BP185" s="57"/>
      <c r="BQ185" s="57"/>
      <c r="BR185" s="57"/>
      <c r="BS185" s="57"/>
      <c r="BT185" s="57"/>
      <c r="BU185" s="57"/>
      <c r="BV185" s="57"/>
      <c r="BW185" s="57"/>
      <c r="BX185" s="57"/>
      <c r="BY185" s="57"/>
      <c r="BZ185" s="57"/>
      <c r="CA185" s="57"/>
      <c r="CB185" s="57"/>
      <c r="CC185" s="57"/>
      <c r="CD185" s="57"/>
      <c r="CE185" s="57"/>
      <c r="CF185" s="57"/>
      <c r="CG185" s="57"/>
      <c r="CH185" s="57"/>
      <c r="CI185" s="57"/>
      <c r="CJ185" s="57"/>
      <c r="CK185" s="57"/>
      <c r="CL185" s="57"/>
      <c r="CM185" s="57"/>
      <c r="CN185" s="57"/>
      <c r="CO185" s="57"/>
      <c r="CP185" s="57"/>
      <c r="CQ185" s="57"/>
      <c r="CR185" s="57"/>
      <c r="CS185" s="57"/>
      <c r="CT185" s="57"/>
      <c r="CU185" s="57"/>
      <c r="CV185" s="57"/>
      <c r="CW185" s="57"/>
      <c r="CX185" s="50"/>
      <c r="CY185" s="34"/>
      <c r="CZ185" s="51"/>
      <c r="DA185" s="34"/>
      <c r="DB185" s="56"/>
      <c r="DC185" s="34"/>
      <c r="DD185" s="53"/>
      <c r="DE185" s="70">
        <f t="shared" si="57"/>
        <v>0</v>
      </c>
      <c r="DF185" s="56" t="s">
        <v>157</v>
      </c>
      <c r="DG185" s="34">
        <v>125</v>
      </c>
      <c r="DH185" s="55">
        <v>250</v>
      </c>
      <c r="DI185" s="51"/>
      <c r="DJ185" s="34"/>
      <c r="DK185" s="56"/>
      <c r="DL185" s="34"/>
      <c r="DM185" s="53"/>
      <c r="DN185" s="54"/>
      <c r="DO185" s="57"/>
      <c r="DP185" s="61"/>
      <c r="DQ185" s="53"/>
      <c r="DR185" s="57"/>
      <c r="DS185" s="57"/>
      <c r="DT185" s="61"/>
      <c r="DU185" s="53"/>
      <c r="DV185" s="57"/>
      <c r="DW185" s="57"/>
      <c r="DX185" s="57"/>
      <c r="DY185" s="53"/>
      <c r="DZ185" s="57"/>
      <c r="EA185" s="57"/>
      <c r="EB185" s="57"/>
      <c r="EC185" s="53"/>
      <c r="ED185" s="57"/>
      <c r="EE185" s="57"/>
      <c r="EF185" s="57"/>
      <c r="EG185" s="53"/>
      <c r="EH185" s="57"/>
      <c r="EI185" s="57"/>
      <c r="EJ185" s="57"/>
      <c r="EK185" s="57"/>
      <c r="EL185" s="57"/>
      <c r="EM185" s="57"/>
      <c r="EN185" s="53"/>
      <c r="EO185" s="57"/>
      <c r="EP185" s="57"/>
      <c r="EQ185" s="57"/>
      <c r="ER185" s="53"/>
      <c r="ES185" s="53"/>
      <c r="ET185" s="57"/>
      <c r="EU185" s="57"/>
      <c r="EV185" s="57"/>
      <c r="EW185" s="53"/>
      <c r="EX185" s="57"/>
      <c r="EY185" s="57"/>
      <c r="EZ185" s="57"/>
      <c r="FA185" s="53"/>
      <c r="FB185" s="57"/>
      <c r="FC185" s="57"/>
      <c r="FD185" s="61"/>
      <c r="FE185" s="57"/>
      <c r="FF185" s="61"/>
    </row>
    <row r="186" spans="52:162" ht="15.75" thickBot="1" x14ac:dyDescent="0.3">
      <c r="AZ186" s="54"/>
      <c r="BA186" s="57"/>
      <c r="BB186" s="57"/>
      <c r="BC186" s="57"/>
      <c r="BD186" s="57"/>
      <c r="BE186" s="57"/>
      <c r="BF186" s="57"/>
      <c r="BG186" s="57"/>
      <c r="BH186" s="57"/>
      <c r="BI186" s="57"/>
      <c r="BJ186" s="57"/>
      <c r="BK186" s="57"/>
      <c r="BL186" s="57"/>
      <c r="BM186" s="57"/>
      <c r="BN186" s="57"/>
      <c r="BO186" s="57"/>
      <c r="BP186" s="57"/>
      <c r="BQ186" s="57"/>
      <c r="BR186" s="57"/>
      <c r="BS186" s="57"/>
      <c r="BT186" s="57"/>
      <c r="BU186" s="57"/>
      <c r="BV186" s="57"/>
      <c r="BW186" s="57"/>
      <c r="BX186" s="57"/>
      <c r="BY186" s="57"/>
      <c r="BZ186" s="57"/>
      <c r="CA186" s="57"/>
      <c r="CB186" s="57"/>
      <c r="CC186" s="57"/>
      <c r="CD186" s="57"/>
      <c r="CE186" s="57"/>
      <c r="CF186" s="57"/>
      <c r="CG186" s="57"/>
      <c r="CH186" s="57"/>
      <c r="CI186" s="57"/>
      <c r="CJ186" s="57"/>
      <c r="CK186" s="57"/>
      <c r="CL186" s="57"/>
      <c r="CM186" s="57"/>
      <c r="CN186" s="57"/>
      <c r="CO186" s="57"/>
      <c r="CP186" s="57"/>
      <c r="CQ186" s="57"/>
      <c r="CR186" s="57"/>
      <c r="CS186" s="57"/>
      <c r="CT186" s="57"/>
      <c r="CU186" s="57"/>
      <c r="CV186" s="57"/>
      <c r="CW186" s="57"/>
      <c r="CX186" s="92"/>
      <c r="CY186" s="93"/>
      <c r="CZ186" s="94"/>
      <c r="DA186" s="93"/>
      <c r="DB186" s="95"/>
      <c r="DC186" s="93"/>
      <c r="DD186" s="85"/>
      <c r="DE186" s="82">
        <f t="shared" si="57"/>
        <v>0</v>
      </c>
      <c r="DF186" s="95" t="s">
        <v>158</v>
      </c>
      <c r="DG186" s="93">
        <v>150</v>
      </c>
      <c r="DH186" s="96">
        <v>315</v>
      </c>
      <c r="DI186" s="94"/>
      <c r="DJ186" s="93"/>
      <c r="DK186" s="95"/>
      <c r="DL186" s="93"/>
      <c r="DM186" s="85"/>
      <c r="DN186" s="83"/>
      <c r="DO186" s="87"/>
      <c r="DP186" s="89"/>
      <c r="DQ186" s="85"/>
      <c r="DR186" s="87"/>
      <c r="DS186" s="87"/>
      <c r="DT186" s="89"/>
      <c r="DU186" s="85"/>
      <c r="DV186" s="87"/>
      <c r="DW186" s="87"/>
      <c r="DX186" s="87"/>
      <c r="DY186" s="85"/>
      <c r="DZ186" s="87"/>
      <c r="EA186" s="87"/>
      <c r="EB186" s="87"/>
      <c r="EC186" s="85"/>
      <c r="ED186" s="87"/>
      <c r="EE186" s="87"/>
      <c r="EF186" s="87"/>
      <c r="EG186" s="85"/>
      <c r="EH186" s="87"/>
      <c r="EI186" s="87"/>
      <c r="EJ186" s="87"/>
      <c r="EK186" s="87"/>
      <c r="EL186" s="87"/>
      <c r="EM186" s="87"/>
      <c r="EN186" s="85"/>
      <c r="EO186" s="87"/>
      <c r="EP186" s="87"/>
      <c r="EQ186" s="87"/>
      <c r="ER186" s="85"/>
      <c r="ES186" s="85"/>
      <c r="ET186" s="87"/>
      <c r="EU186" s="87"/>
      <c r="EV186" s="87"/>
      <c r="EW186" s="85"/>
      <c r="EX186" s="87"/>
      <c r="EY186" s="87"/>
      <c r="EZ186" s="87"/>
      <c r="FA186" s="85"/>
      <c r="FB186" s="87"/>
      <c r="FC186" s="87"/>
      <c r="FD186" s="89"/>
      <c r="FE186" s="57"/>
      <c r="FF186" s="61"/>
    </row>
    <row r="187" spans="52:162" x14ac:dyDescent="0.25">
      <c r="AZ187" s="54"/>
      <c r="BA187" s="174" t="s">
        <v>3</v>
      </c>
      <c r="BB187" s="174"/>
      <c r="BC187" s="174"/>
      <c r="BD187" s="174"/>
      <c r="BE187" s="174"/>
      <c r="BF187" s="57"/>
      <c r="BG187" s="57"/>
      <c r="BH187" s="57"/>
      <c r="BI187" s="57"/>
      <c r="BJ187" s="57"/>
      <c r="BK187" s="57"/>
      <c r="BL187" s="57"/>
      <c r="BM187" s="57"/>
      <c r="BN187" s="57"/>
      <c r="BO187" s="57"/>
      <c r="BP187" s="57"/>
      <c r="BQ187" s="57"/>
      <c r="BR187" s="57"/>
      <c r="BS187" s="57"/>
      <c r="BT187" s="57"/>
      <c r="BU187" s="57"/>
      <c r="BV187" s="57"/>
      <c r="BW187" s="57"/>
      <c r="BX187" s="57"/>
      <c r="BY187" s="57"/>
      <c r="BZ187" s="57"/>
      <c r="CA187" s="57"/>
      <c r="CB187" s="57"/>
      <c r="CC187" s="57"/>
      <c r="CD187" s="57"/>
      <c r="CE187" s="57"/>
      <c r="CF187" s="57"/>
      <c r="CG187" s="57"/>
      <c r="CH187" s="57"/>
      <c r="CI187" s="57"/>
      <c r="CJ187" s="57"/>
      <c r="CK187" s="57"/>
      <c r="CL187" s="57"/>
      <c r="CM187" s="57"/>
      <c r="CN187" s="57"/>
      <c r="CO187" s="57"/>
      <c r="CP187" s="57"/>
      <c r="CQ187" s="57"/>
      <c r="CR187" s="57"/>
      <c r="CS187" s="57"/>
      <c r="CT187" s="57"/>
      <c r="CU187" s="57"/>
      <c r="CV187" s="57"/>
      <c r="CW187" s="57"/>
      <c r="CX187" s="57"/>
      <c r="CY187" s="57"/>
      <c r="CZ187" s="57"/>
      <c r="DA187" s="57"/>
      <c r="DB187" s="57"/>
      <c r="DC187" s="57"/>
      <c r="DD187" s="57"/>
      <c r="DE187" s="57"/>
      <c r="DF187" s="57"/>
      <c r="DG187" s="57"/>
      <c r="DH187" s="57"/>
      <c r="DI187" s="57"/>
      <c r="DJ187" s="57"/>
      <c r="DK187" s="57"/>
      <c r="DL187" s="57"/>
      <c r="DM187" s="57"/>
      <c r="DN187" s="57"/>
      <c r="DO187" s="57"/>
      <c r="DP187" s="57"/>
      <c r="DQ187" s="57"/>
      <c r="DR187" s="57"/>
      <c r="DS187" s="57"/>
      <c r="DT187" s="57"/>
      <c r="DU187" s="57"/>
      <c r="DV187" s="57"/>
      <c r="DW187" s="57"/>
      <c r="DX187" s="57"/>
      <c r="DY187" s="57"/>
      <c r="DZ187" s="57"/>
      <c r="EA187" s="57"/>
      <c r="EB187" s="57"/>
      <c r="EC187" s="57"/>
      <c r="ED187" s="57"/>
      <c r="EE187" s="57"/>
      <c r="EF187" s="57"/>
      <c r="EG187" s="57"/>
      <c r="EH187" s="57"/>
      <c r="EI187" s="57"/>
      <c r="EJ187" s="57"/>
      <c r="EK187" s="57"/>
      <c r="EL187" s="57"/>
      <c r="EM187" s="57"/>
      <c r="EN187" s="57"/>
      <c r="EO187" s="57"/>
      <c r="EP187" s="57"/>
      <c r="EQ187" s="57"/>
      <c r="ER187" s="57"/>
      <c r="ES187" s="57"/>
      <c r="ET187" s="57"/>
      <c r="EU187" s="57"/>
      <c r="EV187" s="57"/>
      <c r="EW187" s="57"/>
      <c r="EX187" s="57"/>
      <c r="EY187" s="57"/>
      <c r="EZ187" s="57"/>
      <c r="FA187" s="57"/>
      <c r="FB187" s="57"/>
      <c r="FC187" s="57"/>
      <c r="FD187" s="57"/>
      <c r="FE187" s="57"/>
      <c r="FF187" s="61"/>
    </row>
    <row r="188" spans="52:162" x14ac:dyDescent="0.25">
      <c r="AZ188" s="54"/>
      <c r="BA188" s="174"/>
      <c r="BB188" s="174"/>
      <c r="BC188" s="174"/>
      <c r="BD188" s="174"/>
      <c r="BE188" s="174"/>
      <c r="BF188" s="57"/>
      <c r="BG188" s="57"/>
      <c r="BH188" s="57"/>
      <c r="BI188" s="57"/>
      <c r="BJ188" s="57"/>
      <c r="BK188" s="57"/>
      <c r="BL188" s="57"/>
      <c r="BM188" s="57"/>
      <c r="BN188" s="57"/>
      <c r="BO188" s="57"/>
      <c r="BP188" s="57"/>
      <c r="BQ188" s="57"/>
      <c r="BR188" s="57"/>
      <c r="BS188" s="57"/>
      <c r="BT188" s="57"/>
      <c r="BU188" s="57"/>
      <c r="BV188" s="57"/>
      <c r="BW188" s="57"/>
      <c r="BX188" s="57"/>
      <c r="BY188" s="57"/>
      <c r="BZ188" s="57"/>
      <c r="CA188" s="57"/>
      <c r="CB188" s="57"/>
      <c r="CC188" s="57"/>
      <c r="CD188" s="57"/>
      <c r="CE188" s="57"/>
      <c r="CF188" s="57"/>
      <c r="CG188" s="57"/>
      <c r="CH188" s="57"/>
      <c r="CI188" s="57"/>
      <c r="CJ188" s="57"/>
      <c r="CK188" s="57"/>
      <c r="CL188" s="57"/>
      <c r="CM188" s="57"/>
      <c r="CN188" s="57"/>
      <c r="CO188" s="57"/>
      <c r="CP188" s="57"/>
      <c r="CQ188" s="57"/>
      <c r="CR188" s="57"/>
      <c r="CS188" s="57"/>
      <c r="CT188" s="57"/>
      <c r="CU188" s="57"/>
      <c r="CV188" s="57"/>
      <c r="CW188" s="57"/>
      <c r="CX188" s="57"/>
      <c r="CY188" s="57"/>
      <c r="CZ188" s="57"/>
      <c r="DA188" s="57"/>
      <c r="DB188" s="57"/>
      <c r="DC188" s="57"/>
      <c r="DD188" s="57"/>
      <c r="DE188" s="57"/>
      <c r="DF188" s="57"/>
      <c r="DG188" s="57"/>
      <c r="DH188" s="57"/>
      <c r="DI188" s="57"/>
      <c r="DJ188" s="57"/>
      <c r="DK188" s="57"/>
      <c r="DL188" s="57"/>
      <c r="DM188" s="57"/>
      <c r="DN188" s="57"/>
      <c r="DO188" s="57"/>
      <c r="DP188" s="57"/>
      <c r="DQ188" s="57"/>
      <c r="DR188" s="57"/>
      <c r="DS188" s="57"/>
      <c r="DT188" s="57"/>
      <c r="DU188" s="57"/>
      <c r="DV188" s="57"/>
      <c r="DW188" s="57"/>
      <c r="DX188" s="57"/>
      <c r="DY188" s="57"/>
      <c r="DZ188" s="57"/>
      <c r="EA188" s="57"/>
      <c r="EB188" s="57"/>
      <c r="EC188" s="57"/>
      <c r="ED188" s="57"/>
      <c r="EE188" s="57"/>
      <c r="EF188" s="57"/>
      <c r="EG188" s="57"/>
      <c r="EH188" s="57"/>
      <c r="EI188" s="57"/>
      <c r="EJ188" s="57"/>
      <c r="EK188" s="57"/>
      <c r="EL188" s="57"/>
      <c r="EM188" s="57"/>
      <c r="EN188" s="57"/>
      <c r="EO188" s="57"/>
      <c r="EP188" s="57"/>
      <c r="EQ188" s="57"/>
      <c r="ER188" s="57"/>
      <c r="ES188" s="57"/>
      <c r="ET188" s="57"/>
      <c r="EU188" s="57"/>
      <c r="EV188" s="57"/>
      <c r="EW188" s="57"/>
      <c r="EX188" s="57"/>
      <c r="EY188" s="57"/>
      <c r="EZ188" s="57"/>
      <c r="FA188" s="57"/>
      <c r="FB188" s="57"/>
      <c r="FC188" s="57"/>
      <c r="FD188" s="57"/>
      <c r="FE188" s="57"/>
      <c r="FF188" s="61"/>
    </row>
    <row r="189" spans="52:162" x14ac:dyDescent="0.25">
      <c r="AZ189" s="54"/>
      <c r="BA189" s="174"/>
      <c r="BB189" s="174"/>
      <c r="BC189" s="174"/>
      <c r="BD189" s="174"/>
      <c r="BE189" s="174"/>
      <c r="BF189" s="57"/>
      <c r="BG189" s="57"/>
      <c r="BH189" s="57"/>
      <c r="BI189" s="57"/>
      <c r="BJ189" s="57"/>
      <c r="BK189" s="57"/>
      <c r="BL189" s="57"/>
      <c r="BM189" s="57"/>
      <c r="BN189" s="57"/>
      <c r="BO189" s="57"/>
      <c r="BP189" s="57"/>
      <c r="BQ189" s="57"/>
      <c r="BR189" s="57"/>
      <c r="BS189" s="57"/>
      <c r="BT189" s="57"/>
      <c r="BU189" s="57"/>
      <c r="BV189" s="57"/>
      <c r="BW189" s="57"/>
      <c r="BX189" s="57"/>
      <c r="BY189" s="57"/>
      <c r="BZ189" s="57"/>
      <c r="CA189" s="57"/>
      <c r="CB189" s="57"/>
      <c r="CC189" s="57"/>
      <c r="CD189" s="57"/>
      <c r="CE189" s="57"/>
      <c r="CF189" s="57"/>
      <c r="CG189" s="57"/>
      <c r="CH189" s="57"/>
      <c r="CI189" s="57"/>
      <c r="CJ189" s="57"/>
      <c r="CK189" s="57"/>
      <c r="CL189" s="57"/>
      <c r="CM189" s="57"/>
      <c r="CN189" s="57"/>
      <c r="CO189" s="57"/>
      <c r="CP189" s="57"/>
      <c r="CQ189" s="57"/>
      <c r="CR189" s="57"/>
      <c r="CS189" s="57"/>
      <c r="CT189" s="57"/>
      <c r="CU189" s="57"/>
      <c r="CV189" s="57"/>
      <c r="CW189" s="57"/>
      <c r="CX189" s="57"/>
      <c r="CY189" s="57"/>
      <c r="CZ189" s="57"/>
      <c r="DA189" s="57"/>
      <c r="DB189" s="57"/>
      <c r="DC189" s="57"/>
      <c r="DD189" s="57"/>
      <c r="DE189" s="57"/>
      <c r="DF189" s="57"/>
      <c r="DG189" s="57"/>
      <c r="DH189" s="57"/>
      <c r="DI189" s="57"/>
      <c r="DJ189" s="57"/>
      <c r="DK189" s="57"/>
      <c r="DL189" s="57"/>
      <c r="DM189" s="57"/>
      <c r="DN189" s="57"/>
      <c r="DO189" s="57"/>
      <c r="DP189" s="57"/>
      <c r="DQ189" s="57"/>
      <c r="DR189" s="57"/>
      <c r="DS189" s="57"/>
      <c r="DT189" s="57"/>
      <c r="DU189" s="57"/>
      <c r="DV189" s="57"/>
      <c r="DW189" s="57"/>
      <c r="DX189" s="57"/>
      <c r="DY189" s="57"/>
      <c r="DZ189" s="57"/>
      <c r="EA189" s="57"/>
      <c r="EB189" s="57"/>
      <c r="EC189" s="57"/>
      <c r="ED189" s="57"/>
      <c r="EE189" s="57"/>
      <c r="EF189" s="57"/>
      <c r="EG189" s="57"/>
      <c r="EH189" s="57"/>
      <c r="EI189" s="57"/>
      <c r="EJ189" s="57"/>
      <c r="EK189" s="57"/>
      <c r="EL189" s="57"/>
      <c r="EM189" s="57"/>
      <c r="EN189" s="57"/>
      <c r="EO189" s="57"/>
      <c r="EP189" s="57"/>
      <c r="EQ189" s="57"/>
      <c r="ER189" s="57"/>
      <c r="ES189" s="57"/>
      <c r="ET189" s="57"/>
      <c r="EU189" s="57"/>
      <c r="EV189" s="57"/>
      <c r="EW189" s="57"/>
      <c r="EX189" s="57"/>
      <c r="EY189" s="57"/>
      <c r="EZ189" s="57"/>
      <c r="FA189" s="57"/>
      <c r="FB189" s="57"/>
      <c r="FC189" s="57"/>
      <c r="FD189" s="57"/>
      <c r="FE189" s="57"/>
      <c r="FF189" s="61"/>
    </row>
    <row r="190" spans="52:162" x14ac:dyDescent="0.25">
      <c r="AZ190" s="54"/>
      <c r="BA190" s="174"/>
      <c r="BB190" s="174"/>
      <c r="BC190" s="174"/>
      <c r="BD190" s="174"/>
      <c r="BE190" s="174"/>
      <c r="BF190" s="57"/>
      <c r="BG190" s="57"/>
      <c r="BH190" s="57"/>
      <c r="BI190" s="57"/>
      <c r="BJ190" s="57"/>
      <c r="BK190" s="57"/>
      <c r="BL190" s="57"/>
      <c r="BM190" s="57"/>
      <c r="BN190" s="57"/>
      <c r="BO190" s="57"/>
      <c r="BP190" s="57"/>
      <c r="BQ190" s="57"/>
      <c r="BR190" s="57"/>
      <c r="BS190" s="57"/>
      <c r="BT190" s="57"/>
      <c r="BU190" s="57"/>
      <c r="BV190" s="57"/>
      <c r="BW190" s="57"/>
      <c r="BX190" s="57"/>
      <c r="BY190" s="57"/>
      <c r="BZ190" s="57"/>
      <c r="CA190" s="57"/>
      <c r="CB190" s="57"/>
      <c r="CC190" s="57"/>
      <c r="CD190" s="57"/>
      <c r="CE190" s="57"/>
      <c r="CF190" s="57"/>
      <c r="CG190" s="57"/>
      <c r="CH190" s="57"/>
      <c r="CI190" s="57"/>
      <c r="CJ190" s="57"/>
      <c r="CK190" s="57"/>
      <c r="CL190" s="57"/>
      <c r="CM190" s="57"/>
      <c r="CN190" s="57"/>
      <c r="CO190" s="57"/>
      <c r="CP190" s="57"/>
      <c r="CQ190" s="57"/>
      <c r="CR190" s="57"/>
      <c r="CS190" s="57"/>
      <c r="CT190" s="57"/>
      <c r="CU190" s="57"/>
      <c r="CV190" s="57"/>
      <c r="CW190" s="57"/>
      <c r="CX190" s="57"/>
      <c r="CY190" s="57"/>
      <c r="CZ190" s="57"/>
      <c r="DA190" s="57"/>
      <c r="DB190" s="57"/>
      <c r="DC190" s="57"/>
      <c r="DD190" s="57"/>
      <c r="DE190" s="57"/>
      <c r="DF190" s="57"/>
      <c r="DG190" s="57"/>
      <c r="DH190" s="57"/>
      <c r="DI190" s="57"/>
      <c r="DJ190" s="57"/>
      <c r="DK190" s="57"/>
      <c r="DL190" s="57"/>
      <c r="DM190" s="57"/>
      <c r="DN190" s="57"/>
      <c r="DO190" s="57"/>
      <c r="DP190" s="57"/>
      <c r="DQ190" s="57"/>
      <c r="DR190" s="57"/>
      <c r="DS190" s="57"/>
      <c r="DT190" s="57"/>
      <c r="DU190" s="57"/>
      <c r="DV190" s="57"/>
      <c r="DW190" s="57"/>
      <c r="DX190" s="57"/>
      <c r="DY190" s="57"/>
      <c r="DZ190" s="57"/>
      <c r="EA190" s="57"/>
      <c r="EB190" s="57"/>
      <c r="EC190" s="57"/>
      <c r="ED190" s="57"/>
      <c r="EE190" s="57"/>
      <c r="EF190" s="57"/>
      <c r="EG190" s="57"/>
      <c r="EH190" s="57"/>
      <c r="EI190" s="57"/>
      <c r="EJ190" s="57"/>
      <c r="EK190" s="57"/>
      <c r="EL190" s="57"/>
      <c r="EM190" s="57"/>
      <c r="EN190" s="57"/>
      <c r="EO190" s="57"/>
      <c r="EP190" s="57"/>
      <c r="EQ190" s="57"/>
      <c r="ER190" s="57"/>
      <c r="ES190" s="57"/>
      <c r="ET190" s="57"/>
      <c r="EU190" s="57"/>
      <c r="EV190" s="57"/>
      <c r="EW190" s="57"/>
      <c r="EX190" s="57"/>
      <c r="EY190" s="57"/>
      <c r="EZ190" s="57"/>
      <c r="FA190" s="57"/>
      <c r="FB190" s="57"/>
      <c r="FC190" s="57"/>
      <c r="FD190" s="57"/>
      <c r="FE190" s="57"/>
      <c r="FF190" s="61"/>
    </row>
    <row r="191" spans="52:162" x14ac:dyDescent="0.25">
      <c r="AZ191" s="54"/>
      <c r="BA191" s="57"/>
      <c r="BB191" s="57"/>
      <c r="BC191" s="57"/>
      <c r="BD191" s="57"/>
      <c r="BE191" s="57"/>
      <c r="BF191" s="57"/>
      <c r="BG191" s="57"/>
      <c r="BH191" s="57"/>
      <c r="BI191" s="57"/>
      <c r="BJ191" s="57"/>
      <c r="BK191" s="57"/>
      <c r="BL191" s="57"/>
      <c r="BM191" s="57"/>
      <c r="BN191" s="57"/>
      <c r="BO191" s="57"/>
      <c r="BP191" s="57"/>
      <c r="BQ191" s="57"/>
      <c r="BR191" s="57"/>
      <c r="BS191" s="57"/>
      <c r="BT191" s="57"/>
      <c r="BU191" s="57"/>
      <c r="BV191" s="57"/>
      <c r="BW191" s="57"/>
      <c r="BX191" s="57"/>
      <c r="BY191" s="57"/>
      <c r="BZ191" s="57"/>
      <c r="CA191" s="57"/>
      <c r="CB191" s="57"/>
      <c r="CC191" s="57"/>
      <c r="CD191" s="57"/>
      <c r="CE191" s="57"/>
      <c r="CF191" s="57"/>
      <c r="CG191" s="57"/>
      <c r="CH191" s="57"/>
      <c r="CI191" s="57"/>
      <c r="CJ191" s="57"/>
      <c r="CK191" s="57"/>
      <c r="CL191" s="57"/>
      <c r="CM191" s="57"/>
      <c r="CN191" s="57"/>
      <c r="CO191" s="57"/>
      <c r="CP191" s="57"/>
      <c r="CQ191" s="57"/>
      <c r="CR191" s="57"/>
      <c r="CS191" s="57"/>
      <c r="CT191" s="57"/>
      <c r="CU191" s="57"/>
      <c r="CV191" s="57"/>
      <c r="CW191" s="57"/>
      <c r="CX191" s="57"/>
      <c r="CY191" s="57"/>
      <c r="CZ191" s="57"/>
      <c r="DA191" s="57"/>
      <c r="DB191" s="57"/>
      <c r="DC191" s="57"/>
      <c r="DD191" s="57"/>
      <c r="DE191" s="57"/>
      <c r="DF191" s="57"/>
      <c r="DG191" s="57"/>
      <c r="DH191" s="57"/>
      <c r="DI191" s="57"/>
      <c r="DJ191" s="57"/>
      <c r="DK191" s="57"/>
      <c r="DL191" s="57"/>
      <c r="DM191" s="57"/>
      <c r="DN191" s="57"/>
      <c r="DO191" s="57"/>
      <c r="DP191" s="57"/>
      <c r="DQ191" s="57"/>
      <c r="DR191" s="57"/>
      <c r="DS191" s="57"/>
      <c r="DT191" s="57"/>
      <c r="DU191" s="57"/>
      <c r="DV191" s="57"/>
      <c r="DW191" s="57"/>
      <c r="DX191" s="57"/>
      <c r="DY191" s="57"/>
      <c r="DZ191" s="57"/>
      <c r="EA191" s="57"/>
      <c r="EB191" s="57"/>
      <c r="EC191" s="57"/>
      <c r="ED191" s="57"/>
      <c r="EE191" s="57"/>
      <c r="EF191" s="57"/>
      <c r="EG191" s="57"/>
      <c r="EH191" s="57"/>
      <c r="EI191" s="57"/>
      <c r="EJ191" s="57"/>
      <c r="EK191" s="57"/>
      <c r="EL191" s="57"/>
      <c r="EM191" s="57"/>
      <c r="EN191" s="57"/>
      <c r="EO191" s="57"/>
      <c r="EP191" s="57"/>
      <c r="EQ191" s="57"/>
      <c r="ER191" s="57"/>
      <c r="ES191" s="57"/>
      <c r="ET191" s="57"/>
      <c r="EU191" s="57"/>
      <c r="EV191" s="57"/>
      <c r="EW191" s="57"/>
      <c r="EX191" s="57"/>
      <c r="EY191" s="57"/>
      <c r="EZ191" s="57"/>
      <c r="FA191" s="57"/>
      <c r="FB191" s="57"/>
      <c r="FC191" s="57"/>
      <c r="FD191" s="57"/>
      <c r="FE191" s="57"/>
      <c r="FF191" s="61"/>
    </row>
    <row r="192" spans="52:162" x14ac:dyDescent="0.25">
      <c r="AZ192" s="54"/>
      <c r="BA192" s="57"/>
      <c r="BB192" s="57"/>
      <c r="BC192" s="57"/>
      <c r="BD192" s="57"/>
      <c r="BE192" s="57"/>
      <c r="BF192" s="57"/>
      <c r="BG192" s="57"/>
      <c r="BH192" s="57"/>
      <c r="BI192" s="57"/>
      <c r="BJ192" s="57"/>
      <c r="BK192" s="57"/>
      <c r="BL192" s="57"/>
      <c r="BM192" s="57"/>
      <c r="BN192" s="57"/>
      <c r="BO192" s="57"/>
      <c r="BP192" s="57"/>
      <c r="BQ192" s="57"/>
      <c r="BR192" s="57"/>
      <c r="BS192" s="57"/>
      <c r="BT192" s="57"/>
      <c r="BU192" s="57"/>
      <c r="BV192" s="57"/>
      <c r="BW192" s="57"/>
      <c r="BX192" s="57"/>
      <c r="BY192" s="57"/>
      <c r="BZ192" s="57"/>
      <c r="CA192" s="57"/>
      <c r="CB192" s="57"/>
      <c r="CC192" s="57"/>
      <c r="CD192" s="57"/>
      <c r="CE192" s="57"/>
      <c r="CF192" s="57"/>
      <c r="CG192" s="57"/>
      <c r="CH192" s="57"/>
      <c r="CI192" s="57"/>
      <c r="CJ192" s="57"/>
      <c r="CK192" s="57"/>
      <c r="CL192" s="57"/>
      <c r="CM192" s="57"/>
      <c r="CN192" s="57"/>
      <c r="CO192" s="57"/>
      <c r="CP192" s="57"/>
      <c r="CQ192" s="57"/>
      <c r="CR192" s="57"/>
      <c r="CS192" s="57"/>
      <c r="CT192" s="57"/>
      <c r="CU192" s="57"/>
      <c r="CV192" s="57"/>
      <c r="CW192" s="57"/>
      <c r="CX192" s="57"/>
      <c r="CY192" s="57"/>
      <c r="CZ192" s="57"/>
      <c r="DA192" s="57"/>
      <c r="DB192" s="57"/>
      <c r="DC192" s="57"/>
      <c r="DD192" s="57"/>
      <c r="DE192" s="57"/>
      <c r="DF192" s="57"/>
      <c r="DG192" s="57"/>
      <c r="DH192" s="57"/>
      <c r="DI192" s="57"/>
      <c r="DJ192" s="57"/>
      <c r="DK192" s="57"/>
      <c r="DL192" s="57"/>
      <c r="DM192" s="57"/>
      <c r="DN192" s="57"/>
      <c r="DO192" s="57"/>
      <c r="DP192" s="57"/>
      <c r="DQ192" s="57"/>
      <c r="DR192" s="57"/>
      <c r="DS192" s="57"/>
      <c r="DT192" s="57"/>
      <c r="DU192" s="57"/>
      <c r="DV192" s="57"/>
      <c r="DW192" s="57"/>
      <c r="DX192" s="57"/>
      <c r="DY192" s="57"/>
      <c r="DZ192" s="57"/>
      <c r="EA192" s="57"/>
      <c r="EB192" s="57"/>
      <c r="EC192" s="57"/>
      <c r="ED192" s="57"/>
      <c r="EE192" s="57"/>
      <c r="EF192" s="57"/>
      <c r="EG192" s="57"/>
      <c r="EH192" s="57"/>
      <c r="EI192" s="57"/>
      <c r="EJ192" s="57"/>
      <c r="EK192" s="57"/>
      <c r="EL192" s="57"/>
      <c r="EM192" s="57"/>
      <c r="EN192" s="57"/>
      <c r="EO192" s="57"/>
      <c r="EP192" s="57"/>
      <c r="EQ192" s="57"/>
      <c r="ER192" s="57"/>
      <c r="ES192" s="57"/>
      <c r="ET192" s="57"/>
      <c r="EU192" s="57"/>
      <c r="EV192" s="57"/>
      <c r="EW192" s="57"/>
      <c r="EX192" s="57"/>
      <c r="EY192" s="57"/>
      <c r="EZ192" s="57"/>
      <c r="FA192" s="57"/>
      <c r="FB192" s="57"/>
      <c r="FC192" s="57"/>
      <c r="FD192" s="57"/>
      <c r="FE192" s="57"/>
      <c r="FF192" s="61"/>
    </row>
    <row r="193" spans="52:170" x14ac:dyDescent="0.25">
      <c r="AZ193" s="54"/>
      <c r="BA193" s="57"/>
      <c r="BB193" s="57"/>
      <c r="BC193" s="57"/>
      <c r="BD193" s="57"/>
      <c r="BE193" s="57"/>
      <c r="BF193" s="57"/>
      <c r="BG193" s="57"/>
      <c r="BH193" s="57"/>
      <c r="BI193" s="57"/>
      <c r="BJ193" s="57"/>
      <c r="BK193" s="57"/>
      <c r="BL193" s="57"/>
      <c r="BM193" s="57"/>
      <c r="BN193" s="57"/>
      <c r="BO193" s="57"/>
      <c r="BP193" s="57"/>
      <c r="BQ193" s="57"/>
      <c r="BR193" s="57"/>
      <c r="BS193" s="57"/>
      <c r="BT193" s="57"/>
      <c r="BU193" s="57"/>
      <c r="BV193" s="57"/>
      <c r="BW193" s="57"/>
      <c r="BX193" s="57"/>
      <c r="BY193" s="57"/>
      <c r="BZ193" s="57"/>
      <c r="CA193" s="57"/>
      <c r="CB193" s="57"/>
      <c r="CC193" s="57"/>
      <c r="CD193" s="57"/>
      <c r="CE193" s="57"/>
      <c r="CF193" s="57"/>
      <c r="CG193" s="57"/>
      <c r="CH193" s="57"/>
      <c r="CI193" s="57"/>
      <c r="CJ193" s="57"/>
      <c r="CK193" s="57"/>
      <c r="CL193" s="57"/>
      <c r="CM193" s="57"/>
      <c r="CN193" s="57"/>
      <c r="CO193" s="57"/>
      <c r="CP193" s="57"/>
      <c r="CQ193" s="57"/>
      <c r="CR193" s="57"/>
      <c r="CS193" s="57"/>
      <c r="CT193" s="57"/>
      <c r="CU193" s="57"/>
      <c r="CV193" s="57"/>
      <c r="CW193" s="57"/>
      <c r="CX193" s="57"/>
      <c r="CY193" s="57"/>
      <c r="CZ193" s="57"/>
      <c r="DA193" s="57"/>
      <c r="DB193" s="57"/>
      <c r="DC193" s="57"/>
      <c r="DD193" s="57"/>
      <c r="DE193" s="57"/>
      <c r="DF193" s="57"/>
      <c r="DG193" s="57"/>
      <c r="DH193" s="57"/>
      <c r="DI193" s="57"/>
      <c r="DJ193" s="57"/>
      <c r="DK193" s="57"/>
      <c r="DL193" s="57"/>
      <c r="DM193" s="57"/>
      <c r="DN193" s="57"/>
      <c r="DO193" s="57"/>
      <c r="DP193" s="57"/>
      <c r="DQ193" s="57"/>
      <c r="DR193" s="57"/>
      <c r="DS193" s="57"/>
      <c r="DT193" s="57"/>
      <c r="DU193" s="57"/>
      <c r="DV193" s="57"/>
      <c r="DW193" s="57"/>
      <c r="DX193" s="57"/>
      <c r="DY193" s="57"/>
      <c r="DZ193" s="57"/>
      <c r="EA193" s="57"/>
      <c r="EB193" s="57"/>
      <c r="EC193" s="57"/>
      <c r="ED193" s="57"/>
      <c r="EE193" s="57"/>
      <c r="EF193" s="57"/>
      <c r="EG193" s="57"/>
      <c r="EH193" s="57"/>
      <c r="EI193" s="57"/>
      <c r="EJ193" s="57"/>
      <c r="EK193" s="57"/>
      <c r="EL193" s="57"/>
      <c r="EM193" s="57"/>
      <c r="EN193" s="57"/>
      <c r="EO193" s="57"/>
      <c r="EP193" s="57"/>
      <c r="EQ193" s="57"/>
      <c r="ER193" s="57"/>
      <c r="ES193" s="57"/>
      <c r="ET193" s="57"/>
      <c r="EU193" s="57"/>
      <c r="EV193" s="57"/>
      <c r="EW193" s="57"/>
      <c r="EX193" s="57"/>
      <c r="EY193" s="57"/>
      <c r="EZ193" s="57"/>
      <c r="FA193" s="57"/>
      <c r="FB193" s="57"/>
      <c r="FC193" s="57"/>
      <c r="FD193" s="57"/>
      <c r="FE193" s="57"/>
      <c r="FF193" s="61"/>
    </row>
    <row r="194" spans="52:170" x14ac:dyDescent="0.25">
      <c r="AZ194" s="54"/>
      <c r="BA194" s="57"/>
      <c r="BB194" s="57"/>
      <c r="BC194" s="57"/>
      <c r="BD194" s="57"/>
      <c r="BE194" s="57"/>
      <c r="BF194" s="57"/>
      <c r="BG194" s="57"/>
      <c r="BH194" s="57"/>
      <c r="BI194" s="57"/>
      <c r="BJ194" s="57"/>
      <c r="BK194" s="57"/>
      <c r="BL194" s="57"/>
      <c r="BM194" s="57"/>
      <c r="BN194" s="57"/>
      <c r="BO194" s="57"/>
      <c r="BP194" s="57"/>
      <c r="BQ194" s="57"/>
      <c r="BR194" s="57"/>
      <c r="BS194" s="57"/>
      <c r="BT194" s="57"/>
      <c r="BU194" s="57"/>
      <c r="BV194" s="57"/>
      <c r="BW194" s="57"/>
      <c r="BX194" s="57"/>
      <c r="BY194" s="57"/>
      <c r="BZ194" s="57"/>
      <c r="CA194" s="57"/>
      <c r="CB194" s="57"/>
      <c r="CC194" s="57"/>
      <c r="CD194" s="57"/>
      <c r="CE194" s="57"/>
      <c r="CF194" s="57"/>
      <c r="CG194" s="57"/>
      <c r="CH194" s="57"/>
      <c r="CI194" s="57"/>
      <c r="CJ194" s="57"/>
      <c r="CK194" s="57"/>
      <c r="CL194" s="57"/>
      <c r="CM194" s="57"/>
      <c r="CN194" s="57"/>
      <c r="CO194" s="57"/>
      <c r="CP194" s="57"/>
      <c r="CQ194" s="57"/>
      <c r="CR194" s="57"/>
      <c r="CS194" s="57"/>
      <c r="CT194" s="57"/>
      <c r="CU194" s="57"/>
      <c r="CV194" s="57"/>
      <c r="CW194" s="57"/>
      <c r="CX194" s="57"/>
      <c r="CY194" s="57"/>
      <c r="CZ194" s="57"/>
      <c r="DA194" s="57"/>
      <c r="DB194" s="57"/>
      <c r="DC194" s="57"/>
      <c r="DD194" s="57"/>
      <c r="DE194" s="57"/>
      <c r="DF194" s="57"/>
      <c r="DG194" s="57"/>
      <c r="DH194" s="57"/>
      <c r="DI194" s="57"/>
      <c r="DJ194" s="57"/>
      <c r="DK194" s="57"/>
      <c r="DL194" s="57"/>
      <c r="DM194" s="57"/>
      <c r="DN194" s="57"/>
      <c r="DO194" s="57"/>
      <c r="DP194" s="57"/>
      <c r="DQ194" s="57"/>
      <c r="DR194" s="57"/>
      <c r="DS194" s="57"/>
      <c r="DT194" s="57"/>
      <c r="DU194" s="57"/>
      <c r="DV194" s="57"/>
      <c r="DW194" s="57"/>
      <c r="DX194" s="57"/>
      <c r="DY194" s="57"/>
      <c r="DZ194" s="57"/>
      <c r="EA194" s="57"/>
      <c r="EB194" s="57"/>
      <c r="EC194" s="57"/>
      <c r="ED194" s="57"/>
      <c r="EE194" s="57"/>
      <c r="EF194" s="57"/>
      <c r="EG194" s="57"/>
      <c r="EH194" s="57"/>
      <c r="EI194" s="57"/>
      <c r="EJ194" s="57"/>
      <c r="EK194" s="57"/>
      <c r="EL194" s="57"/>
      <c r="EM194" s="57"/>
      <c r="EN194" s="57"/>
      <c r="EO194" s="57"/>
      <c r="EP194" s="57"/>
      <c r="EQ194" s="57"/>
      <c r="ER194" s="57"/>
      <c r="ES194" s="57"/>
      <c r="ET194" s="57"/>
      <c r="EU194" s="57"/>
      <c r="EV194" s="57"/>
      <c r="EW194" s="57"/>
      <c r="EX194" s="57"/>
      <c r="EY194" s="57"/>
      <c r="EZ194" s="57"/>
      <c r="FA194" s="57"/>
      <c r="FB194" s="57"/>
      <c r="FC194" s="57"/>
      <c r="FD194" s="57"/>
      <c r="FE194" s="57"/>
      <c r="FF194" s="61"/>
    </row>
    <row r="195" spans="52:170" ht="15.75" thickBot="1" x14ac:dyDescent="0.3">
      <c r="AZ195" s="83"/>
      <c r="BA195" s="87"/>
      <c r="BB195" s="87"/>
      <c r="BC195" s="87"/>
      <c r="BD195" s="87"/>
      <c r="BE195" s="87"/>
      <c r="BF195" s="87"/>
      <c r="BG195" s="87"/>
      <c r="BH195" s="87"/>
      <c r="BI195" s="87"/>
      <c r="BJ195" s="87"/>
      <c r="BK195" s="87"/>
      <c r="BL195" s="87"/>
      <c r="BM195" s="87"/>
      <c r="BN195" s="87"/>
      <c r="BO195" s="87"/>
      <c r="BP195" s="87"/>
      <c r="BQ195" s="87"/>
      <c r="BR195" s="87"/>
      <c r="BS195" s="87"/>
      <c r="BT195" s="87"/>
      <c r="BU195" s="87"/>
      <c r="BV195" s="87"/>
      <c r="BW195" s="87"/>
      <c r="BX195" s="87"/>
      <c r="BY195" s="87"/>
      <c r="BZ195" s="87"/>
      <c r="CA195" s="87"/>
      <c r="CB195" s="87"/>
      <c r="CC195" s="87"/>
      <c r="CD195" s="87"/>
      <c r="CE195" s="87"/>
      <c r="CF195" s="87"/>
      <c r="CG195" s="87"/>
      <c r="CH195" s="87"/>
      <c r="CI195" s="87"/>
      <c r="CJ195" s="87"/>
      <c r="CK195" s="87"/>
      <c r="CL195" s="87"/>
      <c r="CM195" s="87"/>
      <c r="CN195" s="87"/>
      <c r="CO195" s="87"/>
      <c r="CP195" s="87"/>
      <c r="CQ195" s="87"/>
      <c r="CR195" s="87"/>
      <c r="CS195" s="87"/>
      <c r="CT195" s="87"/>
      <c r="CU195" s="87"/>
      <c r="CV195" s="87"/>
      <c r="CW195" s="87"/>
      <c r="CX195" s="87"/>
      <c r="CY195" s="87"/>
      <c r="CZ195" s="87"/>
      <c r="DA195" s="87"/>
      <c r="DB195" s="87"/>
      <c r="DC195" s="87"/>
      <c r="DD195" s="87"/>
      <c r="DE195" s="87"/>
      <c r="DF195" s="87"/>
      <c r="DG195" s="87"/>
      <c r="DH195" s="87"/>
      <c r="DI195" s="87"/>
      <c r="DJ195" s="87"/>
      <c r="DK195" s="87"/>
      <c r="DL195" s="87"/>
      <c r="DM195" s="87"/>
      <c r="DN195" s="87"/>
      <c r="DO195" s="87"/>
      <c r="DP195" s="87"/>
      <c r="DQ195" s="87"/>
      <c r="DR195" s="87"/>
      <c r="DS195" s="87"/>
      <c r="DT195" s="87"/>
      <c r="DU195" s="87"/>
      <c r="DV195" s="87"/>
      <c r="DW195" s="87"/>
      <c r="DX195" s="87"/>
      <c r="DY195" s="87"/>
      <c r="DZ195" s="87"/>
      <c r="EA195" s="87"/>
      <c r="EB195" s="87"/>
      <c r="EC195" s="87"/>
      <c r="ED195" s="87"/>
      <c r="EE195" s="87"/>
      <c r="EF195" s="87"/>
      <c r="EG195" s="87"/>
      <c r="EH195" s="87"/>
      <c r="EI195" s="87"/>
      <c r="EJ195" s="87"/>
      <c r="EK195" s="87"/>
      <c r="EL195" s="87"/>
      <c r="EM195" s="87"/>
      <c r="EN195" s="87"/>
      <c r="EO195" s="87"/>
      <c r="EP195" s="87"/>
      <c r="EQ195" s="87"/>
      <c r="ER195" s="87"/>
      <c r="ES195" s="87"/>
      <c r="ET195" s="87"/>
      <c r="EU195" s="87"/>
      <c r="EV195" s="87"/>
      <c r="EW195" s="87"/>
      <c r="EX195" s="87"/>
      <c r="EY195" s="87"/>
      <c r="EZ195" s="87"/>
      <c r="FA195" s="87"/>
      <c r="FB195" s="87"/>
      <c r="FC195" s="87"/>
      <c r="FD195" s="87"/>
      <c r="FE195" s="87"/>
      <c r="FF195" s="89"/>
    </row>
    <row r="198" spans="52:170" ht="15.75" thickBot="1" x14ac:dyDescent="0.3"/>
    <row r="199" spans="52:170" ht="15.75" thickBot="1" x14ac:dyDescent="0.3">
      <c r="AZ199" s="182"/>
      <c r="BA199" s="183"/>
      <c r="BB199" s="183"/>
      <c r="BC199" s="183"/>
      <c r="BD199" s="183"/>
      <c r="BE199" s="183"/>
      <c r="BF199" s="183"/>
      <c r="BG199" s="183"/>
      <c r="BH199" s="183"/>
      <c r="BI199" s="183"/>
      <c r="BJ199" s="183"/>
      <c r="BK199" s="183"/>
      <c r="BL199" s="183"/>
      <c r="BM199" s="183"/>
      <c r="BN199" s="183"/>
      <c r="BO199" s="183"/>
      <c r="BP199" s="183"/>
      <c r="BQ199" s="183"/>
      <c r="BR199" s="183"/>
      <c r="BS199" s="183"/>
      <c r="BT199" s="183"/>
      <c r="BU199" s="183"/>
      <c r="BV199" s="183"/>
      <c r="BW199" s="183"/>
      <c r="BX199" s="183"/>
      <c r="BY199" s="183"/>
      <c r="BZ199" s="183"/>
      <c r="CA199" s="183"/>
      <c r="CB199" s="183"/>
      <c r="CC199" s="183"/>
      <c r="CD199" s="183"/>
      <c r="CE199" s="183"/>
      <c r="CF199" s="183"/>
      <c r="CG199" s="183"/>
      <c r="CH199" s="183"/>
      <c r="CI199" s="183"/>
      <c r="CJ199" s="183"/>
      <c r="CK199" s="183"/>
      <c r="CL199" s="183"/>
      <c r="CM199" s="183"/>
      <c r="CN199" s="183"/>
      <c r="CO199" s="183"/>
      <c r="CP199" s="183"/>
      <c r="CQ199" s="183"/>
      <c r="CR199" s="183"/>
      <c r="CS199" s="183"/>
      <c r="CT199" s="183"/>
      <c r="CU199" s="183"/>
      <c r="CV199" s="184"/>
      <c r="CW199" s="183"/>
      <c r="CX199" s="183"/>
      <c r="CY199" s="183"/>
      <c r="CZ199" s="183"/>
      <c r="DA199" s="183"/>
      <c r="DB199" s="183"/>
      <c r="DC199" s="183"/>
      <c r="DD199" s="183"/>
      <c r="DE199" s="183"/>
      <c r="DF199" s="183"/>
      <c r="DG199" s="183"/>
      <c r="DH199" s="183"/>
      <c r="DI199" s="183"/>
      <c r="DJ199" s="183"/>
      <c r="DK199" s="183"/>
      <c r="DL199" s="183"/>
      <c r="DM199" s="183"/>
      <c r="DN199" s="183"/>
      <c r="DO199" s="183"/>
      <c r="DP199" s="183"/>
      <c r="DQ199" s="183"/>
      <c r="DR199" s="183"/>
      <c r="DS199" s="183"/>
      <c r="DT199" s="183"/>
      <c r="DU199" s="183"/>
      <c r="DV199" s="183"/>
      <c r="DW199" s="183"/>
      <c r="DX199" s="183"/>
      <c r="DY199" s="183"/>
      <c r="DZ199" s="183"/>
      <c r="EA199" s="183"/>
      <c r="EB199" s="183"/>
      <c r="EC199" s="183"/>
      <c r="ED199" s="183"/>
      <c r="EE199" s="183"/>
      <c r="EF199" s="183"/>
      <c r="EG199" s="183"/>
      <c r="EH199" s="183"/>
      <c r="EI199" s="183"/>
      <c r="EJ199" s="183"/>
      <c r="EK199" s="183"/>
      <c r="EL199" s="183"/>
      <c r="EM199" s="183"/>
      <c r="EN199" s="183"/>
      <c r="EO199" s="183"/>
      <c r="EP199" s="183"/>
      <c r="EQ199" s="183"/>
      <c r="ER199" s="183"/>
      <c r="ES199" s="183"/>
      <c r="ET199" s="183"/>
      <c r="EU199" s="183"/>
      <c r="EV199" s="183"/>
      <c r="EW199" s="183"/>
      <c r="EX199" s="183"/>
      <c r="EY199" s="183"/>
      <c r="EZ199" s="183"/>
      <c r="FA199" s="183"/>
      <c r="FB199" s="183"/>
      <c r="FC199" s="183"/>
      <c r="FD199" s="183"/>
      <c r="FE199" s="183"/>
      <c r="FF199" s="183"/>
      <c r="FG199" s="183"/>
      <c r="FH199" s="183"/>
      <c r="FI199" s="183"/>
      <c r="FJ199" s="183"/>
      <c r="FK199" s="183"/>
      <c r="FL199" s="183"/>
      <c r="FM199" s="183"/>
      <c r="FN199" s="185"/>
    </row>
    <row r="200" spans="52:170" ht="15.75" thickBot="1" x14ac:dyDescent="0.3">
      <c r="AZ200" s="186"/>
      <c r="BA200" s="187"/>
      <c r="BB200" s="187"/>
      <c r="BC200" s="187"/>
      <c r="BD200" s="187"/>
      <c r="BE200" s="187"/>
      <c r="BF200" s="187"/>
      <c r="BG200" s="187"/>
      <c r="BH200" s="266" t="s">
        <v>30</v>
      </c>
      <c r="BI200" s="266"/>
      <c r="BJ200" s="266"/>
      <c r="BK200" s="266"/>
      <c r="BL200" s="266"/>
      <c r="BM200" s="266"/>
      <c r="BN200" s="266"/>
      <c r="BO200" s="266"/>
      <c r="BP200" s="266"/>
      <c r="BQ200" s="266"/>
      <c r="BR200" s="266"/>
      <c r="BS200" s="266"/>
      <c r="BT200" s="267"/>
      <c r="BU200" s="187"/>
      <c r="BV200" s="188" t="s">
        <v>31</v>
      </c>
      <c r="BW200" s="188"/>
      <c r="BX200" s="188"/>
      <c r="BY200" s="188"/>
      <c r="BZ200" s="188"/>
      <c r="CA200" s="188"/>
      <c r="CB200" s="188"/>
      <c r="CC200" s="188"/>
      <c r="CD200" s="188"/>
      <c r="CE200" s="188"/>
      <c r="CF200" s="188"/>
      <c r="CG200" s="188"/>
      <c r="CH200" s="187"/>
      <c r="CI200" s="188" t="s">
        <v>32</v>
      </c>
      <c r="CJ200" s="188"/>
      <c r="CK200" s="188"/>
      <c r="CL200" s="188"/>
      <c r="CM200" s="189" t="s">
        <v>33</v>
      </c>
      <c r="CN200" s="189" t="s">
        <v>34</v>
      </c>
      <c r="CO200" s="190" t="s">
        <v>35</v>
      </c>
      <c r="CP200" s="187"/>
      <c r="CQ200" s="187"/>
      <c r="CR200" s="191" t="s">
        <v>36</v>
      </c>
      <c r="CS200" s="191"/>
      <c r="CT200" s="191"/>
      <c r="CU200" s="191"/>
      <c r="CV200" s="191"/>
      <c r="CW200" s="191"/>
      <c r="CX200" s="191"/>
      <c r="CY200" s="191"/>
      <c r="CZ200" s="191"/>
      <c r="DA200" s="191"/>
      <c r="DB200" s="191"/>
      <c r="DC200" s="191"/>
      <c r="DD200" s="191"/>
      <c r="DE200" s="191"/>
      <c r="DF200" s="191"/>
      <c r="DG200" s="191"/>
      <c r="DH200" s="191"/>
      <c r="DI200" s="191"/>
      <c r="DJ200" s="191"/>
      <c r="DK200" s="191"/>
      <c r="DL200" s="187"/>
      <c r="DM200" s="192" t="s">
        <v>37</v>
      </c>
      <c r="DN200" s="192"/>
      <c r="DO200" s="193"/>
      <c r="DP200" s="194"/>
      <c r="DQ200" s="195" t="s">
        <v>38</v>
      </c>
      <c r="DR200" s="195"/>
      <c r="DS200" s="196"/>
      <c r="DT200" s="197"/>
      <c r="DU200" s="198" t="s">
        <v>39</v>
      </c>
      <c r="DV200" s="198"/>
      <c r="DW200" s="198"/>
      <c r="DX200" s="193"/>
      <c r="DY200" s="194"/>
      <c r="DZ200" s="195" t="s">
        <v>40</v>
      </c>
      <c r="EA200" s="195"/>
      <c r="EB200" s="193"/>
      <c r="EC200" s="194"/>
      <c r="ED200" s="195" t="s">
        <v>41</v>
      </c>
      <c r="EE200" s="195"/>
      <c r="EF200" s="193"/>
      <c r="EG200" s="194"/>
      <c r="EH200" s="199" t="s">
        <v>42</v>
      </c>
      <c r="EI200" s="199"/>
      <c r="EJ200" s="199"/>
      <c r="EK200" s="199"/>
      <c r="EL200" s="199"/>
      <c r="EM200" s="199"/>
      <c r="EN200" s="199"/>
      <c r="EO200" s="199"/>
      <c r="EP200" s="196"/>
      <c r="EQ200" s="200" t="s">
        <v>43</v>
      </c>
      <c r="ER200" s="200"/>
      <c r="ES200" s="200"/>
      <c r="ET200" s="201"/>
      <c r="EU200" s="193"/>
      <c r="EV200" s="200" t="s">
        <v>44</v>
      </c>
      <c r="EW200" s="200"/>
      <c r="EX200" s="200"/>
      <c r="EY200" s="196"/>
      <c r="EZ200" s="200" t="s">
        <v>45</v>
      </c>
      <c r="FA200" s="200"/>
      <c r="FB200" s="200"/>
      <c r="FC200" s="196"/>
      <c r="FD200" s="200" t="s">
        <v>46</v>
      </c>
      <c r="FE200" s="200"/>
      <c r="FF200" s="200"/>
      <c r="FG200" s="196"/>
      <c r="FH200" s="200" t="s">
        <v>47</v>
      </c>
      <c r="FI200" s="200"/>
      <c r="FJ200" s="200"/>
      <c r="FK200" s="202"/>
      <c r="FL200" s="187"/>
      <c r="FM200" s="187"/>
      <c r="FN200" s="203"/>
    </row>
    <row r="201" spans="52:170" ht="15.75" thickBot="1" x14ac:dyDescent="0.3">
      <c r="AZ201" s="186"/>
      <c r="BA201" s="187"/>
      <c r="BB201" s="187"/>
      <c r="BC201" s="187"/>
      <c r="BD201" s="187"/>
      <c r="BE201" s="187"/>
      <c r="BF201" s="187"/>
      <c r="BG201" s="187"/>
      <c r="BH201" s="271"/>
      <c r="BI201" s="272" t="s">
        <v>48</v>
      </c>
      <c r="BJ201" s="273" t="s">
        <v>49</v>
      </c>
      <c r="BK201" s="274" t="s">
        <v>50</v>
      </c>
      <c r="BL201" s="316"/>
      <c r="BM201" s="315"/>
      <c r="BN201" s="272" t="s">
        <v>51</v>
      </c>
      <c r="BO201" s="273" t="s">
        <v>49</v>
      </c>
      <c r="BP201" s="274" t="s">
        <v>50</v>
      </c>
      <c r="BQ201" s="313"/>
      <c r="BR201" s="272" t="s">
        <v>52</v>
      </c>
      <c r="BS201" s="273" t="s">
        <v>49</v>
      </c>
      <c r="BT201" s="274" t="s">
        <v>50</v>
      </c>
      <c r="BU201" s="187"/>
      <c r="BV201" s="204" t="s">
        <v>53</v>
      </c>
      <c r="BW201" s="205" t="s">
        <v>54</v>
      </c>
      <c r="BX201" s="206" t="s">
        <v>55</v>
      </c>
      <c r="BY201" s="188" t="s">
        <v>53</v>
      </c>
      <c r="BZ201" s="188"/>
      <c r="CA201" s="188"/>
      <c r="CB201" s="188" t="s">
        <v>54</v>
      </c>
      <c r="CC201" s="188"/>
      <c r="CD201" s="188"/>
      <c r="CE201" s="188" t="s">
        <v>55</v>
      </c>
      <c r="CF201" s="188"/>
      <c r="CG201" s="188"/>
      <c r="CH201" s="187"/>
      <c r="CI201" s="207" t="s">
        <v>56</v>
      </c>
      <c r="CJ201" s="208"/>
      <c r="CK201" s="209"/>
      <c r="CL201" s="209"/>
      <c r="CM201" s="210"/>
      <c r="CN201" s="210"/>
      <c r="CO201" s="210"/>
      <c r="CP201" s="187"/>
      <c r="CQ201" s="187"/>
      <c r="CR201" s="188" t="s">
        <v>57</v>
      </c>
      <c r="CS201" s="188"/>
      <c r="CT201" s="188"/>
      <c r="CU201" s="188"/>
      <c r="CV201" s="188"/>
      <c r="CW201" s="211" t="s">
        <v>58</v>
      </c>
      <c r="CX201" s="211"/>
      <c r="CY201" s="211"/>
      <c r="CZ201" s="211"/>
      <c r="DA201" s="211"/>
      <c r="DB201" s="188" t="s">
        <v>59</v>
      </c>
      <c r="DC201" s="188"/>
      <c r="DD201" s="188"/>
      <c r="DE201" s="188"/>
      <c r="DF201" s="188"/>
      <c r="DG201" s="188" t="s">
        <v>60</v>
      </c>
      <c r="DH201" s="188"/>
      <c r="DI201" s="188"/>
      <c r="DJ201" s="188"/>
      <c r="DK201" s="188"/>
      <c r="DL201" s="187"/>
      <c r="DM201" s="212" t="s">
        <v>61</v>
      </c>
      <c r="DN201" s="213" t="s">
        <v>62</v>
      </c>
      <c r="DO201" s="214"/>
      <c r="DP201" s="213" t="s">
        <v>161</v>
      </c>
      <c r="DQ201" s="215" t="s">
        <v>61</v>
      </c>
      <c r="DR201" s="216" t="s">
        <v>63</v>
      </c>
      <c r="DS201" s="217"/>
      <c r="DT201" s="186" t="s">
        <v>31</v>
      </c>
      <c r="DU201" s="215" t="s">
        <v>61</v>
      </c>
      <c r="DV201" s="216" t="s">
        <v>63</v>
      </c>
      <c r="DW201" s="218" t="s">
        <v>64</v>
      </c>
      <c r="DX201" s="214"/>
      <c r="DY201" s="213" t="s">
        <v>31</v>
      </c>
      <c r="DZ201" s="219" t="s">
        <v>61</v>
      </c>
      <c r="EA201" s="213" t="s">
        <v>65</v>
      </c>
      <c r="EB201" s="214"/>
      <c r="EC201" s="213" t="s">
        <v>162</v>
      </c>
      <c r="ED201" s="215" t="s">
        <v>61</v>
      </c>
      <c r="EE201" s="216" t="s">
        <v>63</v>
      </c>
      <c r="EF201" s="214"/>
      <c r="EG201" s="213"/>
      <c r="EH201" s="215" t="s">
        <v>61</v>
      </c>
      <c r="EI201" s="213" t="s">
        <v>66</v>
      </c>
      <c r="EJ201" s="213"/>
      <c r="EK201" s="213"/>
      <c r="EL201" s="213" t="s">
        <v>66</v>
      </c>
      <c r="EM201" s="213"/>
      <c r="EN201" s="213"/>
      <c r="EO201" s="213" t="s">
        <v>66</v>
      </c>
      <c r="EP201" s="217"/>
      <c r="EQ201" s="187"/>
      <c r="ER201" s="219" t="s">
        <v>61</v>
      </c>
      <c r="ES201" s="213" t="s">
        <v>66</v>
      </c>
      <c r="ET201" s="217"/>
      <c r="EU201" s="214"/>
      <c r="EV201" s="213"/>
      <c r="EW201" s="215" t="s">
        <v>61</v>
      </c>
      <c r="EX201" s="216" t="s">
        <v>67</v>
      </c>
      <c r="EY201" s="217"/>
      <c r="EZ201" s="213"/>
      <c r="FA201" s="215" t="s">
        <v>61</v>
      </c>
      <c r="FB201" s="216" t="s">
        <v>163</v>
      </c>
      <c r="FC201" s="217"/>
      <c r="FD201" s="213"/>
      <c r="FE201" s="215" t="s">
        <v>61</v>
      </c>
      <c r="FF201" s="216" t="s">
        <v>68</v>
      </c>
      <c r="FG201" s="217"/>
      <c r="FH201" s="213"/>
      <c r="FI201" s="215" t="s">
        <v>61</v>
      </c>
      <c r="FJ201" s="220" t="s">
        <v>69</v>
      </c>
      <c r="FK201" s="187"/>
      <c r="FL201" s="187"/>
      <c r="FM201" s="187"/>
      <c r="FN201" s="203"/>
    </row>
    <row r="202" spans="52:170" ht="45.75" thickBot="1" x14ac:dyDescent="0.3">
      <c r="AZ202" s="285" t="s">
        <v>70</v>
      </c>
      <c r="BA202" s="303">
        <f>$C$16</f>
        <v>0</v>
      </c>
      <c r="BB202" s="281" t="s">
        <v>71</v>
      </c>
      <c r="BC202" s="187"/>
      <c r="BD202" s="290" t="s">
        <v>72</v>
      </c>
      <c r="BE202" s="306">
        <f>BA202*1000/(BA203-BA204)</f>
        <v>0</v>
      </c>
      <c r="BF202" s="187"/>
      <c r="BG202" s="187"/>
      <c r="BH202" s="268">
        <f t="shared" ref="BH202:BH215" si="68">IF($B$12&lt;12,(IF((BK202&gt;4)*AND(BK202&lt;16),2,0)),IF((BK202&gt;4)*AND(BK202&lt;20),2,0))</f>
        <v>0</v>
      </c>
      <c r="BI202" s="269">
        <v>15</v>
      </c>
      <c r="BJ202" s="269">
        <f>1/POWER(1.14+2*LOG10((BI202/1000)/($BJ$218/1000)),2)</f>
        <v>0.16378938872634155</v>
      </c>
      <c r="BK202" s="270">
        <f>0.00638*BJ202*POWER($BE$202,2)/(POWER(BI202/1000,5)*$BJ$218)</f>
        <v>0</v>
      </c>
      <c r="BL202" s="317"/>
      <c r="BM202" s="268" t="e">
        <f t="shared" ref="BM202:BM215" si="69">IF((BP202&gt;4)*AND(BP202&lt;20),1,0)</f>
        <v>#DIV/0!</v>
      </c>
      <c r="BN202" s="269">
        <v>15</v>
      </c>
      <c r="BO202" s="269">
        <f>1/POWER(1.14+2*LOG10((BN202/1000)/($BJ$219/1000)),2)</f>
        <v>5.9655827422120798E-2</v>
      </c>
      <c r="BP202" s="270" t="e">
        <f>0.00638*BO202*POWER($BE$209,2)/(POWER(BN202/1000,5)*$BJ$218)</f>
        <v>#DIV/0!</v>
      </c>
      <c r="BQ202" s="314">
        <f t="shared" ref="BQ202:BQ215" si="70">IF((BT202&gt;4)*AND(BT202&lt;20),1,0)</f>
        <v>0</v>
      </c>
      <c r="BR202" s="269">
        <v>15</v>
      </c>
      <c r="BS202" s="269">
        <f>1/POWER(1.14+2*LOG10((BR202/1000)/($BJ$219/1000)),2)</f>
        <v>5.9655827422120798E-2</v>
      </c>
      <c r="BT202" s="270">
        <f>0.00638*BS202*POWER($BE$214,2)/(POWER(BR202/1000,5)*$BJ$218)</f>
        <v>0</v>
      </c>
      <c r="BU202" s="187"/>
      <c r="BV202" s="222" t="s">
        <v>73</v>
      </c>
      <c r="BW202" s="187">
        <f>IF(BA210=0,0,IF(BA210&gt;12,3,1.8))</f>
        <v>3</v>
      </c>
      <c r="BX202" s="187"/>
      <c r="BY202" s="182">
        <f t="shared" ref="BY202:BY219" si="71">IF(CA202&gt;$X$5,1,0)</f>
        <v>1</v>
      </c>
      <c r="BZ202" s="183">
        <v>15</v>
      </c>
      <c r="CA202" s="185">
        <v>1.6</v>
      </c>
      <c r="CB202" s="182">
        <f t="shared" ref="CB202:CB220" si="72">IF(CD202&gt;$X$5,1,0)</f>
        <v>1</v>
      </c>
      <c r="CC202" s="183">
        <v>15</v>
      </c>
      <c r="CD202" s="185">
        <v>1.6</v>
      </c>
      <c r="CE202" s="187">
        <f t="shared" ref="CE202:CE214" si="73">IF(CG202&gt;$X$5,1,0)</f>
        <v>1</v>
      </c>
      <c r="CF202" s="187">
        <v>15</v>
      </c>
      <c r="CG202" s="203">
        <v>1.6</v>
      </c>
      <c r="CH202" s="187"/>
      <c r="CI202" s="223">
        <v>4</v>
      </c>
      <c r="CJ202" s="182" t="e">
        <f>IF($BE$211&lt;CI202,1,0)</f>
        <v>#DIV/0!</v>
      </c>
      <c r="CK202" s="185" t="s">
        <v>74</v>
      </c>
      <c r="CL202" s="224" t="e">
        <f>IF($BE$211&lt;CI202,1,0)</f>
        <v>#DIV/0!</v>
      </c>
      <c r="CM202" s="225" t="s">
        <v>75</v>
      </c>
      <c r="CN202" s="182" t="e">
        <f>IF($BE$211&lt;CI202,1,0)</f>
        <v>#DIV/0!</v>
      </c>
      <c r="CO202" s="226" t="s">
        <v>76</v>
      </c>
      <c r="CP202" s="187"/>
      <c r="CQ202" s="187"/>
      <c r="CR202" s="182">
        <v>0.1</v>
      </c>
      <c r="CS202" s="183">
        <f>IF($BA$202&lt;CR202,1,0)</f>
        <v>1</v>
      </c>
      <c r="CT202" s="183" t="s">
        <v>77</v>
      </c>
      <c r="CU202" s="183">
        <f>IF($BA$202&lt;CR202,1,0)</f>
        <v>1</v>
      </c>
      <c r="CV202" s="227">
        <v>1</v>
      </c>
      <c r="CW202" s="182">
        <v>0.1</v>
      </c>
      <c r="CX202" s="183">
        <f>IF($BA$202&lt;CW202,1,0)</f>
        <v>1</v>
      </c>
      <c r="CY202" s="183" t="s">
        <v>77</v>
      </c>
      <c r="CZ202" s="183">
        <f>IF($BA$202&lt;CW202,1,0)</f>
        <v>1</v>
      </c>
      <c r="DA202" s="227">
        <v>1</v>
      </c>
      <c r="DB202" s="186">
        <v>0.14000000000000001</v>
      </c>
      <c r="DC202" s="187">
        <f>IF($BA$202&lt;DB202,1,0)</f>
        <v>1</v>
      </c>
      <c r="DD202" s="183" t="s">
        <v>77</v>
      </c>
      <c r="DE202" s="187">
        <f>IF($BA$202&lt;DB202,1,0)</f>
        <v>1</v>
      </c>
      <c r="DF202" s="218">
        <v>1</v>
      </c>
      <c r="DG202" s="187">
        <v>0.05</v>
      </c>
      <c r="DH202" s="187">
        <f>IF($BA$202&lt;DG202,1,0)</f>
        <v>1</v>
      </c>
      <c r="DI202" s="187" t="s">
        <v>77</v>
      </c>
      <c r="DJ202" s="187">
        <f>IF($BA$202&lt;DG202,1,0)</f>
        <v>1</v>
      </c>
      <c r="DK202" s="203">
        <v>1</v>
      </c>
      <c r="DL202" s="187"/>
      <c r="DM202" s="212" t="s">
        <v>78</v>
      </c>
      <c r="DN202" s="213" t="s">
        <v>79</v>
      </c>
      <c r="DO202" s="214"/>
      <c r="DP202" s="213" t="e">
        <f>IF($BE$203=DR202,1,0)</f>
        <v>#N/A</v>
      </c>
      <c r="DQ202" s="219" t="s">
        <v>80</v>
      </c>
      <c r="DR202" s="213">
        <v>15</v>
      </c>
      <c r="DS202" s="217"/>
      <c r="DT202" s="228">
        <f>IF($BE$204=DW202,1,0)</f>
        <v>0</v>
      </c>
      <c r="DU202" s="219" t="s">
        <v>80</v>
      </c>
      <c r="DV202" s="213">
        <v>15</v>
      </c>
      <c r="DW202" s="218">
        <v>0.63</v>
      </c>
      <c r="DX202" s="214"/>
      <c r="DY202" s="213">
        <f>IF($BA$212=EA202,1,0)</f>
        <v>0</v>
      </c>
      <c r="DZ202" s="219" t="s">
        <v>78</v>
      </c>
      <c r="EA202" s="213" t="s">
        <v>53</v>
      </c>
      <c r="EB202" s="214"/>
      <c r="EC202" s="213" t="e">
        <f>IF($BE$210=EE202,1,0)</f>
        <v>#N/A</v>
      </c>
      <c r="ED202" s="219" t="s">
        <v>80</v>
      </c>
      <c r="EE202" s="213">
        <v>15</v>
      </c>
      <c r="EF202" s="214"/>
      <c r="EG202" s="213" t="e">
        <f>IF($BD$212=EI202,1,0)</f>
        <v>#N/A</v>
      </c>
      <c r="EH202" s="216">
        <v>1</v>
      </c>
      <c r="EI202" s="216" t="s">
        <v>74</v>
      </c>
      <c r="EJ202" s="216" t="e">
        <f>IF($BD$212=EL202,1,0)</f>
        <v>#N/A</v>
      </c>
      <c r="EK202" s="216">
        <v>1</v>
      </c>
      <c r="EL202" s="229" t="s">
        <v>75</v>
      </c>
      <c r="EM202" s="229" t="e">
        <f>IF($BD$212=EO202,1,0)</f>
        <v>#N/A</v>
      </c>
      <c r="EN202" s="216">
        <v>1</v>
      </c>
      <c r="EO202" s="229" t="s">
        <v>76</v>
      </c>
      <c r="EP202" s="217"/>
      <c r="EQ202" s="187" t="e">
        <f>IF(OR(BD212="DPL 80/115-2,2/2",BD212="DPL 100/175-3/4"),1,0)</f>
        <v>#N/A</v>
      </c>
      <c r="ER202" s="216">
        <v>5</v>
      </c>
      <c r="ES202" s="187"/>
      <c r="ET202" s="217"/>
      <c r="EU202" s="214"/>
      <c r="EV202" s="213">
        <f>IF($BD$207=EX202,1,0)</f>
        <v>0</v>
      </c>
      <c r="EW202" s="219" t="s">
        <v>81</v>
      </c>
      <c r="EX202" s="187" t="s">
        <v>82</v>
      </c>
      <c r="EY202" s="217"/>
      <c r="EZ202" s="213">
        <f>IF($BE$207=FB202,1,0)</f>
        <v>0</v>
      </c>
      <c r="FA202" s="219" t="s">
        <v>81</v>
      </c>
      <c r="FB202" s="187" t="s">
        <v>82</v>
      </c>
      <c r="FC202" s="217"/>
      <c r="FD202" s="213">
        <f>IF($BA$214=FF202,1,0)</f>
        <v>0</v>
      </c>
      <c r="FE202" s="219" t="s">
        <v>78</v>
      </c>
      <c r="FF202" s="213" t="s">
        <v>83</v>
      </c>
      <c r="FG202" s="217"/>
      <c r="FH202" s="213">
        <f>IF($BA$215=FJ202,1,0)</f>
        <v>0</v>
      </c>
      <c r="FI202" s="219" t="s">
        <v>78</v>
      </c>
      <c r="FJ202" s="203" t="s">
        <v>84</v>
      </c>
      <c r="FK202" s="187"/>
      <c r="FL202" s="187"/>
      <c r="FM202" s="187"/>
      <c r="FN202" s="203"/>
    </row>
    <row r="203" spans="52:170" ht="30.75" thickBot="1" x14ac:dyDescent="0.3">
      <c r="AZ203" s="286" t="s">
        <v>85</v>
      </c>
      <c r="BA203" s="304">
        <f>$N$13</f>
        <v>130</v>
      </c>
      <c r="BB203" s="293" t="s">
        <v>86</v>
      </c>
      <c r="BC203" s="187"/>
      <c r="BD203" s="291" t="s">
        <v>48</v>
      </c>
      <c r="BE203" s="307" t="e">
        <f>VLOOKUP(2,BH202:BK215,2,0)</f>
        <v>#N/A</v>
      </c>
      <c r="BF203" s="187"/>
      <c r="BG203" s="187"/>
      <c r="BH203" s="261">
        <f t="shared" si="68"/>
        <v>0</v>
      </c>
      <c r="BI203" s="259">
        <v>20</v>
      </c>
      <c r="BJ203" s="259">
        <f t="shared" ref="BJ203:BJ215" si="74">1/POWER(1.14+2*LOG10((BI203/1000)/($BJ$218/1000)),2)</f>
        <v>0.20271679690276806</v>
      </c>
      <c r="BK203" s="262">
        <f t="shared" ref="BK203:BK215" si="75">0.00638*BJ203*POWER($BE$202,2)/(POWER(BI203/1000,5)*$BJ$218)</f>
        <v>0</v>
      </c>
      <c r="BL203" s="317"/>
      <c r="BM203" s="261" t="e">
        <f t="shared" si="69"/>
        <v>#DIV/0!</v>
      </c>
      <c r="BN203" s="259">
        <v>20</v>
      </c>
      <c r="BO203" s="259">
        <f t="shared" ref="BO203:BO215" si="76">1/POWER(1.14+2*LOG10((BN203/1000)/($BJ$219/1000)),2)</f>
        <v>5.2990299783484442E-2</v>
      </c>
      <c r="BP203" s="262" t="e">
        <f t="shared" ref="BP203:BP215" si="77">0.00638*BO203*POWER($BE$209,2)/(POWER(BN203/1000,5)*$BJ$218)</f>
        <v>#DIV/0!</v>
      </c>
      <c r="BQ203" s="260">
        <f t="shared" si="70"/>
        <v>0</v>
      </c>
      <c r="BR203" s="259">
        <v>20</v>
      </c>
      <c r="BS203" s="259">
        <f t="shared" ref="BS203:BS215" si="78">1/POWER(1.14+2*LOG10((BR203/1000)/($BJ$219/1000)),2)</f>
        <v>5.2990299783484442E-2</v>
      </c>
      <c r="BT203" s="262">
        <f t="shared" ref="BT203:BT215" si="79">0.00638*BS203*POWER($BE$214,2)/(POWER(BR203/1000,5)*$BJ$218)</f>
        <v>0</v>
      </c>
      <c r="BU203" s="187"/>
      <c r="BV203" s="222" t="s">
        <v>87</v>
      </c>
      <c r="BW203" s="231">
        <f>BE202/SQRT(0.1*BW202)</f>
        <v>0</v>
      </c>
      <c r="BX203" s="231"/>
      <c r="BY203" s="186">
        <f t="shared" si="71"/>
        <v>1</v>
      </c>
      <c r="BZ203" s="187">
        <v>15</v>
      </c>
      <c r="CA203" s="203">
        <v>2.5</v>
      </c>
      <c r="CB203" s="186">
        <f t="shared" si="72"/>
        <v>1</v>
      </c>
      <c r="CC203" s="187">
        <v>15</v>
      </c>
      <c r="CD203" s="203">
        <v>2.5</v>
      </c>
      <c r="CE203" s="187">
        <f t="shared" si="73"/>
        <v>1</v>
      </c>
      <c r="CF203" s="187">
        <v>15</v>
      </c>
      <c r="CG203" s="203">
        <v>2.5</v>
      </c>
      <c r="CH203" s="187"/>
      <c r="CI203" s="228">
        <v>6</v>
      </c>
      <c r="CJ203" s="182" t="e">
        <f t="shared" ref="CJ203:CJ211" si="80">IF($BE$211&lt;CI203,1,0)</f>
        <v>#DIV/0!</v>
      </c>
      <c r="CK203" s="203" t="s">
        <v>88</v>
      </c>
      <c r="CL203" s="224" t="e">
        <f t="shared" ref="CL203:CL211" si="81">IF($BE$211&lt;CI203,1,0)</f>
        <v>#DIV/0!</v>
      </c>
      <c r="CM203" s="217" t="s">
        <v>89</v>
      </c>
      <c r="CN203" s="182" t="e">
        <f t="shared" ref="CN203:CN211" si="82">IF($BE$211&lt;CI203,1,0)</f>
        <v>#DIV/0!</v>
      </c>
      <c r="CO203" s="232" t="s">
        <v>90</v>
      </c>
      <c r="CP203" s="187"/>
      <c r="CQ203" s="187"/>
      <c r="CR203" s="186">
        <v>0.25</v>
      </c>
      <c r="CS203" s="183">
        <f t="shared" ref="CS203:CS209" si="83">IF($BA$202&lt;CR203,1,0)</f>
        <v>1</v>
      </c>
      <c r="CT203" s="187" t="s">
        <v>91</v>
      </c>
      <c r="CU203" s="183">
        <f t="shared" ref="CU203:CU209" si="84">IF($BA$202&lt;CR203,1,0)</f>
        <v>1</v>
      </c>
      <c r="CV203" s="220">
        <v>1</v>
      </c>
      <c r="CW203" s="186">
        <v>0.25</v>
      </c>
      <c r="CX203" s="183">
        <f t="shared" ref="CX203:CX209" si="85">IF($BA$202&lt;CW203,1,0)</f>
        <v>1</v>
      </c>
      <c r="CY203" s="187" t="s">
        <v>91</v>
      </c>
      <c r="CZ203" s="183">
        <f t="shared" ref="CZ203:CZ209" si="86">IF($BA$202&lt;CW203,1,0)</f>
        <v>1</v>
      </c>
      <c r="DA203" s="220">
        <v>1</v>
      </c>
      <c r="DB203" s="186">
        <v>0.45</v>
      </c>
      <c r="DC203" s="187">
        <f t="shared" ref="DC203:DC208" si="87">IF($BA$202&lt;DB203,1,0)</f>
        <v>1</v>
      </c>
      <c r="DD203" s="187" t="s">
        <v>92</v>
      </c>
      <c r="DE203" s="187">
        <f t="shared" ref="DE203:DE208" si="88">IF($BA$202&lt;DB203,1,0)</f>
        <v>1</v>
      </c>
      <c r="DF203" s="218">
        <v>1</v>
      </c>
      <c r="DG203" s="187">
        <v>0.09</v>
      </c>
      <c r="DH203" s="187">
        <f t="shared" ref="DH203:DH211" si="89">IF($BA$202&lt;DG203,1,0)</f>
        <v>1</v>
      </c>
      <c r="DI203" s="187" t="s">
        <v>93</v>
      </c>
      <c r="DJ203" s="187">
        <f t="shared" ref="DJ203:DJ211" si="90">IF($BA$202&lt;DG203,1,0)</f>
        <v>1</v>
      </c>
      <c r="DK203" s="203">
        <v>1</v>
      </c>
      <c r="DL203" s="187"/>
      <c r="DM203" s="212" t="s">
        <v>94</v>
      </c>
      <c r="DN203" s="213" t="s">
        <v>95</v>
      </c>
      <c r="DO203" s="214"/>
      <c r="DP203" s="213" t="e">
        <f t="shared" ref="DP203:DP213" si="91">IF($BE$203=DR203,1,0)</f>
        <v>#N/A</v>
      </c>
      <c r="DQ203" s="219" t="s">
        <v>96</v>
      </c>
      <c r="DR203" s="213">
        <v>20</v>
      </c>
      <c r="DS203" s="217"/>
      <c r="DT203" s="228">
        <f t="shared" ref="DT203:DT224" si="92">IF($BE$204=DW203,1,0)</f>
        <v>0</v>
      </c>
      <c r="DU203" s="219" t="s">
        <v>96</v>
      </c>
      <c r="DV203" s="213">
        <v>15</v>
      </c>
      <c r="DW203" s="218">
        <v>1.25</v>
      </c>
      <c r="DX203" s="214"/>
      <c r="DY203" s="213">
        <f t="shared" ref="DY203:DY204" si="93">IF($BA$212=EA203,1,0)</f>
        <v>0</v>
      </c>
      <c r="DZ203" s="219" t="s">
        <v>94</v>
      </c>
      <c r="EA203" s="213" t="s">
        <v>55</v>
      </c>
      <c r="EB203" s="214"/>
      <c r="EC203" s="213" t="e">
        <f t="shared" ref="EC203:EC213" si="94">IF($BE$210=EE203,1,0)</f>
        <v>#N/A</v>
      </c>
      <c r="ED203" s="219" t="s">
        <v>96</v>
      </c>
      <c r="EE203" s="213">
        <v>20</v>
      </c>
      <c r="EF203" s="214"/>
      <c r="EG203" s="213" t="e">
        <f t="shared" ref="EG203:EG212" si="95">IF($BD$212=EI203,1,0)</f>
        <v>#N/A</v>
      </c>
      <c r="EH203" s="216">
        <v>2</v>
      </c>
      <c r="EI203" s="216" t="s">
        <v>88</v>
      </c>
      <c r="EJ203" s="216" t="e">
        <f t="shared" ref="EJ203:EJ212" si="96">IF($BD$212=EL203,1,0)</f>
        <v>#N/A</v>
      </c>
      <c r="EK203" s="216">
        <v>2</v>
      </c>
      <c r="EL203" s="216" t="s">
        <v>89</v>
      </c>
      <c r="EM203" s="229" t="e">
        <f t="shared" ref="EM203:EM212" si="97">IF($BD$212=EO203,1,0)</f>
        <v>#N/A</v>
      </c>
      <c r="EN203" s="216">
        <v>2</v>
      </c>
      <c r="EO203" s="229" t="s">
        <v>90</v>
      </c>
      <c r="EP203" s="217"/>
      <c r="EQ203" s="187">
        <f>IF($BA$213=ES203,1,0)</f>
        <v>0</v>
      </c>
      <c r="ER203" s="216">
        <v>1</v>
      </c>
      <c r="ES203" s="216" t="s">
        <v>33</v>
      </c>
      <c r="ET203" s="217"/>
      <c r="EU203" s="214"/>
      <c r="EV203" s="213">
        <f t="shared" ref="EV203:EV208" si="98">IF($BD$207=EX203,1,0)</f>
        <v>1</v>
      </c>
      <c r="EW203" s="219" t="s">
        <v>78</v>
      </c>
      <c r="EX203" s="213" t="s">
        <v>77</v>
      </c>
      <c r="EY203" s="217"/>
      <c r="EZ203" s="213">
        <f t="shared" ref="EZ203:EZ207" si="99">IF($BE$207=FB203,1,0)</f>
        <v>1</v>
      </c>
      <c r="FA203" s="219" t="s">
        <v>78</v>
      </c>
      <c r="FB203" s="213">
        <v>1</v>
      </c>
      <c r="FC203" s="217"/>
      <c r="FD203" s="213">
        <f t="shared" ref="FD203:FD204" si="100">IF($BA$214=FF203,1,0)</f>
        <v>0</v>
      </c>
      <c r="FE203" s="219" t="s">
        <v>94</v>
      </c>
      <c r="FF203" s="213" t="s">
        <v>55</v>
      </c>
      <c r="FG203" s="217"/>
      <c r="FH203" s="213">
        <f>IF($BA$215=FJ203,1,0)</f>
        <v>0</v>
      </c>
      <c r="FI203" s="219" t="s">
        <v>81</v>
      </c>
      <c r="FJ203" s="218" t="s">
        <v>97</v>
      </c>
      <c r="FK203" s="187"/>
      <c r="FL203" s="187"/>
      <c r="FM203" s="187"/>
      <c r="FN203" s="203"/>
    </row>
    <row r="204" spans="52:170" ht="30.75" thickBot="1" x14ac:dyDescent="0.3">
      <c r="AZ204" s="286" t="s">
        <v>98</v>
      </c>
      <c r="BA204" s="304">
        <f>IF(OR($C$32="зависимая",$C$32=0),$R$13,IF(($R$13-BA206)&lt;5,BA206+5,$R$13))</f>
        <v>70</v>
      </c>
      <c r="BB204" s="293" t="s">
        <v>86</v>
      </c>
      <c r="BC204" s="187"/>
      <c r="BD204" s="291" t="s">
        <v>99</v>
      </c>
      <c r="BE204" s="307">
        <f>VLOOKUP(1,IF(BA212="IMI Hydronic",BY202:CA219,IF(BA212="Siemens",CB202:CD220,CE202:CG214)),2,0)</f>
        <v>15</v>
      </c>
      <c r="BF204" s="187"/>
      <c r="BG204" s="187"/>
      <c r="BH204" s="261">
        <f t="shared" si="68"/>
        <v>0</v>
      </c>
      <c r="BI204" s="259">
        <v>25</v>
      </c>
      <c r="BJ204" s="259">
        <f t="shared" si="74"/>
        <v>0.24333298342459911</v>
      </c>
      <c r="BK204" s="262">
        <f t="shared" si="75"/>
        <v>0</v>
      </c>
      <c r="BL204" s="317"/>
      <c r="BM204" s="261" t="e">
        <f t="shared" si="69"/>
        <v>#DIV/0!</v>
      </c>
      <c r="BN204" s="259">
        <v>25</v>
      </c>
      <c r="BO204" s="259">
        <f t="shared" si="76"/>
        <v>4.8560427292756572E-2</v>
      </c>
      <c r="BP204" s="262" t="e">
        <f t="shared" si="77"/>
        <v>#DIV/0!</v>
      </c>
      <c r="BQ204" s="260">
        <f t="shared" si="70"/>
        <v>0</v>
      </c>
      <c r="BR204" s="259">
        <v>25</v>
      </c>
      <c r="BS204" s="259">
        <f t="shared" si="78"/>
        <v>4.8560427292756572E-2</v>
      </c>
      <c r="BT204" s="262">
        <f t="shared" si="79"/>
        <v>0</v>
      </c>
      <c r="BU204" s="187"/>
      <c r="BV204" s="186"/>
      <c r="BW204" s="187"/>
      <c r="BX204" s="187"/>
      <c r="BY204" s="186">
        <f t="shared" si="71"/>
        <v>1</v>
      </c>
      <c r="BZ204" s="187">
        <v>15</v>
      </c>
      <c r="CA204" s="203">
        <v>4</v>
      </c>
      <c r="CB204" s="186">
        <f t="shared" si="72"/>
        <v>1</v>
      </c>
      <c r="CC204" s="187">
        <v>15</v>
      </c>
      <c r="CD204" s="203">
        <v>4</v>
      </c>
      <c r="CE204" s="187">
        <f t="shared" si="73"/>
        <v>1</v>
      </c>
      <c r="CF204" s="187">
        <v>15</v>
      </c>
      <c r="CG204" s="203">
        <v>4</v>
      </c>
      <c r="CH204" s="187"/>
      <c r="CI204" s="228">
        <v>10</v>
      </c>
      <c r="CJ204" s="182" t="e">
        <f t="shared" si="80"/>
        <v>#DIV/0!</v>
      </c>
      <c r="CK204" s="203" t="s">
        <v>100</v>
      </c>
      <c r="CL204" s="224" t="e">
        <f t="shared" si="81"/>
        <v>#DIV/0!</v>
      </c>
      <c r="CM204" s="217" t="s">
        <v>101</v>
      </c>
      <c r="CN204" s="182" t="e">
        <f t="shared" si="82"/>
        <v>#DIV/0!</v>
      </c>
      <c r="CO204" s="232" t="s">
        <v>102</v>
      </c>
      <c r="CP204" s="187"/>
      <c r="CQ204" s="187"/>
      <c r="CR204" s="186">
        <v>0.67</v>
      </c>
      <c r="CS204" s="183">
        <f t="shared" si="83"/>
        <v>1</v>
      </c>
      <c r="CT204" s="187" t="s">
        <v>92</v>
      </c>
      <c r="CU204" s="183">
        <f t="shared" si="84"/>
        <v>1</v>
      </c>
      <c r="CV204" s="220">
        <v>1</v>
      </c>
      <c r="CW204" s="186">
        <v>0.57499999999999996</v>
      </c>
      <c r="CX204" s="183">
        <f t="shared" si="85"/>
        <v>1</v>
      </c>
      <c r="CY204" s="187" t="s">
        <v>92</v>
      </c>
      <c r="CZ204" s="183">
        <f t="shared" si="86"/>
        <v>1</v>
      </c>
      <c r="DA204" s="220">
        <v>1</v>
      </c>
      <c r="DB204" s="186">
        <v>0.71</v>
      </c>
      <c r="DC204" s="187">
        <f t="shared" si="87"/>
        <v>1</v>
      </c>
      <c r="DD204" s="187" t="s">
        <v>92</v>
      </c>
      <c r="DE204" s="187">
        <f t="shared" si="88"/>
        <v>1</v>
      </c>
      <c r="DF204" s="218">
        <v>2</v>
      </c>
      <c r="DG204" s="187">
        <v>0.3</v>
      </c>
      <c r="DH204" s="187">
        <f t="shared" si="89"/>
        <v>1</v>
      </c>
      <c r="DI204" s="187" t="s">
        <v>92</v>
      </c>
      <c r="DJ204" s="187">
        <f t="shared" si="90"/>
        <v>1</v>
      </c>
      <c r="DK204" s="203">
        <v>1</v>
      </c>
      <c r="DL204" s="187"/>
      <c r="DM204" s="212"/>
      <c r="DN204" s="213"/>
      <c r="DO204" s="214"/>
      <c r="DP204" s="213" t="e">
        <f t="shared" si="91"/>
        <v>#N/A</v>
      </c>
      <c r="DQ204" s="219" t="s">
        <v>103</v>
      </c>
      <c r="DR204" s="213">
        <v>25</v>
      </c>
      <c r="DS204" s="217"/>
      <c r="DT204" s="228">
        <f t="shared" si="92"/>
        <v>0</v>
      </c>
      <c r="DU204" s="219" t="s">
        <v>103</v>
      </c>
      <c r="DV204" s="213">
        <v>15</v>
      </c>
      <c r="DW204" s="218">
        <v>1.6</v>
      </c>
      <c r="DX204" s="214"/>
      <c r="DY204" s="213">
        <f t="shared" si="93"/>
        <v>0</v>
      </c>
      <c r="DZ204" s="219" t="s">
        <v>104</v>
      </c>
      <c r="EA204" s="213" t="s">
        <v>54</v>
      </c>
      <c r="EB204" s="214"/>
      <c r="EC204" s="213" t="e">
        <f t="shared" si="94"/>
        <v>#N/A</v>
      </c>
      <c r="ED204" s="219" t="s">
        <v>103</v>
      </c>
      <c r="EE204" s="213">
        <v>25</v>
      </c>
      <c r="EF204" s="214"/>
      <c r="EG204" s="213" t="e">
        <f t="shared" si="95"/>
        <v>#N/A</v>
      </c>
      <c r="EH204" s="216">
        <v>3</v>
      </c>
      <c r="EI204" s="216" t="s">
        <v>100</v>
      </c>
      <c r="EJ204" s="216" t="e">
        <f t="shared" si="96"/>
        <v>#N/A</v>
      </c>
      <c r="EK204" s="216">
        <v>3</v>
      </c>
      <c r="EL204" s="216" t="s">
        <v>101</v>
      </c>
      <c r="EM204" s="229" t="e">
        <f t="shared" si="97"/>
        <v>#N/A</v>
      </c>
      <c r="EN204" s="216">
        <v>3</v>
      </c>
      <c r="EO204" s="229" t="s">
        <v>102</v>
      </c>
      <c r="EP204" s="217"/>
      <c r="EQ204" s="187">
        <f t="shared" ref="EQ204:EQ205" si="101">IF($BA$213=ES204,1,0)</f>
        <v>0</v>
      </c>
      <c r="ER204" s="216">
        <v>2</v>
      </c>
      <c r="ES204" s="216" t="s">
        <v>34</v>
      </c>
      <c r="ET204" s="217"/>
      <c r="EU204" s="214"/>
      <c r="EV204" s="213">
        <f t="shared" si="98"/>
        <v>0</v>
      </c>
      <c r="EW204" s="219" t="s">
        <v>94</v>
      </c>
      <c r="EX204" s="213" t="s">
        <v>91</v>
      </c>
      <c r="EY204" s="217"/>
      <c r="EZ204" s="213">
        <f t="shared" si="99"/>
        <v>0</v>
      </c>
      <c r="FA204" s="219" t="s">
        <v>94</v>
      </c>
      <c r="FB204" s="213">
        <v>2</v>
      </c>
      <c r="FC204" s="217"/>
      <c r="FD204" s="213">
        <f t="shared" si="100"/>
        <v>0</v>
      </c>
      <c r="FE204" s="219" t="s">
        <v>104</v>
      </c>
      <c r="FF204" s="233" t="s">
        <v>54</v>
      </c>
      <c r="FG204" s="217"/>
      <c r="FH204" s="213"/>
      <c r="FI204" s="219"/>
      <c r="FJ204" s="218"/>
      <c r="FK204" s="187"/>
      <c r="FL204" s="187"/>
      <c r="FM204" s="187"/>
      <c r="FN204" s="203"/>
    </row>
    <row r="205" spans="52:170" ht="15.75" thickBot="1" x14ac:dyDescent="0.3">
      <c r="AZ205" s="286" t="s">
        <v>105</v>
      </c>
      <c r="BA205" s="304">
        <f>N16</f>
        <v>0</v>
      </c>
      <c r="BB205" s="293" t="s">
        <v>86</v>
      </c>
      <c r="BC205" s="187"/>
      <c r="BD205" s="291" t="s">
        <v>106</v>
      </c>
      <c r="BE205" s="307">
        <f>VLOOKUP(1,IF(BA212="IMI Hydronic",BY202:CA219,IF(BA212="Siemens",CB202:CD220,CE202:CG214)),3,0)</f>
        <v>1.6</v>
      </c>
      <c r="BF205" s="187"/>
      <c r="BG205" s="187"/>
      <c r="BH205" s="261">
        <f t="shared" si="68"/>
        <v>0</v>
      </c>
      <c r="BI205" s="259">
        <v>32</v>
      </c>
      <c r="BJ205" s="259">
        <f t="shared" si="74"/>
        <v>0.30430091333902859</v>
      </c>
      <c r="BK205" s="262">
        <f t="shared" si="75"/>
        <v>0</v>
      </c>
      <c r="BL205" s="317"/>
      <c r="BM205" s="261" t="e">
        <f t="shared" si="69"/>
        <v>#DIV/0!</v>
      </c>
      <c r="BN205" s="259">
        <v>32</v>
      </c>
      <c r="BO205" s="259">
        <f t="shared" si="76"/>
        <v>4.4277322004702871E-2</v>
      </c>
      <c r="BP205" s="262" t="e">
        <f t="shared" si="77"/>
        <v>#DIV/0!</v>
      </c>
      <c r="BQ205" s="260">
        <f t="shared" si="70"/>
        <v>0</v>
      </c>
      <c r="BR205" s="259">
        <v>32</v>
      </c>
      <c r="BS205" s="259">
        <f t="shared" si="78"/>
        <v>4.4277322004702871E-2</v>
      </c>
      <c r="BT205" s="262">
        <f t="shared" si="79"/>
        <v>0</v>
      </c>
      <c r="BU205" s="187"/>
      <c r="BV205" s="186"/>
      <c r="BW205" s="187"/>
      <c r="BX205" s="187"/>
      <c r="BY205" s="186">
        <f t="shared" si="71"/>
        <v>1</v>
      </c>
      <c r="BZ205" s="187">
        <v>20</v>
      </c>
      <c r="CA205" s="203">
        <v>6.3</v>
      </c>
      <c r="CB205" s="186">
        <f t="shared" si="72"/>
        <v>1</v>
      </c>
      <c r="CC205" s="187">
        <v>20</v>
      </c>
      <c r="CD205" s="203">
        <v>6.3</v>
      </c>
      <c r="CE205" s="187">
        <f t="shared" si="73"/>
        <v>1</v>
      </c>
      <c r="CF205" s="187">
        <v>20</v>
      </c>
      <c r="CG205" s="203">
        <v>6.3</v>
      </c>
      <c r="CH205" s="187"/>
      <c r="CI205" s="228">
        <v>14</v>
      </c>
      <c r="CJ205" s="182" t="e">
        <f t="shared" si="80"/>
        <v>#DIV/0!</v>
      </c>
      <c r="CK205" s="203" t="s">
        <v>107</v>
      </c>
      <c r="CL205" s="224" t="e">
        <f t="shared" si="81"/>
        <v>#DIV/0!</v>
      </c>
      <c r="CM205" s="217" t="s">
        <v>108</v>
      </c>
      <c r="CN205" s="182" t="e">
        <f t="shared" si="82"/>
        <v>#DIV/0!</v>
      </c>
      <c r="CO205" s="217" t="s">
        <v>109</v>
      </c>
      <c r="CP205" s="187"/>
      <c r="CQ205" s="187"/>
      <c r="CR205" s="186">
        <v>1</v>
      </c>
      <c r="CS205" s="183">
        <f t="shared" si="83"/>
        <v>1</v>
      </c>
      <c r="CT205" s="187" t="s">
        <v>92</v>
      </c>
      <c r="CU205" s="183">
        <f t="shared" si="84"/>
        <v>1</v>
      </c>
      <c r="CV205" s="220">
        <v>2</v>
      </c>
      <c r="CW205" s="186">
        <v>0.9</v>
      </c>
      <c r="CX205" s="183">
        <f t="shared" si="85"/>
        <v>1</v>
      </c>
      <c r="CY205" s="187" t="s">
        <v>92</v>
      </c>
      <c r="CZ205" s="183">
        <f t="shared" si="86"/>
        <v>1</v>
      </c>
      <c r="DA205" s="220">
        <v>2</v>
      </c>
      <c r="DB205" s="186">
        <v>0.95</v>
      </c>
      <c r="DC205" s="187">
        <f t="shared" si="87"/>
        <v>1</v>
      </c>
      <c r="DD205" s="187" t="s">
        <v>92</v>
      </c>
      <c r="DE205" s="187">
        <f t="shared" si="88"/>
        <v>1</v>
      </c>
      <c r="DF205" s="234">
        <v>3</v>
      </c>
      <c r="DG205" s="187">
        <v>0.48</v>
      </c>
      <c r="DH205" s="187">
        <f t="shared" si="89"/>
        <v>1</v>
      </c>
      <c r="DI205" s="187" t="s">
        <v>92</v>
      </c>
      <c r="DJ205" s="187">
        <f t="shared" si="90"/>
        <v>1</v>
      </c>
      <c r="DK205" s="203">
        <v>2</v>
      </c>
      <c r="DL205" s="187"/>
      <c r="DM205" s="212"/>
      <c r="DN205" s="213"/>
      <c r="DO205" s="214"/>
      <c r="DP205" s="213" t="e">
        <f t="shared" si="91"/>
        <v>#N/A</v>
      </c>
      <c r="DQ205" s="219" t="s">
        <v>110</v>
      </c>
      <c r="DR205" s="213">
        <v>32</v>
      </c>
      <c r="DS205" s="217"/>
      <c r="DT205" s="228">
        <f t="shared" si="92"/>
        <v>0</v>
      </c>
      <c r="DU205" s="219" t="s">
        <v>110</v>
      </c>
      <c r="DV205" s="213">
        <v>15</v>
      </c>
      <c r="DW205" s="218">
        <v>2.5</v>
      </c>
      <c r="DX205" s="214"/>
      <c r="DY205" s="213"/>
      <c r="DZ205" s="219"/>
      <c r="EA205" s="213"/>
      <c r="EB205" s="214"/>
      <c r="EC205" s="213" t="e">
        <f t="shared" si="94"/>
        <v>#N/A</v>
      </c>
      <c r="ED205" s="219" t="s">
        <v>110</v>
      </c>
      <c r="EE205" s="213">
        <v>32</v>
      </c>
      <c r="EF205" s="214"/>
      <c r="EG205" s="213" t="e">
        <f t="shared" si="95"/>
        <v>#N/A</v>
      </c>
      <c r="EH205" s="233">
        <v>4</v>
      </c>
      <c r="EI205" s="216" t="s">
        <v>107</v>
      </c>
      <c r="EJ205" s="216" t="e">
        <f t="shared" si="96"/>
        <v>#N/A</v>
      </c>
      <c r="EK205" s="233">
        <v>4</v>
      </c>
      <c r="EL205" s="216" t="s">
        <v>108</v>
      </c>
      <c r="EM205" s="229" t="e">
        <f t="shared" si="97"/>
        <v>#N/A</v>
      </c>
      <c r="EN205" s="233">
        <v>4</v>
      </c>
      <c r="EO205" s="216" t="s">
        <v>109</v>
      </c>
      <c r="EP205" s="217"/>
      <c r="EQ205" s="187">
        <f t="shared" si="101"/>
        <v>0</v>
      </c>
      <c r="ER205" s="216">
        <v>3</v>
      </c>
      <c r="ES205" s="233" t="s">
        <v>35</v>
      </c>
      <c r="ET205" s="217"/>
      <c r="EU205" s="214"/>
      <c r="EV205" s="213">
        <f t="shared" si="98"/>
        <v>0</v>
      </c>
      <c r="EW205" s="219" t="s">
        <v>104</v>
      </c>
      <c r="EX205" s="233" t="s">
        <v>93</v>
      </c>
      <c r="EY205" s="217"/>
      <c r="EZ205" s="213">
        <f t="shared" si="99"/>
        <v>0</v>
      </c>
      <c r="FA205" s="219" t="s">
        <v>104</v>
      </c>
      <c r="FB205" s="213">
        <v>3</v>
      </c>
      <c r="FC205" s="217"/>
      <c r="FD205" s="213"/>
      <c r="FE205" s="187"/>
      <c r="FF205" s="187"/>
      <c r="FG205" s="217"/>
      <c r="FH205" s="213"/>
      <c r="FI205" s="219"/>
      <c r="FJ205" s="220"/>
      <c r="FK205" s="187"/>
      <c r="FL205" s="187"/>
      <c r="FM205" s="187"/>
      <c r="FN205" s="203"/>
    </row>
    <row r="206" spans="52:170" ht="30.75" thickBot="1" x14ac:dyDescent="0.3">
      <c r="AZ206" s="286" t="s">
        <v>111</v>
      </c>
      <c r="BA206" s="304">
        <f>R16</f>
        <v>0</v>
      </c>
      <c r="BB206" s="293" t="s">
        <v>86</v>
      </c>
      <c r="BC206" s="187"/>
      <c r="BD206" s="292" t="s">
        <v>73</v>
      </c>
      <c r="BE206" s="308">
        <f>(BE202^2/BE205^2)*10</f>
        <v>0</v>
      </c>
      <c r="BF206" s="187"/>
      <c r="BG206" s="187"/>
      <c r="BH206" s="261">
        <f t="shared" si="68"/>
        <v>0</v>
      </c>
      <c r="BI206" s="259">
        <v>40</v>
      </c>
      <c r="BJ206" s="259">
        <f t="shared" si="74"/>
        <v>0.38152276019261089</v>
      </c>
      <c r="BK206" s="262">
        <f t="shared" si="75"/>
        <v>0</v>
      </c>
      <c r="BL206" s="317"/>
      <c r="BM206" s="261" t="e">
        <f t="shared" si="69"/>
        <v>#DIV/0!</v>
      </c>
      <c r="BN206" s="259">
        <v>40</v>
      </c>
      <c r="BO206" s="259">
        <f t="shared" si="76"/>
        <v>4.0875226338606248E-2</v>
      </c>
      <c r="BP206" s="262" t="e">
        <f t="shared" si="77"/>
        <v>#DIV/0!</v>
      </c>
      <c r="BQ206" s="260">
        <f t="shared" si="70"/>
        <v>0</v>
      </c>
      <c r="BR206" s="259">
        <v>40</v>
      </c>
      <c r="BS206" s="259">
        <f t="shared" si="78"/>
        <v>4.0875226338606248E-2</v>
      </c>
      <c r="BT206" s="262">
        <f t="shared" si="79"/>
        <v>0</v>
      </c>
      <c r="BU206" s="187"/>
      <c r="BV206" s="222"/>
      <c r="BW206" s="187"/>
      <c r="BX206" s="231"/>
      <c r="BY206" s="186">
        <f t="shared" si="71"/>
        <v>1</v>
      </c>
      <c r="BZ206" s="187">
        <v>25</v>
      </c>
      <c r="CA206" s="203">
        <v>10</v>
      </c>
      <c r="CB206" s="186">
        <f t="shared" si="72"/>
        <v>1</v>
      </c>
      <c r="CC206" s="187">
        <v>25</v>
      </c>
      <c r="CD206" s="203">
        <v>10</v>
      </c>
      <c r="CE206" s="187">
        <f t="shared" si="73"/>
        <v>1</v>
      </c>
      <c r="CF206" s="187">
        <v>25</v>
      </c>
      <c r="CG206" s="203">
        <v>10</v>
      </c>
      <c r="CH206" s="187"/>
      <c r="CI206" s="228">
        <v>25</v>
      </c>
      <c r="CJ206" s="182" t="e">
        <f t="shared" si="80"/>
        <v>#DIV/0!</v>
      </c>
      <c r="CK206" s="203" t="s">
        <v>112</v>
      </c>
      <c r="CL206" s="224" t="e">
        <f t="shared" si="81"/>
        <v>#DIV/0!</v>
      </c>
      <c r="CM206" s="217" t="s">
        <v>113</v>
      </c>
      <c r="CN206" s="182" t="e">
        <f t="shared" si="82"/>
        <v>#DIV/0!</v>
      </c>
      <c r="CO206" s="232" t="s">
        <v>114</v>
      </c>
      <c r="CP206" s="187"/>
      <c r="CQ206" s="187"/>
      <c r="CR206" s="186">
        <v>1.25</v>
      </c>
      <c r="CS206" s="183">
        <f t="shared" si="83"/>
        <v>1</v>
      </c>
      <c r="CT206" s="187" t="s">
        <v>92</v>
      </c>
      <c r="CU206" s="183">
        <f t="shared" si="84"/>
        <v>1</v>
      </c>
      <c r="CV206" s="220">
        <v>3</v>
      </c>
      <c r="CW206" s="186">
        <v>1.1599999999999999</v>
      </c>
      <c r="CX206" s="183">
        <f t="shared" si="85"/>
        <v>1</v>
      </c>
      <c r="CY206" s="187" t="s">
        <v>92</v>
      </c>
      <c r="CZ206" s="183">
        <f t="shared" si="86"/>
        <v>1</v>
      </c>
      <c r="DA206" s="220">
        <v>3</v>
      </c>
      <c r="DB206" s="186">
        <v>1.25</v>
      </c>
      <c r="DC206" s="187">
        <f t="shared" si="87"/>
        <v>1</v>
      </c>
      <c r="DD206" s="187" t="s">
        <v>92</v>
      </c>
      <c r="DE206" s="187">
        <f t="shared" si="88"/>
        <v>1</v>
      </c>
      <c r="DF206" s="234">
        <v>4</v>
      </c>
      <c r="DG206" s="187">
        <v>0.66</v>
      </c>
      <c r="DH206" s="187">
        <f t="shared" si="89"/>
        <v>1</v>
      </c>
      <c r="DI206" s="187" t="s">
        <v>92</v>
      </c>
      <c r="DJ206" s="187">
        <f t="shared" si="90"/>
        <v>1</v>
      </c>
      <c r="DK206" s="203">
        <v>3</v>
      </c>
      <c r="DL206" s="187"/>
      <c r="DM206" s="212"/>
      <c r="DN206" s="213"/>
      <c r="DO206" s="214"/>
      <c r="DP206" s="213" t="e">
        <f t="shared" si="91"/>
        <v>#N/A</v>
      </c>
      <c r="DQ206" s="219" t="s">
        <v>115</v>
      </c>
      <c r="DR206" s="213">
        <v>40</v>
      </c>
      <c r="DS206" s="217"/>
      <c r="DT206" s="228">
        <f t="shared" si="92"/>
        <v>0</v>
      </c>
      <c r="DU206" s="219" t="s">
        <v>115</v>
      </c>
      <c r="DV206" s="213">
        <v>15</v>
      </c>
      <c r="DW206" s="218">
        <v>4</v>
      </c>
      <c r="DX206" s="214"/>
      <c r="DY206" s="213"/>
      <c r="DZ206" s="219"/>
      <c r="EA206" s="213"/>
      <c r="EB206" s="214"/>
      <c r="EC206" s="213" t="e">
        <f t="shared" si="94"/>
        <v>#N/A</v>
      </c>
      <c r="ED206" s="219" t="s">
        <v>115</v>
      </c>
      <c r="EE206" s="213">
        <v>40</v>
      </c>
      <c r="EF206" s="214"/>
      <c r="EG206" s="213" t="e">
        <f t="shared" si="95"/>
        <v>#N/A</v>
      </c>
      <c r="EH206" s="233">
        <v>5</v>
      </c>
      <c r="EI206" s="216" t="s">
        <v>112</v>
      </c>
      <c r="EJ206" s="216" t="e">
        <f t="shared" si="96"/>
        <v>#N/A</v>
      </c>
      <c r="EK206" s="233">
        <v>5</v>
      </c>
      <c r="EL206" s="216" t="s">
        <v>113</v>
      </c>
      <c r="EM206" s="229" t="e">
        <f t="shared" si="97"/>
        <v>#N/A</v>
      </c>
      <c r="EN206" s="233">
        <v>5</v>
      </c>
      <c r="EO206" s="229" t="s">
        <v>114</v>
      </c>
      <c r="EP206" s="217"/>
      <c r="EQ206" s="187"/>
      <c r="ER206" s="187"/>
      <c r="ES206" s="187"/>
      <c r="ET206" s="217"/>
      <c r="EU206" s="214"/>
      <c r="EV206" s="213">
        <f t="shared" si="98"/>
        <v>0</v>
      </c>
      <c r="EW206" s="219" t="s">
        <v>116</v>
      </c>
      <c r="EX206" s="213" t="s">
        <v>92</v>
      </c>
      <c r="EY206" s="217"/>
      <c r="EZ206" s="213">
        <f t="shared" si="99"/>
        <v>0</v>
      </c>
      <c r="FA206" s="219" t="s">
        <v>116</v>
      </c>
      <c r="FB206" s="213">
        <v>4</v>
      </c>
      <c r="FC206" s="217"/>
      <c r="FD206" s="213"/>
      <c r="FE206" s="219"/>
      <c r="FF206" s="213"/>
      <c r="FG206" s="217"/>
      <c r="FH206" s="213"/>
      <c r="FI206" s="219"/>
      <c r="FJ206" s="218"/>
      <c r="FK206" s="187"/>
      <c r="FL206" s="187"/>
      <c r="FM206" s="187"/>
      <c r="FN206" s="203"/>
    </row>
    <row r="207" spans="52:170" ht="30.75" thickBot="1" x14ac:dyDescent="0.3">
      <c r="AZ207" s="286" t="s">
        <v>117</v>
      </c>
      <c r="BA207" s="304">
        <f>W13*100</f>
        <v>60</v>
      </c>
      <c r="BB207" s="293" t="s">
        <v>118</v>
      </c>
      <c r="BC207" s="187"/>
      <c r="BD207" s="309" t="str">
        <f>IF(C32="ЗАВИСИМАЯ","ОТСУТСТВУЕТ",VLOOKUP(1,IF(BA203=150,CS202:CT209,IF(BA203=130,CX202:CY209,IF(BA203=115,DC202:DD208,IF(BA203=105,DH202:DI211,0)))),2,0))</f>
        <v>НН08</v>
      </c>
      <c r="BE207" s="307">
        <f>IF(C32="ЗАВИСИМАЯ","ОТСУТСТВУЕТ",VLOOKUP(1,IF(BA203=150,CU202:CV209,IF(BA203=130,CZ202:DA209,IF(BA203=115,DE202:DF208,IF(BA203=105,DJ202:DK211,0)))),2,0))</f>
        <v>1</v>
      </c>
      <c r="BF207" s="187"/>
      <c r="BG207" s="187"/>
      <c r="BH207" s="261">
        <f t="shared" si="68"/>
        <v>0</v>
      </c>
      <c r="BI207" s="259">
        <v>50</v>
      </c>
      <c r="BJ207" s="259">
        <f t="shared" si="74"/>
        <v>0.4923530705635914</v>
      </c>
      <c r="BK207" s="262">
        <f t="shared" si="75"/>
        <v>0</v>
      </c>
      <c r="BL207" s="317"/>
      <c r="BM207" s="261" t="e">
        <f t="shared" si="69"/>
        <v>#DIV/0!</v>
      </c>
      <c r="BN207" s="259">
        <v>50</v>
      </c>
      <c r="BO207" s="259">
        <f t="shared" si="76"/>
        <v>3.7850686611455138E-2</v>
      </c>
      <c r="BP207" s="262" t="e">
        <f t="shared" si="77"/>
        <v>#DIV/0!</v>
      </c>
      <c r="BQ207" s="260">
        <f t="shared" si="70"/>
        <v>0</v>
      </c>
      <c r="BR207" s="259">
        <v>50</v>
      </c>
      <c r="BS207" s="259">
        <f t="shared" si="78"/>
        <v>3.7850686611455138E-2</v>
      </c>
      <c r="BT207" s="262">
        <f t="shared" si="79"/>
        <v>0</v>
      </c>
      <c r="BU207" s="187"/>
      <c r="BV207" s="222"/>
      <c r="BW207" s="231"/>
      <c r="BX207" s="187"/>
      <c r="BY207" s="186">
        <f t="shared" si="71"/>
        <v>1</v>
      </c>
      <c r="BZ207" s="187">
        <v>32</v>
      </c>
      <c r="CA207" s="203">
        <v>16</v>
      </c>
      <c r="CB207" s="186">
        <f t="shared" si="72"/>
        <v>1</v>
      </c>
      <c r="CC207" s="187">
        <v>32</v>
      </c>
      <c r="CD207" s="203">
        <v>16</v>
      </c>
      <c r="CE207" s="187">
        <f t="shared" si="73"/>
        <v>1</v>
      </c>
      <c r="CF207" s="187">
        <v>32</v>
      </c>
      <c r="CG207" s="203">
        <v>16</v>
      </c>
      <c r="CH207" s="187"/>
      <c r="CI207" s="228">
        <v>30</v>
      </c>
      <c r="CJ207" s="182" t="e">
        <f t="shared" si="80"/>
        <v>#DIV/0!</v>
      </c>
      <c r="CK207" s="203" t="s">
        <v>119</v>
      </c>
      <c r="CL207" s="224" t="e">
        <f t="shared" si="81"/>
        <v>#DIV/0!</v>
      </c>
      <c r="CM207" s="217" t="s">
        <v>120</v>
      </c>
      <c r="CN207" s="182" t="e">
        <f t="shared" si="82"/>
        <v>#DIV/0!</v>
      </c>
      <c r="CO207" s="232" t="s">
        <v>121</v>
      </c>
      <c r="CP207" s="187"/>
      <c r="CQ207" s="187"/>
      <c r="CR207" s="186">
        <v>1.3</v>
      </c>
      <c r="CS207" s="183">
        <f t="shared" si="83"/>
        <v>1</v>
      </c>
      <c r="CT207" s="187" t="s">
        <v>92</v>
      </c>
      <c r="CU207" s="183">
        <f t="shared" si="84"/>
        <v>1</v>
      </c>
      <c r="CV207" s="220">
        <v>4</v>
      </c>
      <c r="CW207" s="186">
        <v>1.3</v>
      </c>
      <c r="CX207" s="183">
        <f t="shared" si="85"/>
        <v>1</v>
      </c>
      <c r="CY207" s="187" t="s">
        <v>92</v>
      </c>
      <c r="CZ207" s="183">
        <f t="shared" si="86"/>
        <v>1</v>
      </c>
      <c r="DA207" s="220">
        <v>4</v>
      </c>
      <c r="DB207" s="186">
        <v>1.8</v>
      </c>
      <c r="DC207" s="187">
        <f t="shared" si="87"/>
        <v>1</v>
      </c>
      <c r="DD207" s="187" t="s">
        <v>122</v>
      </c>
      <c r="DE207" s="187">
        <f t="shared" si="88"/>
        <v>1</v>
      </c>
      <c r="DF207" s="234">
        <v>2</v>
      </c>
      <c r="DG207" s="187">
        <v>0.91</v>
      </c>
      <c r="DH207" s="187">
        <f t="shared" si="89"/>
        <v>1</v>
      </c>
      <c r="DI207" s="187" t="s">
        <v>92</v>
      </c>
      <c r="DJ207" s="187">
        <f t="shared" si="90"/>
        <v>1</v>
      </c>
      <c r="DK207" s="203">
        <v>4</v>
      </c>
      <c r="DL207" s="187"/>
      <c r="DM207" s="212"/>
      <c r="DN207" s="213"/>
      <c r="DO207" s="214"/>
      <c r="DP207" s="213" t="e">
        <f t="shared" si="91"/>
        <v>#N/A</v>
      </c>
      <c r="DQ207" s="219" t="s">
        <v>123</v>
      </c>
      <c r="DR207" s="213">
        <v>50</v>
      </c>
      <c r="DS207" s="217"/>
      <c r="DT207" s="228">
        <f t="shared" si="92"/>
        <v>0</v>
      </c>
      <c r="DU207" s="219" t="s">
        <v>123</v>
      </c>
      <c r="DV207" s="213">
        <v>20</v>
      </c>
      <c r="DW207" s="218">
        <v>5</v>
      </c>
      <c r="DX207" s="214"/>
      <c r="DY207" s="213"/>
      <c r="DZ207" s="219"/>
      <c r="EA207" s="213"/>
      <c r="EB207" s="214"/>
      <c r="EC207" s="213" t="e">
        <f t="shared" si="94"/>
        <v>#N/A</v>
      </c>
      <c r="ED207" s="219" t="s">
        <v>123</v>
      </c>
      <c r="EE207" s="213">
        <v>50</v>
      </c>
      <c r="EF207" s="214"/>
      <c r="EG207" s="213" t="e">
        <f t="shared" si="95"/>
        <v>#N/A</v>
      </c>
      <c r="EH207" s="233">
        <v>6</v>
      </c>
      <c r="EI207" s="216" t="s">
        <v>119</v>
      </c>
      <c r="EJ207" s="216" t="e">
        <f t="shared" si="96"/>
        <v>#N/A</v>
      </c>
      <c r="EK207" s="233">
        <v>6</v>
      </c>
      <c r="EL207" s="216" t="s">
        <v>120</v>
      </c>
      <c r="EM207" s="229" t="e">
        <f t="shared" si="97"/>
        <v>#N/A</v>
      </c>
      <c r="EN207" s="233">
        <v>6</v>
      </c>
      <c r="EO207" s="229" t="s">
        <v>121</v>
      </c>
      <c r="EP207" s="217"/>
      <c r="EQ207" s="187"/>
      <c r="ER207" s="187"/>
      <c r="ES207" s="187"/>
      <c r="ET207" s="217"/>
      <c r="EU207" s="214"/>
      <c r="EV207" s="213">
        <f t="shared" si="98"/>
        <v>0</v>
      </c>
      <c r="EW207" s="219" t="s">
        <v>124</v>
      </c>
      <c r="EX207" s="213" t="s">
        <v>122</v>
      </c>
      <c r="EY207" s="217"/>
      <c r="EZ207" s="213">
        <f t="shared" si="99"/>
        <v>0</v>
      </c>
      <c r="FA207" s="219" t="s">
        <v>124</v>
      </c>
      <c r="FB207" s="213">
        <v>5</v>
      </c>
      <c r="FC207" s="217"/>
      <c r="FD207" s="213"/>
      <c r="FE207" s="219"/>
      <c r="FF207" s="213"/>
      <c r="FG207" s="217"/>
      <c r="FH207" s="213"/>
      <c r="FI207" s="219"/>
      <c r="FJ207" s="218"/>
      <c r="FK207" s="187"/>
      <c r="FL207" s="187"/>
      <c r="FM207" s="187"/>
      <c r="FN207" s="203"/>
    </row>
    <row r="208" spans="52:170" ht="30.75" thickBot="1" x14ac:dyDescent="0.3">
      <c r="AZ208" s="286" t="s">
        <v>125</v>
      </c>
      <c r="BA208" s="304">
        <f>AC13*100</f>
        <v>40</v>
      </c>
      <c r="BB208" s="293" t="s">
        <v>118</v>
      </c>
      <c r="BC208" s="187"/>
      <c r="BD208" s="291"/>
      <c r="BE208" s="295"/>
      <c r="BF208" s="187"/>
      <c r="BG208" s="187"/>
      <c r="BH208" s="261">
        <f t="shared" si="68"/>
        <v>0</v>
      </c>
      <c r="BI208" s="259">
        <v>65</v>
      </c>
      <c r="BJ208" s="259">
        <f t="shared" si="74"/>
        <v>0.6976185983193518</v>
      </c>
      <c r="BK208" s="262">
        <f t="shared" si="75"/>
        <v>0</v>
      </c>
      <c r="BL208" s="317"/>
      <c r="BM208" s="261" t="e">
        <f t="shared" si="69"/>
        <v>#DIV/0!</v>
      </c>
      <c r="BN208" s="259">
        <v>65</v>
      </c>
      <c r="BO208" s="259">
        <f t="shared" si="76"/>
        <v>3.4705101432211748E-2</v>
      </c>
      <c r="BP208" s="262" t="e">
        <f t="shared" si="77"/>
        <v>#DIV/0!</v>
      </c>
      <c r="BQ208" s="260">
        <f t="shared" si="70"/>
        <v>0</v>
      </c>
      <c r="BR208" s="259">
        <v>65</v>
      </c>
      <c r="BS208" s="259">
        <f t="shared" si="78"/>
        <v>3.4705101432211748E-2</v>
      </c>
      <c r="BT208" s="262">
        <f t="shared" si="79"/>
        <v>0</v>
      </c>
      <c r="BU208" s="187"/>
      <c r="BV208" s="186"/>
      <c r="BW208" s="187"/>
      <c r="BX208" s="187"/>
      <c r="BY208" s="186">
        <f t="shared" si="71"/>
        <v>1</v>
      </c>
      <c r="BZ208" s="187">
        <v>40</v>
      </c>
      <c r="CA208" s="203">
        <v>20</v>
      </c>
      <c r="CB208" s="186">
        <f t="shared" si="72"/>
        <v>1</v>
      </c>
      <c r="CC208" s="187">
        <v>40</v>
      </c>
      <c r="CD208" s="203">
        <v>25</v>
      </c>
      <c r="CE208" s="187">
        <f t="shared" si="73"/>
        <v>1</v>
      </c>
      <c r="CF208" s="187">
        <v>40</v>
      </c>
      <c r="CG208" s="203">
        <v>25</v>
      </c>
      <c r="CH208" s="187"/>
      <c r="CI208" s="228">
        <v>40</v>
      </c>
      <c r="CJ208" s="182" t="e">
        <f t="shared" si="80"/>
        <v>#DIV/0!</v>
      </c>
      <c r="CK208" s="203" t="s">
        <v>126</v>
      </c>
      <c r="CL208" s="224" t="e">
        <f t="shared" si="81"/>
        <v>#DIV/0!</v>
      </c>
      <c r="CM208" s="217" t="s">
        <v>127</v>
      </c>
      <c r="CN208" s="182" t="e">
        <f t="shared" si="82"/>
        <v>#DIV/0!</v>
      </c>
      <c r="CO208" s="232" t="s">
        <v>128</v>
      </c>
      <c r="CP208" s="187"/>
      <c r="CQ208" s="187"/>
      <c r="CR208" s="186">
        <v>1.65</v>
      </c>
      <c r="CS208" s="183">
        <f t="shared" si="83"/>
        <v>1</v>
      </c>
      <c r="CT208" s="187" t="s">
        <v>122</v>
      </c>
      <c r="CU208" s="183">
        <f t="shared" si="84"/>
        <v>1</v>
      </c>
      <c r="CV208" s="220">
        <v>1</v>
      </c>
      <c r="CW208" s="186">
        <v>1.4</v>
      </c>
      <c r="CX208" s="183">
        <f t="shared" si="85"/>
        <v>1</v>
      </c>
      <c r="CY208" s="187" t="s">
        <v>122</v>
      </c>
      <c r="CZ208" s="183">
        <f t="shared" si="86"/>
        <v>1</v>
      </c>
      <c r="DA208" s="220">
        <v>1</v>
      </c>
      <c r="DB208" s="186">
        <v>2.0009999999999999</v>
      </c>
      <c r="DC208" s="187">
        <f t="shared" si="87"/>
        <v>1</v>
      </c>
      <c r="DD208" s="187" t="s">
        <v>129</v>
      </c>
      <c r="DE208" s="187">
        <f t="shared" si="88"/>
        <v>1</v>
      </c>
      <c r="DF208" s="234">
        <v>1</v>
      </c>
      <c r="DG208" s="187">
        <v>1.1000000000000001</v>
      </c>
      <c r="DH208" s="187">
        <f t="shared" si="89"/>
        <v>1</v>
      </c>
      <c r="DI208" s="187" t="s">
        <v>92</v>
      </c>
      <c r="DJ208" s="187">
        <f t="shared" si="90"/>
        <v>1</v>
      </c>
      <c r="DK208" s="203">
        <v>5</v>
      </c>
      <c r="DL208" s="187"/>
      <c r="DM208" s="212"/>
      <c r="DN208" s="213"/>
      <c r="DO208" s="214"/>
      <c r="DP208" s="213" t="e">
        <f t="shared" si="91"/>
        <v>#N/A</v>
      </c>
      <c r="DQ208" s="219" t="s">
        <v>130</v>
      </c>
      <c r="DR208" s="213">
        <v>65</v>
      </c>
      <c r="DS208" s="217"/>
      <c r="DT208" s="228">
        <f t="shared" si="92"/>
        <v>0</v>
      </c>
      <c r="DU208" s="219" t="s">
        <v>130</v>
      </c>
      <c r="DV208" s="213">
        <v>20</v>
      </c>
      <c r="DW208" s="218">
        <v>6.3</v>
      </c>
      <c r="DX208" s="214"/>
      <c r="DY208" s="213"/>
      <c r="DZ208" s="219"/>
      <c r="EA208" s="213"/>
      <c r="EB208" s="214"/>
      <c r="EC208" s="213" t="e">
        <f t="shared" si="94"/>
        <v>#N/A</v>
      </c>
      <c r="ED208" s="219" t="s">
        <v>130</v>
      </c>
      <c r="EE208" s="213">
        <v>65</v>
      </c>
      <c r="EF208" s="214"/>
      <c r="EG208" s="213" t="e">
        <f t="shared" si="95"/>
        <v>#N/A</v>
      </c>
      <c r="EH208" s="233">
        <v>7</v>
      </c>
      <c r="EI208" s="216" t="s">
        <v>126</v>
      </c>
      <c r="EJ208" s="216" t="e">
        <f t="shared" si="96"/>
        <v>#N/A</v>
      </c>
      <c r="EK208" s="233">
        <v>7</v>
      </c>
      <c r="EL208" s="216" t="s">
        <v>127</v>
      </c>
      <c r="EM208" s="229" t="e">
        <f t="shared" si="97"/>
        <v>#N/A</v>
      </c>
      <c r="EN208" s="233">
        <v>7</v>
      </c>
      <c r="EO208" s="229" t="s">
        <v>128</v>
      </c>
      <c r="EP208" s="217"/>
      <c r="EQ208" s="187"/>
      <c r="ER208" s="187"/>
      <c r="ES208" s="187"/>
      <c r="ET208" s="217"/>
      <c r="EU208" s="214"/>
      <c r="EV208" s="213">
        <f t="shared" si="98"/>
        <v>0</v>
      </c>
      <c r="EW208" s="219" t="s">
        <v>131</v>
      </c>
      <c r="EX208" s="213" t="s">
        <v>129</v>
      </c>
      <c r="EY208" s="217"/>
      <c r="EZ208" s="213"/>
      <c r="FA208" s="219"/>
      <c r="FB208" s="213"/>
      <c r="FC208" s="217"/>
      <c r="FD208" s="213"/>
      <c r="FE208" s="219"/>
      <c r="FF208" s="213"/>
      <c r="FG208" s="217"/>
      <c r="FH208" s="213"/>
      <c r="FI208" s="219"/>
      <c r="FJ208" s="218"/>
      <c r="FK208" s="187"/>
      <c r="FL208" s="187"/>
      <c r="FM208" s="187"/>
      <c r="FN208" s="203"/>
    </row>
    <row r="209" spans="52:170" ht="15.75" thickBot="1" x14ac:dyDescent="0.3">
      <c r="AZ209" s="287" t="s">
        <v>132</v>
      </c>
      <c r="BA209" s="304">
        <f>Z16</f>
        <v>0</v>
      </c>
      <c r="BB209" s="293" t="s">
        <v>118</v>
      </c>
      <c r="BC209" s="187"/>
      <c r="BD209" s="291" t="s">
        <v>133</v>
      </c>
      <c r="BE209" s="308" t="e">
        <f>BA202*1000/(BA205-BA206)</f>
        <v>#DIV/0!</v>
      </c>
      <c r="BF209" s="187"/>
      <c r="BG209" s="187"/>
      <c r="BH209" s="261">
        <f t="shared" si="68"/>
        <v>0</v>
      </c>
      <c r="BI209" s="259">
        <v>80</v>
      </c>
      <c r="BJ209" s="259">
        <f t="shared" si="74"/>
        <v>0.96701198807601518</v>
      </c>
      <c r="BK209" s="262">
        <f t="shared" si="75"/>
        <v>0</v>
      </c>
      <c r="BL209" s="317"/>
      <c r="BM209" s="261" t="e">
        <f t="shared" si="69"/>
        <v>#DIV/0!</v>
      </c>
      <c r="BN209" s="259">
        <v>80</v>
      </c>
      <c r="BO209" s="259">
        <f t="shared" si="76"/>
        <v>3.248549788373601E-2</v>
      </c>
      <c r="BP209" s="262" t="e">
        <f t="shared" si="77"/>
        <v>#DIV/0!</v>
      </c>
      <c r="BQ209" s="260">
        <f t="shared" si="70"/>
        <v>0</v>
      </c>
      <c r="BR209" s="259">
        <v>80</v>
      </c>
      <c r="BS209" s="259">
        <f t="shared" si="78"/>
        <v>3.248549788373601E-2</v>
      </c>
      <c r="BT209" s="262">
        <f t="shared" si="79"/>
        <v>0</v>
      </c>
      <c r="BU209" s="187"/>
      <c r="BV209" s="186"/>
      <c r="BW209" s="187"/>
      <c r="BX209" s="231"/>
      <c r="BY209" s="186">
        <f t="shared" si="71"/>
        <v>1</v>
      </c>
      <c r="BZ209" s="187">
        <v>40</v>
      </c>
      <c r="CA209" s="203">
        <v>25</v>
      </c>
      <c r="CB209" s="186">
        <f t="shared" si="72"/>
        <v>1</v>
      </c>
      <c r="CC209" s="187">
        <v>50</v>
      </c>
      <c r="CD209" s="203">
        <v>31.5</v>
      </c>
      <c r="CE209" s="187">
        <f t="shared" si="73"/>
        <v>1</v>
      </c>
      <c r="CF209" s="187">
        <v>50</v>
      </c>
      <c r="CG209" s="203">
        <v>40</v>
      </c>
      <c r="CH209" s="187"/>
      <c r="CI209" s="228">
        <v>50</v>
      </c>
      <c r="CJ209" s="182" t="e">
        <f t="shared" si="80"/>
        <v>#DIV/0!</v>
      </c>
      <c r="CK209" s="203" t="s">
        <v>134</v>
      </c>
      <c r="CL209" s="224" t="e">
        <f t="shared" si="81"/>
        <v>#DIV/0!</v>
      </c>
      <c r="CM209" s="217" t="s">
        <v>135</v>
      </c>
      <c r="CN209" s="182" t="e">
        <f t="shared" si="82"/>
        <v>#DIV/0!</v>
      </c>
      <c r="CO209" s="217" t="s">
        <v>135</v>
      </c>
      <c r="CP209" s="187"/>
      <c r="CQ209" s="187"/>
      <c r="CR209" s="186">
        <v>2.0009999999999999</v>
      </c>
      <c r="CS209" s="183">
        <f t="shared" si="83"/>
        <v>1</v>
      </c>
      <c r="CT209" s="187" t="s">
        <v>122</v>
      </c>
      <c r="CU209" s="183">
        <f t="shared" si="84"/>
        <v>1</v>
      </c>
      <c r="CV209" s="220">
        <v>2</v>
      </c>
      <c r="CW209" s="186">
        <v>2.0009999999999999</v>
      </c>
      <c r="CX209" s="183">
        <f t="shared" si="85"/>
        <v>1</v>
      </c>
      <c r="CY209" s="187" t="s">
        <v>122</v>
      </c>
      <c r="CZ209" s="183">
        <f t="shared" si="86"/>
        <v>1</v>
      </c>
      <c r="DA209" s="220">
        <v>2</v>
      </c>
      <c r="DB209" s="186"/>
      <c r="DC209" s="187"/>
      <c r="DD209" s="187"/>
      <c r="DE209" s="187"/>
      <c r="DF209" s="203"/>
      <c r="DG209" s="187">
        <v>1.3</v>
      </c>
      <c r="DH209" s="187">
        <f t="shared" si="89"/>
        <v>1</v>
      </c>
      <c r="DI209" s="187" t="s">
        <v>122</v>
      </c>
      <c r="DJ209" s="187">
        <f t="shared" si="90"/>
        <v>1</v>
      </c>
      <c r="DK209" s="203">
        <v>2</v>
      </c>
      <c r="DL209" s="187"/>
      <c r="DM209" s="212"/>
      <c r="DN209" s="213"/>
      <c r="DO209" s="214"/>
      <c r="DP209" s="213" t="e">
        <f t="shared" si="91"/>
        <v>#N/A</v>
      </c>
      <c r="DQ209" s="219" t="s">
        <v>136</v>
      </c>
      <c r="DR209" s="213">
        <v>80</v>
      </c>
      <c r="DS209" s="217"/>
      <c r="DT209" s="228">
        <f t="shared" si="92"/>
        <v>0</v>
      </c>
      <c r="DU209" s="219" t="s">
        <v>136</v>
      </c>
      <c r="DV209" s="213">
        <v>25</v>
      </c>
      <c r="DW209" s="218">
        <v>8</v>
      </c>
      <c r="DX209" s="214"/>
      <c r="DY209" s="213"/>
      <c r="DZ209" s="219"/>
      <c r="EA209" s="213"/>
      <c r="EB209" s="214"/>
      <c r="EC209" s="213" t="e">
        <f t="shared" si="94"/>
        <v>#N/A</v>
      </c>
      <c r="ED209" s="219" t="s">
        <v>136</v>
      </c>
      <c r="EE209" s="213">
        <v>80</v>
      </c>
      <c r="EF209" s="214"/>
      <c r="EG209" s="213" t="e">
        <f t="shared" si="95"/>
        <v>#N/A</v>
      </c>
      <c r="EH209" s="233">
        <v>8</v>
      </c>
      <c r="EI209" s="216" t="s">
        <v>134</v>
      </c>
      <c r="EJ209" s="216" t="e">
        <f t="shared" si="96"/>
        <v>#N/A</v>
      </c>
      <c r="EK209" s="216"/>
      <c r="EL209" s="216"/>
      <c r="EM209" s="229" t="e">
        <f t="shared" si="97"/>
        <v>#N/A</v>
      </c>
      <c r="EN209" s="216"/>
      <c r="EO209" s="216"/>
      <c r="EP209" s="217"/>
      <c r="EQ209" s="187"/>
      <c r="ER209" s="187"/>
      <c r="ES209" s="187"/>
      <c r="ET209" s="217"/>
      <c r="EU209" s="214"/>
      <c r="EV209" s="213"/>
      <c r="EW209" s="219"/>
      <c r="EX209" s="213"/>
      <c r="EY209" s="217"/>
      <c r="EZ209" s="213"/>
      <c r="FA209" s="219"/>
      <c r="FB209" s="213"/>
      <c r="FC209" s="217"/>
      <c r="FD209" s="213"/>
      <c r="FE209" s="219"/>
      <c r="FF209" s="213"/>
      <c r="FG209" s="217"/>
      <c r="FH209" s="213"/>
      <c r="FI209" s="219"/>
      <c r="FJ209" s="218"/>
      <c r="FK209" s="187"/>
      <c r="FL209" s="187"/>
      <c r="FM209" s="187"/>
      <c r="FN209" s="203"/>
    </row>
    <row r="210" spans="52:170" ht="15.75" thickBot="1" x14ac:dyDescent="0.3">
      <c r="AZ210" s="288" t="s">
        <v>137</v>
      </c>
      <c r="BA210" s="305">
        <f>BA207-BA208</f>
        <v>20</v>
      </c>
      <c r="BB210" s="294" t="s">
        <v>118</v>
      </c>
      <c r="BC210" s="187"/>
      <c r="BD210" s="291" t="s">
        <v>51</v>
      </c>
      <c r="BE210" s="307" t="e">
        <f>VLOOKUP(1,BM202:BP215,2,0)</f>
        <v>#N/A</v>
      </c>
      <c r="BF210" s="187"/>
      <c r="BG210" s="187"/>
      <c r="BH210" s="261">
        <f t="shared" si="68"/>
        <v>0</v>
      </c>
      <c r="BI210" s="259">
        <v>100</v>
      </c>
      <c r="BJ210" s="259">
        <f t="shared" si="74"/>
        <v>1.4760515994068906</v>
      </c>
      <c r="BK210" s="262">
        <f t="shared" si="75"/>
        <v>0</v>
      </c>
      <c r="BL210" s="317"/>
      <c r="BM210" s="261" t="e">
        <f t="shared" si="69"/>
        <v>#DIV/0!</v>
      </c>
      <c r="BN210" s="259">
        <v>100</v>
      </c>
      <c r="BO210" s="259">
        <f t="shared" si="76"/>
        <v>3.0329450982592862E-2</v>
      </c>
      <c r="BP210" s="262" t="e">
        <f t="shared" si="77"/>
        <v>#DIV/0!</v>
      </c>
      <c r="BQ210" s="260">
        <f t="shared" si="70"/>
        <v>0</v>
      </c>
      <c r="BR210" s="259">
        <v>100</v>
      </c>
      <c r="BS210" s="259">
        <f t="shared" si="78"/>
        <v>3.0329450982592862E-2</v>
      </c>
      <c r="BT210" s="262">
        <f t="shared" si="79"/>
        <v>0</v>
      </c>
      <c r="BU210" s="187"/>
      <c r="BV210" s="222"/>
      <c r="BW210" s="187"/>
      <c r="BX210" s="187"/>
      <c r="BY210" s="186">
        <f t="shared" si="71"/>
        <v>1</v>
      </c>
      <c r="BZ210" s="187">
        <v>50</v>
      </c>
      <c r="CA210" s="203">
        <v>31.5</v>
      </c>
      <c r="CB210" s="186">
        <f t="shared" si="72"/>
        <v>1</v>
      </c>
      <c r="CC210" s="187">
        <v>50</v>
      </c>
      <c r="CD210" s="203">
        <v>40</v>
      </c>
      <c r="CE210" s="187">
        <f t="shared" si="73"/>
        <v>1</v>
      </c>
      <c r="CF210" s="187">
        <v>65</v>
      </c>
      <c r="CG210" s="203">
        <v>63</v>
      </c>
      <c r="CH210" s="187"/>
      <c r="CI210" s="228">
        <v>60</v>
      </c>
      <c r="CJ210" s="182" t="e">
        <f t="shared" si="80"/>
        <v>#DIV/0!</v>
      </c>
      <c r="CK210" s="203" t="s">
        <v>135</v>
      </c>
      <c r="CL210" s="224" t="e">
        <f t="shared" si="81"/>
        <v>#DIV/0!</v>
      </c>
      <c r="CM210" s="235" t="s">
        <v>135</v>
      </c>
      <c r="CN210" s="182" t="e">
        <f t="shared" si="82"/>
        <v>#DIV/0!</v>
      </c>
      <c r="CO210" s="235" t="s">
        <v>135</v>
      </c>
      <c r="CP210" s="187"/>
      <c r="CQ210" s="187"/>
      <c r="CR210" s="186"/>
      <c r="CS210" s="187"/>
      <c r="CT210" s="187"/>
      <c r="CU210" s="187"/>
      <c r="CV210" s="220"/>
      <c r="CW210" s="186"/>
      <c r="CX210" s="187"/>
      <c r="CY210" s="187"/>
      <c r="CZ210" s="187"/>
      <c r="DA210" s="203"/>
      <c r="DB210" s="186"/>
      <c r="DC210" s="187"/>
      <c r="DD210" s="187"/>
      <c r="DE210" s="187"/>
      <c r="DF210" s="203"/>
      <c r="DG210" s="187">
        <v>1.45</v>
      </c>
      <c r="DH210" s="187">
        <f t="shared" si="89"/>
        <v>1</v>
      </c>
      <c r="DI210" s="187" t="s">
        <v>129</v>
      </c>
      <c r="DJ210" s="187">
        <f t="shared" si="90"/>
        <v>1</v>
      </c>
      <c r="DK210" s="203">
        <v>1</v>
      </c>
      <c r="DL210" s="187"/>
      <c r="DM210" s="212"/>
      <c r="DN210" s="213"/>
      <c r="DO210" s="214"/>
      <c r="DP210" s="213" t="e">
        <f t="shared" si="91"/>
        <v>#N/A</v>
      </c>
      <c r="DQ210" s="219" t="s">
        <v>138</v>
      </c>
      <c r="DR210" s="213">
        <v>100</v>
      </c>
      <c r="DS210" s="217"/>
      <c r="DT210" s="228">
        <f t="shared" si="92"/>
        <v>0</v>
      </c>
      <c r="DU210" s="219" t="s">
        <v>138</v>
      </c>
      <c r="DV210" s="213">
        <v>25</v>
      </c>
      <c r="DW210" s="218">
        <v>10</v>
      </c>
      <c r="DX210" s="214"/>
      <c r="DY210" s="213"/>
      <c r="DZ210" s="219"/>
      <c r="EA210" s="213"/>
      <c r="EB210" s="214"/>
      <c r="EC210" s="213" t="e">
        <f t="shared" si="94"/>
        <v>#N/A</v>
      </c>
      <c r="ED210" s="219" t="s">
        <v>138</v>
      </c>
      <c r="EE210" s="213">
        <v>100</v>
      </c>
      <c r="EF210" s="214"/>
      <c r="EG210" s="213" t="e">
        <f t="shared" si="95"/>
        <v>#N/A</v>
      </c>
      <c r="EH210" s="216"/>
      <c r="EI210" s="187"/>
      <c r="EJ210" s="216" t="e">
        <f t="shared" si="96"/>
        <v>#N/A</v>
      </c>
      <c r="EK210" s="187"/>
      <c r="EL210" s="187"/>
      <c r="EM210" s="229" t="e">
        <f t="shared" si="97"/>
        <v>#N/A</v>
      </c>
      <c r="EN210" s="187"/>
      <c r="EO210" s="187"/>
      <c r="EP210" s="217"/>
      <c r="EQ210" s="187"/>
      <c r="ER210" s="187"/>
      <c r="ES210" s="187"/>
      <c r="ET210" s="217"/>
      <c r="EU210" s="214"/>
      <c r="EV210" s="213"/>
      <c r="EW210" s="219"/>
      <c r="EX210" s="213"/>
      <c r="EY210" s="217"/>
      <c r="EZ210" s="213"/>
      <c r="FA210" s="219"/>
      <c r="FB210" s="213"/>
      <c r="FC210" s="217"/>
      <c r="FD210" s="213"/>
      <c r="FE210" s="219"/>
      <c r="FF210" s="213"/>
      <c r="FG210" s="217"/>
      <c r="FH210" s="213"/>
      <c r="FI210" s="219"/>
      <c r="FJ210" s="218"/>
      <c r="FK210" s="187"/>
      <c r="FL210" s="187"/>
      <c r="FM210" s="187"/>
      <c r="FN210" s="203"/>
    </row>
    <row r="211" spans="52:170" ht="45.75" thickBot="1" x14ac:dyDescent="0.3">
      <c r="AZ211" s="312"/>
      <c r="BA211" s="187"/>
      <c r="BB211" s="230"/>
      <c r="BC211" s="187"/>
      <c r="BD211" s="291" t="s">
        <v>56</v>
      </c>
      <c r="BE211" s="308" t="e">
        <f>BE209*1.1</f>
        <v>#DIV/0!</v>
      </c>
      <c r="BF211" s="187"/>
      <c r="BG211" s="187"/>
      <c r="BH211" s="261">
        <f t="shared" si="68"/>
        <v>0</v>
      </c>
      <c r="BI211" s="259">
        <v>125</v>
      </c>
      <c r="BJ211" s="259">
        <f t="shared" si="74"/>
        <v>2.5253466287630508</v>
      </c>
      <c r="BK211" s="262">
        <f t="shared" si="75"/>
        <v>0</v>
      </c>
      <c r="BL211" s="317"/>
      <c r="BM211" s="261" t="e">
        <f t="shared" si="69"/>
        <v>#DIV/0!</v>
      </c>
      <c r="BN211" s="259">
        <v>125</v>
      </c>
      <c r="BO211" s="259">
        <f t="shared" si="76"/>
        <v>2.8381135828692533E-2</v>
      </c>
      <c r="BP211" s="262" t="e">
        <f t="shared" si="77"/>
        <v>#DIV/0!</v>
      </c>
      <c r="BQ211" s="260">
        <f t="shared" si="70"/>
        <v>0</v>
      </c>
      <c r="BR211" s="259">
        <v>125</v>
      </c>
      <c r="BS211" s="259">
        <f t="shared" si="78"/>
        <v>2.8381135828692533E-2</v>
      </c>
      <c r="BT211" s="262">
        <f t="shared" si="79"/>
        <v>0</v>
      </c>
      <c r="BU211" s="187"/>
      <c r="BV211" s="222"/>
      <c r="BW211" s="231"/>
      <c r="BX211" s="187"/>
      <c r="BY211" s="186">
        <f t="shared" si="71"/>
        <v>1</v>
      </c>
      <c r="BZ211" s="187">
        <v>50</v>
      </c>
      <c r="CA211" s="203">
        <v>40</v>
      </c>
      <c r="CB211" s="186">
        <f t="shared" si="72"/>
        <v>1</v>
      </c>
      <c r="CC211" s="187">
        <v>65</v>
      </c>
      <c r="CD211" s="203">
        <v>50</v>
      </c>
      <c r="CE211" s="187">
        <f t="shared" si="73"/>
        <v>1</v>
      </c>
      <c r="CF211" s="187">
        <v>80</v>
      </c>
      <c r="CG211" s="203">
        <v>100</v>
      </c>
      <c r="CH211" s="187"/>
      <c r="CI211" s="236">
        <v>90</v>
      </c>
      <c r="CJ211" s="182" t="e">
        <f t="shared" si="80"/>
        <v>#DIV/0!</v>
      </c>
      <c r="CK211" s="237" t="s">
        <v>139</v>
      </c>
      <c r="CL211" s="224" t="e">
        <f t="shared" si="81"/>
        <v>#DIV/0!</v>
      </c>
      <c r="CM211" s="237" t="s">
        <v>139</v>
      </c>
      <c r="CN211" s="182" t="e">
        <f t="shared" si="82"/>
        <v>#DIV/0!</v>
      </c>
      <c r="CO211" s="238" t="s">
        <v>139</v>
      </c>
      <c r="CP211" s="187"/>
      <c r="CQ211" s="187"/>
      <c r="CR211" s="186"/>
      <c r="CS211" s="187"/>
      <c r="CT211" s="187"/>
      <c r="CU211" s="187"/>
      <c r="CV211" s="220"/>
      <c r="CW211" s="186"/>
      <c r="CX211" s="187"/>
      <c r="CY211" s="187"/>
      <c r="CZ211" s="187"/>
      <c r="DA211" s="203"/>
      <c r="DB211" s="186"/>
      <c r="DC211" s="187"/>
      <c r="DD211" s="187"/>
      <c r="DE211" s="187"/>
      <c r="DF211" s="203"/>
      <c r="DG211" s="186">
        <v>2.0009999999999999</v>
      </c>
      <c r="DH211" s="187">
        <f t="shared" si="89"/>
        <v>1</v>
      </c>
      <c r="DI211" s="187" t="s">
        <v>129</v>
      </c>
      <c r="DJ211" s="187">
        <f t="shared" si="90"/>
        <v>1</v>
      </c>
      <c r="DK211" s="203">
        <v>2</v>
      </c>
      <c r="DL211" s="187"/>
      <c r="DM211" s="212"/>
      <c r="DN211" s="213"/>
      <c r="DO211" s="214"/>
      <c r="DP211" s="213" t="e">
        <f t="shared" si="91"/>
        <v>#N/A</v>
      </c>
      <c r="DQ211" s="219" t="s">
        <v>140</v>
      </c>
      <c r="DR211" s="213">
        <v>125</v>
      </c>
      <c r="DS211" s="217"/>
      <c r="DT211" s="228">
        <f t="shared" si="92"/>
        <v>0</v>
      </c>
      <c r="DU211" s="219" t="s">
        <v>140</v>
      </c>
      <c r="DV211" s="213">
        <v>32</v>
      </c>
      <c r="DW211" s="218">
        <v>12.5</v>
      </c>
      <c r="DX211" s="214"/>
      <c r="DY211" s="213"/>
      <c r="DZ211" s="219"/>
      <c r="EA211" s="213"/>
      <c r="EB211" s="214"/>
      <c r="EC211" s="213" t="e">
        <f t="shared" si="94"/>
        <v>#N/A</v>
      </c>
      <c r="ED211" s="219" t="s">
        <v>140</v>
      </c>
      <c r="EE211" s="213">
        <v>125</v>
      </c>
      <c r="EF211" s="214"/>
      <c r="EG211" s="213" t="e">
        <f t="shared" si="95"/>
        <v>#N/A</v>
      </c>
      <c r="EH211" s="216">
        <v>10</v>
      </c>
      <c r="EI211" s="233" t="s">
        <v>135</v>
      </c>
      <c r="EJ211" s="216" t="e">
        <f t="shared" si="96"/>
        <v>#N/A</v>
      </c>
      <c r="EK211" s="216">
        <v>10</v>
      </c>
      <c r="EL211" s="233" t="s">
        <v>135</v>
      </c>
      <c r="EM211" s="229" t="e">
        <f t="shared" si="97"/>
        <v>#N/A</v>
      </c>
      <c r="EN211" s="216">
        <v>10</v>
      </c>
      <c r="EO211" s="233" t="s">
        <v>135</v>
      </c>
      <c r="EP211" s="217"/>
      <c r="EQ211" s="187"/>
      <c r="ER211" s="233"/>
      <c r="ES211" s="187"/>
      <c r="ET211" s="217"/>
      <c r="EU211" s="214"/>
      <c r="EV211" s="213"/>
      <c r="EW211" s="219"/>
      <c r="EX211" s="213"/>
      <c r="EY211" s="217"/>
      <c r="EZ211" s="213"/>
      <c r="FA211" s="219"/>
      <c r="FB211" s="213"/>
      <c r="FC211" s="217"/>
      <c r="FD211" s="213"/>
      <c r="FE211" s="219"/>
      <c r="FF211" s="213"/>
      <c r="FG211" s="217"/>
      <c r="FH211" s="213"/>
      <c r="FI211" s="219"/>
      <c r="FJ211" s="218"/>
      <c r="FK211" s="187"/>
      <c r="FL211" s="187"/>
      <c r="FM211" s="187"/>
      <c r="FN211" s="203"/>
    </row>
    <row r="212" spans="52:170" x14ac:dyDescent="0.25">
      <c r="AZ212" s="285" t="s">
        <v>31</v>
      </c>
      <c r="BA212" s="297">
        <f>O32</f>
        <v>0</v>
      </c>
      <c r="BB212" s="298"/>
      <c r="BC212" s="187"/>
      <c r="BD212" s="310" t="e">
        <f>VLOOKUP(1,IF(BA213="TOP-SD",CJ202:CK211,IF(BA213="Yonos MAXO-D",CL202:CM211,IF(BA213="Stratos-D",CN202:CO211,0))),2,0)</f>
        <v>#N/A</v>
      </c>
      <c r="BE212" s="300"/>
      <c r="BF212" s="187"/>
      <c r="BG212" s="187"/>
      <c r="BH212" s="261">
        <f t="shared" si="68"/>
        <v>0</v>
      </c>
      <c r="BI212" s="259">
        <v>150</v>
      </c>
      <c r="BJ212" s="259">
        <f t="shared" si="74"/>
        <v>4.5094352967846545</v>
      </c>
      <c r="BK212" s="262">
        <f t="shared" si="75"/>
        <v>0</v>
      </c>
      <c r="BL212" s="317"/>
      <c r="BM212" s="261" t="e">
        <f t="shared" si="69"/>
        <v>#DIV/0!</v>
      </c>
      <c r="BN212" s="259">
        <v>150</v>
      </c>
      <c r="BO212" s="259">
        <f t="shared" si="76"/>
        <v>2.6925299052784474E-2</v>
      </c>
      <c r="BP212" s="262" t="e">
        <f t="shared" si="77"/>
        <v>#DIV/0!</v>
      </c>
      <c r="BQ212" s="260">
        <f t="shared" si="70"/>
        <v>0</v>
      </c>
      <c r="BR212" s="259">
        <v>150</v>
      </c>
      <c r="BS212" s="259">
        <f t="shared" si="78"/>
        <v>2.6925299052784474E-2</v>
      </c>
      <c r="BT212" s="262">
        <f t="shared" si="79"/>
        <v>0</v>
      </c>
      <c r="BU212" s="187"/>
      <c r="BV212" s="186"/>
      <c r="BW212" s="187"/>
      <c r="BX212" s="187"/>
      <c r="BY212" s="186">
        <f t="shared" si="71"/>
        <v>1</v>
      </c>
      <c r="BZ212" s="187">
        <v>65</v>
      </c>
      <c r="CA212" s="203">
        <v>50</v>
      </c>
      <c r="CB212" s="186">
        <f t="shared" si="72"/>
        <v>1</v>
      </c>
      <c r="CC212" s="187">
        <v>65</v>
      </c>
      <c r="CD212" s="203">
        <v>63</v>
      </c>
      <c r="CE212" s="187">
        <f t="shared" si="73"/>
        <v>1</v>
      </c>
      <c r="CF212" s="187">
        <v>100</v>
      </c>
      <c r="CG212" s="203">
        <v>160</v>
      </c>
      <c r="CH212" s="187"/>
      <c r="CI212" s="187"/>
      <c r="CJ212" s="187"/>
      <c r="CK212" s="187"/>
      <c r="CL212" s="187"/>
      <c r="CM212" s="187"/>
      <c r="CN212" s="187"/>
      <c r="CO212" s="187"/>
      <c r="CP212" s="187"/>
      <c r="CQ212" s="187"/>
      <c r="CR212" s="186"/>
      <c r="CS212" s="187"/>
      <c r="CT212" s="187"/>
      <c r="CU212" s="187"/>
      <c r="CV212" s="220"/>
      <c r="CW212" s="186"/>
      <c r="CX212" s="187"/>
      <c r="CY212" s="187"/>
      <c r="CZ212" s="187"/>
      <c r="DA212" s="203"/>
      <c r="DB212" s="186"/>
      <c r="DC212" s="187"/>
      <c r="DD212" s="187"/>
      <c r="DE212" s="187"/>
      <c r="DF212" s="203"/>
      <c r="DG212" s="187"/>
      <c r="DH212" s="187"/>
      <c r="DI212" s="187"/>
      <c r="DJ212" s="187"/>
      <c r="DK212" s="203"/>
      <c r="DL212" s="187"/>
      <c r="DM212" s="212"/>
      <c r="DN212" s="213"/>
      <c r="DO212" s="214"/>
      <c r="DP212" s="213" t="e">
        <f t="shared" si="91"/>
        <v>#N/A</v>
      </c>
      <c r="DQ212" s="219" t="s">
        <v>141</v>
      </c>
      <c r="DR212" s="213">
        <v>150</v>
      </c>
      <c r="DS212" s="217"/>
      <c r="DT212" s="228">
        <f t="shared" si="92"/>
        <v>0</v>
      </c>
      <c r="DU212" s="219" t="s">
        <v>141</v>
      </c>
      <c r="DV212" s="213">
        <v>32</v>
      </c>
      <c r="DW212" s="218">
        <v>16</v>
      </c>
      <c r="DX212" s="214"/>
      <c r="DY212" s="213"/>
      <c r="DZ212" s="219"/>
      <c r="EA212" s="213"/>
      <c r="EB212" s="214"/>
      <c r="EC212" s="213" t="e">
        <f t="shared" si="94"/>
        <v>#N/A</v>
      </c>
      <c r="ED212" s="219" t="s">
        <v>141</v>
      </c>
      <c r="EE212" s="213">
        <v>150</v>
      </c>
      <c r="EF212" s="214"/>
      <c r="EG212" s="213" t="e">
        <f t="shared" si="95"/>
        <v>#N/A</v>
      </c>
      <c r="EH212" s="216">
        <v>11</v>
      </c>
      <c r="EI212" s="233" t="s">
        <v>139</v>
      </c>
      <c r="EJ212" s="216" t="e">
        <f t="shared" si="96"/>
        <v>#N/A</v>
      </c>
      <c r="EK212" s="216">
        <v>11</v>
      </c>
      <c r="EL212" s="233" t="s">
        <v>139</v>
      </c>
      <c r="EM212" s="229" t="e">
        <f t="shared" si="97"/>
        <v>#N/A</v>
      </c>
      <c r="EN212" s="216">
        <v>11</v>
      </c>
      <c r="EO212" s="233" t="s">
        <v>139</v>
      </c>
      <c r="EP212" s="217"/>
      <c r="EQ212" s="187"/>
      <c r="ER212" s="233"/>
      <c r="ES212" s="187"/>
      <c r="ET212" s="217"/>
      <c r="EU212" s="214"/>
      <c r="EV212" s="213"/>
      <c r="EW212" s="219"/>
      <c r="EX212" s="213"/>
      <c r="EY212" s="217"/>
      <c r="EZ212" s="213"/>
      <c r="FA212" s="219"/>
      <c r="FB212" s="213"/>
      <c r="FC212" s="217"/>
      <c r="FD212" s="213"/>
      <c r="FE212" s="219"/>
      <c r="FF212" s="213"/>
      <c r="FG212" s="217"/>
      <c r="FH212" s="213"/>
      <c r="FI212" s="219"/>
      <c r="FJ212" s="218"/>
      <c r="FK212" s="187"/>
      <c r="FL212" s="187"/>
      <c r="FM212" s="187"/>
      <c r="FN212" s="203"/>
    </row>
    <row r="213" spans="52:170" x14ac:dyDescent="0.25">
      <c r="AZ213" s="286" t="s">
        <v>32</v>
      </c>
      <c r="BA213" s="299">
        <f>I32</f>
        <v>0</v>
      </c>
      <c r="BB213" s="300"/>
      <c r="BC213" s="187"/>
      <c r="BD213" s="291"/>
      <c r="BE213" s="295"/>
      <c r="BF213" s="187"/>
      <c r="BG213" s="187"/>
      <c r="BH213" s="261">
        <f t="shared" si="68"/>
        <v>0</v>
      </c>
      <c r="BI213" s="259">
        <v>200</v>
      </c>
      <c r="BJ213" s="259">
        <f t="shared" si="74"/>
        <v>20.468373440628703</v>
      </c>
      <c r="BK213" s="262">
        <f t="shared" si="75"/>
        <v>0</v>
      </c>
      <c r="BL213" s="317"/>
      <c r="BM213" s="261" t="e">
        <f t="shared" si="69"/>
        <v>#DIV/0!</v>
      </c>
      <c r="BN213" s="259">
        <v>200</v>
      </c>
      <c r="BO213" s="259">
        <f t="shared" si="76"/>
        <v>2.4846042519733526E-2</v>
      </c>
      <c r="BP213" s="262" t="e">
        <f t="shared" si="77"/>
        <v>#DIV/0!</v>
      </c>
      <c r="BQ213" s="260">
        <f t="shared" si="70"/>
        <v>0</v>
      </c>
      <c r="BR213" s="259">
        <v>200</v>
      </c>
      <c r="BS213" s="259">
        <f t="shared" si="78"/>
        <v>2.4846042519733526E-2</v>
      </c>
      <c r="BT213" s="262">
        <f t="shared" si="79"/>
        <v>0</v>
      </c>
      <c r="BU213" s="187"/>
      <c r="BV213" s="186"/>
      <c r="BW213" s="187"/>
      <c r="BX213" s="187"/>
      <c r="BY213" s="186">
        <f t="shared" si="71"/>
        <v>1</v>
      </c>
      <c r="BZ213" s="187">
        <v>65</v>
      </c>
      <c r="CA213" s="203">
        <v>63</v>
      </c>
      <c r="CB213" s="186">
        <f t="shared" si="72"/>
        <v>1</v>
      </c>
      <c r="CC213" s="187">
        <v>80</v>
      </c>
      <c r="CD213" s="203">
        <v>80</v>
      </c>
      <c r="CE213" s="187">
        <f t="shared" si="73"/>
        <v>1</v>
      </c>
      <c r="CF213" s="187">
        <v>125</v>
      </c>
      <c r="CG213" s="203">
        <v>250</v>
      </c>
      <c r="CH213" s="187"/>
      <c r="CI213" s="187"/>
      <c r="CJ213" s="187"/>
      <c r="CK213" s="187"/>
      <c r="CL213" s="187"/>
      <c r="CM213" s="187"/>
      <c r="CN213" s="187"/>
      <c r="CO213" s="187"/>
      <c r="CP213" s="187"/>
      <c r="CQ213" s="187"/>
      <c r="CR213" s="186"/>
      <c r="CS213" s="187"/>
      <c r="CT213" s="187"/>
      <c r="CU213" s="187"/>
      <c r="CV213" s="220"/>
      <c r="CW213" s="186"/>
      <c r="CX213" s="187"/>
      <c r="CY213" s="187"/>
      <c r="CZ213" s="187"/>
      <c r="DA213" s="203"/>
      <c r="DB213" s="186"/>
      <c r="DC213" s="187"/>
      <c r="DD213" s="187"/>
      <c r="DE213" s="187"/>
      <c r="DF213" s="203"/>
      <c r="DG213" s="187"/>
      <c r="DH213" s="187"/>
      <c r="DI213" s="187"/>
      <c r="DJ213" s="187"/>
      <c r="DK213" s="203"/>
      <c r="DL213" s="187"/>
      <c r="DM213" s="212"/>
      <c r="DN213" s="213"/>
      <c r="DO213" s="214"/>
      <c r="DP213" s="213" t="e">
        <f t="shared" si="91"/>
        <v>#N/A</v>
      </c>
      <c r="DQ213" s="219" t="s">
        <v>142</v>
      </c>
      <c r="DR213" s="213">
        <v>200</v>
      </c>
      <c r="DS213" s="217"/>
      <c r="DT213" s="228">
        <f t="shared" si="92"/>
        <v>0</v>
      </c>
      <c r="DU213" s="219" t="s">
        <v>142</v>
      </c>
      <c r="DV213" s="213">
        <v>40</v>
      </c>
      <c r="DW213" s="218">
        <v>20</v>
      </c>
      <c r="DX213" s="214"/>
      <c r="DY213" s="213"/>
      <c r="DZ213" s="219"/>
      <c r="EA213" s="213"/>
      <c r="EB213" s="214"/>
      <c r="EC213" s="213" t="e">
        <f t="shared" si="94"/>
        <v>#N/A</v>
      </c>
      <c r="ED213" s="219" t="s">
        <v>142</v>
      </c>
      <c r="EE213" s="213">
        <v>200</v>
      </c>
      <c r="EF213" s="214"/>
      <c r="EG213" s="213"/>
      <c r="EH213" s="216"/>
      <c r="EI213" s="187"/>
      <c r="EJ213" s="187"/>
      <c r="EK213" s="187"/>
      <c r="EL213" s="187"/>
      <c r="EM213" s="187"/>
      <c r="EN213" s="187"/>
      <c r="EO213" s="187"/>
      <c r="EP213" s="217"/>
      <c r="EQ213" s="187"/>
      <c r="ER213" s="187"/>
      <c r="ES213" s="187"/>
      <c r="ET213" s="217"/>
      <c r="EU213" s="214"/>
      <c r="EV213" s="213"/>
      <c r="EW213" s="219"/>
      <c r="EX213" s="213"/>
      <c r="EY213" s="217"/>
      <c r="EZ213" s="213"/>
      <c r="FA213" s="219"/>
      <c r="FB213" s="213"/>
      <c r="FC213" s="217"/>
      <c r="FD213" s="213"/>
      <c r="FE213" s="219"/>
      <c r="FF213" s="213"/>
      <c r="FG213" s="217"/>
      <c r="FH213" s="213"/>
      <c r="FI213" s="219"/>
      <c r="FJ213" s="218"/>
      <c r="FK213" s="187"/>
      <c r="FL213" s="187"/>
      <c r="FM213" s="187"/>
      <c r="FN213" s="203"/>
    </row>
    <row r="214" spans="52:170" ht="15.75" thickBot="1" x14ac:dyDescent="0.3">
      <c r="AZ214" s="286" t="s">
        <v>143</v>
      </c>
      <c r="BA214" s="299">
        <f>U32</f>
        <v>0</v>
      </c>
      <c r="BB214" s="300"/>
      <c r="BC214" s="187"/>
      <c r="BD214" s="291" t="s">
        <v>144</v>
      </c>
      <c r="BE214" s="311">
        <f>IF(BA216="Отопление",11.7,IF(BA216="Вентиляция",8.6,30))*BA202/6</f>
        <v>0</v>
      </c>
      <c r="BF214" s="187"/>
      <c r="BG214" s="187"/>
      <c r="BH214" s="261">
        <f t="shared" si="68"/>
        <v>0</v>
      </c>
      <c r="BI214" s="259">
        <v>250</v>
      </c>
      <c r="BJ214" s="259">
        <f t="shared" si="74"/>
        <v>1350.2936878979776</v>
      </c>
      <c r="BK214" s="262">
        <f t="shared" si="75"/>
        <v>0</v>
      </c>
      <c r="BL214" s="317"/>
      <c r="BM214" s="261" t="e">
        <f t="shared" si="69"/>
        <v>#DIV/0!</v>
      </c>
      <c r="BN214" s="259">
        <v>250</v>
      </c>
      <c r="BO214" s="259">
        <f t="shared" si="76"/>
        <v>2.339473539768467E-2</v>
      </c>
      <c r="BP214" s="262" t="e">
        <f t="shared" si="77"/>
        <v>#DIV/0!</v>
      </c>
      <c r="BQ214" s="260">
        <f t="shared" si="70"/>
        <v>0</v>
      </c>
      <c r="BR214" s="259">
        <v>250</v>
      </c>
      <c r="BS214" s="259">
        <f t="shared" si="78"/>
        <v>2.339473539768467E-2</v>
      </c>
      <c r="BT214" s="262">
        <f t="shared" si="79"/>
        <v>0</v>
      </c>
      <c r="BU214" s="187"/>
      <c r="BV214" s="186"/>
      <c r="BW214" s="187"/>
      <c r="BX214" s="187"/>
      <c r="BY214" s="186">
        <f t="shared" si="71"/>
        <v>1</v>
      </c>
      <c r="BZ214" s="187">
        <v>80</v>
      </c>
      <c r="CA214" s="203">
        <v>80</v>
      </c>
      <c r="CB214" s="186">
        <f t="shared" si="72"/>
        <v>1</v>
      </c>
      <c r="CC214" s="187">
        <v>80</v>
      </c>
      <c r="CD214" s="203">
        <v>100</v>
      </c>
      <c r="CE214" s="187">
        <f t="shared" si="73"/>
        <v>1</v>
      </c>
      <c r="CF214" s="187">
        <v>150</v>
      </c>
      <c r="CG214" s="203">
        <v>400</v>
      </c>
      <c r="CH214" s="187"/>
      <c r="CI214" s="187"/>
      <c r="CJ214" s="187"/>
      <c r="CK214" s="187"/>
      <c r="CL214" s="187"/>
      <c r="CM214" s="187"/>
      <c r="CN214" s="187"/>
      <c r="CO214" s="187"/>
      <c r="CP214" s="187"/>
      <c r="CQ214" s="187"/>
      <c r="CR214" s="239"/>
      <c r="CS214" s="240"/>
      <c r="CT214" s="240"/>
      <c r="CU214" s="240"/>
      <c r="CV214" s="241"/>
      <c r="CW214" s="239"/>
      <c r="CX214" s="240"/>
      <c r="CY214" s="240"/>
      <c r="CZ214" s="240"/>
      <c r="DA214" s="242"/>
      <c r="DB214" s="239"/>
      <c r="DC214" s="240"/>
      <c r="DD214" s="240"/>
      <c r="DE214" s="240"/>
      <c r="DF214" s="242"/>
      <c r="DG214" s="240"/>
      <c r="DH214" s="240"/>
      <c r="DI214" s="240"/>
      <c r="DJ214" s="240"/>
      <c r="DK214" s="242"/>
      <c r="DL214" s="187"/>
      <c r="DM214" s="212"/>
      <c r="DN214" s="213"/>
      <c r="DO214" s="214"/>
      <c r="DP214" s="213"/>
      <c r="DQ214" s="219"/>
      <c r="DR214" s="213"/>
      <c r="DS214" s="217"/>
      <c r="DT214" s="228">
        <f t="shared" si="92"/>
        <v>0</v>
      </c>
      <c r="DU214" s="219" t="s">
        <v>145</v>
      </c>
      <c r="DV214" s="213">
        <v>40</v>
      </c>
      <c r="DW214" s="218">
        <v>25</v>
      </c>
      <c r="DX214" s="214"/>
      <c r="DY214" s="213"/>
      <c r="DZ214" s="219"/>
      <c r="EA214" s="213"/>
      <c r="EB214" s="217"/>
      <c r="EC214" s="187"/>
      <c r="ED214" s="187"/>
      <c r="EE214" s="187"/>
      <c r="EF214" s="217"/>
      <c r="EG214" s="213"/>
      <c r="EH214" s="187"/>
      <c r="EI214" s="187"/>
      <c r="EJ214" s="187"/>
      <c r="EK214" s="187"/>
      <c r="EL214" s="187"/>
      <c r="EM214" s="187"/>
      <c r="EN214" s="187"/>
      <c r="EO214" s="187"/>
      <c r="EP214" s="217"/>
      <c r="EQ214" s="187"/>
      <c r="ER214" s="187"/>
      <c r="ES214" s="187"/>
      <c r="ET214" s="217"/>
      <c r="EU214" s="217"/>
      <c r="EV214" s="187"/>
      <c r="EW214" s="187"/>
      <c r="EX214" s="187"/>
      <c r="EY214" s="217"/>
      <c r="EZ214" s="187"/>
      <c r="FA214" s="187"/>
      <c r="FB214" s="187"/>
      <c r="FC214" s="217"/>
      <c r="FD214" s="187"/>
      <c r="FE214" s="187"/>
      <c r="FF214" s="187"/>
      <c r="FG214" s="217"/>
      <c r="FH214" s="187"/>
      <c r="FI214" s="187"/>
      <c r="FJ214" s="203"/>
      <c r="FK214" s="187"/>
      <c r="FL214" s="187"/>
      <c r="FM214" s="187"/>
      <c r="FN214" s="203"/>
    </row>
    <row r="215" spans="52:170" x14ac:dyDescent="0.25">
      <c r="AZ215" s="286" t="s">
        <v>69</v>
      </c>
      <c r="BA215" s="299">
        <f>AA32</f>
        <v>0</v>
      </c>
      <c r="BB215" s="300"/>
      <c r="BC215" s="187"/>
      <c r="BD215" s="291" t="s">
        <v>52</v>
      </c>
      <c r="BE215" s="311" t="e">
        <f>VLOOKUP(1,BQ202:BT215,2,0)</f>
        <v>#N/A</v>
      </c>
      <c r="BF215" s="187"/>
      <c r="BG215" s="187"/>
      <c r="BH215" s="261">
        <f t="shared" si="68"/>
        <v>0</v>
      </c>
      <c r="BI215" s="259">
        <v>300</v>
      </c>
      <c r="BJ215" s="259">
        <f t="shared" si="74"/>
        <v>58.139420631594867</v>
      </c>
      <c r="BK215" s="262">
        <f t="shared" si="75"/>
        <v>0</v>
      </c>
      <c r="BL215" s="317"/>
      <c r="BM215" s="261" t="e">
        <f t="shared" si="69"/>
        <v>#DIV/0!</v>
      </c>
      <c r="BN215" s="259">
        <v>300</v>
      </c>
      <c r="BO215" s="259">
        <f t="shared" si="76"/>
        <v>2.2301284149115197E-2</v>
      </c>
      <c r="BP215" s="262" t="e">
        <f t="shared" si="77"/>
        <v>#DIV/0!</v>
      </c>
      <c r="BQ215" s="260">
        <f t="shared" si="70"/>
        <v>0</v>
      </c>
      <c r="BR215" s="259">
        <v>300</v>
      </c>
      <c r="BS215" s="259">
        <f t="shared" si="78"/>
        <v>2.2301284149115197E-2</v>
      </c>
      <c r="BT215" s="262">
        <f t="shared" si="79"/>
        <v>0</v>
      </c>
      <c r="BU215" s="187"/>
      <c r="BV215" s="186"/>
      <c r="BW215" s="187"/>
      <c r="BX215" s="187"/>
      <c r="BY215" s="186">
        <f t="shared" si="71"/>
        <v>1</v>
      </c>
      <c r="BZ215" s="187">
        <v>80</v>
      </c>
      <c r="CA215" s="203">
        <v>100</v>
      </c>
      <c r="CB215" s="186">
        <f t="shared" si="72"/>
        <v>1</v>
      </c>
      <c r="CC215" s="187">
        <v>100</v>
      </c>
      <c r="CD215" s="203">
        <v>125</v>
      </c>
      <c r="CE215" s="187"/>
      <c r="CF215" s="187"/>
      <c r="CG215" s="203"/>
      <c r="CH215" s="187"/>
      <c r="CI215" s="187"/>
      <c r="CJ215" s="187"/>
      <c r="CK215" s="187"/>
      <c r="CL215" s="187"/>
      <c r="CM215" s="187"/>
      <c r="CN215" s="187"/>
      <c r="CO215" s="187"/>
      <c r="CP215" s="187"/>
      <c r="CQ215" s="187"/>
      <c r="CR215" s="187"/>
      <c r="CS215" s="187"/>
      <c r="CT215" s="187"/>
      <c r="CU215" s="187"/>
      <c r="CV215" s="216"/>
      <c r="CW215" s="187"/>
      <c r="CX215" s="187"/>
      <c r="CY215" s="187"/>
      <c r="CZ215" s="187"/>
      <c r="DA215" s="187"/>
      <c r="DB215" s="187"/>
      <c r="DC215" s="187"/>
      <c r="DD215" s="187"/>
      <c r="DE215" s="187"/>
      <c r="DF215" s="187"/>
      <c r="DG215" s="187"/>
      <c r="DH215" s="187"/>
      <c r="DI215" s="187"/>
      <c r="DJ215" s="187"/>
      <c r="DK215" s="187"/>
      <c r="DL215" s="187"/>
      <c r="DM215" s="212"/>
      <c r="DN215" s="213"/>
      <c r="DO215" s="214"/>
      <c r="DP215" s="213"/>
      <c r="DQ215" s="219"/>
      <c r="DR215" s="213"/>
      <c r="DS215" s="217"/>
      <c r="DT215" s="228">
        <f t="shared" si="92"/>
        <v>0</v>
      </c>
      <c r="DU215" s="219" t="s">
        <v>146</v>
      </c>
      <c r="DV215" s="213">
        <v>50</v>
      </c>
      <c r="DW215" s="218">
        <v>31.5</v>
      </c>
      <c r="DX215" s="214"/>
      <c r="DY215" s="213"/>
      <c r="DZ215" s="219"/>
      <c r="EA215" s="213"/>
      <c r="EB215" s="217"/>
      <c r="EC215" s="187"/>
      <c r="ED215" s="187"/>
      <c r="EE215" s="187"/>
      <c r="EF215" s="217"/>
      <c r="EG215" s="213"/>
      <c r="EH215" s="187"/>
      <c r="EI215" s="187"/>
      <c r="EJ215" s="187"/>
      <c r="EK215" s="187"/>
      <c r="EL215" s="187"/>
      <c r="EM215" s="187"/>
      <c r="EN215" s="187"/>
      <c r="EO215" s="187"/>
      <c r="EP215" s="217"/>
      <c r="EQ215" s="187"/>
      <c r="ER215" s="187"/>
      <c r="ES215" s="187"/>
      <c r="ET215" s="217"/>
      <c r="EU215" s="217"/>
      <c r="EV215" s="187"/>
      <c r="EW215" s="187"/>
      <c r="EX215" s="187"/>
      <c r="EY215" s="217"/>
      <c r="EZ215" s="187"/>
      <c r="FA215" s="187"/>
      <c r="FB215" s="187"/>
      <c r="FC215" s="217"/>
      <c r="FD215" s="187"/>
      <c r="FE215" s="187"/>
      <c r="FF215" s="187"/>
      <c r="FG215" s="217"/>
      <c r="FH215" s="187"/>
      <c r="FI215" s="187"/>
      <c r="FJ215" s="203"/>
      <c r="FK215" s="187"/>
      <c r="FL215" s="187"/>
      <c r="FM215" s="187"/>
      <c r="FN215" s="203"/>
    </row>
    <row r="216" spans="52:170" ht="15.75" thickBot="1" x14ac:dyDescent="0.3">
      <c r="AZ216" s="289" t="s">
        <v>147</v>
      </c>
      <c r="BA216" s="301" t="str">
        <f>A16</f>
        <v>Отопление</v>
      </c>
      <c r="BB216" s="302"/>
      <c r="BC216" s="187"/>
      <c r="BD216" s="296"/>
      <c r="BE216" s="283"/>
      <c r="BF216" s="187"/>
      <c r="BG216" s="187"/>
      <c r="BH216" s="261"/>
      <c r="BI216" s="259"/>
      <c r="BJ216" s="259"/>
      <c r="BK216" s="262"/>
      <c r="BL216" s="317"/>
      <c r="BM216" s="261"/>
      <c r="BN216" s="259"/>
      <c r="BO216" s="259"/>
      <c r="BP216" s="262"/>
      <c r="BQ216" s="260"/>
      <c r="BR216" s="259"/>
      <c r="BS216" s="259"/>
      <c r="BT216" s="262"/>
      <c r="BU216" s="187"/>
      <c r="BV216" s="186"/>
      <c r="BW216" s="187"/>
      <c r="BX216" s="187"/>
      <c r="BY216" s="186">
        <f t="shared" si="71"/>
        <v>1</v>
      </c>
      <c r="BZ216" s="187">
        <v>100</v>
      </c>
      <c r="CA216" s="203">
        <v>125</v>
      </c>
      <c r="CB216" s="186">
        <f t="shared" si="72"/>
        <v>1</v>
      </c>
      <c r="CC216" s="187">
        <v>100</v>
      </c>
      <c r="CD216" s="203">
        <v>160</v>
      </c>
      <c r="CE216" s="187"/>
      <c r="CF216" s="187"/>
      <c r="CG216" s="203"/>
      <c r="CH216" s="187"/>
      <c r="CI216" s="187"/>
      <c r="CJ216" s="187"/>
      <c r="CK216" s="187"/>
      <c r="CL216" s="187"/>
      <c r="CM216" s="187"/>
      <c r="CN216" s="187"/>
      <c r="CO216" s="187"/>
      <c r="CP216" s="187"/>
      <c r="CQ216" s="187"/>
      <c r="CR216" s="187"/>
      <c r="CS216" s="187"/>
      <c r="CT216" s="187"/>
      <c r="CU216" s="187"/>
      <c r="CV216" s="216"/>
      <c r="CW216" s="187"/>
      <c r="CX216" s="187"/>
      <c r="CY216" s="187"/>
      <c r="CZ216" s="187"/>
      <c r="DA216" s="187"/>
      <c r="DB216" s="187"/>
      <c r="DC216" s="187"/>
      <c r="DD216" s="187"/>
      <c r="DE216" s="187"/>
      <c r="DF216" s="187"/>
      <c r="DG216" s="187"/>
      <c r="DH216" s="187"/>
      <c r="DI216" s="187"/>
      <c r="DJ216" s="187"/>
      <c r="DK216" s="187"/>
      <c r="DL216" s="187"/>
      <c r="DM216" s="212"/>
      <c r="DN216" s="213"/>
      <c r="DO216" s="214"/>
      <c r="DP216" s="213"/>
      <c r="DQ216" s="219"/>
      <c r="DR216" s="213"/>
      <c r="DS216" s="217"/>
      <c r="DT216" s="228">
        <f t="shared" si="92"/>
        <v>0</v>
      </c>
      <c r="DU216" s="219" t="s">
        <v>148</v>
      </c>
      <c r="DV216" s="213">
        <v>50</v>
      </c>
      <c r="DW216" s="218">
        <v>40</v>
      </c>
      <c r="DX216" s="214"/>
      <c r="DY216" s="213"/>
      <c r="DZ216" s="219"/>
      <c r="EA216" s="213"/>
      <c r="EB216" s="217"/>
      <c r="EC216" s="187"/>
      <c r="ED216" s="187"/>
      <c r="EE216" s="187"/>
      <c r="EF216" s="217"/>
      <c r="EG216" s="213"/>
      <c r="EH216" s="187"/>
      <c r="EI216" s="187"/>
      <c r="EJ216" s="187"/>
      <c r="EK216" s="187"/>
      <c r="EL216" s="187"/>
      <c r="EM216" s="187"/>
      <c r="EN216" s="187"/>
      <c r="EO216" s="187"/>
      <c r="EP216" s="217"/>
      <c r="EQ216" s="187"/>
      <c r="ER216" s="187"/>
      <c r="ES216" s="187"/>
      <c r="ET216" s="217"/>
      <c r="EU216" s="217"/>
      <c r="EV216" s="187"/>
      <c r="EW216" s="187"/>
      <c r="EX216" s="187"/>
      <c r="EY216" s="217"/>
      <c r="EZ216" s="187"/>
      <c r="FA216" s="187"/>
      <c r="FB216" s="187"/>
      <c r="FC216" s="217"/>
      <c r="FD216" s="187"/>
      <c r="FE216" s="187"/>
      <c r="FF216" s="187"/>
      <c r="FG216" s="217"/>
      <c r="FH216" s="187"/>
      <c r="FI216" s="187"/>
      <c r="FJ216" s="203"/>
      <c r="FK216" s="187"/>
      <c r="FL216" s="187"/>
      <c r="FM216" s="187"/>
      <c r="FN216" s="203"/>
    </row>
    <row r="217" spans="52:170" ht="15.75" thickBot="1" x14ac:dyDescent="0.3">
      <c r="AZ217" s="221"/>
      <c r="BA217" s="187"/>
      <c r="BB217" s="230"/>
      <c r="BC217" s="187"/>
      <c r="BD217" s="187"/>
      <c r="BE217" s="187"/>
      <c r="BF217" s="187"/>
      <c r="BG217" s="187"/>
      <c r="BH217" s="261"/>
      <c r="BI217" s="276"/>
      <c r="BJ217" s="277"/>
      <c r="BK217" s="262"/>
      <c r="BL217" s="317"/>
      <c r="BM217" s="261"/>
      <c r="BN217" s="259"/>
      <c r="BO217" s="259"/>
      <c r="BP217" s="262"/>
      <c r="BQ217" s="260"/>
      <c r="BR217" s="259"/>
      <c r="BS217" s="259"/>
      <c r="BT217" s="262"/>
      <c r="BU217" s="187"/>
      <c r="BV217" s="186"/>
      <c r="BW217" s="187"/>
      <c r="BX217" s="187"/>
      <c r="BY217" s="186">
        <f t="shared" si="71"/>
        <v>1</v>
      </c>
      <c r="BZ217" s="187">
        <v>100</v>
      </c>
      <c r="CA217" s="203">
        <v>160</v>
      </c>
      <c r="CB217" s="186">
        <f t="shared" si="72"/>
        <v>1</v>
      </c>
      <c r="CC217" s="187">
        <v>125</v>
      </c>
      <c r="CD217" s="203">
        <v>200</v>
      </c>
      <c r="CE217" s="187"/>
      <c r="CF217" s="187"/>
      <c r="CG217" s="203"/>
      <c r="CH217" s="187"/>
      <c r="CI217" s="187"/>
      <c r="CJ217" s="187"/>
      <c r="CK217" s="187"/>
      <c r="CL217" s="187"/>
      <c r="CM217" s="187"/>
      <c r="CN217" s="187"/>
      <c r="CO217" s="187"/>
      <c r="CP217" s="187"/>
      <c r="CQ217" s="187"/>
      <c r="CR217" s="187"/>
      <c r="CS217" s="187"/>
      <c r="CT217" s="187"/>
      <c r="CU217" s="187"/>
      <c r="CV217" s="216"/>
      <c r="CW217" s="187"/>
      <c r="CX217" s="187"/>
      <c r="CY217" s="187"/>
      <c r="CZ217" s="187"/>
      <c r="DA217" s="187"/>
      <c r="DB217" s="187"/>
      <c r="DC217" s="187"/>
      <c r="DD217" s="187"/>
      <c r="DE217" s="187"/>
      <c r="DF217" s="187"/>
      <c r="DG217" s="187"/>
      <c r="DH217" s="187"/>
      <c r="DI217" s="187"/>
      <c r="DJ217" s="187"/>
      <c r="DK217" s="187"/>
      <c r="DL217" s="187"/>
      <c r="DM217" s="212"/>
      <c r="DN217" s="213"/>
      <c r="DO217" s="214"/>
      <c r="DP217" s="213"/>
      <c r="DQ217" s="219"/>
      <c r="DR217" s="213"/>
      <c r="DS217" s="217"/>
      <c r="DT217" s="228">
        <f t="shared" si="92"/>
        <v>0</v>
      </c>
      <c r="DU217" s="219" t="s">
        <v>149</v>
      </c>
      <c r="DV217" s="213">
        <v>65</v>
      </c>
      <c r="DW217" s="218">
        <v>50</v>
      </c>
      <c r="DX217" s="214"/>
      <c r="DY217" s="213"/>
      <c r="DZ217" s="219"/>
      <c r="EA217" s="213"/>
      <c r="EB217" s="217"/>
      <c r="EC217" s="187"/>
      <c r="ED217" s="187"/>
      <c r="EE217" s="187"/>
      <c r="EF217" s="217"/>
      <c r="EG217" s="187"/>
      <c r="EH217" s="187"/>
      <c r="EI217" s="187"/>
      <c r="EJ217" s="187"/>
      <c r="EK217" s="187"/>
      <c r="EL217" s="187"/>
      <c r="EM217" s="187"/>
      <c r="EN217" s="187"/>
      <c r="EO217" s="187"/>
      <c r="EP217" s="217"/>
      <c r="EQ217" s="187"/>
      <c r="ER217" s="187"/>
      <c r="ES217" s="187"/>
      <c r="ET217" s="217"/>
      <c r="EU217" s="217"/>
      <c r="EV217" s="187"/>
      <c r="EW217" s="187"/>
      <c r="EX217" s="187"/>
      <c r="EY217" s="217"/>
      <c r="EZ217" s="187"/>
      <c r="FA217" s="187"/>
      <c r="FB217" s="187"/>
      <c r="FC217" s="217"/>
      <c r="FD217" s="187"/>
      <c r="FE217" s="187"/>
      <c r="FF217" s="187"/>
      <c r="FG217" s="217"/>
      <c r="FH217" s="187"/>
      <c r="FI217" s="187"/>
      <c r="FJ217" s="203"/>
      <c r="FK217" s="187"/>
      <c r="FL217" s="187"/>
      <c r="FM217" s="187"/>
      <c r="FN217" s="203"/>
    </row>
    <row r="218" spans="52:170" x14ac:dyDescent="0.25">
      <c r="AZ218" s="221"/>
      <c r="BA218" s="187"/>
      <c r="BB218" s="230"/>
      <c r="BC218" s="187"/>
      <c r="BD218" s="187"/>
      <c r="BE218" s="187"/>
      <c r="BF218" s="187"/>
      <c r="BG218" s="187"/>
      <c r="BH218" s="275"/>
      <c r="BI218" s="280" t="s">
        <v>150</v>
      </c>
      <c r="BJ218" s="281">
        <v>958.4</v>
      </c>
      <c r="BK218" s="319"/>
      <c r="BL218" s="317"/>
      <c r="BM218" s="261"/>
      <c r="BN218" s="259"/>
      <c r="BO218" s="259"/>
      <c r="BP218" s="262"/>
      <c r="BQ218" s="260"/>
      <c r="BR218" s="259"/>
      <c r="BS218" s="259"/>
      <c r="BT218" s="262"/>
      <c r="BU218" s="187"/>
      <c r="BV218" s="186"/>
      <c r="BW218" s="187"/>
      <c r="BX218" s="187"/>
      <c r="BY218" s="186">
        <f t="shared" si="71"/>
        <v>1</v>
      </c>
      <c r="BZ218" s="187">
        <v>125</v>
      </c>
      <c r="CA218" s="203">
        <v>250</v>
      </c>
      <c r="CB218" s="186">
        <f t="shared" si="72"/>
        <v>1</v>
      </c>
      <c r="CC218" s="187">
        <v>125</v>
      </c>
      <c r="CD218" s="203">
        <v>250</v>
      </c>
      <c r="CE218" s="187"/>
      <c r="CF218" s="187"/>
      <c r="CG218" s="203"/>
      <c r="CH218" s="187"/>
      <c r="CI218" s="187"/>
      <c r="CJ218" s="187"/>
      <c r="CK218" s="187"/>
      <c r="CL218" s="187"/>
      <c r="CM218" s="187"/>
      <c r="CN218" s="187"/>
      <c r="CO218" s="187"/>
      <c r="CP218" s="187"/>
      <c r="CQ218" s="187"/>
      <c r="CR218" s="187"/>
      <c r="CS218" s="187"/>
      <c r="CT218" s="187"/>
      <c r="CU218" s="187"/>
      <c r="CV218" s="216"/>
      <c r="CW218" s="187"/>
      <c r="CX218" s="187"/>
      <c r="CY218" s="187"/>
      <c r="CZ218" s="187"/>
      <c r="DA218" s="187"/>
      <c r="DB218" s="187"/>
      <c r="DC218" s="187"/>
      <c r="DD218" s="187"/>
      <c r="DE218" s="187"/>
      <c r="DF218" s="187"/>
      <c r="DG218" s="187"/>
      <c r="DH218" s="187"/>
      <c r="DI218" s="187"/>
      <c r="DJ218" s="187"/>
      <c r="DK218" s="187"/>
      <c r="DL218" s="187"/>
      <c r="DM218" s="212"/>
      <c r="DN218" s="213"/>
      <c r="DO218" s="214"/>
      <c r="DP218" s="213"/>
      <c r="DQ218" s="219"/>
      <c r="DR218" s="213"/>
      <c r="DS218" s="217"/>
      <c r="DT218" s="228">
        <f t="shared" si="92"/>
        <v>0</v>
      </c>
      <c r="DU218" s="219" t="s">
        <v>151</v>
      </c>
      <c r="DV218" s="213">
        <v>65</v>
      </c>
      <c r="DW218" s="218">
        <v>63</v>
      </c>
      <c r="DX218" s="214"/>
      <c r="DY218" s="213"/>
      <c r="DZ218" s="219"/>
      <c r="EA218" s="213"/>
      <c r="EB218" s="217"/>
      <c r="EC218" s="187"/>
      <c r="ED218" s="187"/>
      <c r="EE218" s="187"/>
      <c r="EF218" s="217"/>
      <c r="EG218" s="187"/>
      <c r="EH218" s="187"/>
      <c r="EI218" s="187"/>
      <c r="EJ218" s="187"/>
      <c r="EK218" s="187"/>
      <c r="EL218" s="187"/>
      <c r="EM218" s="187"/>
      <c r="EN218" s="187"/>
      <c r="EO218" s="187"/>
      <c r="EP218" s="217"/>
      <c r="EQ218" s="187"/>
      <c r="ER218" s="187"/>
      <c r="ES218" s="187"/>
      <c r="ET218" s="217"/>
      <c r="EU218" s="217"/>
      <c r="EV218" s="187"/>
      <c r="EW218" s="187"/>
      <c r="EX218" s="187"/>
      <c r="EY218" s="217"/>
      <c r="EZ218" s="187"/>
      <c r="FA218" s="187"/>
      <c r="FB218" s="187"/>
      <c r="FC218" s="217"/>
      <c r="FD218" s="187"/>
      <c r="FE218" s="187"/>
      <c r="FF218" s="187"/>
      <c r="FG218" s="217"/>
      <c r="FH218" s="187"/>
      <c r="FI218" s="187"/>
      <c r="FJ218" s="203"/>
      <c r="FK218" s="187"/>
      <c r="FL218" s="187"/>
      <c r="FM218" s="187"/>
      <c r="FN218" s="203"/>
    </row>
    <row r="219" spans="52:170" ht="15.75" thickBot="1" x14ac:dyDescent="0.3">
      <c r="AZ219" s="186"/>
      <c r="BA219" s="187"/>
      <c r="BB219" s="187"/>
      <c r="BC219" s="187"/>
      <c r="BD219" s="187"/>
      <c r="BE219" s="187"/>
      <c r="BF219" s="187"/>
      <c r="BG219" s="187"/>
      <c r="BH219" s="275"/>
      <c r="BI219" s="282" t="s">
        <v>152</v>
      </c>
      <c r="BJ219" s="283">
        <v>0.5</v>
      </c>
      <c r="BK219" s="319"/>
      <c r="BL219" s="317"/>
      <c r="BM219" s="261"/>
      <c r="BN219" s="259"/>
      <c r="BO219" s="259"/>
      <c r="BP219" s="262"/>
      <c r="BQ219" s="260"/>
      <c r="BR219" s="259"/>
      <c r="BS219" s="259"/>
      <c r="BT219" s="262"/>
      <c r="BU219" s="187"/>
      <c r="BV219" s="186"/>
      <c r="BW219" s="187"/>
      <c r="BX219" s="187"/>
      <c r="BY219" s="186">
        <f t="shared" si="71"/>
        <v>1</v>
      </c>
      <c r="BZ219" s="187">
        <v>150</v>
      </c>
      <c r="CA219" s="203">
        <v>315</v>
      </c>
      <c r="CB219" s="186">
        <f t="shared" si="72"/>
        <v>1</v>
      </c>
      <c r="CC219" s="187">
        <v>150</v>
      </c>
      <c r="CD219" s="203">
        <v>315</v>
      </c>
      <c r="CE219" s="187"/>
      <c r="CF219" s="187"/>
      <c r="CG219" s="203"/>
      <c r="CH219" s="187"/>
      <c r="CI219" s="187"/>
      <c r="CJ219" s="187"/>
      <c r="CK219" s="187"/>
      <c r="CL219" s="187"/>
      <c r="CM219" s="187"/>
      <c r="CN219" s="187"/>
      <c r="CO219" s="187"/>
      <c r="CP219" s="187"/>
      <c r="CQ219" s="187"/>
      <c r="CR219" s="187"/>
      <c r="CS219" s="187"/>
      <c r="CT219" s="187"/>
      <c r="CU219" s="187"/>
      <c r="CV219" s="216"/>
      <c r="CW219" s="187"/>
      <c r="CX219" s="187"/>
      <c r="CY219" s="187"/>
      <c r="CZ219" s="187"/>
      <c r="DA219" s="187"/>
      <c r="DB219" s="187"/>
      <c r="DC219" s="187"/>
      <c r="DD219" s="187"/>
      <c r="DE219" s="187"/>
      <c r="DF219" s="187"/>
      <c r="DG219" s="187"/>
      <c r="DH219" s="187"/>
      <c r="DI219" s="187"/>
      <c r="DJ219" s="187"/>
      <c r="DK219" s="187"/>
      <c r="DL219" s="187"/>
      <c r="DM219" s="212"/>
      <c r="DN219" s="213"/>
      <c r="DO219" s="214"/>
      <c r="DP219" s="213"/>
      <c r="DQ219" s="219"/>
      <c r="DR219" s="213"/>
      <c r="DS219" s="217"/>
      <c r="DT219" s="228">
        <f t="shared" si="92"/>
        <v>0</v>
      </c>
      <c r="DU219" s="219" t="s">
        <v>153</v>
      </c>
      <c r="DV219" s="213">
        <v>80</v>
      </c>
      <c r="DW219" s="218">
        <v>80</v>
      </c>
      <c r="DX219" s="214"/>
      <c r="DY219" s="213"/>
      <c r="DZ219" s="219"/>
      <c r="EA219" s="213"/>
      <c r="EB219" s="217"/>
      <c r="EC219" s="187"/>
      <c r="ED219" s="187"/>
      <c r="EE219" s="187"/>
      <c r="EF219" s="217"/>
      <c r="EG219" s="187"/>
      <c r="EH219" s="187"/>
      <c r="EI219" s="187"/>
      <c r="EJ219" s="187"/>
      <c r="EK219" s="187"/>
      <c r="EL219" s="187"/>
      <c r="EM219" s="187"/>
      <c r="EN219" s="187"/>
      <c r="EO219" s="187"/>
      <c r="EP219" s="217"/>
      <c r="EQ219" s="187"/>
      <c r="ER219" s="187"/>
      <c r="ES219" s="187"/>
      <c r="ET219" s="217"/>
      <c r="EU219" s="217"/>
      <c r="EV219" s="187"/>
      <c r="EW219" s="187"/>
      <c r="EX219" s="187"/>
      <c r="EY219" s="217"/>
      <c r="EZ219" s="187"/>
      <c r="FA219" s="187"/>
      <c r="FB219" s="187"/>
      <c r="FC219" s="217"/>
      <c r="FD219" s="187"/>
      <c r="FE219" s="187"/>
      <c r="FF219" s="187"/>
      <c r="FG219" s="217"/>
      <c r="FH219" s="187"/>
      <c r="FI219" s="187"/>
      <c r="FJ219" s="203"/>
      <c r="FK219" s="187"/>
      <c r="FL219" s="187"/>
      <c r="FM219" s="187"/>
      <c r="FN219" s="203"/>
    </row>
    <row r="220" spans="52:170" ht="15.75" thickBot="1" x14ac:dyDescent="0.3">
      <c r="AZ220" s="186"/>
      <c r="BA220" s="187"/>
      <c r="BB220" s="187"/>
      <c r="BC220" s="187"/>
      <c r="BD220" s="187"/>
      <c r="BE220" s="187"/>
      <c r="BF220" s="187"/>
      <c r="BG220" s="187"/>
      <c r="BH220" s="263"/>
      <c r="BI220" s="278"/>
      <c r="BJ220" s="279"/>
      <c r="BK220" s="265"/>
      <c r="BL220" s="318"/>
      <c r="BM220" s="263"/>
      <c r="BN220" s="264"/>
      <c r="BO220" s="264"/>
      <c r="BP220" s="265"/>
      <c r="BQ220" s="284"/>
      <c r="BR220" s="264"/>
      <c r="BS220" s="264"/>
      <c r="BT220" s="265"/>
      <c r="BU220" s="187"/>
      <c r="BV220" s="239"/>
      <c r="BW220" s="240"/>
      <c r="BX220" s="240"/>
      <c r="BY220" s="239"/>
      <c r="BZ220" s="240"/>
      <c r="CA220" s="242"/>
      <c r="CB220" s="239">
        <f t="shared" si="72"/>
        <v>1</v>
      </c>
      <c r="CC220" s="240">
        <v>150</v>
      </c>
      <c r="CD220" s="242">
        <v>400</v>
      </c>
      <c r="CE220" s="240"/>
      <c r="CF220" s="240"/>
      <c r="CG220" s="242"/>
      <c r="CH220" s="187"/>
      <c r="CI220" s="187"/>
      <c r="CJ220" s="187"/>
      <c r="CK220" s="187"/>
      <c r="CL220" s="187"/>
      <c r="CM220" s="187"/>
      <c r="CN220" s="187"/>
      <c r="CO220" s="187"/>
      <c r="CP220" s="187"/>
      <c r="CQ220" s="187"/>
      <c r="CR220" s="187"/>
      <c r="CS220" s="187"/>
      <c r="CT220" s="187"/>
      <c r="CU220" s="187"/>
      <c r="CV220" s="216"/>
      <c r="CW220" s="187"/>
      <c r="CX220" s="187"/>
      <c r="CY220" s="187"/>
      <c r="CZ220" s="187"/>
      <c r="DA220" s="187"/>
      <c r="DB220" s="187"/>
      <c r="DC220" s="187"/>
      <c r="DD220" s="187"/>
      <c r="DE220" s="187"/>
      <c r="DF220" s="187"/>
      <c r="DG220" s="187"/>
      <c r="DH220" s="187"/>
      <c r="DI220" s="187"/>
      <c r="DJ220" s="187"/>
      <c r="DK220" s="187"/>
      <c r="DL220" s="187"/>
      <c r="DM220" s="212"/>
      <c r="DN220" s="213"/>
      <c r="DO220" s="214"/>
      <c r="DP220" s="213"/>
      <c r="DQ220" s="219"/>
      <c r="DR220" s="213"/>
      <c r="DS220" s="217"/>
      <c r="DT220" s="228">
        <f t="shared" si="92"/>
        <v>0</v>
      </c>
      <c r="DU220" s="219" t="s">
        <v>154</v>
      </c>
      <c r="DV220" s="213">
        <v>80</v>
      </c>
      <c r="DW220" s="218">
        <v>100</v>
      </c>
      <c r="DX220" s="214"/>
      <c r="DY220" s="213"/>
      <c r="DZ220" s="219"/>
      <c r="EA220" s="213"/>
      <c r="EB220" s="217"/>
      <c r="EC220" s="187"/>
      <c r="ED220" s="187"/>
      <c r="EE220" s="187"/>
      <c r="EF220" s="217"/>
      <c r="EG220" s="187"/>
      <c r="EH220" s="187"/>
      <c r="EI220" s="187"/>
      <c r="EJ220" s="187"/>
      <c r="EK220" s="187"/>
      <c r="EL220" s="187"/>
      <c r="EM220" s="187"/>
      <c r="EN220" s="187"/>
      <c r="EO220" s="187"/>
      <c r="EP220" s="217"/>
      <c r="EQ220" s="187"/>
      <c r="ER220" s="187"/>
      <c r="ES220" s="187"/>
      <c r="ET220" s="217"/>
      <c r="EU220" s="217"/>
      <c r="EV220" s="187"/>
      <c r="EW220" s="187"/>
      <c r="EX220" s="187"/>
      <c r="EY220" s="217"/>
      <c r="EZ220" s="187"/>
      <c r="FA220" s="187"/>
      <c r="FB220" s="187"/>
      <c r="FC220" s="217"/>
      <c r="FD220" s="187"/>
      <c r="FE220" s="187"/>
      <c r="FF220" s="187"/>
      <c r="FG220" s="217"/>
      <c r="FH220" s="187"/>
      <c r="FI220" s="187"/>
      <c r="FJ220" s="203"/>
      <c r="FK220" s="187"/>
      <c r="FL220" s="187"/>
      <c r="FM220" s="187"/>
      <c r="FN220" s="203"/>
    </row>
    <row r="221" spans="52:170" ht="15.75" thickBot="1" x14ac:dyDescent="0.3">
      <c r="AZ221" s="186"/>
      <c r="BA221" s="187"/>
      <c r="BB221" s="187"/>
      <c r="BC221" s="187"/>
      <c r="BD221" s="187"/>
      <c r="BE221" s="187"/>
      <c r="BF221" s="187"/>
      <c r="BG221" s="187"/>
      <c r="BH221" s="187"/>
      <c r="BI221" s="187"/>
      <c r="BJ221" s="187"/>
      <c r="BK221" s="187"/>
      <c r="BL221" s="187"/>
      <c r="BM221" s="187"/>
      <c r="BN221" s="187"/>
      <c r="BO221" s="187"/>
      <c r="BP221" s="187"/>
      <c r="BQ221" s="187"/>
      <c r="BR221" s="187"/>
      <c r="BS221" s="187"/>
      <c r="BT221" s="187"/>
      <c r="BU221" s="187"/>
      <c r="BV221" s="187"/>
      <c r="BW221" s="187"/>
      <c r="BX221" s="187"/>
      <c r="BY221" s="187"/>
      <c r="BZ221" s="187"/>
      <c r="CA221" s="187"/>
      <c r="CB221" s="187"/>
      <c r="CC221" s="187"/>
      <c r="CD221" s="187"/>
      <c r="CE221" s="187"/>
      <c r="CF221" s="187"/>
      <c r="CG221" s="187"/>
      <c r="CH221" s="187"/>
      <c r="CI221" s="187"/>
      <c r="CJ221" s="187"/>
      <c r="CK221" s="187"/>
      <c r="CL221" s="187"/>
      <c r="CM221" s="187"/>
      <c r="CN221" s="187"/>
      <c r="CO221" s="187"/>
      <c r="CP221" s="187"/>
      <c r="CQ221" s="187"/>
      <c r="CR221" s="187"/>
      <c r="CS221" s="187"/>
      <c r="CT221" s="187"/>
      <c r="CU221" s="187"/>
      <c r="CV221" s="216"/>
      <c r="CW221" s="187"/>
      <c r="CX221" s="187"/>
      <c r="CY221" s="187"/>
      <c r="CZ221" s="187"/>
      <c r="DA221" s="187"/>
      <c r="DB221" s="187"/>
      <c r="DC221" s="187"/>
      <c r="DD221" s="187"/>
      <c r="DE221" s="187"/>
      <c r="DF221" s="187"/>
      <c r="DG221" s="187"/>
      <c r="DH221" s="187"/>
      <c r="DI221" s="187"/>
      <c r="DJ221" s="187"/>
      <c r="DK221" s="187"/>
      <c r="DL221" s="187"/>
      <c r="DM221" s="212"/>
      <c r="DN221" s="213"/>
      <c r="DO221" s="214"/>
      <c r="DP221" s="213"/>
      <c r="DQ221" s="219"/>
      <c r="DR221" s="213"/>
      <c r="DS221" s="217"/>
      <c r="DT221" s="228">
        <f t="shared" si="92"/>
        <v>0</v>
      </c>
      <c r="DU221" s="219" t="s">
        <v>155</v>
      </c>
      <c r="DV221" s="213">
        <v>100</v>
      </c>
      <c r="DW221" s="218">
        <v>125</v>
      </c>
      <c r="DX221" s="214"/>
      <c r="DY221" s="213"/>
      <c r="DZ221" s="219"/>
      <c r="EA221" s="213"/>
      <c r="EB221" s="217"/>
      <c r="EC221" s="187"/>
      <c r="ED221" s="187"/>
      <c r="EE221" s="187"/>
      <c r="EF221" s="217"/>
      <c r="EG221" s="187"/>
      <c r="EH221" s="187"/>
      <c r="EI221" s="187"/>
      <c r="EJ221" s="187"/>
      <c r="EK221" s="187"/>
      <c r="EL221" s="187"/>
      <c r="EM221" s="187"/>
      <c r="EN221" s="187"/>
      <c r="EO221" s="187"/>
      <c r="EP221" s="217"/>
      <c r="EQ221" s="187"/>
      <c r="ER221" s="187"/>
      <c r="ES221" s="187"/>
      <c r="ET221" s="217"/>
      <c r="EU221" s="217"/>
      <c r="EV221" s="187"/>
      <c r="EW221" s="187"/>
      <c r="EX221" s="187"/>
      <c r="EY221" s="217"/>
      <c r="EZ221" s="187"/>
      <c r="FA221" s="187"/>
      <c r="FB221" s="187"/>
      <c r="FC221" s="217"/>
      <c r="FD221" s="187"/>
      <c r="FE221" s="187"/>
      <c r="FF221" s="187"/>
      <c r="FG221" s="217"/>
      <c r="FH221" s="187"/>
      <c r="FI221" s="187"/>
      <c r="FJ221" s="203"/>
      <c r="FK221" s="187"/>
      <c r="FL221" s="187"/>
      <c r="FM221" s="187"/>
      <c r="FN221" s="203"/>
    </row>
    <row r="222" spans="52:170" x14ac:dyDescent="0.25">
      <c r="AZ222" s="186"/>
      <c r="BA222" s="250" t="s">
        <v>347</v>
      </c>
      <c r="BB222" s="251"/>
      <c r="BC222" s="251"/>
      <c r="BD222" s="251"/>
      <c r="BE222" s="252"/>
      <c r="BF222" s="187"/>
      <c r="BG222" s="187"/>
      <c r="BH222" s="187"/>
      <c r="BI222" s="187"/>
      <c r="BJ222" s="187"/>
      <c r="BK222" s="187"/>
      <c r="BL222" s="187"/>
      <c r="BM222" s="187"/>
      <c r="BN222" s="187"/>
      <c r="BO222" s="187"/>
      <c r="BP222" s="187"/>
      <c r="BQ222" s="187"/>
      <c r="BR222" s="187"/>
      <c r="BS222" s="187"/>
      <c r="BT222" s="187"/>
      <c r="BU222" s="187"/>
      <c r="BV222" s="187"/>
      <c r="BW222" s="187"/>
      <c r="BX222" s="187"/>
      <c r="BY222" s="187"/>
      <c r="BZ222" s="187"/>
      <c r="CA222" s="187"/>
      <c r="CB222" s="187"/>
      <c r="CC222" s="187"/>
      <c r="CD222" s="187"/>
      <c r="CE222" s="187"/>
      <c r="CF222" s="187"/>
      <c r="CG222" s="187"/>
      <c r="CH222" s="187"/>
      <c r="CI222" s="187"/>
      <c r="CJ222" s="187"/>
      <c r="CK222" s="187"/>
      <c r="CL222" s="187"/>
      <c r="CM222" s="187"/>
      <c r="CN222" s="187"/>
      <c r="CO222" s="187"/>
      <c r="CP222" s="187"/>
      <c r="CQ222" s="187"/>
      <c r="CR222" s="187"/>
      <c r="CS222" s="187"/>
      <c r="CT222" s="187"/>
      <c r="CU222" s="187"/>
      <c r="CV222" s="216"/>
      <c r="CW222" s="187"/>
      <c r="CX222" s="187"/>
      <c r="CY222" s="187"/>
      <c r="CZ222" s="187"/>
      <c r="DA222" s="187"/>
      <c r="DB222" s="187"/>
      <c r="DC222" s="187"/>
      <c r="DD222" s="187"/>
      <c r="DE222" s="187"/>
      <c r="DF222" s="187"/>
      <c r="DG222" s="187"/>
      <c r="DH222" s="187"/>
      <c r="DI222" s="187"/>
      <c r="DJ222" s="187"/>
      <c r="DK222" s="187"/>
      <c r="DL222" s="187"/>
      <c r="DM222" s="212"/>
      <c r="DN222" s="213"/>
      <c r="DO222" s="214"/>
      <c r="DP222" s="213"/>
      <c r="DQ222" s="219"/>
      <c r="DR222" s="213"/>
      <c r="DS222" s="217"/>
      <c r="DT222" s="228">
        <f t="shared" si="92"/>
        <v>0</v>
      </c>
      <c r="DU222" s="219" t="s">
        <v>156</v>
      </c>
      <c r="DV222" s="213">
        <v>100</v>
      </c>
      <c r="DW222" s="218">
        <v>160</v>
      </c>
      <c r="DX222" s="214"/>
      <c r="DY222" s="213"/>
      <c r="DZ222" s="219"/>
      <c r="EA222" s="213"/>
      <c r="EB222" s="217"/>
      <c r="EC222" s="187"/>
      <c r="ED222" s="187"/>
      <c r="EE222" s="187"/>
      <c r="EF222" s="217"/>
      <c r="EG222" s="187"/>
      <c r="EH222" s="187"/>
      <c r="EI222" s="187"/>
      <c r="EJ222" s="187"/>
      <c r="EK222" s="187"/>
      <c r="EL222" s="187"/>
      <c r="EM222" s="187"/>
      <c r="EN222" s="187"/>
      <c r="EO222" s="187"/>
      <c r="EP222" s="217"/>
      <c r="EQ222" s="187"/>
      <c r="ER222" s="187"/>
      <c r="ES222" s="187"/>
      <c r="ET222" s="217"/>
      <c r="EU222" s="217"/>
      <c r="EV222" s="187"/>
      <c r="EW222" s="187"/>
      <c r="EX222" s="187"/>
      <c r="EY222" s="217"/>
      <c r="EZ222" s="187"/>
      <c r="FA222" s="187"/>
      <c r="FB222" s="187"/>
      <c r="FC222" s="217"/>
      <c r="FD222" s="187"/>
      <c r="FE222" s="187"/>
      <c r="FF222" s="187"/>
      <c r="FG222" s="217"/>
      <c r="FH222" s="187"/>
      <c r="FI222" s="187"/>
      <c r="FJ222" s="203"/>
      <c r="FK222" s="187"/>
      <c r="FL222" s="187"/>
      <c r="FM222" s="187"/>
      <c r="FN222" s="203"/>
    </row>
    <row r="223" spans="52:170" x14ac:dyDescent="0.25">
      <c r="AZ223" s="186"/>
      <c r="BA223" s="253"/>
      <c r="BB223" s="254"/>
      <c r="BC223" s="254"/>
      <c r="BD223" s="254"/>
      <c r="BE223" s="255"/>
      <c r="BF223" s="187"/>
      <c r="BG223" s="187"/>
      <c r="BH223" s="187"/>
      <c r="BI223" s="187"/>
      <c r="BJ223" s="187"/>
      <c r="BK223" s="187"/>
      <c r="BL223" s="187"/>
      <c r="BM223" s="187"/>
      <c r="BN223" s="187"/>
      <c r="BO223" s="187"/>
      <c r="BP223" s="187"/>
      <c r="BQ223" s="187"/>
      <c r="BR223" s="187"/>
      <c r="BS223" s="187"/>
      <c r="BT223" s="187"/>
      <c r="BU223" s="187"/>
      <c r="BV223" s="187"/>
      <c r="BW223" s="187"/>
      <c r="BX223" s="187"/>
      <c r="BY223" s="187"/>
      <c r="BZ223" s="187"/>
      <c r="CA223" s="187"/>
      <c r="CB223" s="187"/>
      <c r="CC223" s="187"/>
      <c r="CD223" s="187"/>
      <c r="CE223" s="187"/>
      <c r="CF223" s="187"/>
      <c r="CG223" s="187"/>
      <c r="CH223" s="187"/>
      <c r="CI223" s="187"/>
      <c r="CJ223" s="187"/>
      <c r="CK223" s="187"/>
      <c r="CL223" s="187"/>
      <c r="CM223" s="187"/>
      <c r="CN223" s="187"/>
      <c r="CO223" s="187"/>
      <c r="CP223" s="187"/>
      <c r="CQ223" s="187"/>
      <c r="CR223" s="187"/>
      <c r="CS223" s="187"/>
      <c r="CT223" s="187"/>
      <c r="CU223" s="187"/>
      <c r="CV223" s="216"/>
      <c r="CW223" s="187"/>
      <c r="CX223" s="187"/>
      <c r="CY223" s="187"/>
      <c r="CZ223" s="187"/>
      <c r="DA223" s="187"/>
      <c r="DB223" s="187"/>
      <c r="DC223" s="187"/>
      <c r="DD223" s="187"/>
      <c r="DE223" s="187"/>
      <c r="DF223" s="187"/>
      <c r="DG223" s="187"/>
      <c r="DH223" s="187"/>
      <c r="DI223" s="187"/>
      <c r="DJ223" s="187"/>
      <c r="DK223" s="187"/>
      <c r="DL223" s="187"/>
      <c r="DM223" s="212"/>
      <c r="DN223" s="213"/>
      <c r="DO223" s="214"/>
      <c r="DP223" s="213"/>
      <c r="DQ223" s="219"/>
      <c r="DR223" s="213"/>
      <c r="DS223" s="217"/>
      <c r="DT223" s="228">
        <f t="shared" si="92"/>
        <v>0</v>
      </c>
      <c r="DU223" s="219" t="s">
        <v>157</v>
      </c>
      <c r="DV223" s="213">
        <v>125</v>
      </c>
      <c r="DW223" s="218">
        <v>250</v>
      </c>
      <c r="DX223" s="214"/>
      <c r="DY223" s="213"/>
      <c r="DZ223" s="219"/>
      <c r="EA223" s="213"/>
      <c r="EB223" s="217"/>
      <c r="EC223" s="187"/>
      <c r="ED223" s="187"/>
      <c r="EE223" s="187"/>
      <c r="EF223" s="217"/>
      <c r="EG223" s="187"/>
      <c r="EH223" s="187"/>
      <c r="EI223" s="187"/>
      <c r="EJ223" s="187"/>
      <c r="EK223" s="187"/>
      <c r="EL223" s="187"/>
      <c r="EM223" s="187"/>
      <c r="EN223" s="187"/>
      <c r="EO223" s="187"/>
      <c r="EP223" s="217"/>
      <c r="EQ223" s="187"/>
      <c r="ER223" s="187"/>
      <c r="ES223" s="187"/>
      <c r="ET223" s="217"/>
      <c r="EU223" s="217"/>
      <c r="EV223" s="187"/>
      <c r="EW223" s="187"/>
      <c r="EX223" s="187"/>
      <c r="EY223" s="217"/>
      <c r="EZ223" s="187"/>
      <c r="FA223" s="187"/>
      <c r="FB223" s="187"/>
      <c r="FC223" s="217"/>
      <c r="FD223" s="187"/>
      <c r="FE223" s="187"/>
      <c r="FF223" s="187"/>
      <c r="FG223" s="217"/>
      <c r="FH223" s="187"/>
      <c r="FI223" s="187"/>
      <c r="FJ223" s="203"/>
      <c r="FK223" s="187"/>
      <c r="FL223" s="187"/>
      <c r="FM223" s="187"/>
      <c r="FN223" s="203"/>
    </row>
    <row r="224" spans="52:170" ht="15.75" thickBot="1" x14ac:dyDescent="0.3">
      <c r="AZ224" s="186"/>
      <c r="BA224" s="253"/>
      <c r="BB224" s="254"/>
      <c r="BC224" s="254"/>
      <c r="BD224" s="254"/>
      <c r="BE224" s="255"/>
      <c r="BF224" s="187"/>
      <c r="BG224" s="187"/>
      <c r="BH224" s="187"/>
      <c r="BI224" s="187"/>
      <c r="BJ224" s="187"/>
      <c r="BK224" s="187"/>
      <c r="BL224" s="187"/>
      <c r="BM224" s="187"/>
      <c r="BN224" s="187"/>
      <c r="BO224" s="187"/>
      <c r="BP224" s="187"/>
      <c r="BQ224" s="187"/>
      <c r="BR224" s="187"/>
      <c r="BS224" s="187"/>
      <c r="BT224" s="187"/>
      <c r="BU224" s="187"/>
      <c r="BV224" s="187"/>
      <c r="BW224" s="187"/>
      <c r="BX224" s="187"/>
      <c r="BY224" s="187"/>
      <c r="BZ224" s="187"/>
      <c r="CA224" s="187"/>
      <c r="CB224" s="187"/>
      <c r="CC224" s="187"/>
      <c r="CD224" s="187"/>
      <c r="CE224" s="187"/>
      <c r="CF224" s="187"/>
      <c r="CG224" s="187"/>
      <c r="CH224" s="187"/>
      <c r="CI224" s="187"/>
      <c r="CJ224" s="187"/>
      <c r="CK224" s="187"/>
      <c r="CL224" s="187"/>
      <c r="CM224" s="187"/>
      <c r="CN224" s="187"/>
      <c r="CO224" s="187"/>
      <c r="CP224" s="187"/>
      <c r="CQ224" s="187"/>
      <c r="CR224" s="187"/>
      <c r="CS224" s="187"/>
      <c r="CT224" s="187"/>
      <c r="CU224" s="187"/>
      <c r="CV224" s="216"/>
      <c r="CW224" s="187"/>
      <c r="CX224" s="187"/>
      <c r="CY224" s="187"/>
      <c r="CZ224" s="187"/>
      <c r="DA224" s="187"/>
      <c r="DB224" s="187"/>
      <c r="DC224" s="187"/>
      <c r="DD224" s="187"/>
      <c r="DE224" s="187"/>
      <c r="DF224" s="187"/>
      <c r="DG224" s="187"/>
      <c r="DH224" s="187"/>
      <c r="DI224" s="187"/>
      <c r="DJ224" s="187"/>
      <c r="DK224" s="187"/>
      <c r="DL224" s="187"/>
      <c r="DM224" s="243"/>
      <c r="DN224" s="244"/>
      <c r="DO224" s="245"/>
      <c r="DP224" s="244"/>
      <c r="DQ224" s="246"/>
      <c r="DR224" s="244"/>
      <c r="DS224" s="247"/>
      <c r="DT224" s="228">
        <f t="shared" si="92"/>
        <v>0</v>
      </c>
      <c r="DU224" s="246" t="s">
        <v>158</v>
      </c>
      <c r="DV224" s="244">
        <v>150</v>
      </c>
      <c r="DW224" s="248">
        <v>315</v>
      </c>
      <c r="DX224" s="245"/>
      <c r="DY224" s="244"/>
      <c r="DZ224" s="246"/>
      <c r="EA224" s="244"/>
      <c r="EB224" s="247"/>
      <c r="EC224" s="240"/>
      <c r="ED224" s="240"/>
      <c r="EE224" s="240"/>
      <c r="EF224" s="247"/>
      <c r="EG224" s="240"/>
      <c r="EH224" s="240"/>
      <c r="EI224" s="240"/>
      <c r="EJ224" s="240"/>
      <c r="EK224" s="240"/>
      <c r="EL224" s="240"/>
      <c r="EM224" s="240"/>
      <c r="EN224" s="240"/>
      <c r="EO224" s="240"/>
      <c r="EP224" s="247"/>
      <c r="EQ224" s="240"/>
      <c r="ER224" s="240"/>
      <c r="ES224" s="240"/>
      <c r="ET224" s="247"/>
      <c r="EU224" s="247"/>
      <c r="EV224" s="240"/>
      <c r="EW224" s="240"/>
      <c r="EX224" s="240"/>
      <c r="EY224" s="247"/>
      <c r="EZ224" s="240"/>
      <c r="FA224" s="240"/>
      <c r="FB224" s="240"/>
      <c r="FC224" s="247"/>
      <c r="FD224" s="240"/>
      <c r="FE224" s="240"/>
      <c r="FF224" s="240"/>
      <c r="FG224" s="247"/>
      <c r="FH224" s="240"/>
      <c r="FI224" s="240"/>
      <c r="FJ224" s="242"/>
      <c r="FK224" s="187"/>
      <c r="FL224" s="187"/>
      <c r="FM224" s="187"/>
      <c r="FN224" s="203"/>
    </row>
    <row r="225" spans="52:170" ht="15.75" thickBot="1" x14ac:dyDescent="0.3">
      <c r="AZ225" s="186"/>
      <c r="BA225" s="256"/>
      <c r="BB225" s="257"/>
      <c r="BC225" s="257"/>
      <c r="BD225" s="257"/>
      <c r="BE225" s="258"/>
      <c r="BF225" s="187"/>
      <c r="BG225" s="187"/>
      <c r="BH225" s="187"/>
      <c r="BI225" s="187"/>
      <c r="BJ225" s="187"/>
      <c r="BK225" s="187"/>
      <c r="BL225" s="187"/>
      <c r="BM225" s="187"/>
      <c r="BN225" s="187"/>
      <c r="BO225" s="187"/>
      <c r="BP225" s="187"/>
      <c r="BQ225" s="187"/>
      <c r="BR225" s="187"/>
      <c r="BS225" s="187"/>
      <c r="BT225" s="187"/>
      <c r="BU225" s="187"/>
      <c r="BV225" s="187"/>
      <c r="BW225" s="187"/>
      <c r="BX225" s="187"/>
      <c r="BY225" s="187"/>
      <c r="BZ225" s="187"/>
      <c r="CA225" s="187"/>
      <c r="CB225" s="187"/>
      <c r="CC225" s="187"/>
      <c r="CD225" s="187"/>
      <c r="CE225" s="187"/>
      <c r="CF225" s="187"/>
      <c r="CG225" s="187"/>
      <c r="CH225" s="187"/>
      <c r="CI225" s="187"/>
      <c r="CJ225" s="187"/>
      <c r="CK225" s="187"/>
      <c r="CL225" s="187"/>
      <c r="CM225" s="187"/>
      <c r="CN225" s="187"/>
      <c r="CO225" s="187"/>
      <c r="CP225" s="187"/>
      <c r="CQ225" s="187"/>
      <c r="CR225" s="187"/>
      <c r="CS225" s="187"/>
      <c r="CT225" s="187"/>
      <c r="CU225" s="187"/>
      <c r="CV225" s="216"/>
      <c r="CW225" s="187"/>
      <c r="CX225" s="187"/>
      <c r="CY225" s="187"/>
      <c r="CZ225" s="187"/>
      <c r="DA225" s="187"/>
      <c r="DB225" s="187"/>
      <c r="DC225" s="187"/>
      <c r="DD225" s="187"/>
      <c r="DE225" s="187"/>
      <c r="DF225" s="187"/>
      <c r="DG225" s="187"/>
      <c r="DH225" s="187"/>
      <c r="DI225" s="187"/>
      <c r="DJ225" s="187"/>
      <c r="DK225" s="187"/>
      <c r="DL225" s="187"/>
      <c r="DM225" s="187"/>
      <c r="DN225" s="187"/>
      <c r="DO225" s="187"/>
      <c r="DP225" s="187"/>
      <c r="DQ225" s="187"/>
      <c r="DR225" s="187"/>
      <c r="DS225" s="187"/>
      <c r="DT225" s="187"/>
      <c r="DU225" s="187"/>
      <c r="DV225" s="187"/>
      <c r="DW225" s="187"/>
      <c r="DX225" s="187"/>
      <c r="DY225" s="187"/>
      <c r="DZ225" s="187"/>
      <c r="EA225" s="187"/>
      <c r="EB225" s="187"/>
      <c r="EC225" s="187"/>
      <c r="ED225" s="187"/>
      <c r="EE225" s="187"/>
      <c r="EF225" s="187"/>
      <c r="EG225" s="187"/>
      <c r="EH225" s="187"/>
      <c r="EI225" s="187"/>
      <c r="EJ225" s="187"/>
      <c r="EK225" s="187"/>
      <c r="EL225" s="187"/>
      <c r="EM225" s="187"/>
      <c r="EN225" s="187"/>
      <c r="EO225" s="187"/>
      <c r="EP225" s="187"/>
      <c r="EQ225" s="187"/>
      <c r="ER225" s="187"/>
      <c r="ES225" s="187"/>
      <c r="ET225" s="187"/>
      <c r="EU225" s="187"/>
      <c r="EV225" s="187"/>
      <c r="EW225" s="187"/>
      <c r="EX225" s="187"/>
      <c r="EY225" s="187"/>
      <c r="EZ225" s="187"/>
      <c r="FA225" s="187"/>
      <c r="FB225" s="187"/>
      <c r="FC225" s="187"/>
      <c r="FD225" s="187"/>
      <c r="FE225" s="187"/>
      <c r="FF225" s="187"/>
      <c r="FG225" s="187"/>
      <c r="FH225" s="187"/>
      <c r="FI225" s="187"/>
      <c r="FJ225" s="187"/>
      <c r="FK225" s="187"/>
      <c r="FL225" s="187"/>
      <c r="FM225" s="187"/>
      <c r="FN225" s="203"/>
    </row>
    <row r="226" spans="52:170" x14ac:dyDescent="0.25">
      <c r="AZ226" s="186"/>
      <c r="BA226" s="187"/>
      <c r="BB226" s="187"/>
      <c r="BC226" s="187"/>
      <c r="BD226" s="187"/>
      <c r="BE226" s="187"/>
      <c r="BF226" s="187"/>
      <c r="BG226" s="187"/>
      <c r="BH226" s="187"/>
      <c r="BI226" s="187"/>
      <c r="BJ226" s="187"/>
      <c r="BK226" s="187"/>
      <c r="BL226" s="187"/>
      <c r="BM226" s="187"/>
      <c r="BN226" s="187"/>
      <c r="BO226" s="187"/>
      <c r="BP226" s="187"/>
      <c r="BQ226" s="187"/>
      <c r="BR226" s="187"/>
      <c r="BS226" s="187"/>
      <c r="BT226" s="187"/>
      <c r="BU226" s="187"/>
      <c r="BV226" s="187"/>
      <c r="BW226" s="187"/>
      <c r="BX226" s="187"/>
      <c r="BY226" s="187"/>
      <c r="BZ226" s="187"/>
      <c r="CA226" s="187"/>
      <c r="CB226" s="187"/>
      <c r="CC226" s="187"/>
      <c r="CD226" s="187"/>
      <c r="CE226" s="187"/>
      <c r="CF226" s="187"/>
      <c r="CG226" s="187"/>
      <c r="CH226" s="187"/>
      <c r="CI226" s="187"/>
      <c r="CJ226" s="187"/>
      <c r="CK226" s="187"/>
      <c r="CL226" s="187"/>
      <c r="CM226" s="187"/>
      <c r="CN226" s="187"/>
      <c r="CO226" s="187"/>
      <c r="CP226" s="187"/>
      <c r="CQ226" s="187"/>
      <c r="CR226" s="187"/>
      <c r="CS226" s="187"/>
      <c r="CT226" s="187"/>
      <c r="CU226" s="187"/>
      <c r="CV226" s="216"/>
      <c r="CW226" s="187"/>
      <c r="CX226" s="187"/>
      <c r="CY226" s="187"/>
      <c r="CZ226" s="187"/>
      <c r="DA226" s="187"/>
      <c r="DB226" s="187"/>
      <c r="DC226" s="187"/>
      <c r="DD226" s="187"/>
      <c r="DE226" s="187"/>
      <c r="DF226" s="187"/>
      <c r="DG226" s="187"/>
      <c r="DH226" s="187"/>
      <c r="DI226" s="187"/>
      <c r="DJ226" s="187"/>
      <c r="DK226" s="187"/>
      <c r="DL226" s="187"/>
      <c r="DM226" s="187"/>
      <c r="DN226" s="187"/>
      <c r="DO226" s="187"/>
      <c r="DP226" s="187"/>
      <c r="DQ226" s="187"/>
      <c r="DR226" s="187"/>
      <c r="DS226" s="187"/>
      <c r="DT226" s="187"/>
      <c r="DU226" s="187"/>
      <c r="DV226" s="187"/>
      <c r="DW226" s="187"/>
      <c r="DX226" s="187"/>
      <c r="DY226" s="187"/>
      <c r="DZ226" s="187"/>
      <c r="EA226" s="187"/>
      <c r="EB226" s="187"/>
      <c r="EC226" s="187"/>
      <c r="ED226" s="187"/>
      <c r="EE226" s="187"/>
      <c r="EF226" s="187"/>
      <c r="EG226" s="187"/>
      <c r="EH226" s="187"/>
      <c r="EI226" s="187"/>
      <c r="EJ226" s="187"/>
      <c r="EK226" s="187"/>
      <c r="EL226" s="187"/>
      <c r="EM226" s="187"/>
      <c r="EN226" s="187"/>
      <c r="EO226" s="187"/>
      <c r="EP226" s="187"/>
      <c r="EQ226" s="187"/>
      <c r="ER226" s="187"/>
      <c r="ES226" s="187"/>
      <c r="ET226" s="187"/>
      <c r="EU226" s="187"/>
      <c r="EV226" s="187"/>
      <c r="EW226" s="187"/>
      <c r="EX226" s="187"/>
      <c r="EY226" s="187"/>
      <c r="EZ226" s="187"/>
      <c r="FA226" s="187"/>
      <c r="FB226" s="187"/>
      <c r="FC226" s="187"/>
      <c r="FD226" s="187"/>
      <c r="FE226" s="187"/>
      <c r="FF226" s="187"/>
      <c r="FG226" s="187"/>
      <c r="FH226" s="187"/>
      <c r="FI226" s="187"/>
      <c r="FJ226" s="187"/>
      <c r="FK226" s="187"/>
      <c r="FL226" s="187"/>
      <c r="FM226" s="187"/>
      <c r="FN226" s="203"/>
    </row>
    <row r="227" spans="52:170" x14ac:dyDescent="0.25">
      <c r="AZ227" s="186"/>
      <c r="BA227" s="187"/>
      <c r="BB227" s="187"/>
      <c r="BC227" s="187"/>
      <c r="BD227" s="187"/>
      <c r="BE227" s="187"/>
      <c r="BF227" s="187"/>
      <c r="BG227" s="187"/>
      <c r="BH227" s="187"/>
      <c r="BI227" s="187"/>
      <c r="BJ227" s="187"/>
      <c r="BK227" s="187"/>
      <c r="BL227" s="187"/>
      <c r="BM227" s="187"/>
      <c r="BN227" s="187"/>
      <c r="BO227" s="187"/>
      <c r="BP227" s="187"/>
      <c r="BQ227" s="187"/>
      <c r="BR227" s="187"/>
      <c r="BS227" s="187"/>
      <c r="BT227" s="187"/>
      <c r="BU227" s="187"/>
      <c r="BV227" s="187"/>
      <c r="BW227" s="187"/>
      <c r="BX227" s="187"/>
      <c r="BY227" s="187"/>
      <c r="BZ227" s="187"/>
      <c r="CA227" s="187"/>
      <c r="CB227" s="187"/>
      <c r="CC227" s="187"/>
      <c r="CD227" s="187"/>
      <c r="CE227" s="187"/>
      <c r="CF227" s="187"/>
      <c r="CG227" s="187"/>
      <c r="CH227" s="187"/>
      <c r="CI227" s="187"/>
      <c r="CJ227" s="187"/>
      <c r="CK227" s="187"/>
      <c r="CL227" s="187"/>
      <c r="CM227" s="187"/>
      <c r="CN227" s="187"/>
      <c r="CO227" s="187"/>
      <c r="CP227" s="187"/>
      <c r="CQ227" s="187"/>
      <c r="CR227" s="187"/>
      <c r="CS227" s="187"/>
      <c r="CT227" s="187"/>
      <c r="CU227" s="187"/>
      <c r="CV227" s="216"/>
      <c r="CW227" s="187"/>
      <c r="CX227" s="187"/>
      <c r="CY227" s="187"/>
      <c r="CZ227" s="187"/>
      <c r="DA227" s="187"/>
      <c r="DB227" s="187"/>
      <c r="DC227" s="187"/>
      <c r="DD227" s="187"/>
      <c r="DE227" s="187"/>
      <c r="DF227" s="187"/>
      <c r="DG227" s="187"/>
      <c r="DH227" s="187"/>
      <c r="DI227" s="187"/>
      <c r="DJ227" s="187"/>
      <c r="DK227" s="187"/>
      <c r="DL227" s="187"/>
      <c r="DM227" s="187"/>
      <c r="DN227" s="187"/>
      <c r="DO227" s="187"/>
      <c r="DP227" s="187"/>
      <c r="DQ227" s="187"/>
      <c r="DR227" s="187"/>
      <c r="DS227" s="187"/>
      <c r="DT227" s="187"/>
      <c r="DU227" s="187"/>
      <c r="DV227" s="187"/>
      <c r="DW227" s="187"/>
      <c r="DX227" s="187"/>
      <c r="DY227" s="187"/>
      <c r="DZ227" s="187"/>
      <c r="EA227" s="187"/>
      <c r="EB227" s="187"/>
      <c r="EC227" s="187"/>
      <c r="ED227" s="187"/>
      <c r="EE227" s="187"/>
      <c r="EF227" s="187"/>
      <c r="EG227" s="187"/>
      <c r="EH227" s="187"/>
      <c r="EI227" s="187"/>
      <c r="EJ227" s="187"/>
      <c r="EK227" s="187"/>
      <c r="EL227" s="187"/>
      <c r="EM227" s="187"/>
      <c r="EN227" s="187"/>
      <c r="EO227" s="187"/>
      <c r="EP227" s="187"/>
      <c r="EQ227" s="187"/>
      <c r="ER227" s="187"/>
      <c r="ES227" s="187"/>
      <c r="ET227" s="187"/>
      <c r="EU227" s="187"/>
      <c r="EV227" s="187"/>
      <c r="EW227" s="187"/>
      <c r="EX227" s="187"/>
      <c r="EY227" s="187"/>
      <c r="EZ227" s="187"/>
      <c r="FA227" s="187"/>
      <c r="FB227" s="187"/>
      <c r="FC227" s="187"/>
      <c r="FD227" s="187"/>
      <c r="FE227" s="187"/>
      <c r="FF227" s="187"/>
      <c r="FG227" s="187"/>
      <c r="FH227" s="187"/>
      <c r="FI227" s="187"/>
      <c r="FJ227" s="187"/>
      <c r="FK227" s="187"/>
      <c r="FL227" s="187"/>
      <c r="FM227" s="187"/>
      <c r="FN227" s="203"/>
    </row>
    <row r="228" spans="52:170" x14ac:dyDescent="0.25">
      <c r="AZ228" s="186"/>
      <c r="BA228" s="187"/>
      <c r="BB228" s="187"/>
      <c r="BC228" s="187"/>
      <c r="BD228" s="187"/>
      <c r="BE228" s="187"/>
      <c r="BF228" s="187"/>
      <c r="BG228" s="187"/>
      <c r="BH228" s="187"/>
      <c r="BI228" s="187"/>
      <c r="BJ228" s="187"/>
      <c r="BK228" s="187"/>
      <c r="BL228" s="187"/>
      <c r="BM228" s="187"/>
      <c r="BN228" s="187"/>
      <c r="BO228" s="187"/>
      <c r="BP228" s="187"/>
      <c r="BQ228" s="187"/>
      <c r="BR228" s="187"/>
      <c r="BS228" s="187"/>
      <c r="BT228" s="187"/>
      <c r="BU228" s="187"/>
      <c r="BV228" s="187"/>
      <c r="BW228" s="187"/>
      <c r="BX228" s="187"/>
      <c r="BY228" s="187"/>
      <c r="BZ228" s="187"/>
      <c r="CA228" s="187"/>
      <c r="CB228" s="187"/>
      <c r="CC228" s="187"/>
      <c r="CD228" s="187"/>
      <c r="CE228" s="187"/>
      <c r="CF228" s="187"/>
      <c r="CG228" s="187"/>
      <c r="CH228" s="187"/>
      <c r="CI228" s="187"/>
      <c r="CJ228" s="187"/>
      <c r="CK228" s="187"/>
      <c r="CL228" s="187"/>
      <c r="CM228" s="187"/>
      <c r="CN228" s="187"/>
      <c r="CO228" s="187"/>
      <c r="CP228" s="187"/>
      <c r="CQ228" s="187"/>
      <c r="CR228" s="187"/>
      <c r="CS228" s="187"/>
      <c r="CT228" s="187"/>
      <c r="CU228" s="187"/>
      <c r="CV228" s="216"/>
      <c r="CW228" s="187"/>
      <c r="CX228" s="187"/>
      <c r="CY228" s="187"/>
      <c r="CZ228" s="187"/>
      <c r="DA228" s="187"/>
      <c r="DB228" s="187"/>
      <c r="DC228" s="187"/>
      <c r="DD228" s="187"/>
      <c r="DE228" s="187"/>
      <c r="DF228" s="187"/>
      <c r="DG228" s="187"/>
      <c r="DH228" s="187"/>
      <c r="DI228" s="187"/>
      <c r="DJ228" s="187"/>
      <c r="DK228" s="187"/>
      <c r="DL228" s="187"/>
      <c r="DM228" s="187"/>
      <c r="DN228" s="187"/>
      <c r="DO228" s="187"/>
      <c r="DP228" s="187"/>
      <c r="DQ228" s="187"/>
      <c r="DR228" s="187"/>
      <c r="DS228" s="187"/>
      <c r="DT228" s="187"/>
      <c r="DU228" s="187"/>
      <c r="DV228" s="187"/>
      <c r="DW228" s="187"/>
      <c r="DX228" s="187"/>
      <c r="DY228" s="187"/>
      <c r="DZ228" s="187"/>
      <c r="EA228" s="187"/>
      <c r="EB228" s="187"/>
      <c r="EC228" s="187"/>
      <c r="ED228" s="187"/>
      <c r="EE228" s="187"/>
      <c r="EF228" s="187"/>
      <c r="EG228" s="187"/>
      <c r="EH228" s="187"/>
      <c r="EI228" s="187"/>
      <c r="EJ228" s="187"/>
      <c r="EK228" s="187"/>
      <c r="EL228" s="187"/>
      <c r="EM228" s="187"/>
      <c r="EN228" s="187"/>
      <c r="EO228" s="187"/>
      <c r="EP228" s="187"/>
      <c r="EQ228" s="187"/>
      <c r="ER228" s="187"/>
      <c r="ES228" s="187"/>
      <c r="ET228" s="187"/>
      <c r="EU228" s="187"/>
      <c r="EV228" s="187"/>
      <c r="EW228" s="187"/>
      <c r="EX228" s="187"/>
      <c r="EY228" s="187"/>
      <c r="EZ228" s="187"/>
      <c r="FA228" s="187"/>
      <c r="FB228" s="187"/>
      <c r="FC228" s="187"/>
      <c r="FD228" s="187"/>
      <c r="FE228" s="187"/>
      <c r="FF228" s="187"/>
      <c r="FG228" s="187"/>
      <c r="FH228" s="187"/>
      <c r="FI228" s="187"/>
      <c r="FJ228" s="187"/>
      <c r="FK228" s="187"/>
      <c r="FL228" s="187"/>
      <c r="FM228" s="187"/>
      <c r="FN228" s="203"/>
    </row>
    <row r="229" spans="52:170" x14ac:dyDescent="0.25">
      <c r="AZ229" s="186"/>
      <c r="BA229" s="187"/>
      <c r="BB229" s="187"/>
      <c r="BC229" s="187"/>
      <c r="BD229" s="187"/>
      <c r="BE229" s="187"/>
      <c r="BF229" s="187"/>
      <c r="BG229" s="187"/>
      <c r="BH229" s="187"/>
      <c r="BI229" s="187"/>
      <c r="BJ229" s="187"/>
      <c r="BK229" s="187"/>
      <c r="BL229" s="187"/>
      <c r="BM229" s="187"/>
      <c r="BN229" s="187"/>
      <c r="BO229" s="187"/>
      <c r="BP229" s="187"/>
      <c r="BQ229" s="187"/>
      <c r="BR229" s="187"/>
      <c r="BS229" s="187"/>
      <c r="BT229" s="187"/>
      <c r="BU229" s="187"/>
      <c r="BV229" s="187"/>
      <c r="BW229" s="187"/>
      <c r="BX229" s="187"/>
      <c r="BY229" s="187"/>
      <c r="BZ229" s="187"/>
      <c r="CA229" s="187"/>
      <c r="CB229" s="187"/>
      <c r="CC229" s="187"/>
      <c r="CD229" s="187"/>
      <c r="CE229" s="187"/>
      <c r="CF229" s="187"/>
      <c r="CG229" s="187"/>
      <c r="CH229" s="187"/>
      <c r="CI229" s="187"/>
      <c r="CJ229" s="187"/>
      <c r="CK229" s="187"/>
      <c r="CL229" s="187"/>
      <c r="CM229" s="187"/>
      <c r="CN229" s="187"/>
      <c r="CO229" s="187"/>
      <c r="CP229" s="187"/>
      <c r="CQ229" s="187"/>
      <c r="CR229" s="187"/>
      <c r="CS229" s="187"/>
      <c r="CT229" s="187"/>
      <c r="CU229" s="187"/>
      <c r="CV229" s="216"/>
      <c r="CW229" s="187"/>
      <c r="CX229" s="187"/>
      <c r="CY229" s="187"/>
      <c r="CZ229" s="187"/>
      <c r="DA229" s="187"/>
      <c r="DB229" s="187"/>
      <c r="DC229" s="187"/>
      <c r="DD229" s="187"/>
      <c r="DE229" s="187"/>
      <c r="DF229" s="187"/>
      <c r="DG229" s="187"/>
      <c r="DH229" s="187"/>
      <c r="DI229" s="187"/>
      <c r="DJ229" s="187"/>
      <c r="DK229" s="187"/>
      <c r="DL229" s="187"/>
      <c r="DM229" s="187"/>
      <c r="DN229" s="187"/>
      <c r="DO229" s="187"/>
      <c r="DP229" s="187"/>
      <c r="DQ229" s="187"/>
      <c r="DR229" s="187"/>
      <c r="DS229" s="187"/>
      <c r="DT229" s="187"/>
      <c r="DU229" s="187"/>
      <c r="DV229" s="187"/>
      <c r="DW229" s="187"/>
      <c r="DX229" s="187"/>
      <c r="DY229" s="187"/>
      <c r="DZ229" s="187"/>
      <c r="EA229" s="187"/>
      <c r="EB229" s="187"/>
      <c r="EC229" s="187"/>
      <c r="ED229" s="187"/>
      <c r="EE229" s="187"/>
      <c r="EF229" s="187"/>
      <c r="EG229" s="187"/>
      <c r="EH229" s="187"/>
      <c r="EI229" s="187"/>
      <c r="EJ229" s="187"/>
      <c r="EK229" s="187"/>
      <c r="EL229" s="187"/>
      <c r="EM229" s="187"/>
      <c r="EN229" s="187"/>
      <c r="EO229" s="187"/>
      <c r="EP229" s="187"/>
      <c r="EQ229" s="187"/>
      <c r="ER229" s="187"/>
      <c r="ES229" s="187"/>
      <c r="ET229" s="187"/>
      <c r="EU229" s="187"/>
      <c r="EV229" s="187"/>
      <c r="EW229" s="187"/>
      <c r="EX229" s="187"/>
      <c r="EY229" s="187"/>
      <c r="EZ229" s="187"/>
      <c r="FA229" s="187"/>
      <c r="FB229" s="187"/>
      <c r="FC229" s="187"/>
      <c r="FD229" s="187"/>
      <c r="FE229" s="187"/>
      <c r="FF229" s="187"/>
      <c r="FG229" s="187"/>
      <c r="FH229" s="187"/>
      <c r="FI229" s="187"/>
      <c r="FJ229" s="187"/>
      <c r="FK229" s="187"/>
      <c r="FL229" s="187"/>
      <c r="FM229" s="187"/>
      <c r="FN229" s="203"/>
    </row>
    <row r="230" spans="52:170" x14ac:dyDescent="0.25">
      <c r="AZ230" s="186"/>
      <c r="BA230" s="187"/>
      <c r="BB230" s="187"/>
      <c r="BC230" s="187"/>
      <c r="BD230" s="187"/>
      <c r="BE230" s="187"/>
      <c r="BF230" s="187"/>
      <c r="BG230" s="187"/>
      <c r="BH230" s="187"/>
      <c r="BI230" s="187"/>
      <c r="BJ230" s="187"/>
      <c r="BK230" s="187"/>
      <c r="BL230" s="187"/>
      <c r="BM230" s="187"/>
      <c r="BN230" s="187"/>
      <c r="BO230" s="187"/>
      <c r="BP230" s="187"/>
      <c r="BQ230" s="187"/>
      <c r="BR230" s="187"/>
      <c r="BS230" s="187"/>
      <c r="BT230" s="187"/>
      <c r="BU230" s="187"/>
      <c r="BV230" s="187"/>
      <c r="BW230" s="187"/>
      <c r="BX230" s="187"/>
      <c r="BY230" s="187"/>
      <c r="BZ230" s="187"/>
      <c r="CA230" s="187"/>
      <c r="CB230" s="187"/>
      <c r="CC230" s="187"/>
      <c r="CD230" s="187"/>
      <c r="CE230" s="187"/>
      <c r="CF230" s="187"/>
      <c r="CG230" s="187"/>
      <c r="CH230" s="187"/>
      <c r="CI230" s="187"/>
      <c r="CJ230" s="187"/>
      <c r="CK230" s="187"/>
      <c r="CL230" s="187"/>
      <c r="CM230" s="187"/>
      <c r="CN230" s="187"/>
      <c r="CO230" s="187"/>
      <c r="CP230" s="187"/>
      <c r="CQ230" s="187"/>
      <c r="CR230" s="187"/>
      <c r="CS230" s="187"/>
      <c r="CT230" s="187"/>
      <c r="CU230" s="187"/>
      <c r="CV230" s="216"/>
      <c r="CW230" s="187"/>
      <c r="CX230" s="187"/>
      <c r="CY230" s="187"/>
      <c r="CZ230" s="187"/>
      <c r="DA230" s="187"/>
      <c r="DB230" s="187"/>
      <c r="DC230" s="187"/>
      <c r="DD230" s="187"/>
      <c r="DE230" s="187"/>
      <c r="DF230" s="187"/>
      <c r="DG230" s="187"/>
      <c r="DH230" s="187"/>
      <c r="DI230" s="187"/>
      <c r="DJ230" s="187"/>
      <c r="DK230" s="187"/>
      <c r="DL230" s="187"/>
      <c r="DM230" s="187"/>
      <c r="DN230" s="187"/>
      <c r="DO230" s="187"/>
      <c r="DP230" s="187"/>
      <c r="DQ230" s="187"/>
      <c r="DR230" s="187"/>
      <c r="DS230" s="187"/>
      <c r="DT230" s="187"/>
      <c r="DU230" s="187"/>
      <c r="DV230" s="187"/>
      <c r="DW230" s="187"/>
      <c r="DX230" s="187"/>
      <c r="DY230" s="187"/>
      <c r="DZ230" s="187"/>
      <c r="EA230" s="187"/>
      <c r="EB230" s="187"/>
      <c r="EC230" s="187"/>
      <c r="ED230" s="187"/>
      <c r="EE230" s="187"/>
      <c r="EF230" s="187"/>
      <c r="EG230" s="187"/>
      <c r="EH230" s="187"/>
      <c r="EI230" s="187"/>
      <c r="EJ230" s="187"/>
      <c r="EK230" s="187"/>
      <c r="EL230" s="187"/>
      <c r="EM230" s="187"/>
      <c r="EN230" s="187"/>
      <c r="EO230" s="187"/>
      <c r="EP230" s="187"/>
      <c r="EQ230" s="187"/>
      <c r="ER230" s="187"/>
      <c r="ES230" s="187"/>
      <c r="ET230" s="187"/>
      <c r="EU230" s="187"/>
      <c r="EV230" s="187"/>
      <c r="EW230" s="187"/>
      <c r="EX230" s="187"/>
      <c r="EY230" s="187"/>
      <c r="EZ230" s="187"/>
      <c r="FA230" s="187"/>
      <c r="FB230" s="187"/>
      <c r="FC230" s="187"/>
      <c r="FD230" s="187"/>
      <c r="FE230" s="187"/>
      <c r="FF230" s="187"/>
      <c r="FG230" s="187"/>
      <c r="FH230" s="187"/>
      <c r="FI230" s="187"/>
      <c r="FJ230" s="187"/>
      <c r="FK230" s="187"/>
      <c r="FL230" s="187"/>
      <c r="FM230" s="187"/>
      <c r="FN230" s="203"/>
    </row>
    <row r="231" spans="52:170" x14ac:dyDescent="0.25">
      <c r="AZ231" s="186"/>
      <c r="BA231" s="187"/>
      <c r="BB231" s="187"/>
      <c r="BC231" s="187"/>
      <c r="BD231" s="187"/>
      <c r="BE231" s="187"/>
      <c r="BF231" s="187"/>
      <c r="BG231" s="187"/>
      <c r="BH231" s="187"/>
      <c r="BI231" s="187"/>
      <c r="BJ231" s="187"/>
      <c r="BK231" s="187"/>
      <c r="BL231" s="187"/>
      <c r="BM231" s="187"/>
      <c r="BN231" s="187"/>
      <c r="BO231" s="187"/>
      <c r="BP231" s="187"/>
      <c r="BQ231" s="187"/>
      <c r="BR231" s="187"/>
      <c r="BS231" s="187"/>
      <c r="BT231" s="187"/>
      <c r="BU231" s="187"/>
      <c r="BV231" s="187"/>
      <c r="BW231" s="187"/>
      <c r="BX231" s="187"/>
      <c r="BY231" s="187"/>
      <c r="BZ231" s="187"/>
      <c r="CA231" s="187"/>
      <c r="CB231" s="187"/>
      <c r="CC231" s="187"/>
      <c r="CD231" s="187"/>
      <c r="CE231" s="187"/>
      <c r="CF231" s="187"/>
      <c r="CG231" s="187"/>
      <c r="CH231" s="187"/>
      <c r="CI231" s="187"/>
      <c r="CJ231" s="187"/>
      <c r="CK231" s="187"/>
      <c r="CL231" s="187"/>
      <c r="CM231" s="187"/>
      <c r="CN231" s="187"/>
      <c r="CO231" s="187"/>
      <c r="CP231" s="187"/>
      <c r="CQ231" s="187"/>
      <c r="CR231" s="187"/>
      <c r="CS231" s="187"/>
      <c r="CT231" s="187"/>
      <c r="CU231" s="187"/>
      <c r="CV231" s="216"/>
      <c r="CW231" s="187"/>
      <c r="CX231" s="187"/>
      <c r="CY231" s="187"/>
      <c r="CZ231" s="187"/>
      <c r="DA231" s="187"/>
      <c r="DB231" s="187"/>
      <c r="DC231" s="187"/>
      <c r="DD231" s="187"/>
      <c r="DE231" s="187"/>
      <c r="DF231" s="187"/>
      <c r="DG231" s="187"/>
      <c r="DH231" s="187"/>
      <c r="DI231" s="187"/>
      <c r="DJ231" s="187"/>
      <c r="DK231" s="187"/>
      <c r="DL231" s="187"/>
      <c r="DM231" s="187"/>
      <c r="DN231" s="187"/>
      <c r="DO231" s="187"/>
      <c r="DP231" s="187"/>
      <c r="DQ231" s="187"/>
      <c r="DR231" s="187"/>
      <c r="DS231" s="187"/>
      <c r="DT231" s="187"/>
      <c r="DU231" s="187"/>
      <c r="DV231" s="187"/>
      <c r="DW231" s="187"/>
      <c r="DX231" s="187"/>
      <c r="DY231" s="187"/>
      <c r="DZ231" s="187"/>
      <c r="EA231" s="187"/>
      <c r="EB231" s="187"/>
      <c r="EC231" s="187"/>
      <c r="ED231" s="187"/>
      <c r="EE231" s="187"/>
      <c r="EF231" s="187"/>
      <c r="EG231" s="187"/>
      <c r="EH231" s="187"/>
      <c r="EI231" s="187"/>
      <c r="EJ231" s="187"/>
      <c r="EK231" s="187"/>
      <c r="EL231" s="187"/>
      <c r="EM231" s="187"/>
      <c r="EN231" s="187"/>
      <c r="EO231" s="187"/>
      <c r="EP231" s="187"/>
      <c r="EQ231" s="187"/>
      <c r="ER231" s="187"/>
      <c r="ES231" s="187"/>
      <c r="ET231" s="187"/>
      <c r="EU231" s="187"/>
      <c r="EV231" s="187"/>
      <c r="EW231" s="187"/>
      <c r="EX231" s="187"/>
      <c r="EY231" s="187"/>
      <c r="EZ231" s="187"/>
      <c r="FA231" s="187"/>
      <c r="FB231" s="187"/>
      <c r="FC231" s="187"/>
      <c r="FD231" s="187"/>
      <c r="FE231" s="187"/>
      <c r="FF231" s="187"/>
      <c r="FG231" s="187"/>
      <c r="FH231" s="187"/>
      <c r="FI231" s="187"/>
      <c r="FJ231" s="187"/>
      <c r="FK231" s="187"/>
      <c r="FL231" s="187"/>
      <c r="FM231" s="187"/>
      <c r="FN231" s="203"/>
    </row>
    <row r="232" spans="52:170" x14ac:dyDescent="0.25">
      <c r="AZ232" s="186"/>
      <c r="BA232" s="187"/>
      <c r="BB232" s="187"/>
      <c r="BC232" s="187"/>
      <c r="BD232" s="187"/>
      <c r="BE232" s="187"/>
      <c r="BF232" s="187"/>
      <c r="BG232" s="187"/>
      <c r="BH232" s="187"/>
      <c r="BI232" s="187"/>
      <c r="BJ232" s="187"/>
      <c r="BK232" s="187"/>
      <c r="BL232" s="187"/>
      <c r="BM232" s="187"/>
      <c r="BN232" s="187"/>
      <c r="BO232" s="187"/>
      <c r="BP232" s="187"/>
      <c r="BQ232" s="187"/>
      <c r="BR232" s="187"/>
      <c r="BS232" s="187"/>
      <c r="BT232" s="187"/>
      <c r="BU232" s="187"/>
      <c r="BV232" s="187"/>
      <c r="BW232" s="187"/>
      <c r="BX232" s="187"/>
      <c r="BY232" s="187"/>
      <c r="BZ232" s="187"/>
      <c r="CA232" s="187"/>
      <c r="CB232" s="187"/>
      <c r="CC232" s="187"/>
      <c r="CD232" s="187"/>
      <c r="CE232" s="187"/>
      <c r="CF232" s="187"/>
      <c r="CG232" s="187"/>
      <c r="CH232" s="187"/>
      <c r="CI232" s="187"/>
      <c r="CJ232" s="187"/>
      <c r="CK232" s="187"/>
      <c r="CL232" s="187"/>
      <c r="CM232" s="187"/>
      <c r="CN232" s="187"/>
      <c r="CO232" s="187"/>
      <c r="CP232" s="187"/>
      <c r="CQ232" s="187"/>
      <c r="CR232" s="187"/>
      <c r="CS232" s="187"/>
      <c r="CT232" s="187"/>
      <c r="CU232" s="187"/>
      <c r="CV232" s="216"/>
      <c r="CW232" s="187"/>
      <c r="CX232" s="187"/>
      <c r="CY232" s="187"/>
      <c r="CZ232" s="187"/>
      <c r="DA232" s="187"/>
      <c r="DB232" s="187"/>
      <c r="DC232" s="187"/>
      <c r="DD232" s="187"/>
      <c r="DE232" s="187"/>
      <c r="DF232" s="187"/>
      <c r="DG232" s="187"/>
      <c r="DH232" s="187"/>
      <c r="DI232" s="187"/>
      <c r="DJ232" s="187"/>
      <c r="DK232" s="187"/>
      <c r="DL232" s="187"/>
      <c r="DM232" s="187"/>
      <c r="DN232" s="187"/>
      <c r="DO232" s="187"/>
      <c r="DP232" s="187"/>
      <c r="DQ232" s="187"/>
      <c r="DR232" s="187"/>
      <c r="DS232" s="187"/>
      <c r="DT232" s="187"/>
      <c r="DU232" s="187"/>
      <c r="DV232" s="187"/>
      <c r="DW232" s="187"/>
      <c r="DX232" s="187"/>
      <c r="DY232" s="187"/>
      <c r="DZ232" s="187"/>
      <c r="EA232" s="187"/>
      <c r="EB232" s="187"/>
      <c r="EC232" s="187"/>
      <c r="ED232" s="187"/>
      <c r="EE232" s="187"/>
      <c r="EF232" s="187"/>
      <c r="EG232" s="187"/>
      <c r="EH232" s="187"/>
      <c r="EI232" s="187"/>
      <c r="EJ232" s="187"/>
      <c r="EK232" s="187"/>
      <c r="EL232" s="187"/>
      <c r="EM232" s="187"/>
      <c r="EN232" s="187"/>
      <c r="EO232" s="187"/>
      <c r="EP232" s="187"/>
      <c r="EQ232" s="187"/>
      <c r="ER232" s="187"/>
      <c r="ES232" s="187"/>
      <c r="ET232" s="187"/>
      <c r="EU232" s="187"/>
      <c r="EV232" s="187"/>
      <c r="EW232" s="187"/>
      <c r="EX232" s="187"/>
      <c r="EY232" s="187"/>
      <c r="EZ232" s="187"/>
      <c r="FA232" s="187"/>
      <c r="FB232" s="187"/>
      <c r="FC232" s="187"/>
      <c r="FD232" s="187"/>
      <c r="FE232" s="187"/>
      <c r="FF232" s="187"/>
      <c r="FG232" s="187"/>
      <c r="FH232" s="187"/>
      <c r="FI232" s="187"/>
      <c r="FJ232" s="187"/>
      <c r="FK232" s="187"/>
      <c r="FL232" s="187"/>
      <c r="FM232" s="187"/>
      <c r="FN232" s="203"/>
    </row>
    <row r="233" spans="52:170" x14ac:dyDescent="0.25">
      <c r="AZ233" s="186"/>
      <c r="BA233" s="187"/>
      <c r="BB233" s="187"/>
      <c r="BC233" s="187"/>
      <c r="BD233" s="187"/>
      <c r="BE233" s="187"/>
      <c r="BF233" s="187"/>
      <c r="BG233" s="187"/>
      <c r="BH233" s="187"/>
      <c r="BI233" s="187"/>
      <c r="BJ233" s="187"/>
      <c r="BK233" s="187"/>
      <c r="BL233" s="187"/>
      <c r="BM233" s="187"/>
      <c r="BN233" s="187"/>
      <c r="BO233" s="187"/>
      <c r="BP233" s="187"/>
      <c r="BQ233" s="187"/>
      <c r="BR233" s="187"/>
      <c r="BS233" s="187"/>
      <c r="BT233" s="187"/>
      <c r="BU233" s="187"/>
      <c r="BV233" s="187"/>
      <c r="BW233" s="187"/>
      <c r="BX233" s="187"/>
      <c r="BY233" s="187"/>
      <c r="BZ233" s="187"/>
      <c r="CA233" s="187"/>
      <c r="CB233" s="187"/>
      <c r="CC233" s="187"/>
      <c r="CD233" s="187"/>
      <c r="CE233" s="187"/>
      <c r="CF233" s="187"/>
      <c r="CG233" s="187"/>
      <c r="CH233" s="187"/>
      <c r="CI233" s="187"/>
      <c r="CJ233" s="187"/>
      <c r="CK233" s="187"/>
      <c r="CL233" s="187"/>
      <c r="CM233" s="187"/>
      <c r="CN233" s="187"/>
      <c r="CO233" s="187"/>
      <c r="CP233" s="187"/>
      <c r="CQ233" s="187"/>
      <c r="CR233" s="187"/>
      <c r="CS233" s="187"/>
      <c r="CT233" s="187"/>
      <c r="CU233" s="187"/>
      <c r="CV233" s="216"/>
      <c r="CW233" s="187"/>
      <c r="CX233" s="187"/>
      <c r="CY233" s="187"/>
      <c r="CZ233" s="187"/>
      <c r="DA233" s="187"/>
      <c r="DB233" s="187"/>
      <c r="DC233" s="187"/>
      <c r="DD233" s="187"/>
      <c r="DE233" s="187"/>
      <c r="DF233" s="187"/>
      <c r="DG233" s="187"/>
      <c r="DH233" s="187"/>
      <c r="DI233" s="187"/>
      <c r="DJ233" s="187"/>
      <c r="DK233" s="187"/>
      <c r="DL233" s="187"/>
      <c r="DM233" s="187"/>
      <c r="DN233" s="187"/>
      <c r="DO233" s="187"/>
      <c r="DP233" s="187"/>
      <c r="DQ233" s="187"/>
      <c r="DR233" s="187"/>
      <c r="DS233" s="187"/>
      <c r="DT233" s="187"/>
      <c r="DU233" s="187"/>
      <c r="DV233" s="187"/>
      <c r="DW233" s="187"/>
      <c r="DX233" s="187"/>
      <c r="DY233" s="187"/>
      <c r="DZ233" s="187"/>
      <c r="EA233" s="187"/>
      <c r="EB233" s="187"/>
      <c r="EC233" s="187"/>
      <c r="ED233" s="187"/>
      <c r="EE233" s="187"/>
      <c r="EF233" s="187"/>
      <c r="EG233" s="187"/>
      <c r="EH233" s="187"/>
      <c r="EI233" s="187"/>
      <c r="EJ233" s="187"/>
      <c r="EK233" s="187"/>
      <c r="EL233" s="187"/>
      <c r="EM233" s="187"/>
      <c r="EN233" s="187"/>
      <c r="EO233" s="187"/>
      <c r="EP233" s="187"/>
      <c r="EQ233" s="187"/>
      <c r="ER233" s="187"/>
      <c r="ES233" s="187"/>
      <c r="ET233" s="187"/>
      <c r="EU233" s="187"/>
      <c r="EV233" s="187"/>
      <c r="EW233" s="187"/>
      <c r="EX233" s="187"/>
      <c r="EY233" s="187"/>
      <c r="EZ233" s="187"/>
      <c r="FA233" s="187"/>
      <c r="FB233" s="187"/>
      <c r="FC233" s="187"/>
      <c r="FD233" s="187"/>
      <c r="FE233" s="187"/>
      <c r="FF233" s="187"/>
      <c r="FG233" s="187"/>
      <c r="FH233" s="187"/>
      <c r="FI233" s="187"/>
      <c r="FJ233" s="187"/>
      <c r="FK233" s="187"/>
      <c r="FL233" s="187"/>
      <c r="FM233" s="187"/>
      <c r="FN233" s="203"/>
    </row>
    <row r="234" spans="52:170" x14ac:dyDescent="0.25">
      <c r="AZ234" s="186"/>
      <c r="BA234" s="187"/>
      <c r="BB234" s="187"/>
      <c r="BC234" s="187"/>
      <c r="BD234" s="187"/>
      <c r="BE234" s="187"/>
      <c r="BF234" s="187"/>
      <c r="BG234" s="187"/>
      <c r="BH234" s="187"/>
      <c r="BI234" s="187"/>
      <c r="BJ234" s="187"/>
      <c r="BK234" s="187"/>
      <c r="BL234" s="187"/>
      <c r="BM234" s="187"/>
      <c r="BN234" s="187"/>
      <c r="BO234" s="187"/>
      <c r="BP234" s="187"/>
      <c r="BQ234" s="187"/>
      <c r="BR234" s="187"/>
      <c r="BS234" s="187"/>
      <c r="BT234" s="187"/>
      <c r="BU234" s="187"/>
      <c r="BV234" s="187"/>
      <c r="BW234" s="187"/>
      <c r="BX234" s="187"/>
      <c r="BY234" s="187"/>
      <c r="BZ234" s="187"/>
      <c r="CA234" s="187"/>
      <c r="CB234" s="187"/>
      <c r="CC234" s="187"/>
      <c r="CD234" s="187"/>
      <c r="CE234" s="187"/>
      <c r="CF234" s="187"/>
      <c r="CG234" s="187"/>
      <c r="CH234" s="187"/>
      <c r="CI234" s="187"/>
      <c r="CJ234" s="187"/>
      <c r="CK234" s="187"/>
      <c r="CL234" s="187"/>
      <c r="CM234" s="187"/>
      <c r="CN234" s="187"/>
      <c r="CO234" s="187"/>
      <c r="CP234" s="187"/>
      <c r="CQ234" s="187"/>
      <c r="CR234" s="187"/>
      <c r="CS234" s="187"/>
      <c r="CT234" s="187"/>
      <c r="CU234" s="187"/>
      <c r="CV234" s="216"/>
      <c r="CW234" s="187"/>
      <c r="CX234" s="187"/>
      <c r="CY234" s="187"/>
      <c r="CZ234" s="187"/>
      <c r="DA234" s="187"/>
      <c r="DB234" s="187"/>
      <c r="DC234" s="187"/>
      <c r="DD234" s="187"/>
      <c r="DE234" s="187"/>
      <c r="DF234" s="187"/>
      <c r="DG234" s="187"/>
      <c r="DH234" s="187"/>
      <c r="DI234" s="187"/>
      <c r="DJ234" s="187"/>
      <c r="DK234" s="187"/>
      <c r="DL234" s="187"/>
      <c r="DM234" s="187"/>
      <c r="DN234" s="187"/>
      <c r="DO234" s="187"/>
      <c r="DP234" s="187"/>
      <c r="DQ234" s="187"/>
      <c r="DR234" s="187"/>
      <c r="DS234" s="187"/>
      <c r="DT234" s="187"/>
      <c r="DU234" s="187"/>
      <c r="DV234" s="187"/>
      <c r="DW234" s="187"/>
      <c r="DX234" s="187"/>
      <c r="DY234" s="187"/>
      <c r="DZ234" s="187"/>
      <c r="EA234" s="187"/>
      <c r="EB234" s="187"/>
      <c r="EC234" s="187"/>
      <c r="ED234" s="187"/>
      <c r="EE234" s="187"/>
      <c r="EF234" s="187"/>
      <c r="EG234" s="187"/>
      <c r="EH234" s="187"/>
      <c r="EI234" s="187"/>
      <c r="EJ234" s="187"/>
      <c r="EK234" s="187"/>
      <c r="EL234" s="187"/>
      <c r="EM234" s="187"/>
      <c r="EN234" s="187"/>
      <c r="EO234" s="187"/>
      <c r="EP234" s="187"/>
      <c r="EQ234" s="187"/>
      <c r="ER234" s="187"/>
      <c r="ES234" s="187"/>
      <c r="ET234" s="187"/>
      <c r="EU234" s="187"/>
      <c r="EV234" s="187"/>
      <c r="EW234" s="187"/>
      <c r="EX234" s="187"/>
      <c r="EY234" s="187"/>
      <c r="EZ234" s="187"/>
      <c r="FA234" s="187"/>
      <c r="FB234" s="187"/>
      <c r="FC234" s="187"/>
      <c r="FD234" s="187"/>
      <c r="FE234" s="187"/>
      <c r="FF234" s="187"/>
      <c r="FG234" s="187"/>
      <c r="FH234" s="187"/>
      <c r="FI234" s="187"/>
      <c r="FJ234" s="187"/>
      <c r="FK234" s="187"/>
      <c r="FL234" s="187"/>
      <c r="FM234" s="187"/>
      <c r="FN234" s="203"/>
    </row>
    <row r="235" spans="52:170" x14ac:dyDescent="0.25">
      <c r="AZ235" s="186"/>
      <c r="BA235" s="187"/>
      <c r="BB235" s="187"/>
      <c r="BC235" s="187"/>
      <c r="BD235" s="187"/>
      <c r="BE235" s="187"/>
      <c r="BF235" s="187"/>
      <c r="BG235" s="187"/>
      <c r="BH235" s="187"/>
      <c r="BI235" s="187"/>
      <c r="BJ235" s="187"/>
      <c r="BK235" s="187"/>
      <c r="BL235" s="187"/>
      <c r="BM235" s="187"/>
      <c r="BN235" s="187"/>
      <c r="BO235" s="187"/>
      <c r="BP235" s="187"/>
      <c r="BQ235" s="187"/>
      <c r="BR235" s="187"/>
      <c r="BS235" s="187"/>
      <c r="BT235" s="187"/>
      <c r="BU235" s="187"/>
      <c r="BV235" s="187"/>
      <c r="BW235" s="187"/>
      <c r="BX235" s="187"/>
      <c r="BY235" s="187"/>
      <c r="BZ235" s="187"/>
      <c r="CA235" s="187"/>
      <c r="CB235" s="187"/>
      <c r="CC235" s="187"/>
      <c r="CD235" s="187"/>
      <c r="CE235" s="187"/>
      <c r="CF235" s="187"/>
      <c r="CG235" s="187"/>
      <c r="CH235" s="187"/>
      <c r="CI235" s="187"/>
      <c r="CJ235" s="187"/>
      <c r="CK235" s="187"/>
      <c r="CL235" s="187"/>
      <c r="CM235" s="187"/>
      <c r="CN235" s="187"/>
      <c r="CO235" s="187"/>
      <c r="CP235" s="187"/>
      <c r="CQ235" s="187"/>
      <c r="CR235" s="187"/>
      <c r="CS235" s="187"/>
      <c r="CT235" s="187"/>
      <c r="CU235" s="187"/>
      <c r="CV235" s="216"/>
      <c r="CW235" s="187"/>
      <c r="CX235" s="187"/>
      <c r="CY235" s="187"/>
      <c r="CZ235" s="187"/>
      <c r="DA235" s="187"/>
      <c r="DB235" s="187"/>
      <c r="DC235" s="187"/>
      <c r="DD235" s="187"/>
      <c r="DE235" s="187"/>
      <c r="DF235" s="187"/>
      <c r="DG235" s="187"/>
      <c r="DH235" s="187"/>
      <c r="DI235" s="187"/>
      <c r="DJ235" s="187"/>
      <c r="DK235" s="187"/>
      <c r="DL235" s="187"/>
      <c r="DM235" s="187"/>
      <c r="DN235" s="187"/>
      <c r="DO235" s="187"/>
      <c r="DP235" s="187"/>
      <c r="DQ235" s="187"/>
      <c r="DR235" s="187"/>
      <c r="DS235" s="187"/>
      <c r="DT235" s="187"/>
      <c r="DU235" s="187"/>
      <c r="DV235" s="187"/>
      <c r="DW235" s="187"/>
      <c r="DX235" s="187"/>
      <c r="DY235" s="187"/>
      <c r="DZ235" s="187"/>
      <c r="EA235" s="187"/>
      <c r="EB235" s="187"/>
      <c r="EC235" s="187"/>
      <c r="ED235" s="187"/>
      <c r="EE235" s="187"/>
      <c r="EF235" s="187"/>
      <c r="EG235" s="187"/>
      <c r="EH235" s="187"/>
      <c r="EI235" s="187"/>
      <c r="EJ235" s="187"/>
      <c r="EK235" s="187"/>
      <c r="EL235" s="187"/>
      <c r="EM235" s="187"/>
      <c r="EN235" s="187"/>
      <c r="EO235" s="187"/>
      <c r="EP235" s="187"/>
      <c r="EQ235" s="187"/>
      <c r="ER235" s="187"/>
      <c r="ES235" s="187"/>
      <c r="ET235" s="187"/>
      <c r="EU235" s="187"/>
      <c r="EV235" s="187"/>
      <c r="EW235" s="187"/>
      <c r="EX235" s="187"/>
      <c r="EY235" s="187"/>
      <c r="EZ235" s="187"/>
      <c r="FA235" s="187"/>
      <c r="FB235" s="187"/>
      <c r="FC235" s="187"/>
      <c r="FD235" s="187"/>
      <c r="FE235" s="187"/>
      <c r="FF235" s="187"/>
      <c r="FG235" s="187"/>
      <c r="FH235" s="187"/>
      <c r="FI235" s="187"/>
      <c r="FJ235" s="187"/>
      <c r="FK235" s="187"/>
      <c r="FL235" s="187"/>
      <c r="FM235" s="187"/>
      <c r="FN235" s="203"/>
    </row>
    <row r="236" spans="52:170" x14ac:dyDescent="0.25">
      <c r="AZ236" s="186"/>
      <c r="BA236" s="187"/>
      <c r="BB236" s="187"/>
      <c r="BC236" s="187"/>
      <c r="BD236" s="187"/>
      <c r="BE236" s="187"/>
      <c r="BF236" s="187"/>
      <c r="BG236" s="187"/>
      <c r="BH236" s="187"/>
      <c r="BI236" s="187"/>
      <c r="BJ236" s="187"/>
      <c r="BK236" s="187"/>
      <c r="BL236" s="187"/>
      <c r="BM236" s="187"/>
      <c r="BN236" s="187"/>
      <c r="BO236" s="187"/>
      <c r="BP236" s="187"/>
      <c r="BQ236" s="187"/>
      <c r="BR236" s="187"/>
      <c r="BS236" s="187"/>
      <c r="BT236" s="187"/>
      <c r="BU236" s="187"/>
      <c r="BV236" s="187"/>
      <c r="BW236" s="187"/>
      <c r="BX236" s="187"/>
      <c r="BY236" s="187"/>
      <c r="BZ236" s="187"/>
      <c r="CA236" s="187"/>
      <c r="CB236" s="187"/>
      <c r="CC236" s="187"/>
      <c r="CD236" s="187"/>
      <c r="CE236" s="187"/>
      <c r="CF236" s="187"/>
      <c r="CG236" s="187"/>
      <c r="CH236" s="187"/>
      <c r="CI236" s="187"/>
      <c r="CJ236" s="187"/>
      <c r="CK236" s="187"/>
      <c r="CL236" s="187"/>
      <c r="CM236" s="187"/>
      <c r="CN236" s="187"/>
      <c r="CO236" s="187"/>
      <c r="CP236" s="187"/>
      <c r="CQ236" s="187"/>
      <c r="CR236" s="187"/>
      <c r="CS236" s="187"/>
      <c r="CT236" s="187"/>
      <c r="CU236" s="187"/>
      <c r="CV236" s="216"/>
      <c r="CW236" s="187"/>
      <c r="CX236" s="187"/>
      <c r="CY236" s="187"/>
      <c r="CZ236" s="187"/>
      <c r="DA236" s="187"/>
      <c r="DB236" s="187"/>
      <c r="DC236" s="187"/>
      <c r="DD236" s="187"/>
      <c r="DE236" s="187"/>
      <c r="DF236" s="187"/>
      <c r="DG236" s="187"/>
      <c r="DH236" s="187"/>
      <c r="DI236" s="187"/>
      <c r="DJ236" s="187"/>
      <c r="DK236" s="187"/>
      <c r="DL236" s="187"/>
      <c r="DM236" s="187"/>
      <c r="DN236" s="187"/>
      <c r="DO236" s="187"/>
      <c r="DP236" s="187"/>
      <c r="DQ236" s="187"/>
      <c r="DR236" s="187"/>
      <c r="DS236" s="187"/>
      <c r="DT236" s="187"/>
      <c r="DU236" s="187"/>
      <c r="DV236" s="187"/>
      <c r="DW236" s="187"/>
      <c r="DX236" s="187"/>
      <c r="DY236" s="187"/>
      <c r="DZ236" s="187"/>
      <c r="EA236" s="187"/>
      <c r="EB236" s="187"/>
      <c r="EC236" s="187"/>
      <c r="ED236" s="187"/>
      <c r="EE236" s="187"/>
      <c r="EF236" s="187"/>
      <c r="EG236" s="187"/>
      <c r="EH236" s="187"/>
      <c r="EI236" s="187"/>
      <c r="EJ236" s="187"/>
      <c r="EK236" s="187"/>
      <c r="EL236" s="187"/>
      <c r="EM236" s="187"/>
      <c r="EN236" s="187"/>
      <c r="EO236" s="187"/>
      <c r="EP236" s="187"/>
      <c r="EQ236" s="187"/>
      <c r="ER236" s="187"/>
      <c r="ES236" s="187"/>
      <c r="ET236" s="187"/>
      <c r="EU236" s="187"/>
      <c r="EV236" s="187"/>
      <c r="EW236" s="187"/>
      <c r="EX236" s="187"/>
      <c r="EY236" s="187"/>
      <c r="EZ236" s="187"/>
      <c r="FA236" s="187"/>
      <c r="FB236" s="187"/>
      <c r="FC236" s="187"/>
      <c r="FD236" s="187"/>
      <c r="FE236" s="187"/>
      <c r="FF236" s="187"/>
      <c r="FG236" s="187"/>
      <c r="FH236" s="187"/>
      <c r="FI236" s="187"/>
      <c r="FJ236" s="187"/>
      <c r="FK236" s="187"/>
      <c r="FL236" s="187"/>
      <c r="FM236" s="187"/>
      <c r="FN236" s="203"/>
    </row>
    <row r="237" spans="52:170" x14ac:dyDescent="0.25">
      <c r="AZ237" s="186"/>
      <c r="BA237" s="187"/>
      <c r="BB237" s="187"/>
      <c r="BC237" s="187"/>
      <c r="BD237" s="187"/>
      <c r="BE237" s="187"/>
      <c r="BF237" s="187"/>
      <c r="BG237" s="187"/>
      <c r="BH237" s="187"/>
      <c r="BI237" s="187"/>
      <c r="BJ237" s="187"/>
      <c r="BK237" s="187"/>
      <c r="BL237" s="187"/>
      <c r="BM237" s="187"/>
      <c r="BN237" s="187"/>
      <c r="BO237" s="187"/>
      <c r="BP237" s="187"/>
      <c r="BQ237" s="187"/>
      <c r="BR237" s="187"/>
      <c r="BS237" s="187"/>
      <c r="BT237" s="187"/>
      <c r="BU237" s="187"/>
      <c r="BV237" s="187"/>
      <c r="BW237" s="187"/>
      <c r="BX237" s="187"/>
      <c r="BY237" s="187"/>
      <c r="BZ237" s="187"/>
      <c r="CA237" s="187"/>
      <c r="CB237" s="187"/>
      <c r="CC237" s="187"/>
      <c r="CD237" s="187"/>
      <c r="CE237" s="187"/>
      <c r="CF237" s="187"/>
      <c r="CG237" s="187"/>
      <c r="CH237" s="187"/>
      <c r="CI237" s="187"/>
      <c r="CJ237" s="187"/>
      <c r="CK237" s="187"/>
      <c r="CL237" s="187"/>
      <c r="CM237" s="187"/>
      <c r="CN237" s="187"/>
      <c r="CO237" s="187"/>
      <c r="CP237" s="187"/>
      <c r="CQ237" s="187"/>
      <c r="CR237" s="187"/>
      <c r="CS237" s="187"/>
      <c r="CT237" s="187"/>
      <c r="CU237" s="187"/>
      <c r="CV237" s="216"/>
      <c r="CW237" s="187"/>
      <c r="CX237" s="187"/>
      <c r="CY237" s="187"/>
      <c r="CZ237" s="187"/>
      <c r="DA237" s="187"/>
      <c r="DB237" s="187"/>
      <c r="DC237" s="187"/>
      <c r="DD237" s="187"/>
      <c r="DE237" s="187"/>
      <c r="DF237" s="187"/>
      <c r="DG237" s="187"/>
      <c r="DH237" s="187"/>
      <c r="DI237" s="187"/>
      <c r="DJ237" s="187"/>
      <c r="DK237" s="187"/>
      <c r="DL237" s="187"/>
      <c r="DM237" s="187"/>
      <c r="DN237" s="187"/>
      <c r="DO237" s="187"/>
      <c r="DP237" s="187"/>
      <c r="DQ237" s="187"/>
      <c r="DR237" s="187"/>
      <c r="DS237" s="187"/>
      <c r="DT237" s="187"/>
      <c r="DU237" s="187"/>
      <c r="DV237" s="187"/>
      <c r="DW237" s="187"/>
      <c r="DX237" s="187"/>
      <c r="DY237" s="187"/>
      <c r="DZ237" s="187"/>
      <c r="EA237" s="187"/>
      <c r="EB237" s="187"/>
      <c r="EC237" s="187"/>
      <c r="ED237" s="187"/>
      <c r="EE237" s="187"/>
      <c r="EF237" s="187"/>
      <c r="EG237" s="187"/>
      <c r="EH237" s="187"/>
      <c r="EI237" s="187"/>
      <c r="EJ237" s="187"/>
      <c r="EK237" s="187"/>
      <c r="EL237" s="187"/>
      <c r="EM237" s="187"/>
      <c r="EN237" s="187"/>
      <c r="EO237" s="187"/>
      <c r="EP237" s="187"/>
      <c r="EQ237" s="187"/>
      <c r="ER237" s="187"/>
      <c r="ES237" s="187"/>
      <c r="ET237" s="187"/>
      <c r="EU237" s="187"/>
      <c r="EV237" s="187"/>
      <c r="EW237" s="187"/>
      <c r="EX237" s="187"/>
      <c r="EY237" s="187"/>
      <c r="EZ237" s="187"/>
      <c r="FA237" s="187"/>
      <c r="FB237" s="187"/>
      <c r="FC237" s="187"/>
      <c r="FD237" s="187"/>
      <c r="FE237" s="187"/>
      <c r="FF237" s="187"/>
      <c r="FG237" s="187"/>
      <c r="FH237" s="187"/>
      <c r="FI237" s="187"/>
      <c r="FJ237" s="187"/>
      <c r="FK237" s="187"/>
      <c r="FL237" s="187"/>
      <c r="FM237" s="187"/>
      <c r="FN237" s="203"/>
    </row>
    <row r="238" spans="52:170" x14ac:dyDescent="0.25">
      <c r="AZ238" s="186"/>
      <c r="BA238" s="187"/>
      <c r="BB238" s="187"/>
      <c r="BC238" s="187"/>
      <c r="BD238" s="187"/>
      <c r="BE238" s="187"/>
      <c r="BF238" s="187"/>
      <c r="BG238" s="187"/>
      <c r="BH238" s="187"/>
      <c r="BI238" s="187"/>
      <c r="BJ238" s="187"/>
      <c r="BK238" s="187"/>
      <c r="BL238" s="187"/>
      <c r="BM238" s="187"/>
      <c r="BN238" s="187"/>
      <c r="BO238" s="187"/>
      <c r="BP238" s="187"/>
      <c r="BQ238" s="187"/>
      <c r="BR238" s="187"/>
      <c r="BS238" s="187"/>
      <c r="BT238" s="187"/>
      <c r="BU238" s="187"/>
      <c r="BV238" s="187"/>
      <c r="BW238" s="187"/>
      <c r="BX238" s="187"/>
      <c r="BY238" s="187"/>
      <c r="BZ238" s="187"/>
      <c r="CA238" s="187"/>
      <c r="CB238" s="187"/>
      <c r="CC238" s="187"/>
      <c r="CD238" s="187"/>
      <c r="CE238" s="187"/>
      <c r="CF238" s="187"/>
      <c r="CG238" s="187"/>
      <c r="CH238" s="187"/>
      <c r="CI238" s="187"/>
      <c r="CJ238" s="187"/>
      <c r="CK238" s="187"/>
      <c r="CL238" s="187"/>
      <c r="CM238" s="187"/>
      <c r="CN238" s="187"/>
      <c r="CO238" s="187"/>
      <c r="CP238" s="187"/>
      <c r="CQ238" s="187"/>
      <c r="CR238" s="187"/>
      <c r="CS238" s="187"/>
      <c r="CT238" s="187"/>
      <c r="CU238" s="187"/>
      <c r="CV238" s="216"/>
      <c r="CW238" s="187"/>
      <c r="CX238" s="187"/>
      <c r="CY238" s="187"/>
      <c r="CZ238" s="187"/>
      <c r="DA238" s="187"/>
      <c r="DB238" s="187"/>
      <c r="DC238" s="187"/>
      <c r="DD238" s="187"/>
      <c r="DE238" s="187"/>
      <c r="DF238" s="187"/>
      <c r="DG238" s="187"/>
      <c r="DH238" s="187"/>
      <c r="DI238" s="187"/>
      <c r="DJ238" s="187"/>
      <c r="DK238" s="187"/>
      <c r="DL238" s="187"/>
      <c r="DM238" s="187"/>
      <c r="DN238" s="187"/>
      <c r="DO238" s="187"/>
      <c r="DP238" s="187"/>
      <c r="DQ238" s="187"/>
      <c r="DR238" s="187"/>
      <c r="DS238" s="187"/>
      <c r="DT238" s="187"/>
      <c r="DU238" s="187"/>
      <c r="DV238" s="187"/>
      <c r="DW238" s="187"/>
      <c r="DX238" s="187"/>
      <c r="DY238" s="187"/>
      <c r="DZ238" s="187"/>
      <c r="EA238" s="187"/>
      <c r="EB238" s="187"/>
      <c r="EC238" s="187"/>
      <c r="ED238" s="187"/>
      <c r="EE238" s="187"/>
      <c r="EF238" s="187"/>
      <c r="EG238" s="187"/>
      <c r="EH238" s="187"/>
      <c r="EI238" s="187"/>
      <c r="EJ238" s="187"/>
      <c r="EK238" s="187"/>
      <c r="EL238" s="187"/>
      <c r="EM238" s="187"/>
      <c r="EN238" s="187"/>
      <c r="EO238" s="187"/>
      <c r="EP238" s="187"/>
      <c r="EQ238" s="187"/>
      <c r="ER238" s="187"/>
      <c r="ES238" s="187"/>
      <c r="ET238" s="187"/>
      <c r="EU238" s="187"/>
      <c r="EV238" s="187"/>
      <c r="EW238" s="187"/>
      <c r="EX238" s="187"/>
      <c r="EY238" s="187"/>
      <c r="EZ238" s="187"/>
      <c r="FA238" s="187"/>
      <c r="FB238" s="187"/>
      <c r="FC238" s="187"/>
      <c r="FD238" s="187"/>
      <c r="FE238" s="187"/>
      <c r="FF238" s="187"/>
      <c r="FG238" s="187"/>
      <c r="FH238" s="187"/>
      <c r="FI238" s="187"/>
      <c r="FJ238" s="187"/>
      <c r="FK238" s="187"/>
      <c r="FL238" s="187"/>
      <c r="FM238" s="187"/>
      <c r="FN238" s="203"/>
    </row>
    <row r="239" spans="52:170" x14ac:dyDescent="0.25">
      <c r="AZ239" s="186"/>
      <c r="BA239" s="187"/>
      <c r="BB239" s="187"/>
      <c r="BC239" s="187"/>
      <c r="BD239" s="187"/>
      <c r="BE239" s="187"/>
      <c r="BF239" s="187"/>
      <c r="BG239" s="187"/>
      <c r="BH239" s="187"/>
      <c r="BI239" s="187"/>
      <c r="BJ239" s="187"/>
      <c r="BK239" s="187"/>
      <c r="BL239" s="187"/>
      <c r="BM239" s="187"/>
      <c r="BN239" s="187"/>
      <c r="BO239" s="187"/>
      <c r="BP239" s="187"/>
      <c r="BQ239" s="187"/>
      <c r="BR239" s="187"/>
      <c r="BS239" s="187"/>
      <c r="BT239" s="187"/>
      <c r="BU239" s="187"/>
      <c r="BV239" s="187"/>
      <c r="BW239" s="187"/>
      <c r="BX239" s="187"/>
      <c r="BY239" s="187"/>
      <c r="BZ239" s="187"/>
      <c r="CA239" s="187"/>
      <c r="CB239" s="187"/>
      <c r="CC239" s="187"/>
      <c r="CD239" s="187"/>
      <c r="CE239" s="187"/>
      <c r="CF239" s="187"/>
      <c r="CG239" s="187"/>
      <c r="CH239" s="187"/>
      <c r="CI239" s="187"/>
      <c r="CJ239" s="187"/>
      <c r="CK239" s="187"/>
      <c r="CL239" s="187"/>
      <c r="CM239" s="187"/>
      <c r="CN239" s="187"/>
      <c r="CO239" s="187"/>
      <c r="CP239" s="187"/>
      <c r="CQ239" s="187"/>
      <c r="CR239" s="187"/>
      <c r="CS239" s="187"/>
      <c r="CT239" s="187"/>
      <c r="CU239" s="187"/>
      <c r="CV239" s="216"/>
      <c r="CW239" s="187"/>
      <c r="CX239" s="187"/>
      <c r="CY239" s="187"/>
      <c r="CZ239" s="187"/>
      <c r="DA239" s="187"/>
      <c r="DB239" s="187"/>
      <c r="DC239" s="187"/>
      <c r="DD239" s="187"/>
      <c r="DE239" s="187"/>
      <c r="DF239" s="187"/>
      <c r="DG239" s="187"/>
      <c r="DH239" s="187"/>
      <c r="DI239" s="187"/>
      <c r="DJ239" s="187"/>
      <c r="DK239" s="187"/>
      <c r="DL239" s="187"/>
      <c r="DM239" s="187"/>
      <c r="DN239" s="187"/>
      <c r="DO239" s="187"/>
      <c r="DP239" s="187"/>
      <c r="DQ239" s="187"/>
      <c r="DR239" s="187"/>
      <c r="DS239" s="187"/>
      <c r="DT239" s="187"/>
      <c r="DU239" s="187"/>
      <c r="DV239" s="187"/>
      <c r="DW239" s="187"/>
      <c r="DX239" s="187"/>
      <c r="DY239" s="187"/>
      <c r="DZ239" s="187"/>
      <c r="EA239" s="187"/>
      <c r="EB239" s="187"/>
      <c r="EC239" s="187"/>
      <c r="ED239" s="187"/>
      <c r="EE239" s="187"/>
      <c r="EF239" s="187"/>
      <c r="EG239" s="187"/>
      <c r="EH239" s="187"/>
      <c r="EI239" s="187"/>
      <c r="EJ239" s="187"/>
      <c r="EK239" s="187"/>
      <c r="EL239" s="187"/>
      <c r="EM239" s="187"/>
      <c r="EN239" s="187"/>
      <c r="EO239" s="187"/>
      <c r="EP239" s="187"/>
      <c r="EQ239" s="187"/>
      <c r="ER239" s="187"/>
      <c r="ES239" s="187"/>
      <c r="ET239" s="187"/>
      <c r="EU239" s="187"/>
      <c r="EV239" s="187"/>
      <c r="EW239" s="187"/>
      <c r="EX239" s="187"/>
      <c r="EY239" s="187"/>
      <c r="EZ239" s="187"/>
      <c r="FA239" s="187"/>
      <c r="FB239" s="187"/>
      <c r="FC239" s="187"/>
      <c r="FD239" s="187"/>
      <c r="FE239" s="187"/>
      <c r="FF239" s="187"/>
      <c r="FG239" s="187"/>
      <c r="FH239" s="187"/>
      <c r="FI239" s="187"/>
      <c r="FJ239" s="187"/>
      <c r="FK239" s="187"/>
      <c r="FL239" s="187"/>
      <c r="FM239" s="187"/>
      <c r="FN239" s="203"/>
    </row>
    <row r="240" spans="52:170" x14ac:dyDescent="0.25">
      <c r="AZ240" s="186"/>
      <c r="BA240" s="187"/>
      <c r="BB240" s="187"/>
      <c r="BC240" s="187"/>
      <c r="BD240" s="187"/>
      <c r="BE240" s="187"/>
      <c r="BF240" s="187"/>
      <c r="BG240" s="187"/>
      <c r="BH240" s="187"/>
      <c r="BI240" s="187"/>
      <c r="BJ240" s="187"/>
      <c r="BK240" s="187"/>
      <c r="BL240" s="187"/>
      <c r="BM240" s="187"/>
      <c r="BN240" s="187"/>
      <c r="BO240" s="187"/>
      <c r="BP240" s="187"/>
      <c r="BQ240" s="187"/>
      <c r="BR240" s="187"/>
      <c r="BS240" s="187"/>
      <c r="BT240" s="187"/>
      <c r="BU240" s="187"/>
      <c r="BV240" s="187"/>
      <c r="BW240" s="187"/>
      <c r="BX240" s="187"/>
      <c r="BY240" s="187"/>
      <c r="BZ240" s="187"/>
      <c r="CA240" s="187"/>
      <c r="CB240" s="187"/>
      <c r="CC240" s="187"/>
      <c r="CD240" s="187"/>
      <c r="CE240" s="187"/>
      <c r="CF240" s="187"/>
      <c r="CG240" s="187"/>
      <c r="CH240" s="187"/>
      <c r="CI240" s="187"/>
      <c r="CJ240" s="187"/>
      <c r="CK240" s="187"/>
      <c r="CL240" s="187"/>
      <c r="CM240" s="187"/>
      <c r="CN240" s="187"/>
      <c r="CO240" s="187"/>
      <c r="CP240" s="187"/>
      <c r="CQ240" s="187"/>
      <c r="CR240" s="187"/>
      <c r="CS240" s="187"/>
      <c r="CT240" s="187"/>
      <c r="CU240" s="187"/>
      <c r="CV240" s="216"/>
      <c r="CW240" s="187"/>
      <c r="CX240" s="187"/>
      <c r="CY240" s="187"/>
      <c r="CZ240" s="187"/>
      <c r="DA240" s="187"/>
      <c r="DB240" s="187"/>
      <c r="DC240" s="187"/>
      <c r="DD240" s="187"/>
      <c r="DE240" s="187"/>
      <c r="DF240" s="187"/>
      <c r="DG240" s="187"/>
      <c r="DH240" s="187"/>
      <c r="DI240" s="187"/>
      <c r="DJ240" s="187"/>
      <c r="DK240" s="187"/>
      <c r="DL240" s="187"/>
      <c r="DM240" s="187"/>
      <c r="DN240" s="187"/>
      <c r="DO240" s="187"/>
      <c r="DP240" s="187"/>
      <c r="DQ240" s="187"/>
      <c r="DR240" s="187"/>
      <c r="DS240" s="187"/>
      <c r="DT240" s="187"/>
      <c r="DU240" s="187"/>
      <c r="DV240" s="187"/>
      <c r="DW240" s="187"/>
      <c r="DX240" s="187"/>
      <c r="DY240" s="187"/>
      <c r="DZ240" s="187"/>
      <c r="EA240" s="187"/>
      <c r="EB240" s="187"/>
      <c r="EC240" s="187"/>
      <c r="ED240" s="187"/>
      <c r="EE240" s="187"/>
      <c r="EF240" s="187"/>
      <c r="EG240" s="187"/>
      <c r="EH240" s="187"/>
      <c r="EI240" s="187"/>
      <c r="EJ240" s="187"/>
      <c r="EK240" s="187"/>
      <c r="EL240" s="187"/>
      <c r="EM240" s="187"/>
      <c r="EN240" s="187"/>
      <c r="EO240" s="187"/>
      <c r="EP240" s="187"/>
      <c r="EQ240" s="187"/>
      <c r="ER240" s="187"/>
      <c r="ES240" s="187"/>
      <c r="ET240" s="187"/>
      <c r="EU240" s="187"/>
      <c r="EV240" s="187"/>
      <c r="EW240" s="187"/>
      <c r="EX240" s="187"/>
      <c r="EY240" s="187"/>
      <c r="EZ240" s="187"/>
      <c r="FA240" s="187"/>
      <c r="FB240" s="187"/>
      <c r="FC240" s="187"/>
      <c r="FD240" s="187"/>
      <c r="FE240" s="187"/>
      <c r="FF240" s="187"/>
      <c r="FG240" s="187"/>
      <c r="FH240" s="187"/>
      <c r="FI240" s="187"/>
      <c r="FJ240" s="187"/>
      <c r="FK240" s="187"/>
      <c r="FL240" s="187"/>
      <c r="FM240" s="187"/>
      <c r="FN240" s="203"/>
    </row>
    <row r="241" spans="52:170" x14ac:dyDescent="0.25">
      <c r="AZ241" s="186"/>
      <c r="BA241" s="187"/>
      <c r="BB241" s="187"/>
      <c r="BC241" s="187"/>
      <c r="BD241" s="187"/>
      <c r="BE241" s="187"/>
      <c r="BF241" s="187"/>
      <c r="BG241" s="187"/>
      <c r="BH241" s="187"/>
      <c r="BI241" s="187"/>
      <c r="BJ241" s="187"/>
      <c r="BK241" s="187"/>
      <c r="BL241" s="187"/>
      <c r="BM241" s="187"/>
      <c r="BN241" s="187"/>
      <c r="BO241" s="187"/>
      <c r="BP241" s="187"/>
      <c r="BQ241" s="187"/>
      <c r="BR241" s="187"/>
      <c r="BS241" s="187"/>
      <c r="BT241" s="187"/>
      <c r="BU241" s="187"/>
      <c r="BV241" s="187"/>
      <c r="BW241" s="187"/>
      <c r="BX241" s="187"/>
      <c r="BY241" s="187"/>
      <c r="BZ241" s="187"/>
      <c r="CA241" s="187"/>
      <c r="CB241" s="187"/>
      <c r="CC241" s="187"/>
      <c r="CD241" s="187"/>
      <c r="CE241" s="187"/>
      <c r="CF241" s="187"/>
      <c r="CG241" s="187"/>
      <c r="CH241" s="187"/>
      <c r="CI241" s="187"/>
      <c r="CJ241" s="187"/>
      <c r="CK241" s="187"/>
      <c r="CL241" s="187"/>
      <c r="CM241" s="187"/>
      <c r="CN241" s="187"/>
      <c r="CO241" s="187"/>
      <c r="CP241" s="187"/>
      <c r="CQ241" s="187"/>
      <c r="CR241" s="187"/>
      <c r="CS241" s="187"/>
      <c r="CT241" s="187"/>
      <c r="CU241" s="187"/>
      <c r="CV241" s="216"/>
      <c r="CW241" s="187"/>
      <c r="CX241" s="187"/>
      <c r="CY241" s="187"/>
      <c r="CZ241" s="187"/>
      <c r="DA241" s="187"/>
      <c r="DB241" s="187"/>
      <c r="DC241" s="187"/>
      <c r="DD241" s="187"/>
      <c r="DE241" s="187"/>
      <c r="DF241" s="187"/>
      <c r="DG241" s="187"/>
      <c r="DH241" s="187"/>
      <c r="DI241" s="187"/>
      <c r="DJ241" s="187"/>
      <c r="DK241" s="187"/>
      <c r="DL241" s="187"/>
      <c r="DM241" s="187"/>
      <c r="DN241" s="187"/>
      <c r="DO241" s="187"/>
      <c r="DP241" s="187"/>
      <c r="DQ241" s="187"/>
      <c r="DR241" s="187"/>
      <c r="DS241" s="187"/>
      <c r="DT241" s="187"/>
      <c r="DU241" s="187"/>
      <c r="DV241" s="187"/>
      <c r="DW241" s="187"/>
      <c r="DX241" s="187"/>
      <c r="DY241" s="187"/>
      <c r="DZ241" s="187"/>
      <c r="EA241" s="187"/>
      <c r="EB241" s="187"/>
      <c r="EC241" s="187"/>
      <c r="ED241" s="187"/>
      <c r="EE241" s="187"/>
      <c r="EF241" s="187"/>
      <c r="EG241" s="187"/>
      <c r="EH241" s="187"/>
      <c r="EI241" s="187"/>
      <c r="EJ241" s="187"/>
      <c r="EK241" s="187"/>
      <c r="EL241" s="187"/>
      <c r="EM241" s="187"/>
      <c r="EN241" s="187"/>
      <c r="EO241" s="187"/>
      <c r="EP241" s="187"/>
      <c r="EQ241" s="187"/>
      <c r="ER241" s="187"/>
      <c r="ES241" s="187"/>
      <c r="ET241" s="187"/>
      <c r="EU241" s="187"/>
      <c r="EV241" s="187"/>
      <c r="EW241" s="187"/>
      <c r="EX241" s="187"/>
      <c r="EY241" s="187"/>
      <c r="EZ241" s="187"/>
      <c r="FA241" s="187"/>
      <c r="FB241" s="187"/>
      <c r="FC241" s="187"/>
      <c r="FD241" s="187"/>
      <c r="FE241" s="187"/>
      <c r="FF241" s="187"/>
      <c r="FG241" s="187"/>
      <c r="FH241" s="187"/>
      <c r="FI241" s="187"/>
      <c r="FJ241" s="187"/>
      <c r="FK241" s="187"/>
      <c r="FL241" s="187"/>
      <c r="FM241" s="187"/>
      <c r="FN241" s="203"/>
    </row>
    <row r="242" spans="52:170" x14ac:dyDescent="0.25">
      <c r="AZ242" s="186"/>
      <c r="BA242" s="187"/>
      <c r="BB242" s="187"/>
      <c r="BC242" s="187"/>
      <c r="BD242" s="187"/>
      <c r="BE242" s="187"/>
      <c r="BF242" s="187"/>
      <c r="BG242" s="187"/>
      <c r="BH242" s="187"/>
      <c r="BI242" s="187"/>
      <c r="BJ242" s="187"/>
      <c r="BK242" s="187"/>
      <c r="BL242" s="187"/>
      <c r="BM242" s="187"/>
      <c r="BN242" s="187"/>
      <c r="BO242" s="187"/>
      <c r="BP242" s="187"/>
      <c r="BQ242" s="187"/>
      <c r="BR242" s="187"/>
      <c r="BS242" s="187"/>
      <c r="BT242" s="187"/>
      <c r="BU242" s="187"/>
      <c r="BV242" s="187"/>
      <c r="BW242" s="187"/>
      <c r="BX242" s="187"/>
      <c r="BY242" s="187"/>
      <c r="BZ242" s="187"/>
      <c r="CA242" s="187"/>
      <c r="CB242" s="187"/>
      <c r="CC242" s="187"/>
      <c r="CD242" s="187"/>
      <c r="CE242" s="187"/>
      <c r="CF242" s="187"/>
      <c r="CG242" s="187"/>
      <c r="CH242" s="187"/>
      <c r="CI242" s="187"/>
      <c r="CJ242" s="187"/>
      <c r="CK242" s="187"/>
      <c r="CL242" s="187"/>
      <c r="CM242" s="187"/>
      <c r="CN242" s="187"/>
      <c r="CO242" s="187"/>
      <c r="CP242" s="187"/>
      <c r="CQ242" s="187"/>
      <c r="CR242" s="187"/>
      <c r="CS242" s="187"/>
      <c r="CT242" s="187"/>
      <c r="CU242" s="187"/>
      <c r="CV242" s="216"/>
      <c r="CW242" s="187"/>
      <c r="CX242" s="187"/>
      <c r="CY242" s="187"/>
      <c r="CZ242" s="187"/>
      <c r="DA242" s="187"/>
      <c r="DB242" s="187"/>
      <c r="DC242" s="187"/>
      <c r="DD242" s="187"/>
      <c r="DE242" s="187"/>
      <c r="DF242" s="187"/>
      <c r="DG242" s="187"/>
      <c r="DH242" s="187"/>
      <c r="DI242" s="187"/>
      <c r="DJ242" s="187"/>
      <c r="DK242" s="187"/>
      <c r="DL242" s="187"/>
      <c r="DM242" s="187"/>
      <c r="DN242" s="187"/>
      <c r="DO242" s="187"/>
      <c r="DP242" s="187"/>
      <c r="DQ242" s="187"/>
      <c r="DR242" s="187"/>
      <c r="DS242" s="187"/>
      <c r="DT242" s="187"/>
      <c r="DU242" s="187"/>
      <c r="DV242" s="187"/>
      <c r="DW242" s="187"/>
      <c r="DX242" s="187"/>
      <c r="DY242" s="187"/>
      <c r="DZ242" s="187"/>
      <c r="EA242" s="187"/>
      <c r="EB242" s="187"/>
      <c r="EC242" s="187"/>
      <c r="ED242" s="187"/>
      <c r="EE242" s="187"/>
      <c r="EF242" s="187"/>
      <c r="EG242" s="187"/>
      <c r="EH242" s="187"/>
      <c r="EI242" s="187"/>
      <c r="EJ242" s="187"/>
      <c r="EK242" s="187"/>
      <c r="EL242" s="187"/>
      <c r="EM242" s="187"/>
      <c r="EN242" s="187"/>
      <c r="EO242" s="187"/>
      <c r="EP242" s="187"/>
      <c r="EQ242" s="187"/>
      <c r="ER242" s="187"/>
      <c r="ES242" s="187"/>
      <c r="ET242" s="187"/>
      <c r="EU242" s="187"/>
      <c r="EV242" s="187"/>
      <c r="EW242" s="187"/>
      <c r="EX242" s="187"/>
      <c r="EY242" s="187"/>
      <c r="EZ242" s="187"/>
      <c r="FA242" s="187"/>
      <c r="FB242" s="187"/>
      <c r="FC242" s="187"/>
      <c r="FD242" s="187"/>
      <c r="FE242" s="187"/>
      <c r="FF242" s="187"/>
      <c r="FG242" s="187"/>
      <c r="FH242" s="187"/>
      <c r="FI242" s="187"/>
      <c r="FJ242" s="187"/>
      <c r="FK242" s="187"/>
      <c r="FL242" s="187"/>
      <c r="FM242" s="187"/>
      <c r="FN242" s="203"/>
    </row>
    <row r="243" spans="52:170" x14ac:dyDescent="0.25">
      <c r="AZ243" s="186"/>
      <c r="BA243" s="187"/>
      <c r="BB243" s="187"/>
      <c r="BC243" s="187"/>
      <c r="BD243" s="187"/>
      <c r="BE243" s="187"/>
      <c r="BF243" s="187"/>
      <c r="BG243" s="187"/>
      <c r="BH243" s="187"/>
      <c r="BI243" s="187"/>
      <c r="BJ243" s="187"/>
      <c r="BK243" s="187"/>
      <c r="BL243" s="187"/>
      <c r="BM243" s="187"/>
      <c r="BN243" s="187"/>
      <c r="BO243" s="187"/>
      <c r="BP243" s="187"/>
      <c r="BQ243" s="187"/>
      <c r="BR243" s="187"/>
      <c r="BS243" s="187"/>
      <c r="BT243" s="187"/>
      <c r="BU243" s="187"/>
      <c r="BV243" s="187"/>
      <c r="BW243" s="187"/>
      <c r="BX243" s="187"/>
      <c r="BY243" s="187"/>
      <c r="BZ243" s="187"/>
      <c r="CA243" s="187"/>
      <c r="CB243" s="187"/>
      <c r="CC243" s="187"/>
      <c r="CD243" s="187"/>
      <c r="CE243" s="187"/>
      <c r="CF243" s="187"/>
      <c r="CG243" s="187"/>
      <c r="CH243" s="187"/>
      <c r="CI243" s="187"/>
      <c r="CJ243" s="187"/>
      <c r="CK243" s="187"/>
      <c r="CL243" s="187"/>
      <c r="CM243" s="187"/>
      <c r="CN243" s="187"/>
      <c r="CO243" s="187"/>
      <c r="CP243" s="187"/>
      <c r="CQ243" s="187"/>
      <c r="CR243" s="187"/>
      <c r="CS243" s="187"/>
      <c r="CT243" s="187"/>
      <c r="CU243" s="187"/>
      <c r="CV243" s="216"/>
      <c r="CW243" s="187"/>
      <c r="CX243" s="187"/>
      <c r="CY243" s="187"/>
      <c r="CZ243" s="187"/>
      <c r="DA243" s="187"/>
      <c r="DB243" s="187"/>
      <c r="DC243" s="187"/>
      <c r="DD243" s="187"/>
      <c r="DE243" s="187"/>
      <c r="DF243" s="187"/>
      <c r="DG243" s="187"/>
      <c r="DH243" s="187"/>
      <c r="DI243" s="187"/>
      <c r="DJ243" s="187"/>
      <c r="DK243" s="187"/>
      <c r="DL243" s="187"/>
      <c r="DM243" s="187"/>
      <c r="DN243" s="187"/>
      <c r="DO243" s="187"/>
      <c r="DP243" s="187"/>
      <c r="DQ243" s="187"/>
      <c r="DR243" s="187"/>
      <c r="DS243" s="187"/>
      <c r="DT243" s="187"/>
      <c r="DU243" s="187"/>
      <c r="DV243" s="187"/>
      <c r="DW243" s="187"/>
      <c r="DX243" s="187"/>
      <c r="DY243" s="187"/>
      <c r="DZ243" s="187"/>
      <c r="EA243" s="187"/>
      <c r="EB243" s="187"/>
      <c r="EC243" s="187"/>
      <c r="ED243" s="187"/>
      <c r="EE243" s="187"/>
      <c r="EF243" s="187"/>
      <c r="EG243" s="187"/>
      <c r="EH243" s="187"/>
      <c r="EI243" s="187"/>
      <c r="EJ243" s="187"/>
      <c r="EK243" s="187"/>
      <c r="EL243" s="187"/>
      <c r="EM243" s="187"/>
      <c r="EN243" s="187"/>
      <c r="EO243" s="187"/>
      <c r="EP243" s="187"/>
      <c r="EQ243" s="187"/>
      <c r="ER243" s="187"/>
      <c r="ES243" s="187"/>
      <c r="ET243" s="187"/>
      <c r="EU243" s="187"/>
      <c r="EV243" s="187"/>
      <c r="EW243" s="187"/>
      <c r="EX243" s="187"/>
      <c r="EY243" s="187"/>
      <c r="EZ243" s="187"/>
      <c r="FA243" s="187"/>
      <c r="FB243" s="187"/>
      <c r="FC243" s="187"/>
      <c r="FD243" s="187"/>
      <c r="FE243" s="187"/>
      <c r="FF243" s="187"/>
      <c r="FG243" s="187"/>
      <c r="FH243" s="187"/>
      <c r="FI243" s="187"/>
      <c r="FJ243" s="187"/>
      <c r="FK243" s="187"/>
      <c r="FL243" s="187"/>
      <c r="FM243" s="187"/>
      <c r="FN243" s="203"/>
    </row>
    <row r="244" spans="52:170" x14ac:dyDescent="0.25">
      <c r="AZ244" s="186"/>
      <c r="BA244" s="187"/>
      <c r="BB244" s="187"/>
      <c r="BC244" s="187"/>
      <c r="BD244" s="187"/>
      <c r="BE244" s="187"/>
      <c r="BF244" s="187"/>
      <c r="BG244" s="187"/>
      <c r="BH244" s="187"/>
      <c r="BI244" s="187"/>
      <c r="BJ244" s="187"/>
      <c r="BK244" s="187"/>
      <c r="BL244" s="187"/>
      <c r="BM244" s="187"/>
      <c r="BN244" s="187"/>
      <c r="BO244" s="187"/>
      <c r="BP244" s="187"/>
      <c r="BQ244" s="187"/>
      <c r="BR244" s="187"/>
      <c r="BS244" s="187"/>
      <c r="BT244" s="187"/>
      <c r="BU244" s="187"/>
      <c r="BV244" s="187"/>
      <c r="BW244" s="187"/>
      <c r="BX244" s="187"/>
      <c r="BY244" s="187"/>
      <c r="BZ244" s="187"/>
      <c r="CA244" s="187"/>
      <c r="CB244" s="187"/>
      <c r="CC244" s="187"/>
      <c r="CD244" s="187"/>
      <c r="CE244" s="187"/>
      <c r="CF244" s="187"/>
      <c r="CG244" s="187"/>
      <c r="CH244" s="187"/>
      <c r="CI244" s="187"/>
      <c r="CJ244" s="187"/>
      <c r="CK244" s="187"/>
      <c r="CL244" s="187"/>
      <c r="CM244" s="187"/>
      <c r="CN244" s="187"/>
      <c r="CO244" s="187"/>
      <c r="CP244" s="187"/>
      <c r="CQ244" s="187"/>
      <c r="CR244" s="187"/>
      <c r="CS244" s="187"/>
      <c r="CT244" s="187"/>
      <c r="CU244" s="187"/>
      <c r="CV244" s="216"/>
      <c r="CW244" s="187"/>
      <c r="CX244" s="187"/>
      <c r="CY244" s="187"/>
      <c r="CZ244" s="187"/>
      <c r="DA244" s="187"/>
      <c r="DB244" s="187"/>
      <c r="DC244" s="187"/>
      <c r="DD244" s="187"/>
      <c r="DE244" s="187"/>
      <c r="DF244" s="187"/>
      <c r="DG244" s="187"/>
      <c r="DH244" s="187"/>
      <c r="DI244" s="187"/>
      <c r="DJ244" s="187"/>
      <c r="DK244" s="187"/>
      <c r="DL244" s="187"/>
      <c r="DM244" s="187"/>
      <c r="DN244" s="187"/>
      <c r="DO244" s="187"/>
      <c r="DP244" s="187"/>
      <c r="DQ244" s="187"/>
      <c r="DR244" s="187"/>
      <c r="DS244" s="187"/>
      <c r="DT244" s="187"/>
      <c r="DU244" s="187"/>
      <c r="DV244" s="187"/>
      <c r="DW244" s="187"/>
      <c r="DX244" s="187"/>
      <c r="DY244" s="187"/>
      <c r="DZ244" s="187"/>
      <c r="EA244" s="187"/>
      <c r="EB244" s="187"/>
      <c r="EC244" s="187"/>
      <c r="ED244" s="187"/>
      <c r="EE244" s="187"/>
      <c r="EF244" s="187"/>
      <c r="EG244" s="187"/>
      <c r="EH244" s="187"/>
      <c r="EI244" s="187"/>
      <c r="EJ244" s="187"/>
      <c r="EK244" s="187"/>
      <c r="EL244" s="187"/>
      <c r="EM244" s="187"/>
      <c r="EN244" s="187"/>
      <c r="EO244" s="187"/>
      <c r="EP244" s="187"/>
      <c r="EQ244" s="187"/>
      <c r="ER244" s="187"/>
      <c r="ES244" s="187"/>
      <c r="ET244" s="187"/>
      <c r="EU244" s="187"/>
      <c r="EV244" s="187"/>
      <c r="EW244" s="187"/>
      <c r="EX244" s="187"/>
      <c r="EY244" s="187"/>
      <c r="EZ244" s="187"/>
      <c r="FA244" s="187"/>
      <c r="FB244" s="187"/>
      <c r="FC244" s="187"/>
      <c r="FD244" s="187"/>
      <c r="FE244" s="187"/>
      <c r="FF244" s="187"/>
      <c r="FG244" s="187"/>
      <c r="FH244" s="187"/>
      <c r="FI244" s="187"/>
      <c r="FJ244" s="187"/>
      <c r="FK244" s="187"/>
      <c r="FL244" s="187"/>
      <c r="FM244" s="187"/>
      <c r="FN244" s="203"/>
    </row>
    <row r="245" spans="52:170" ht="15.75" thickBot="1" x14ac:dyDescent="0.3">
      <c r="AZ245" s="239"/>
      <c r="BA245" s="240"/>
      <c r="BB245" s="240"/>
      <c r="BC245" s="240"/>
      <c r="BD245" s="240"/>
      <c r="BE245" s="240"/>
      <c r="BF245" s="240"/>
      <c r="BG245" s="240"/>
      <c r="BH245" s="240"/>
      <c r="BI245" s="240"/>
      <c r="BJ245" s="240"/>
      <c r="BK245" s="240"/>
      <c r="BL245" s="240"/>
      <c r="BM245" s="240"/>
      <c r="BN245" s="240"/>
      <c r="BO245" s="240"/>
      <c r="BP245" s="240"/>
      <c r="BQ245" s="240"/>
      <c r="BR245" s="240"/>
      <c r="BS245" s="240"/>
      <c r="BT245" s="240"/>
      <c r="BU245" s="240"/>
      <c r="BV245" s="240"/>
      <c r="BW245" s="240"/>
      <c r="BX245" s="240"/>
      <c r="BY245" s="240"/>
      <c r="BZ245" s="240"/>
      <c r="CA245" s="240"/>
      <c r="CB245" s="240"/>
      <c r="CC245" s="240"/>
      <c r="CD245" s="240"/>
      <c r="CE245" s="240"/>
      <c r="CF245" s="240"/>
      <c r="CG245" s="240"/>
      <c r="CH245" s="240"/>
      <c r="CI245" s="240"/>
      <c r="CJ245" s="240"/>
      <c r="CK245" s="240"/>
      <c r="CL245" s="240"/>
      <c r="CM245" s="240"/>
      <c r="CN245" s="240"/>
      <c r="CO245" s="240"/>
      <c r="CP245" s="240"/>
      <c r="CQ245" s="240"/>
      <c r="CR245" s="240"/>
      <c r="CS245" s="240"/>
      <c r="CT245" s="240"/>
      <c r="CU245" s="240"/>
      <c r="CV245" s="249"/>
      <c r="CW245" s="240"/>
      <c r="CX245" s="240"/>
      <c r="CY245" s="240"/>
      <c r="CZ245" s="240"/>
      <c r="DA245" s="240"/>
      <c r="DB245" s="240"/>
      <c r="DC245" s="240"/>
      <c r="DD245" s="240"/>
      <c r="DE245" s="240"/>
      <c r="DF245" s="240"/>
      <c r="DG245" s="240"/>
      <c r="DH245" s="240"/>
      <c r="DI245" s="240"/>
      <c r="DJ245" s="240"/>
      <c r="DK245" s="240"/>
      <c r="DL245" s="240"/>
      <c r="DM245" s="240"/>
      <c r="DN245" s="240"/>
      <c r="DO245" s="240"/>
      <c r="DP245" s="240"/>
      <c r="DQ245" s="240"/>
      <c r="DR245" s="240"/>
      <c r="DS245" s="240"/>
      <c r="DT245" s="240"/>
      <c r="DU245" s="240"/>
      <c r="DV245" s="240"/>
      <c r="DW245" s="240"/>
      <c r="DX245" s="240"/>
      <c r="DY245" s="240"/>
      <c r="DZ245" s="240"/>
      <c r="EA245" s="240"/>
      <c r="EB245" s="240"/>
      <c r="EC245" s="240"/>
      <c r="ED245" s="240"/>
      <c r="EE245" s="240"/>
      <c r="EF245" s="240"/>
      <c r="EG245" s="240"/>
      <c r="EH245" s="240"/>
      <c r="EI245" s="240"/>
      <c r="EJ245" s="240"/>
      <c r="EK245" s="240"/>
      <c r="EL245" s="240"/>
      <c r="EM245" s="240"/>
      <c r="EN245" s="240"/>
      <c r="EO245" s="240"/>
      <c r="EP245" s="240"/>
      <c r="EQ245" s="240"/>
      <c r="ER245" s="240"/>
      <c r="ES245" s="240"/>
      <c r="ET245" s="240"/>
      <c r="EU245" s="240"/>
      <c r="EV245" s="240"/>
      <c r="EW245" s="240"/>
      <c r="EX245" s="240"/>
      <c r="EY245" s="240"/>
      <c r="EZ245" s="240"/>
      <c r="FA245" s="240"/>
      <c r="FB245" s="240"/>
      <c r="FC245" s="240"/>
      <c r="FD245" s="240"/>
      <c r="FE245" s="240"/>
      <c r="FF245" s="240"/>
      <c r="FG245" s="240"/>
      <c r="FH245" s="240"/>
      <c r="FI245" s="240"/>
      <c r="FJ245" s="240"/>
      <c r="FK245" s="240"/>
      <c r="FL245" s="240"/>
      <c r="FM245" s="240"/>
      <c r="FN245" s="242"/>
    </row>
    <row r="248" spans="52:170" ht="15.75" thickBot="1" x14ac:dyDescent="0.3"/>
    <row r="249" spans="52:170" ht="15.75" thickBot="1" x14ac:dyDescent="0.3">
      <c r="AZ249" s="63"/>
      <c r="BA249" s="64"/>
      <c r="BB249" s="64"/>
      <c r="BC249" s="64"/>
      <c r="BD249" s="64"/>
      <c r="BE249" s="64"/>
      <c r="BF249" s="64"/>
      <c r="BG249" s="64"/>
      <c r="BH249" s="64"/>
      <c r="BI249" s="64"/>
      <c r="BJ249" s="64"/>
      <c r="BK249" s="64"/>
      <c r="BL249" s="64"/>
      <c r="BM249" s="64"/>
      <c r="BN249" s="64"/>
      <c r="BO249" s="64"/>
      <c r="BP249" s="64"/>
      <c r="BQ249" s="64"/>
      <c r="BR249" s="64"/>
      <c r="BS249" s="64"/>
      <c r="BT249" s="64"/>
      <c r="BU249" s="64"/>
      <c r="BV249" s="64"/>
      <c r="BW249" s="64"/>
      <c r="BX249" s="64"/>
      <c r="BY249" s="64"/>
      <c r="BZ249" s="64"/>
      <c r="CA249" s="64"/>
      <c r="CB249" s="64"/>
      <c r="CC249" s="64"/>
      <c r="CD249" s="64"/>
      <c r="CE249" s="64"/>
      <c r="CF249" s="64"/>
      <c r="CG249" s="64"/>
      <c r="CH249" s="64"/>
      <c r="CI249" s="64"/>
      <c r="CJ249" s="64"/>
      <c r="CK249" s="64"/>
      <c r="CL249" s="64"/>
      <c r="CM249" s="64"/>
      <c r="CN249" s="64"/>
      <c r="CO249" s="64"/>
      <c r="CP249" s="64"/>
      <c r="CQ249" s="64"/>
      <c r="CR249" s="64"/>
      <c r="CS249" s="64"/>
      <c r="CT249" s="64"/>
      <c r="CU249" s="64"/>
      <c r="CV249" s="177"/>
      <c r="CW249" s="64"/>
      <c r="CX249" s="64"/>
      <c r="CY249" s="64"/>
      <c r="CZ249" s="64"/>
      <c r="DA249" s="64"/>
      <c r="DB249" s="64"/>
      <c r="DC249" s="64"/>
      <c r="DD249" s="64"/>
      <c r="DE249" s="64"/>
      <c r="DF249" s="64"/>
      <c r="DG249" s="64"/>
      <c r="DH249" s="64"/>
      <c r="DI249" s="64"/>
      <c r="DJ249" s="64"/>
      <c r="DK249" s="64"/>
      <c r="DL249" s="64"/>
      <c r="DM249" s="64"/>
      <c r="DN249" s="64"/>
      <c r="DO249" s="64"/>
      <c r="DP249" s="64"/>
      <c r="DQ249" s="64"/>
      <c r="DR249" s="64"/>
      <c r="DS249" s="64"/>
      <c r="DT249" s="64"/>
      <c r="DU249" s="64"/>
      <c r="DV249" s="64"/>
      <c r="DW249" s="64"/>
      <c r="DX249" s="64"/>
      <c r="DY249" s="64"/>
      <c r="DZ249" s="64"/>
      <c r="EA249" s="64"/>
      <c r="EB249" s="64"/>
      <c r="EC249" s="64"/>
      <c r="ED249" s="64"/>
      <c r="EE249" s="64"/>
      <c r="EF249" s="64"/>
      <c r="EG249" s="64"/>
      <c r="EH249" s="64"/>
      <c r="EI249" s="64"/>
      <c r="EJ249" s="64"/>
      <c r="EK249" s="64"/>
      <c r="EL249" s="64"/>
      <c r="EM249" s="64"/>
      <c r="EN249" s="64"/>
      <c r="EO249" s="64"/>
      <c r="EP249" s="64"/>
      <c r="EQ249" s="64"/>
      <c r="ER249" s="64"/>
      <c r="ES249" s="64"/>
      <c r="ET249" s="64"/>
      <c r="EU249" s="64"/>
      <c r="EV249" s="64"/>
      <c r="EW249" s="64"/>
      <c r="EX249" s="64"/>
      <c r="EY249" s="64"/>
      <c r="EZ249" s="64"/>
      <c r="FA249" s="64"/>
      <c r="FB249" s="64"/>
      <c r="FC249" s="64"/>
      <c r="FD249" s="64"/>
      <c r="FE249" s="64"/>
      <c r="FF249" s="64"/>
      <c r="FG249" s="64"/>
      <c r="FH249" s="64"/>
      <c r="FI249" s="64"/>
      <c r="FJ249" s="64"/>
      <c r="FK249" s="64"/>
      <c r="FL249" s="65"/>
    </row>
    <row r="250" spans="52:170" ht="15.75" thickBot="1" x14ac:dyDescent="0.3">
      <c r="AZ250" s="54"/>
      <c r="BA250" s="57" t="s">
        <v>159</v>
      </c>
      <c r="BB250" s="57"/>
      <c r="BC250" s="57"/>
      <c r="BD250" s="57"/>
      <c r="BE250" s="57"/>
      <c r="BF250" s="57"/>
      <c r="BG250" s="57"/>
      <c r="BH250" s="7" t="s">
        <v>30</v>
      </c>
      <c r="BI250" s="7"/>
      <c r="BJ250" s="7"/>
      <c r="BK250" s="7"/>
      <c r="BL250" s="7"/>
      <c r="BM250" s="7"/>
      <c r="BN250" s="7"/>
      <c r="BO250" s="7"/>
      <c r="BP250" s="7"/>
      <c r="BQ250" s="34"/>
      <c r="BR250" s="34"/>
      <c r="BS250" s="34"/>
      <c r="BT250" s="34"/>
      <c r="BU250" s="57"/>
      <c r="BV250" s="7" t="s">
        <v>31</v>
      </c>
      <c r="BW250" s="7"/>
      <c r="BX250" s="7"/>
      <c r="BY250" s="7"/>
      <c r="BZ250" s="7"/>
      <c r="CA250" s="7"/>
      <c r="CB250" s="7"/>
      <c r="CC250" s="7"/>
      <c r="CD250" s="7"/>
      <c r="CE250" s="7"/>
      <c r="CF250" s="7"/>
      <c r="CG250" s="7"/>
      <c r="CH250" s="57"/>
      <c r="CI250" s="7" t="s">
        <v>32</v>
      </c>
      <c r="CJ250" s="7"/>
      <c r="CK250" s="7"/>
      <c r="CL250" s="7"/>
      <c r="CM250" s="35" t="s">
        <v>33</v>
      </c>
      <c r="CN250" s="35" t="s">
        <v>34</v>
      </c>
      <c r="CO250" s="36" t="s">
        <v>35</v>
      </c>
      <c r="CP250" s="57"/>
      <c r="CQ250" s="57"/>
      <c r="CR250" s="6" t="s">
        <v>36</v>
      </c>
      <c r="CS250" s="6"/>
      <c r="CT250" s="6"/>
      <c r="CU250" s="6"/>
      <c r="CV250" s="6"/>
      <c r="CW250" s="6"/>
      <c r="CX250" s="6"/>
      <c r="CY250" s="6"/>
      <c r="CZ250" s="6"/>
      <c r="DA250" s="6"/>
      <c r="DB250" s="6"/>
      <c r="DC250" s="6"/>
      <c r="DD250" s="6"/>
      <c r="DE250" s="6"/>
      <c r="DF250" s="6"/>
      <c r="DG250" s="6"/>
      <c r="DH250" s="6"/>
      <c r="DI250" s="6"/>
      <c r="DJ250" s="6"/>
      <c r="DK250" s="6"/>
      <c r="DL250" s="57"/>
      <c r="DM250" s="13" t="s">
        <v>37</v>
      </c>
      <c r="DN250" s="13"/>
      <c r="DO250" s="18"/>
      <c r="DP250" s="37"/>
      <c r="DQ250" s="5" t="s">
        <v>38</v>
      </c>
      <c r="DR250" s="5"/>
      <c r="DS250" s="38"/>
      <c r="DT250" s="39"/>
      <c r="DU250" s="4" t="s">
        <v>39</v>
      </c>
      <c r="DV250" s="4"/>
      <c r="DW250" s="4"/>
      <c r="DX250" s="18"/>
      <c r="DY250" s="37"/>
      <c r="DZ250" s="5" t="s">
        <v>40</v>
      </c>
      <c r="EA250" s="5"/>
      <c r="EB250" s="18"/>
      <c r="EC250" s="37"/>
      <c r="ED250" s="5" t="s">
        <v>41</v>
      </c>
      <c r="EE250" s="5"/>
      <c r="EF250" s="18"/>
      <c r="EG250" s="37"/>
      <c r="EH250" s="3" t="s">
        <v>42</v>
      </c>
      <c r="EI250" s="3"/>
      <c r="EJ250" s="3"/>
      <c r="EK250" s="3"/>
      <c r="EL250" s="3"/>
      <c r="EM250" s="3"/>
      <c r="EN250" s="3"/>
      <c r="EO250" s="3"/>
      <c r="EP250" s="38"/>
      <c r="EQ250" s="14" t="s">
        <v>43</v>
      </c>
      <c r="ER250" s="14"/>
      <c r="ES250" s="14"/>
      <c r="ET250" s="40"/>
      <c r="EU250" s="18"/>
      <c r="EV250" s="14" t="s">
        <v>44</v>
      </c>
      <c r="EW250" s="14"/>
      <c r="EX250" s="14"/>
      <c r="EY250" s="38"/>
      <c r="EZ250" s="14" t="s">
        <v>45</v>
      </c>
      <c r="FA250" s="14"/>
      <c r="FB250" s="14"/>
      <c r="FC250" s="38"/>
      <c r="FD250" s="14" t="s">
        <v>46</v>
      </c>
      <c r="FE250" s="14"/>
      <c r="FF250" s="14"/>
      <c r="FG250" s="38"/>
      <c r="FH250" s="14" t="s">
        <v>47</v>
      </c>
      <c r="FI250" s="14"/>
      <c r="FJ250" s="14"/>
      <c r="FK250" s="178"/>
      <c r="FL250" s="61"/>
    </row>
    <row r="251" spans="52:170" ht="15.75" thickBot="1" x14ac:dyDescent="0.3">
      <c r="AZ251" s="54"/>
      <c r="BA251" s="57"/>
      <c r="BB251" s="57"/>
      <c r="BC251" s="57"/>
      <c r="BD251" s="57"/>
      <c r="BE251" s="57"/>
      <c r="BF251" s="57"/>
      <c r="BG251" s="57"/>
      <c r="BH251" s="42"/>
      <c r="BI251" s="43" t="s">
        <v>48</v>
      </c>
      <c r="BJ251" s="44" t="s">
        <v>49</v>
      </c>
      <c r="BK251" s="43" t="s">
        <v>50</v>
      </c>
      <c r="BL251" s="43"/>
      <c r="BM251" s="43"/>
      <c r="BN251" s="43" t="s">
        <v>51</v>
      </c>
      <c r="BO251" s="44" t="s">
        <v>49</v>
      </c>
      <c r="BP251" s="45" t="s">
        <v>50</v>
      </c>
      <c r="BQ251" s="43"/>
      <c r="BR251" s="43" t="s">
        <v>52</v>
      </c>
      <c r="BS251" s="44" t="s">
        <v>49</v>
      </c>
      <c r="BT251" s="45" t="s">
        <v>50</v>
      </c>
      <c r="BU251" s="57"/>
      <c r="BV251" s="42" t="s">
        <v>53</v>
      </c>
      <c r="BW251" s="43" t="s">
        <v>54</v>
      </c>
      <c r="BX251" s="45" t="s">
        <v>55</v>
      </c>
      <c r="BY251" s="7" t="s">
        <v>53</v>
      </c>
      <c r="BZ251" s="7"/>
      <c r="CA251" s="7"/>
      <c r="CB251" s="7" t="s">
        <v>54</v>
      </c>
      <c r="CC251" s="7"/>
      <c r="CD251" s="7"/>
      <c r="CE251" s="7" t="s">
        <v>55</v>
      </c>
      <c r="CF251" s="7"/>
      <c r="CG251" s="7"/>
      <c r="CH251" s="57"/>
      <c r="CI251" s="46" t="s">
        <v>56</v>
      </c>
      <c r="CJ251" s="47"/>
      <c r="CK251" s="48"/>
      <c r="CL251" s="48"/>
      <c r="CM251" s="49"/>
      <c r="CN251" s="49"/>
      <c r="CO251" s="49"/>
      <c r="CP251" s="57"/>
      <c r="CQ251" s="57"/>
      <c r="CR251" s="7" t="s">
        <v>57</v>
      </c>
      <c r="CS251" s="7"/>
      <c r="CT251" s="7"/>
      <c r="CU251" s="7"/>
      <c r="CV251" s="7"/>
      <c r="CW251" s="2" t="s">
        <v>58</v>
      </c>
      <c r="CX251" s="2"/>
      <c r="CY251" s="2"/>
      <c r="CZ251" s="2"/>
      <c r="DA251" s="2"/>
      <c r="DB251" s="7" t="s">
        <v>59</v>
      </c>
      <c r="DC251" s="7"/>
      <c r="DD251" s="7"/>
      <c r="DE251" s="7"/>
      <c r="DF251" s="7"/>
      <c r="DG251" s="7" t="s">
        <v>60</v>
      </c>
      <c r="DH251" s="7"/>
      <c r="DI251" s="7"/>
      <c r="DJ251" s="7"/>
      <c r="DK251" s="7"/>
      <c r="DL251" s="57"/>
      <c r="DM251" s="50" t="s">
        <v>61</v>
      </c>
      <c r="DN251" s="34" t="s">
        <v>62</v>
      </c>
      <c r="DO251" s="51"/>
      <c r="DP251" s="34"/>
      <c r="DQ251" s="52" t="s">
        <v>61</v>
      </c>
      <c r="DR251" s="31" t="s">
        <v>63</v>
      </c>
      <c r="DS251" s="53"/>
      <c r="DT251" s="54"/>
      <c r="DU251" s="52" t="s">
        <v>61</v>
      </c>
      <c r="DV251" s="31" t="s">
        <v>63</v>
      </c>
      <c r="DW251" s="55" t="s">
        <v>64</v>
      </c>
      <c r="DX251" s="51"/>
      <c r="DY251" s="34"/>
      <c r="DZ251" s="56" t="s">
        <v>61</v>
      </c>
      <c r="EA251" s="34" t="s">
        <v>65</v>
      </c>
      <c r="EB251" s="51"/>
      <c r="EC251" s="34"/>
      <c r="ED251" s="52" t="s">
        <v>61</v>
      </c>
      <c r="EE251" s="31" t="s">
        <v>63</v>
      </c>
      <c r="EF251" s="51"/>
      <c r="EG251" s="34"/>
      <c r="EH251" s="52" t="s">
        <v>61</v>
      </c>
      <c r="EI251" s="34" t="s">
        <v>66</v>
      </c>
      <c r="EJ251" s="34"/>
      <c r="EK251" s="34"/>
      <c r="EL251" s="34" t="s">
        <v>66</v>
      </c>
      <c r="EM251" s="34"/>
      <c r="EN251" s="34"/>
      <c r="EO251" s="34" t="s">
        <v>66</v>
      </c>
      <c r="EP251" s="53"/>
      <c r="EQ251" s="57"/>
      <c r="ER251" s="56" t="s">
        <v>61</v>
      </c>
      <c r="ES251" s="34" t="s">
        <v>66</v>
      </c>
      <c r="ET251" s="53"/>
      <c r="EU251" s="51"/>
      <c r="EV251" s="34"/>
      <c r="EW251" s="52" t="s">
        <v>61</v>
      </c>
      <c r="EX251" s="31" t="s">
        <v>67</v>
      </c>
      <c r="EY251" s="53"/>
      <c r="EZ251" s="34"/>
      <c r="FA251" s="52" t="s">
        <v>61</v>
      </c>
      <c r="FB251" s="31" t="s">
        <v>68</v>
      </c>
      <c r="FC251" s="53"/>
      <c r="FD251" s="34"/>
      <c r="FE251" s="52" t="s">
        <v>61</v>
      </c>
      <c r="FF251" s="31" t="s">
        <v>68</v>
      </c>
      <c r="FG251" s="53"/>
      <c r="FH251" s="34"/>
      <c r="FI251" s="52" t="s">
        <v>61</v>
      </c>
      <c r="FJ251" s="30" t="s">
        <v>69</v>
      </c>
      <c r="FK251" s="57"/>
      <c r="FL251" s="61"/>
    </row>
    <row r="252" spans="52:170" ht="45" x14ac:dyDescent="0.25">
      <c r="AZ252" s="170" t="s">
        <v>70</v>
      </c>
      <c r="BA252" s="176">
        <f>C15</f>
        <v>0</v>
      </c>
      <c r="BB252" s="57" t="s">
        <v>71</v>
      </c>
      <c r="BC252" s="57"/>
      <c r="BD252" s="57" t="s">
        <v>72</v>
      </c>
      <c r="BE252" s="179">
        <f>BA252*1000/(BA253-BA254)</f>
        <v>0</v>
      </c>
      <c r="BF252" s="57"/>
      <c r="BG252" s="57"/>
      <c r="BH252" s="54" t="e">
        <f t="shared" ref="BH252:BH265" si="102">IF($B$12&lt;12,(IF((BK252&gt;4)*AND(BK252&lt;16),2,0)),IF((BK252&gt;4)*AND(BK252&lt;20),2,0))</f>
        <v>#VALUE!</v>
      </c>
      <c r="BI252" s="57">
        <v>15</v>
      </c>
      <c r="BJ252" s="57" t="e">
        <f t="shared" ref="BJ252:BJ265" si="103">1/POWER(1.14+2*LOG10((BI252/1000)/($K$21/1000)),2)</f>
        <v>#VALUE!</v>
      </c>
      <c r="BK252" s="57" t="e">
        <f t="shared" ref="BK252:BK265" si="104">0.00638*BJ252*POWER($F$4,2)/(POWER(BI252/1000,5)*$K$20)</f>
        <v>#VALUE!</v>
      </c>
      <c r="BL252" s="57"/>
      <c r="BM252" s="57" t="e">
        <f t="shared" ref="BM252:BM265" si="105">IF((BP252&gt;4)*AND(BP252&lt;20),1,0)</f>
        <v>#VALUE!</v>
      </c>
      <c r="BN252" s="57">
        <v>15</v>
      </c>
      <c r="BO252" s="57" t="e">
        <f t="shared" ref="BO252:BO265" si="106">1/POWER(1.14+2*LOG10((BN252/1000)/($K$21/1000)),2)</f>
        <v>#VALUE!</v>
      </c>
      <c r="BP252" s="61" t="e">
        <f t="shared" ref="BP252:BP265" si="107">0.00638*BO252*POWER($F$11,2)/(POWER(BN252/1000,5)*$K$20)</f>
        <v>#VALUE!</v>
      </c>
      <c r="BQ252" s="57" t="e">
        <f t="shared" ref="BQ252:BQ265" si="108">IF((BT252&gt;4)*AND(BT252&lt;20),1,0)</f>
        <v>#VALUE!</v>
      </c>
      <c r="BR252" s="57">
        <v>15</v>
      </c>
      <c r="BS252" s="57" t="e">
        <f t="shared" ref="BS252:BS265" si="109">1/POWER(1.14+2*LOG10((BR252/1000)/($K$21/1000)),2)</f>
        <v>#VALUE!</v>
      </c>
      <c r="BT252" s="61" t="e">
        <f t="shared" ref="BT252:BT265" si="110">0.00638*BS252*POWER($F$16,2)/(POWER(BR252/1000,5)*$K$20)</f>
        <v>#VALUE!</v>
      </c>
      <c r="BU252" s="57"/>
      <c r="BV252" s="62" t="s">
        <v>73</v>
      </c>
      <c r="BW252" s="57">
        <f>IF(BA260=0,0,IF(BA260&gt;12,3,1.8))</f>
        <v>3</v>
      </c>
      <c r="BX252" s="57"/>
      <c r="BY252" s="63">
        <f t="shared" ref="BY252:BY269" si="111">IF(CA252&gt;$X$5,1,0)</f>
        <v>1</v>
      </c>
      <c r="BZ252" s="64">
        <v>15</v>
      </c>
      <c r="CA252" s="65">
        <v>1.6</v>
      </c>
      <c r="CB252" s="63">
        <f t="shared" ref="CB252:CB270" si="112">IF(CD252&gt;$X$5,1,0)</f>
        <v>1</v>
      </c>
      <c r="CC252" s="64">
        <v>15</v>
      </c>
      <c r="CD252" s="65">
        <v>1.6</v>
      </c>
      <c r="CE252" s="57">
        <f t="shared" ref="CE252:CE264" si="113">IF(CG252&gt;$X$5,1,0)</f>
        <v>1</v>
      </c>
      <c r="CF252" s="57">
        <v>15</v>
      </c>
      <c r="CG252" s="61">
        <v>1.6</v>
      </c>
      <c r="CH252" s="57"/>
      <c r="CI252" s="66">
        <v>4</v>
      </c>
      <c r="CJ252" s="63">
        <f t="shared" ref="CJ252:CJ261" si="114">IF($F$13&lt;CI252,1,0)</f>
        <v>1</v>
      </c>
      <c r="CK252" s="65" t="s">
        <v>74</v>
      </c>
      <c r="CL252" s="67">
        <f t="shared" ref="CL252:CL261" si="115">IF($F$13&lt;CI252,1,0)</f>
        <v>1</v>
      </c>
      <c r="CM252" s="68" t="s">
        <v>75</v>
      </c>
      <c r="CN252" s="63">
        <f t="shared" ref="CN252:CN261" si="116">IF($F$13&lt;CI252,1,0)</f>
        <v>1</v>
      </c>
      <c r="CO252" s="69" t="s">
        <v>76</v>
      </c>
      <c r="CP252" s="57"/>
      <c r="CQ252" s="57"/>
      <c r="CR252" s="63">
        <v>0.1</v>
      </c>
      <c r="CS252" s="64">
        <f t="shared" ref="CS252:CS259" si="117">IF($B$4&lt;CR252,1,0)</f>
        <v>1</v>
      </c>
      <c r="CT252" s="64" t="s">
        <v>77</v>
      </c>
      <c r="CU252" s="64">
        <f t="shared" ref="CU252:CU259" si="118">IF($B$4&lt;CR252,1,0)</f>
        <v>1</v>
      </c>
      <c r="CV252" s="17">
        <v>1</v>
      </c>
      <c r="CW252" s="63">
        <v>0.1</v>
      </c>
      <c r="CX252" s="64">
        <f t="shared" ref="CX252:CX259" si="119">IF($B$4&lt;CW252,1,0)</f>
        <v>1</v>
      </c>
      <c r="CY252" s="64" t="s">
        <v>77</v>
      </c>
      <c r="CZ252" s="64">
        <f t="shared" ref="CZ252:CZ259" si="120">IF($B$4&lt;CW252,1,0)</f>
        <v>1</v>
      </c>
      <c r="DA252" s="17">
        <v>1</v>
      </c>
      <c r="DB252" s="54">
        <v>0.14000000000000001</v>
      </c>
      <c r="DC252" s="57">
        <f t="shared" ref="DC252:DC258" si="121">IF($B$4&lt;DB252,1,0)</f>
        <v>1</v>
      </c>
      <c r="DD252" s="64" t="s">
        <v>77</v>
      </c>
      <c r="DE252" s="57">
        <f t="shared" ref="DE252:DE258" si="122">IF($B$4&lt;DB252,1,0)</f>
        <v>1</v>
      </c>
      <c r="DF252" s="55">
        <v>1</v>
      </c>
      <c r="DG252" s="57">
        <v>0.05</v>
      </c>
      <c r="DH252" s="57">
        <f t="shared" ref="DH252:DH261" si="123">IF($B$4&lt;DG252,1,0)</f>
        <v>1</v>
      </c>
      <c r="DI252" s="57" t="s">
        <v>77</v>
      </c>
      <c r="DJ252" s="57">
        <f t="shared" ref="DJ252:DJ261" si="124">IF($B$4&lt;DG252,1,0)</f>
        <v>1</v>
      </c>
      <c r="DK252" s="61">
        <v>1</v>
      </c>
      <c r="DL252" s="57"/>
      <c r="DM252" s="50" t="s">
        <v>78</v>
      </c>
      <c r="DN252" s="34" t="s">
        <v>79</v>
      </c>
      <c r="DO252" s="51"/>
      <c r="DP252" s="34">
        <f t="shared" ref="DP252:DP263" si="125">IF($F$5=DR252,1,0)</f>
        <v>0</v>
      </c>
      <c r="DQ252" s="56" t="s">
        <v>80</v>
      </c>
      <c r="DR252" s="34">
        <v>15</v>
      </c>
      <c r="DS252" s="53"/>
      <c r="DT252" s="70">
        <f t="shared" ref="DT252:DT274" si="126">IF($F$7=DW252,1,0)</f>
        <v>0</v>
      </c>
      <c r="DU252" s="56" t="s">
        <v>80</v>
      </c>
      <c r="DV252" s="34">
        <v>15</v>
      </c>
      <c r="DW252" s="55">
        <v>0.63</v>
      </c>
      <c r="DX252" s="51"/>
      <c r="DY252" s="34">
        <f>IF($B$14=EA252,1,0)</f>
        <v>0</v>
      </c>
      <c r="DZ252" s="56" t="s">
        <v>78</v>
      </c>
      <c r="EA252" s="34" t="s">
        <v>53</v>
      </c>
      <c r="EB252" s="51"/>
      <c r="EC252" s="34">
        <f t="shared" ref="EC252:EC263" si="127">IF($F$12=EE252,1,0)</f>
        <v>0</v>
      </c>
      <c r="ED252" s="56" t="s">
        <v>80</v>
      </c>
      <c r="EE252" s="34">
        <v>15</v>
      </c>
      <c r="EF252" s="51"/>
      <c r="EG252" s="34">
        <f t="shared" ref="EG252:EG262" si="128">IF($E$14=EI252,1,0)</f>
        <v>0</v>
      </c>
      <c r="EH252" s="31">
        <v>1</v>
      </c>
      <c r="EI252" s="31" t="s">
        <v>74</v>
      </c>
      <c r="EJ252" s="31">
        <f t="shared" ref="EJ252:EJ258" si="129">IF($E$14=EL252,1,0)</f>
        <v>0</v>
      </c>
      <c r="EK252" s="31">
        <v>1</v>
      </c>
      <c r="EL252" s="71" t="s">
        <v>75</v>
      </c>
      <c r="EM252" s="71">
        <f t="shared" ref="EM252:EM258" si="130">IF($E$14=EO252,1,0)</f>
        <v>0</v>
      </c>
      <c r="EN252" s="31">
        <v>1</v>
      </c>
      <c r="EO252" s="71" t="s">
        <v>76</v>
      </c>
      <c r="EP252" s="53"/>
      <c r="EQ252" s="57" t="e">
        <f>IF(OR(BD262="DPL 80/115-2,2/2",BD262="DPL 100/175-3/4"),1,0)</f>
        <v>#N/A</v>
      </c>
      <c r="ER252" s="31">
        <v>5</v>
      </c>
      <c r="ES252" s="57"/>
      <c r="ET252" s="53"/>
      <c r="EU252" s="51"/>
      <c r="EV252" s="34">
        <f t="shared" ref="EV252:EV258" si="131">IF($E$9=EX252,1,0)</f>
        <v>0</v>
      </c>
      <c r="EW252" s="56" t="s">
        <v>81</v>
      </c>
      <c r="EX252" s="57" t="s">
        <v>82</v>
      </c>
      <c r="EY252" s="53"/>
      <c r="EZ252" s="34">
        <f t="shared" ref="EZ252:EZ257" si="132">IF($F$9=FB252,1,0)</f>
        <v>0</v>
      </c>
      <c r="FA252" s="56" t="s">
        <v>81</v>
      </c>
      <c r="FB252" s="57" t="s">
        <v>82</v>
      </c>
      <c r="FC252" s="53"/>
      <c r="FD252" s="34">
        <f>IF($B$16=FF252,1,0)</f>
        <v>0</v>
      </c>
      <c r="FE252" s="56" t="s">
        <v>78</v>
      </c>
      <c r="FF252" s="34" t="s">
        <v>83</v>
      </c>
      <c r="FG252" s="53"/>
      <c r="FH252" s="34">
        <f>IF($B$17=FJ252,1,0)</f>
        <v>0</v>
      </c>
      <c r="FI252" s="56" t="s">
        <v>78</v>
      </c>
      <c r="FJ252" s="61" t="s">
        <v>84</v>
      </c>
      <c r="FK252" s="57"/>
      <c r="FL252" s="61"/>
    </row>
    <row r="253" spans="52:170" ht="30" x14ac:dyDescent="0.25">
      <c r="AZ253" s="170" t="s">
        <v>85</v>
      </c>
      <c r="BA253" s="176">
        <f>N13</f>
        <v>130</v>
      </c>
      <c r="BB253" s="171" t="s">
        <v>86</v>
      </c>
      <c r="BC253" s="57"/>
      <c r="BD253" s="57" t="s">
        <v>48</v>
      </c>
      <c r="BE253" s="180" t="e">
        <f>VLOOKUP(2,BH252:BK265,2,0)</f>
        <v>#N/A</v>
      </c>
      <c r="BF253" s="57"/>
      <c r="BG253" s="57"/>
      <c r="BH253" s="54" t="e">
        <f t="shared" si="102"/>
        <v>#VALUE!</v>
      </c>
      <c r="BI253" s="57">
        <v>20</v>
      </c>
      <c r="BJ253" s="57" t="e">
        <f t="shared" si="103"/>
        <v>#VALUE!</v>
      </c>
      <c r="BK253" s="57" t="e">
        <f t="shared" si="104"/>
        <v>#VALUE!</v>
      </c>
      <c r="BL253" s="57"/>
      <c r="BM253" s="57" t="e">
        <f t="shared" si="105"/>
        <v>#VALUE!</v>
      </c>
      <c r="BN253" s="57">
        <v>20</v>
      </c>
      <c r="BO253" s="57" t="e">
        <f t="shared" si="106"/>
        <v>#VALUE!</v>
      </c>
      <c r="BP253" s="61" t="e">
        <f t="shared" si="107"/>
        <v>#VALUE!</v>
      </c>
      <c r="BQ253" s="57" t="e">
        <f t="shared" si="108"/>
        <v>#VALUE!</v>
      </c>
      <c r="BR253" s="57">
        <v>20</v>
      </c>
      <c r="BS253" s="57" t="e">
        <f t="shared" si="109"/>
        <v>#VALUE!</v>
      </c>
      <c r="BT253" s="61" t="e">
        <f t="shared" si="110"/>
        <v>#VALUE!</v>
      </c>
      <c r="BU253" s="57"/>
      <c r="BV253" s="62" t="s">
        <v>87</v>
      </c>
      <c r="BW253" s="74">
        <f>BE252/SQRT(0.1*BW252)</f>
        <v>0</v>
      </c>
      <c r="BX253" s="74"/>
      <c r="BY253" s="54">
        <f t="shared" si="111"/>
        <v>1</v>
      </c>
      <c r="BZ253" s="57">
        <v>15</v>
      </c>
      <c r="CA253" s="61">
        <v>2.5</v>
      </c>
      <c r="CB253" s="54">
        <f t="shared" si="112"/>
        <v>1</v>
      </c>
      <c r="CC253" s="57">
        <v>15</v>
      </c>
      <c r="CD253" s="61">
        <v>2.5</v>
      </c>
      <c r="CE253" s="57">
        <f t="shared" si="113"/>
        <v>1</v>
      </c>
      <c r="CF253" s="57">
        <v>15</v>
      </c>
      <c r="CG253" s="61">
        <v>2.5</v>
      </c>
      <c r="CH253" s="57"/>
      <c r="CI253" s="70">
        <v>6</v>
      </c>
      <c r="CJ253" s="54">
        <f t="shared" si="114"/>
        <v>1</v>
      </c>
      <c r="CK253" s="61" t="s">
        <v>88</v>
      </c>
      <c r="CL253" s="53">
        <f t="shared" si="115"/>
        <v>1</v>
      </c>
      <c r="CM253" s="53" t="s">
        <v>89</v>
      </c>
      <c r="CN253" s="54">
        <f t="shared" si="116"/>
        <v>1</v>
      </c>
      <c r="CO253" s="75" t="s">
        <v>90</v>
      </c>
      <c r="CP253" s="57"/>
      <c r="CQ253" s="57"/>
      <c r="CR253" s="54">
        <v>0.25</v>
      </c>
      <c r="CS253" s="57">
        <f t="shared" si="117"/>
        <v>1</v>
      </c>
      <c r="CT253" s="57" t="s">
        <v>91</v>
      </c>
      <c r="CU253" s="57">
        <f t="shared" si="118"/>
        <v>1</v>
      </c>
      <c r="CV253" s="30">
        <v>1</v>
      </c>
      <c r="CW253" s="54">
        <v>0.25</v>
      </c>
      <c r="CX253" s="57">
        <f t="shared" si="119"/>
        <v>1</v>
      </c>
      <c r="CY253" s="57" t="s">
        <v>91</v>
      </c>
      <c r="CZ253" s="57">
        <f t="shared" si="120"/>
        <v>1</v>
      </c>
      <c r="DA253" s="30">
        <v>1</v>
      </c>
      <c r="DB253" s="54">
        <v>0.45</v>
      </c>
      <c r="DC253" s="57">
        <f t="shared" si="121"/>
        <v>1</v>
      </c>
      <c r="DD253" s="57" t="s">
        <v>92</v>
      </c>
      <c r="DE253" s="57">
        <f t="shared" si="122"/>
        <v>1</v>
      </c>
      <c r="DF253" s="55">
        <v>1</v>
      </c>
      <c r="DG253" s="57">
        <v>0.09</v>
      </c>
      <c r="DH253" s="57">
        <f t="shared" si="123"/>
        <v>1</v>
      </c>
      <c r="DI253" s="57" t="s">
        <v>93</v>
      </c>
      <c r="DJ253" s="57">
        <f t="shared" si="124"/>
        <v>1</v>
      </c>
      <c r="DK253" s="61">
        <v>1</v>
      </c>
      <c r="DL253" s="57"/>
      <c r="DM253" s="50" t="s">
        <v>94</v>
      </c>
      <c r="DN253" s="34" t="s">
        <v>95</v>
      </c>
      <c r="DO253" s="51"/>
      <c r="DP253" s="34">
        <f t="shared" si="125"/>
        <v>0</v>
      </c>
      <c r="DQ253" s="56" t="s">
        <v>96</v>
      </c>
      <c r="DR253" s="34">
        <v>20</v>
      </c>
      <c r="DS253" s="53"/>
      <c r="DT253" s="70">
        <f t="shared" si="126"/>
        <v>0</v>
      </c>
      <c r="DU253" s="56" t="s">
        <v>96</v>
      </c>
      <c r="DV253" s="34">
        <v>15</v>
      </c>
      <c r="DW253" s="55">
        <v>1.25</v>
      </c>
      <c r="DX253" s="51"/>
      <c r="DY253" s="34">
        <f>IF($B$14=EA253,1,0)</f>
        <v>0</v>
      </c>
      <c r="DZ253" s="56" t="s">
        <v>94</v>
      </c>
      <c r="EA253" s="34" t="s">
        <v>55</v>
      </c>
      <c r="EB253" s="51"/>
      <c r="EC253" s="34">
        <f t="shared" si="127"/>
        <v>0</v>
      </c>
      <c r="ED253" s="56" t="s">
        <v>96</v>
      </c>
      <c r="EE253" s="34">
        <v>20</v>
      </c>
      <c r="EF253" s="51"/>
      <c r="EG253" s="34">
        <f t="shared" si="128"/>
        <v>0</v>
      </c>
      <c r="EH253" s="31">
        <v>2</v>
      </c>
      <c r="EI253" s="31" t="s">
        <v>88</v>
      </c>
      <c r="EJ253" s="31">
        <f t="shared" si="129"/>
        <v>0</v>
      </c>
      <c r="EK253" s="31">
        <v>2</v>
      </c>
      <c r="EL253" s="31" t="s">
        <v>89</v>
      </c>
      <c r="EM253" s="71">
        <f t="shared" si="130"/>
        <v>0</v>
      </c>
      <c r="EN253" s="31">
        <v>2</v>
      </c>
      <c r="EO253" s="71" t="s">
        <v>90</v>
      </c>
      <c r="EP253" s="53"/>
      <c r="EQ253" s="57">
        <f>IF($B$15=ES253,1,0)</f>
        <v>0</v>
      </c>
      <c r="ER253" s="31">
        <v>1</v>
      </c>
      <c r="ES253" s="31" t="s">
        <v>33</v>
      </c>
      <c r="ET253" s="53"/>
      <c r="EU253" s="51"/>
      <c r="EV253" s="34">
        <f t="shared" si="131"/>
        <v>0</v>
      </c>
      <c r="EW253" s="56" t="s">
        <v>78</v>
      </c>
      <c r="EX253" s="34" t="s">
        <v>77</v>
      </c>
      <c r="EY253" s="53"/>
      <c r="EZ253" s="34">
        <f t="shared" si="132"/>
        <v>0</v>
      </c>
      <c r="FA253" s="56" t="s">
        <v>78</v>
      </c>
      <c r="FB253" s="34">
        <v>1</v>
      </c>
      <c r="FC253" s="53"/>
      <c r="FD253" s="34">
        <f>IF($B$16=FF253,1,0)</f>
        <v>0</v>
      </c>
      <c r="FE253" s="56" t="s">
        <v>94</v>
      </c>
      <c r="FF253" s="34" t="s">
        <v>55</v>
      </c>
      <c r="FG253" s="53"/>
      <c r="FH253" s="34">
        <f>IF($B$17=FJ253,1,0)</f>
        <v>0</v>
      </c>
      <c r="FI253" s="56" t="s">
        <v>81</v>
      </c>
      <c r="FJ253" s="55" t="s">
        <v>97</v>
      </c>
      <c r="FK253" s="57"/>
      <c r="FL253" s="61"/>
    </row>
    <row r="254" spans="52:170" ht="30" x14ac:dyDescent="0.25">
      <c r="AZ254" s="170" t="s">
        <v>98</v>
      </c>
      <c r="BA254" s="176">
        <f>IF(OR(C28="зависимая",C28=0),R13,IF((R13-BA256)&lt;5,BA256+5,R13))</f>
        <v>70</v>
      </c>
      <c r="BB254" s="171" t="s">
        <v>86</v>
      </c>
      <c r="BC254" s="57"/>
      <c r="BD254" s="57" t="s">
        <v>99</v>
      </c>
      <c r="BE254" s="180">
        <f>VLOOKUP(1,IF(BA262="IMI Hydronic",BY252:CA269,IF(BA262="Siemens",CB252:CD270,CE252:CG264)),2,0)</f>
        <v>15</v>
      </c>
      <c r="BF254" s="57"/>
      <c r="BG254" s="57"/>
      <c r="BH254" s="54" t="e">
        <f t="shared" si="102"/>
        <v>#VALUE!</v>
      </c>
      <c r="BI254" s="57">
        <v>25</v>
      </c>
      <c r="BJ254" s="57" t="e">
        <f t="shared" si="103"/>
        <v>#VALUE!</v>
      </c>
      <c r="BK254" s="57" t="e">
        <f t="shared" si="104"/>
        <v>#VALUE!</v>
      </c>
      <c r="BL254" s="57"/>
      <c r="BM254" s="57" t="e">
        <f t="shared" si="105"/>
        <v>#VALUE!</v>
      </c>
      <c r="BN254" s="57">
        <v>25</v>
      </c>
      <c r="BO254" s="57" t="e">
        <f t="shared" si="106"/>
        <v>#VALUE!</v>
      </c>
      <c r="BP254" s="61" t="e">
        <f t="shared" si="107"/>
        <v>#VALUE!</v>
      </c>
      <c r="BQ254" s="57" t="e">
        <f t="shared" si="108"/>
        <v>#VALUE!</v>
      </c>
      <c r="BR254" s="57">
        <v>25</v>
      </c>
      <c r="BS254" s="57" t="e">
        <f t="shared" si="109"/>
        <v>#VALUE!</v>
      </c>
      <c r="BT254" s="61" t="e">
        <f t="shared" si="110"/>
        <v>#VALUE!</v>
      </c>
      <c r="BU254" s="57"/>
      <c r="BV254" s="54"/>
      <c r="BW254" s="57"/>
      <c r="BX254" s="57"/>
      <c r="BY254" s="54">
        <f t="shared" si="111"/>
        <v>1</v>
      </c>
      <c r="BZ254" s="57">
        <v>15</v>
      </c>
      <c r="CA254" s="61">
        <v>4</v>
      </c>
      <c r="CB254" s="54">
        <f t="shared" si="112"/>
        <v>1</v>
      </c>
      <c r="CC254" s="57">
        <v>15</v>
      </c>
      <c r="CD254" s="61">
        <v>4</v>
      </c>
      <c r="CE254" s="57">
        <f t="shared" si="113"/>
        <v>1</v>
      </c>
      <c r="CF254" s="57">
        <v>15</v>
      </c>
      <c r="CG254" s="61">
        <v>4</v>
      </c>
      <c r="CH254" s="57"/>
      <c r="CI254" s="70">
        <v>10</v>
      </c>
      <c r="CJ254" s="54">
        <f t="shared" si="114"/>
        <v>1</v>
      </c>
      <c r="CK254" s="61" t="s">
        <v>100</v>
      </c>
      <c r="CL254" s="53">
        <f t="shared" si="115"/>
        <v>1</v>
      </c>
      <c r="CM254" s="53" t="s">
        <v>101</v>
      </c>
      <c r="CN254" s="54">
        <f t="shared" si="116"/>
        <v>1</v>
      </c>
      <c r="CO254" s="75" t="s">
        <v>102</v>
      </c>
      <c r="CP254" s="57"/>
      <c r="CQ254" s="57"/>
      <c r="CR254" s="54">
        <v>0.67</v>
      </c>
      <c r="CS254" s="57">
        <f t="shared" si="117"/>
        <v>1</v>
      </c>
      <c r="CT254" s="57" t="s">
        <v>92</v>
      </c>
      <c r="CU254" s="57">
        <f t="shared" si="118"/>
        <v>1</v>
      </c>
      <c r="CV254" s="30">
        <v>1</v>
      </c>
      <c r="CW254" s="54">
        <v>0.57499999999999996</v>
      </c>
      <c r="CX254" s="57">
        <f t="shared" si="119"/>
        <v>1</v>
      </c>
      <c r="CY254" s="57" t="s">
        <v>92</v>
      </c>
      <c r="CZ254" s="57">
        <f t="shared" si="120"/>
        <v>1</v>
      </c>
      <c r="DA254" s="30">
        <v>1</v>
      </c>
      <c r="DB254" s="54">
        <v>0.71</v>
      </c>
      <c r="DC254" s="57">
        <f t="shared" si="121"/>
        <v>1</v>
      </c>
      <c r="DD254" s="57" t="s">
        <v>92</v>
      </c>
      <c r="DE254" s="57">
        <f t="shared" si="122"/>
        <v>1</v>
      </c>
      <c r="DF254" s="55">
        <v>2</v>
      </c>
      <c r="DG254" s="57">
        <v>0.3</v>
      </c>
      <c r="DH254" s="57">
        <f t="shared" si="123"/>
        <v>1</v>
      </c>
      <c r="DI254" s="57" t="s">
        <v>92</v>
      </c>
      <c r="DJ254" s="57">
        <f t="shared" si="124"/>
        <v>1</v>
      </c>
      <c r="DK254" s="61">
        <v>1</v>
      </c>
      <c r="DL254" s="57"/>
      <c r="DM254" s="50"/>
      <c r="DN254" s="34"/>
      <c r="DO254" s="51"/>
      <c r="DP254" s="34">
        <f t="shared" si="125"/>
        <v>0</v>
      </c>
      <c r="DQ254" s="56" t="s">
        <v>103</v>
      </c>
      <c r="DR254" s="34">
        <v>25</v>
      </c>
      <c r="DS254" s="53"/>
      <c r="DT254" s="70">
        <f t="shared" si="126"/>
        <v>0</v>
      </c>
      <c r="DU254" s="56" t="s">
        <v>103</v>
      </c>
      <c r="DV254" s="34">
        <v>15</v>
      </c>
      <c r="DW254" s="55">
        <v>1.6</v>
      </c>
      <c r="DX254" s="51"/>
      <c r="DY254" s="34">
        <f>IF($B$14=EA254,1,0)</f>
        <v>0</v>
      </c>
      <c r="DZ254" s="56" t="s">
        <v>104</v>
      </c>
      <c r="EA254" s="34" t="s">
        <v>54</v>
      </c>
      <c r="EB254" s="51"/>
      <c r="EC254" s="34">
        <f t="shared" si="127"/>
        <v>0</v>
      </c>
      <c r="ED254" s="56" t="s">
        <v>103</v>
      </c>
      <c r="EE254" s="34">
        <v>25</v>
      </c>
      <c r="EF254" s="51"/>
      <c r="EG254" s="34">
        <f t="shared" si="128"/>
        <v>0</v>
      </c>
      <c r="EH254" s="31">
        <v>3</v>
      </c>
      <c r="EI254" s="31" t="s">
        <v>100</v>
      </c>
      <c r="EJ254" s="31">
        <f t="shared" si="129"/>
        <v>0</v>
      </c>
      <c r="EK254" s="31">
        <v>3</v>
      </c>
      <c r="EL254" s="31" t="s">
        <v>101</v>
      </c>
      <c r="EM254" s="71">
        <f t="shared" si="130"/>
        <v>0</v>
      </c>
      <c r="EN254" s="31">
        <v>3</v>
      </c>
      <c r="EO254" s="71" t="s">
        <v>102</v>
      </c>
      <c r="EP254" s="53"/>
      <c r="EQ254" s="57">
        <f>IF($B$15=ES254,1,0)</f>
        <v>0</v>
      </c>
      <c r="ER254" s="31">
        <v>2</v>
      </c>
      <c r="ES254" s="31" t="s">
        <v>34</v>
      </c>
      <c r="ET254" s="53"/>
      <c r="EU254" s="51"/>
      <c r="EV254" s="34">
        <f t="shared" si="131"/>
        <v>0</v>
      </c>
      <c r="EW254" s="56" t="s">
        <v>94</v>
      </c>
      <c r="EX254" s="34" t="s">
        <v>91</v>
      </c>
      <c r="EY254" s="53"/>
      <c r="EZ254" s="34">
        <f t="shared" si="132"/>
        <v>0</v>
      </c>
      <c r="FA254" s="56" t="s">
        <v>94</v>
      </c>
      <c r="FB254" s="34">
        <v>2</v>
      </c>
      <c r="FC254" s="53"/>
      <c r="FD254" s="34">
        <f>IF($B$16=FF254,1,0)</f>
        <v>0</v>
      </c>
      <c r="FE254" s="56" t="s">
        <v>104</v>
      </c>
      <c r="FF254" s="76" t="s">
        <v>54</v>
      </c>
      <c r="FG254" s="53"/>
      <c r="FH254" s="34"/>
      <c r="FI254" s="56"/>
      <c r="FJ254" s="55"/>
      <c r="FK254" s="57"/>
      <c r="FL254" s="61"/>
    </row>
    <row r="255" spans="52:170" x14ac:dyDescent="0.25">
      <c r="AZ255" s="170" t="s">
        <v>105</v>
      </c>
      <c r="BA255" s="176">
        <f>N15</f>
        <v>0</v>
      </c>
      <c r="BB255" s="171" t="s">
        <v>86</v>
      </c>
      <c r="BC255" s="57"/>
      <c r="BD255" s="57" t="s">
        <v>106</v>
      </c>
      <c r="BE255" s="180">
        <f>VLOOKUP(1,IF(BA262="IMI Hydronic",BY252:CA269,IF(BA262="Siemens",CB252:CD270,CE252:CG264)),3,0)</f>
        <v>1.6</v>
      </c>
      <c r="BF255" s="57"/>
      <c r="BG255" s="57"/>
      <c r="BH255" s="54" t="e">
        <f t="shared" si="102"/>
        <v>#VALUE!</v>
      </c>
      <c r="BI255" s="57">
        <v>32</v>
      </c>
      <c r="BJ255" s="57" t="e">
        <f t="shared" si="103"/>
        <v>#VALUE!</v>
      </c>
      <c r="BK255" s="57" t="e">
        <f t="shared" si="104"/>
        <v>#VALUE!</v>
      </c>
      <c r="BL255" s="57"/>
      <c r="BM255" s="57" t="e">
        <f t="shared" si="105"/>
        <v>#VALUE!</v>
      </c>
      <c r="BN255" s="57">
        <v>32</v>
      </c>
      <c r="BO255" s="57" t="e">
        <f t="shared" si="106"/>
        <v>#VALUE!</v>
      </c>
      <c r="BP255" s="61" t="e">
        <f t="shared" si="107"/>
        <v>#VALUE!</v>
      </c>
      <c r="BQ255" s="57" t="e">
        <f t="shared" si="108"/>
        <v>#VALUE!</v>
      </c>
      <c r="BR255" s="57">
        <v>32</v>
      </c>
      <c r="BS255" s="57" t="e">
        <f t="shared" si="109"/>
        <v>#VALUE!</v>
      </c>
      <c r="BT255" s="61" t="e">
        <f t="shared" si="110"/>
        <v>#VALUE!</v>
      </c>
      <c r="BU255" s="57"/>
      <c r="BV255" s="54"/>
      <c r="BW255" s="57"/>
      <c r="BX255" s="57"/>
      <c r="BY255" s="54">
        <f t="shared" si="111"/>
        <v>1</v>
      </c>
      <c r="BZ255" s="57">
        <v>20</v>
      </c>
      <c r="CA255" s="61">
        <v>6.3</v>
      </c>
      <c r="CB255" s="54">
        <f t="shared" si="112"/>
        <v>1</v>
      </c>
      <c r="CC255" s="57">
        <v>20</v>
      </c>
      <c r="CD255" s="61">
        <v>6.3</v>
      </c>
      <c r="CE255" s="57">
        <f t="shared" si="113"/>
        <v>1</v>
      </c>
      <c r="CF255" s="57">
        <v>20</v>
      </c>
      <c r="CG255" s="61">
        <v>6.3</v>
      </c>
      <c r="CH255" s="57"/>
      <c r="CI255" s="70">
        <v>14</v>
      </c>
      <c r="CJ255" s="54">
        <f t="shared" si="114"/>
        <v>1</v>
      </c>
      <c r="CK255" s="61" t="s">
        <v>107</v>
      </c>
      <c r="CL255" s="53">
        <f t="shared" si="115"/>
        <v>1</v>
      </c>
      <c r="CM255" s="53" t="s">
        <v>108</v>
      </c>
      <c r="CN255" s="54">
        <f t="shared" si="116"/>
        <v>1</v>
      </c>
      <c r="CO255" s="53" t="s">
        <v>109</v>
      </c>
      <c r="CP255" s="57"/>
      <c r="CQ255" s="57"/>
      <c r="CR255" s="54">
        <v>1</v>
      </c>
      <c r="CS255" s="57">
        <f t="shared" si="117"/>
        <v>1</v>
      </c>
      <c r="CT255" s="57" t="s">
        <v>92</v>
      </c>
      <c r="CU255" s="57">
        <f t="shared" si="118"/>
        <v>1</v>
      </c>
      <c r="CV255" s="30">
        <v>2</v>
      </c>
      <c r="CW255" s="54">
        <v>0.9</v>
      </c>
      <c r="CX255" s="57">
        <f t="shared" si="119"/>
        <v>1</v>
      </c>
      <c r="CY255" s="57" t="s">
        <v>92</v>
      </c>
      <c r="CZ255" s="57">
        <f t="shared" si="120"/>
        <v>1</v>
      </c>
      <c r="DA255" s="30">
        <v>2</v>
      </c>
      <c r="DB255" s="54">
        <v>0.95</v>
      </c>
      <c r="DC255" s="57">
        <f t="shared" si="121"/>
        <v>1</v>
      </c>
      <c r="DD255" s="57" t="s">
        <v>92</v>
      </c>
      <c r="DE255" s="57">
        <f t="shared" si="122"/>
        <v>1</v>
      </c>
      <c r="DF255" s="77">
        <v>3</v>
      </c>
      <c r="DG255" s="57">
        <v>0.48</v>
      </c>
      <c r="DH255" s="57">
        <f t="shared" si="123"/>
        <v>1</v>
      </c>
      <c r="DI255" s="57" t="s">
        <v>92</v>
      </c>
      <c r="DJ255" s="57">
        <f t="shared" si="124"/>
        <v>1</v>
      </c>
      <c r="DK255" s="61">
        <v>2</v>
      </c>
      <c r="DL255" s="57"/>
      <c r="DM255" s="50"/>
      <c r="DN255" s="34"/>
      <c r="DO255" s="51"/>
      <c r="DP255" s="34">
        <f t="shared" si="125"/>
        <v>0</v>
      </c>
      <c r="DQ255" s="56" t="s">
        <v>110</v>
      </c>
      <c r="DR255" s="34">
        <v>32</v>
      </c>
      <c r="DS255" s="53"/>
      <c r="DT255" s="70">
        <f t="shared" si="126"/>
        <v>0</v>
      </c>
      <c r="DU255" s="56" t="s">
        <v>110</v>
      </c>
      <c r="DV255" s="34">
        <v>15</v>
      </c>
      <c r="DW255" s="55">
        <v>2.5</v>
      </c>
      <c r="DX255" s="51"/>
      <c r="DY255" s="34"/>
      <c r="DZ255" s="56"/>
      <c r="EA255" s="34"/>
      <c r="EB255" s="51"/>
      <c r="EC255" s="34">
        <f t="shared" si="127"/>
        <v>0</v>
      </c>
      <c r="ED255" s="56" t="s">
        <v>110</v>
      </c>
      <c r="EE255" s="34">
        <v>32</v>
      </c>
      <c r="EF255" s="51"/>
      <c r="EG255" s="34">
        <f t="shared" si="128"/>
        <v>0</v>
      </c>
      <c r="EH255" s="76">
        <v>4</v>
      </c>
      <c r="EI255" s="31" t="s">
        <v>107</v>
      </c>
      <c r="EJ255" s="31">
        <f t="shared" si="129"/>
        <v>0</v>
      </c>
      <c r="EK255" s="76">
        <v>4</v>
      </c>
      <c r="EL255" s="31" t="s">
        <v>108</v>
      </c>
      <c r="EM255" s="71">
        <f t="shared" si="130"/>
        <v>0</v>
      </c>
      <c r="EN255" s="76">
        <v>4</v>
      </c>
      <c r="EO255" s="31" t="s">
        <v>109</v>
      </c>
      <c r="EP255" s="53"/>
      <c r="EQ255" s="57">
        <f>IF($B$15=ES255,1,0)</f>
        <v>0</v>
      </c>
      <c r="ER255" s="31">
        <v>3</v>
      </c>
      <c r="ES255" s="76" t="s">
        <v>35</v>
      </c>
      <c r="ET255" s="53"/>
      <c r="EU255" s="51"/>
      <c r="EV255" s="34">
        <f t="shared" si="131"/>
        <v>0</v>
      </c>
      <c r="EW255" s="56" t="s">
        <v>104</v>
      </c>
      <c r="EX255" s="76" t="s">
        <v>93</v>
      </c>
      <c r="EY255" s="53"/>
      <c r="EZ255" s="34">
        <f t="shared" si="132"/>
        <v>0</v>
      </c>
      <c r="FA255" s="56" t="s">
        <v>104</v>
      </c>
      <c r="FB255" s="34">
        <v>3</v>
      </c>
      <c r="FC255" s="53"/>
      <c r="FD255" s="34"/>
      <c r="FE255" s="57"/>
      <c r="FF255" s="57"/>
      <c r="FG255" s="53"/>
      <c r="FH255" s="34"/>
      <c r="FI255" s="56"/>
      <c r="FJ255" s="30"/>
      <c r="FK255" s="57"/>
      <c r="FL255" s="61"/>
    </row>
    <row r="256" spans="52:170" ht="30" x14ac:dyDescent="0.25">
      <c r="AZ256" s="170" t="s">
        <v>111</v>
      </c>
      <c r="BA256" s="176">
        <f>R15</f>
        <v>0</v>
      </c>
      <c r="BB256" s="171" t="s">
        <v>86</v>
      </c>
      <c r="BC256" s="57"/>
      <c r="BD256" s="78" t="s">
        <v>73</v>
      </c>
      <c r="BE256" s="179">
        <f>(BE252^2/BE255^2)*10</f>
        <v>0</v>
      </c>
      <c r="BF256" s="57"/>
      <c r="BG256" s="57"/>
      <c r="BH256" s="54" t="e">
        <f t="shared" si="102"/>
        <v>#VALUE!</v>
      </c>
      <c r="BI256" s="57">
        <v>40</v>
      </c>
      <c r="BJ256" s="57" t="e">
        <f t="shared" si="103"/>
        <v>#VALUE!</v>
      </c>
      <c r="BK256" s="57" t="e">
        <f t="shared" si="104"/>
        <v>#VALUE!</v>
      </c>
      <c r="BL256" s="57"/>
      <c r="BM256" s="57" t="e">
        <f t="shared" si="105"/>
        <v>#VALUE!</v>
      </c>
      <c r="BN256" s="57">
        <v>40</v>
      </c>
      <c r="BO256" s="57" t="e">
        <f t="shared" si="106"/>
        <v>#VALUE!</v>
      </c>
      <c r="BP256" s="61" t="e">
        <f t="shared" si="107"/>
        <v>#VALUE!</v>
      </c>
      <c r="BQ256" s="57" t="e">
        <f t="shared" si="108"/>
        <v>#VALUE!</v>
      </c>
      <c r="BR256" s="57">
        <v>40</v>
      </c>
      <c r="BS256" s="57" t="e">
        <f t="shared" si="109"/>
        <v>#VALUE!</v>
      </c>
      <c r="BT256" s="61" t="e">
        <f t="shared" si="110"/>
        <v>#VALUE!</v>
      </c>
      <c r="BU256" s="57"/>
      <c r="BV256" s="62"/>
      <c r="BW256" s="57"/>
      <c r="BX256" s="74"/>
      <c r="BY256" s="54">
        <f t="shared" si="111"/>
        <v>1</v>
      </c>
      <c r="BZ256" s="57">
        <v>25</v>
      </c>
      <c r="CA256" s="61">
        <v>10</v>
      </c>
      <c r="CB256" s="54">
        <f t="shared" si="112"/>
        <v>1</v>
      </c>
      <c r="CC256" s="57">
        <v>25</v>
      </c>
      <c r="CD256" s="61">
        <v>10</v>
      </c>
      <c r="CE256" s="57">
        <f t="shared" si="113"/>
        <v>1</v>
      </c>
      <c r="CF256" s="57">
        <v>25</v>
      </c>
      <c r="CG256" s="61">
        <v>10</v>
      </c>
      <c r="CH256" s="57"/>
      <c r="CI256" s="70">
        <v>25</v>
      </c>
      <c r="CJ256" s="54">
        <f t="shared" si="114"/>
        <v>1</v>
      </c>
      <c r="CK256" s="61" t="s">
        <v>112</v>
      </c>
      <c r="CL256" s="53">
        <f t="shared" si="115"/>
        <v>1</v>
      </c>
      <c r="CM256" s="53" t="s">
        <v>113</v>
      </c>
      <c r="CN256" s="54">
        <f t="shared" si="116"/>
        <v>1</v>
      </c>
      <c r="CO256" s="75" t="s">
        <v>114</v>
      </c>
      <c r="CP256" s="57"/>
      <c r="CQ256" s="57"/>
      <c r="CR256" s="54">
        <v>1.25</v>
      </c>
      <c r="CS256" s="57">
        <f t="shared" si="117"/>
        <v>1</v>
      </c>
      <c r="CT256" s="57" t="s">
        <v>92</v>
      </c>
      <c r="CU256" s="57">
        <f t="shared" si="118"/>
        <v>1</v>
      </c>
      <c r="CV256" s="30">
        <v>3</v>
      </c>
      <c r="CW256" s="54">
        <v>1.1599999999999999</v>
      </c>
      <c r="CX256" s="57">
        <f t="shared" si="119"/>
        <v>1</v>
      </c>
      <c r="CY256" s="57" t="s">
        <v>92</v>
      </c>
      <c r="CZ256" s="57">
        <f t="shared" si="120"/>
        <v>1</v>
      </c>
      <c r="DA256" s="30">
        <v>3</v>
      </c>
      <c r="DB256" s="54">
        <v>1.25</v>
      </c>
      <c r="DC256" s="57">
        <f t="shared" si="121"/>
        <v>1</v>
      </c>
      <c r="DD256" s="57" t="s">
        <v>92</v>
      </c>
      <c r="DE256" s="57">
        <f t="shared" si="122"/>
        <v>1</v>
      </c>
      <c r="DF256" s="77">
        <v>4</v>
      </c>
      <c r="DG256" s="57">
        <v>0.66</v>
      </c>
      <c r="DH256" s="57">
        <f t="shared" si="123"/>
        <v>1</v>
      </c>
      <c r="DI256" s="57" t="s">
        <v>92</v>
      </c>
      <c r="DJ256" s="57">
        <f t="shared" si="124"/>
        <v>1</v>
      </c>
      <c r="DK256" s="61">
        <v>3</v>
      </c>
      <c r="DL256" s="57"/>
      <c r="DM256" s="50"/>
      <c r="DN256" s="34"/>
      <c r="DO256" s="51"/>
      <c r="DP256" s="34">
        <f t="shared" si="125"/>
        <v>0</v>
      </c>
      <c r="DQ256" s="56" t="s">
        <v>115</v>
      </c>
      <c r="DR256" s="34">
        <v>40</v>
      </c>
      <c r="DS256" s="53"/>
      <c r="DT256" s="70">
        <f t="shared" si="126"/>
        <v>0</v>
      </c>
      <c r="DU256" s="56" t="s">
        <v>115</v>
      </c>
      <c r="DV256" s="34">
        <v>15</v>
      </c>
      <c r="DW256" s="55">
        <v>4</v>
      </c>
      <c r="DX256" s="51"/>
      <c r="DY256" s="34"/>
      <c r="DZ256" s="56"/>
      <c r="EA256" s="34"/>
      <c r="EB256" s="51"/>
      <c r="EC256" s="34">
        <f t="shared" si="127"/>
        <v>0</v>
      </c>
      <c r="ED256" s="56" t="s">
        <v>115</v>
      </c>
      <c r="EE256" s="34">
        <v>40</v>
      </c>
      <c r="EF256" s="51"/>
      <c r="EG256" s="34">
        <f t="shared" si="128"/>
        <v>0</v>
      </c>
      <c r="EH256" s="76">
        <v>5</v>
      </c>
      <c r="EI256" s="31" t="s">
        <v>112</v>
      </c>
      <c r="EJ256" s="31">
        <f t="shared" si="129"/>
        <v>0</v>
      </c>
      <c r="EK256" s="76">
        <v>5</v>
      </c>
      <c r="EL256" s="31" t="s">
        <v>113</v>
      </c>
      <c r="EM256" s="71">
        <f t="shared" si="130"/>
        <v>0</v>
      </c>
      <c r="EN256" s="76">
        <v>5</v>
      </c>
      <c r="EO256" s="71" t="s">
        <v>114</v>
      </c>
      <c r="EP256" s="53"/>
      <c r="EQ256" s="57"/>
      <c r="ER256" s="57"/>
      <c r="ES256" s="57"/>
      <c r="ET256" s="53"/>
      <c r="EU256" s="51"/>
      <c r="EV256" s="34">
        <f t="shared" si="131"/>
        <v>0</v>
      </c>
      <c r="EW256" s="56" t="s">
        <v>116</v>
      </c>
      <c r="EX256" s="34" t="s">
        <v>92</v>
      </c>
      <c r="EY256" s="53"/>
      <c r="EZ256" s="34">
        <f t="shared" si="132"/>
        <v>0</v>
      </c>
      <c r="FA256" s="56" t="s">
        <v>116</v>
      </c>
      <c r="FB256" s="34">
        <v>4</v>
      </c>
      <c r="FC256" s="53"/>
      <c r="FD256" s="34"/>
      <c r="FE256" s="56"/>
      <c r="FF256" s="34"/>
      <c r="FG256" s="53"/>
      <c r="FH256" s="34"/>
      <c r="FI256" s="56"/>
      <c r="FJ256" s="55"/>
      <c r="FK256" s="57"/>
      <c r="FL256" s="61"/>
    </row>
    <row r="257" spans="52:168" ht="30" x14ac:dyDescent="0.25">
      <c r="AZ257" s="170" t="s">
        <v>117</v>
      </c>
      <c r="BA257" s="176">
        <f>W13*100</f>
        <v>60</v>
      </c>
      <c r="BB257" s="171" t="s">
        <v>118</v>
      </c>
      <c r="BC257" s="57"/>
      <c r="BD257" s="34" t="str">
        <f>IF(C28="ЗАВИСИМАЯ","ОТСУТСТВУЕТ",VLOOKUP(1,IF(BA253=150,CS252:CT259,IF(BA253=130,CX252:CY259,IF(BA253=115,DC252:DD258,IF(BA253=105,DH252:DI261,0)))),2,0))</f>
        <v>НН08</v>
      </c>
      <c r="BE257" s="180">
        <f>IF(C28="ЗАВИСИМАЯ","ОТСУТСТВУЕТ",VLOOKUP(1,IF(BA253=150,CU252:CV259,IF(BA253=130,CZ252:DA259,IF(BA253=115,DE252:DF258,IF(BA253=105,DJ252:DK261,0)))),2,0))</f>
        <v>1</v>
      </c>
      <c r="BF257" s="57"/>
      <c r="BG257" s="57"/>
      <c r="BH257" s="54" t="e">
        <f t="shared" si="102"/>
        <v>#VALUE!</v>
      </c>
      <c r="BI257" s="57">
        <v>50</v>
      </c>
      <c r="BJ257" s="57" t="e">
        <f t="shared" si="103"/>
        <v>#VALUE!</v>
      </c>
      <c r="BK257" s="57" t="e">
        <f t="shared" si="104"/>
        <v>#VALUE!</v>
      </c>
      <c r="BL257" s="57"/>
      <c r="BM257" s="57" t="e">
        <f t="shared" si="105"/>
        <v>#VALUE!</v>
      </c>
      <c r="BN257" s="57">
        <v>50</v>
      </c>
      <c r="BO257" s="57" t="e">
        <f t="shared" si="106"/>
        <v>#VALUE!</v>
      </c>
      <c r="BP257" s="61" t="e">
        <f t="shared" si="107"/>
        <v>#VALUE!</v>
      </c>
      <c r="BQ257" s="57" t="e">
        <f t="shared" si="108"/>
        <v>#VALUE!</v>
      </c>
      <c r="BR257" s="57">
        <v>50</v>
      </c>
      <c r="BS257" s="57" t="e">
        <f t="shared" si="109"/>
        <v>#VALUE!</v>
      </c>
      <c r="BT257" s="61" t="e">
        <f t="shared" si="110"/>
        <v>#VALUE!</v>
      </c>
      <c r="BU257" s="57"/>
      <c r="BV257" s="62"/>
      <c r="BW257" s="74"/>
      <c r="BX257" s="57"/>
      <c r="BY257" s="54">
        <f t="shared" si="111"/>
        <v>1</v>
      </c>
      <c r="BZ257" s="57">
        <v>32</v>
      </c>
      <c r="CA257" s="61">
        <v>16</v>
      </c>
      <c r="CB257" s="54">
        <f t="shared" si="112"/>
        <v>1</v>
      </c>
      <c r="CC257" s="57">
        <v>32</v>
      </c>
      <c r="CD257" s="61">
        <v>16</v>
      </c>
      <c r="CE257" s="57">
        <f t="shared" si="113"/>
        <v>1</v>
      </c>
      <c r="CF257" s="57">
        <v>32</v>
      </c>
      <c r="CG257" s="61">
        <v>16</v>
      </c>
      <c r="CH257" s="57"/>
      <c r="CI257" s="70">
        <v>30</v>
      </c>
      <c r="CJ257" s="54">
        <f t="shared" si="114"/>
        <v>1</v>
      </c>
      <c r="CK257" s="61" t="s">
        <v>119</v>
      </c>
      <c r="CL257" s="53">
        <f t="shared" si="115"/>
        <v>1</v>
      </c>
      <c r="CM257" s="53" t="s">
        <v>120</v>
      </c>
      <c r="CN257" s="54">
        <f t="shared" si="116"/>
        <v>1</v>
      </c>
      <c r="CO257" s="75" t="s">
        <v>121</v>
      </c>
      <c r="CP257" s="57"/>
      <c r="CQ257" s="57"/>
      <c r="CR257" s="54">
        <v>1.3</v>
      </c>
      <c r="CS257" s="57">
        <f t="shared" si="117"/>
        <v>1</v>
      </c>
      <c r="CT257" s="57" t="s">
        <v>92</v>
      </c>
      <c r="CU257" s="57">
        <f t="shared" si="118"/>
        <v>1</v>
      </c>
      <c r="CV257" s="30">
        <v>4</v>
      </c>
      <c r="CW257" s="54">
        <v>1.3</v>
      </c>
      <c r="CX257" s="57">
        <f t="shared" si="119"/>
        <v>1</v>
      </c>
      <c r="CY257" s="57" t="s">
        <v>92</v>
      </c>
      <c r="CZ257" s="57">
        <f t="shared" si="120"/>
        <v>1</v>
      </c>
      <c r="DA257" s="30">
        <v>4</v>
      </c>
      <c r="DB257" s="54">
        <v>1.8</v>
      </c>
      <c r="DC257" s="57">
        <f t="shared" si="121"/>
        <v>1</v>
      </c>
      <c r="DD257" s="57" t="s">
        <v>122</v>
      </c>
      <c r="DE257" s="57">
        <f t="shared" si="122"/>
        <v>1</v>
      </c>
      <c r="DF257" s="77">
        <v>2</v>
      </c>
      <c r="DG257" s="57">
        <v>0.91</v>
      </c>
      <c r="DH257" s="57">
        <f t="shared" si="123"/>
        <v>1</v>
      </c>
      <c r="DI257" s="57" t="s">
        <v>92</v>
      </c>
      <c r="DJ257" s="57">
        <f t="shared" si="124"/>
        <v>1</v>
      </c>
      <c r="DK257" s="61">
        <v>4</v>
      </c>
      <c r="DL257" s="57"/>
      <c r="DM257" s="50"/>
      <c r="DN257" s="34"/>
      <c r="DO257" s="51"/>
      <c r="DP257" s="34">
        <f t="shared" si="125"/>
        <v>0</v>
      </c>
      <c r="DQ257" s="56" t="s">
        <v>123</v>
      </c>
      <c r="DR257" s="34">
        <v>50</v>
      </c>
      <c r="DS257" s="53"/>
      <c r="DT257" s="70">
        <f t="shared" si="126"/>
        <v>0</v>
      </c>
      <c r="DU257" s="56" t="s">
        <v>123</v>
      </c>
      <c r="DV257" s="34">
        <v>20</v>
      </c>
      <c r="DW257" s="55">
        <v>5</v>
      </c>
      <c r="DX257" s="51"/>
      <c r="DY257" s="34"/>
      <c r="DZ257" s="56"/>
      <c r="EA257" s="34"/>
      <c r="EB257" s="51"/>
      <c r="EC257" s="34">
        <f t="shared" si="127"/>
        <v>0</v>
      </c>
      <c r="ED257" s="56" t="s">
        <v>123</v>
      </c>
      <c r="EE257" s="34">
        <v>50</v>
      </c>
      <c r="EF257" s="51"/>
      <c r="EG257" s="34">
        <f t="shared" si="128"/>
        <v>0</v>
      </c>
      <c r="EH257" s="76">
        <v>6</v>
      </c>
      <c r="EI257" s="31" t="s">
        <v>119</v>
      </c>
      <c r="EJ257" s="31">
        <f t="shared" si="129"/>
        <v>0</v>
      </c>
      <c r="EK257" s="76">
        <v>6</v>
      </c>
      <c r="EL257" s="31" t="s">
        <v>120</v>
      </c>
      <c r="EM257" s="71">
        <f t="shared" si="130"/>
        <v>0</v>
      </c>
      <c r="EN257" s="76">
        <v>6</v>
      </c>
      <c r="EO257" s="71" t="s">
        <v>121</v>
      </c>
      <c r="EP257" s="53"/>
      <c r="EQ257" s="57"/>
      <c r="ER257" s="57"/>
      <c r="ES257" s="57"/>
      <c r="ET257" s="53"/>
      <c r="EU257" s="51"/>
      <c r="EV257" s="34">
        <f t="shared" si="131"/>
        <v>0</v>
      </c>
      <c r="EW257" s="56" t="s">
        <v>124</v>
      </c>
      <c r="EX257" s="34" t="s">
        <v>122</v>
      </c>
      <c r="EY257" s="53"/>
      <c r="EZ257" s="34">
        <f t="shared" si="132"/>
        <v>0</v>
      </c>
      <c r="FA257" s="56" t="s">
        <v>124</v>
      </c>
      <c r="FB257" s="34">
        <v>5</v>
      </c>
      <c r="FC257" s="53"/>
      <c r="FD257" s="34"/>
      <c r="FE257" s="56"/>
      <c r="FF257" s="34"/>
      <c r="FG257" s="53"/>
      <c r="FH257" s="34"/>
      <c r="FI257" s="56"/>
      <c r="FJ257" s="55"/>
      <c r="FK257" s="57"/>
      <c r="FL257" s="61"/>
    </row>
    <row r="258" spans="52:168" ht="30" x14ac:dyDescent="0.25">
      <c r="AZ258" s="170" t="s">
        <v>125</v>
      </c>
      <c r="BA258" s="176">
        <f>AC13*100</f>
        <v>40</v>
      </c>
      <c r="BB258" s="171" t="s">
        <v>118</v>
      </c>
      <c r="BC258" s="57"/>
      <c r="BD258" s="57"/>
      <c r="BE258" s="57"/>
      <c r="BF258" s="57"/>
      <c r="BG258" s="57"/>
      <c r="BH258" s="54" t="e">
        <f t="shared" si="102"/>
        <v>#VALUE!</v>
      </c>
      <c r="BI258" s="57">
        <v>65</v>
      </c>
      <c r="BJ258" s="57" t="e">
        <f t="shared" si="103"/>
        <v>#VALUE!</v>
      </c>
      <c r="BK258" s="57" t="e">
        <f t="shared" si="104"/>
        <v>#VALUE!</v>
      </c>
      <c r="BL258" s="57"/>
      <c r="BM258" s="57" t="e">
        <f t="shared" si="105"/>
        <v>#VALUE!</v>
      </c>
      <c r="BN258" s="57">
        <v>65</v>
      </c>
      <c r="BO258" s="57" t="e">
        <f t="shared" si="106"/>
        <v>#VALUE!</v>
      </c>
      <c r="BP258" s="61" t="e">
        <f t="shared" si="107"/>
        <v>#VALUE!</v>
      </c>
      <c r="BQ258" s="57" t="e">
        <f t="shared" si="108"/>
        <v>#VALUE!</v>
      </c>
      <c r="BR258" s="57">
        <v>65</v>
      </c>
      <c r="BS258" s="57" t="e">
        <f t="shared" si="109"/>
        <v>#VALUE!</v>
      </c>
      <c r="BT258" s="61" t="e">
        <f t="shared" si="110"/>
        <v>#VALUE!</v>
      </c>
      <c r="BU258" s="57"/>
      <c r="BV258" s="54"/>
      <c r="BW258" s="57"/>
      <c r="BX258" s="57"/>
      <c r="BY258" s="54">
        <f t="shared" si="111"/>
        <v>1</v>
      </c>
      <c r="BZ258" s="57">
        <v>40</v>
      </c>
      <c r="CA258" s="61">
        <v>20</v>
      </c>
      <c r="CB258" s="54">
        <f t="shared" si="112"/>
        <v>1</v>
      </c>
      <c r="CC258" s="57">
        <v>40</v>
      </c>
      <c r="CD258" s="61">
        <v>25</v>
      </c>
      <c r="CE258" s="57">
        <f t="shared" si="113"/>
        <v>1</v>
      </c>
      <c r="CF258" s="57">
        <v>40</v>
      </c>
      <c r="CG258" s="61">
        <v>25</v>
      </c>
      <c r="CH258" s="57"/>
      <c r="CI258" s="70">
        <v>40</v>
      </c>
      <c r="CJ258" s="54">
        <f t="shared" si="114"/>
        <v>1</v>
      </c>
      <c r="CK258" s="61" t="s">
        <v>126</v>
      </c>
      <c r="CL258" s="53">
        <f t="shared" si="115"/>
        <v>1</v>
      </c>
      <c r="CM258" s="53" t="s">
        <v>127</v>
      </c>
      <c r="CN258" s="54">
        <f t="shared" si="116"/>
        <v>1</v>
      </c>
      <c r="CO258" s="75" t="s">
        <v>128</v>
      </c>
      <c r="CP258" s="57"/>
      <c r="CQ258" s="57"/>
      <c r="CR258" s="54">
        <v>1.65</v>
      </c>
      <c r="CS258" s="57">
        <f t="shared" si="117"/>
        <v>1</v>
      </c>
      <c r="CT258" s="57" t="s">
        <v>122</v>
      </c>
      <c r="CU258" s="57">
        <f t="shared" si="118"/>
        <v>1</v>
      </c>
      <c r="CV258" s="30">
        <v>1</v>
      </c>
      <c r="CW258" s="54">
        <v>1.4</v>
      </c>
      <c r="CX258" s="57">
        <f t="shared" si="119"/>
        <v>1</v>
      </c>
      <c r="CY258" s="57" t="s">
        <v>122</v>
      </c>
      <c r="CZ258" s="57">
        <f t="shared" si="120"/>
        <v>1</v>
      </c>
      <c r="DA258" s="30">
        <v>1</v>
      </c>
      <c r="DB258" s="54">
        <v>2.0009999999999999</v>
      </c>
      <c r="DC258" s="57">
        <f t="shared" si="121"/>
        <v>1</v>
      </c>
      <c r="DD258" s="57" t="s">
        <v>129</v>
      </c>
      <c r="DE258" s="57">
        <f t="shared" si="122"/>
        <v>1</v>
      </c>
      <c r="DF258" s="77">
        <v>1</v>
      </c>
      <c r="DG258" s="57">
        <v>1.1000000000000001</v>
      </c>
      <c r="DH258" s="57">
        <f t="shared" si="123"/>
        <v>1</v>
      </c>
      <c r="DI258" s="57" t="s">
        <v>92</v>
      </c>
      <c r="DJ258" s="57">
        <f t="shared" si="124"/>
        <v>1</v>
      </c>
      <c r="DK258" s="61">
        <v>5</v>
      </c>
      <c r="DL258" s="57"/>
      <c r="DM258" s="50"/>
      <c r="DN258" s="34"/>
      <c r="DO258" s="51"/>
      <c r="DP258" s="34">
        <f t="shared" si="125"/>
        <v>0</v>
      </c>
      <c r="DQ258" s="56" t="s">
        <v>130</v>
      </c>
      <c r="DR258" s="34">
        <v>65</v>
      </c>
      <c r="DS258" s="53"/>
      <c r="DT258" s="70">
        <f t="shared" si="126"/>
        <v>0</v>
      </c>
      <c r="DU258" s="56" t="s">
        <v>130</v>
      </c>
      <c r="DV258" s="34">
        <v>20</v>
      </c>
      <c r="DW258" s="55">
        <v>6.3</v>
      </c>
      <c r="DX258" s="51"/>
      <c r="DY258" s="34"/>
      <c r="DZ258" s="56"/>
      <c r="EA258" s="34"/>
      <c r="EB258" s="51"/>
      <c r="EC258" s="34">
        <f t="shared" si="127"/>
        <v>0</v>
      </c>
      <c r="ED258" s="56" t="s">
        <v>130</v>
      </c>
      <c r="EE258" s="34">
        <v>65</v>
      </c>
      <c r="EF258" s="51"/>
      <c r="EG258" s="34">
        <f t="shared" si="128"/>
        <v>0</v>
      </c>
      <c r="EH258" s="76">
        <v>7</v>
      </c>
      <c r="EI258" s="31" t="s">
        <v>126</v>
      </c>
      <c r="EJ258" s="31">
        <f t="shared" si="129"/>
        <v>0</v>
      </c>
      <c r="EK258" s="76">
        <v>7</v>
      </c>
      <c r="EL258" s="31" t="s">
        <v>127</v>
      </c>
      <c r="EM258" s="71">
        <f t="shared" si="130"/>
        <v>0</v>
      </c>
      <c r="EN258" s="76">
        <v>7</v>
      </c>
      <c r="EO258" s="71" t="s">
        <v>128</v>
      </c>
      <c r="EP258" s="53"/>
      <c r="EQ258" s="57"/>
      <c r="ER258" s="57"/>
      <c r="ES258" s="57"/>
      <c r="ET258" s="53"/>
      <c r="EU258" s="51"/>
      <c r="EV258" s="34">
        <f t="shared" si="131"/>
        <v>0</v>
      </c>
      <c r="EW258" s="56" t="s">
        <v>131</v>
      </c>
      <c r="EX258" s="34" t="s">
        <v>129</v>
      </c>
      <c r="EY258" s="53"/>
      <c r="EZ258" s="34"/>
      <c r="FA258" s="56"/>
      <c r="FB258" s="34"/>
      <c r="FC258" s="53"/>
      <c r="FD258" s="34"/>
      <c r="FE258" s="56"/>
      <c r="FF258" s="34"/>
      <c r="FG258" s="53"/>
      <c r="FH258" s="34"/>
      <c r="FI258" s="56"/>
      <c r="FJ258" s="55"/>
      <c r="FK258" s="57"/>
      <c r="FL258" s="61"/>
    </row>
    <row r="259" spans="52:168" x14ac:dyDescent="0.25">
      <c r="AZ259" s="172" t="s">
        <v>132</v>
      </c>
      <c r="BA259" s="176">
        <f>'ol4'!BY263</f>
        <v>1</v>
      </c>
      <c r="BB259" s="171" t="s">
        <v>118</v>
      </c>
      <c r="BC259" s="57"/>
      <c r="BD259" s="57" t="s">
        <v>133</v>
      </c>
      <c r="BE259" s="179" t="e">
        <f>BA252*1000/(BA255-BA256)</f>
        <v>#DIV/0!</v>
      </c>
      <c r="BF259" s="57"/>
      <c r="BG259" s="57"/>
      <c r="BH259" s="54" t="e">
        <f t="shared" si="102"/>
        <v>#VALUE!</v>
      </c>
      <c r="BI259" s="57">
        <v>80</v>
      </c>
      <c r="BJ259" s="57" t="e">
        <f t="shared" si="103"/>
        <v>#VALUE!</v>
      </c>
      <c r="BK259" s="57" t="e">
        <f t="shared" si="104"/>
        <v>#VALUE!</v>
      </c>
      <c r="BL259" s="57"/>
      <c r="BM259" s="57" t="e">
        <f t="shared" si="105"/>
        <v>#VALUE!</v>
      </c>
      <c r="BN259" s="57">
        <v>80</v>
      </c>
      <c r="BO259" s="57" t="e">
        <f t="shared" si="106"/>
        <v>#VALUE!</v>
      </c>
      <c r="BP259" s="61" t="e">
        <f t="shared" si="107"/>
        <v>#VALUE!</v>
      </c>
      <c r="BQ259" s="57" t="e">
        <f t="shared" si="108"/>
        <v>#VALUE!</v>
      </c>
      <c r="BR259" s="57">
        <v>80</v>
      </c>
      <c r="BS259" s="57" t="e">
        <f t="shared" si="109"/>
        <v>#VALUE!</v>
      </c>
      <c r="BT259" s="61" t="e">
        <f t="shared" si="110"/>
        <v>#VALUE!</v>
      </c>
      <c r="BU259" s="57"/>
      <c r="BV259" s="54"/>
      <c r="BW259" s="57"/>
      <c r="BX259" s="74"/>
      <c r="BY259" s="54">
        <f t="shared" si="111"/>
        <v>1</v>
      </c>
      <c r="BZ259" s="57">
        <v>40</v>
      </c>
      <c r="CA259" s="61">
        <v>25</v>
      </c>
      <c r="CB259" s="54">
        <f t="shared" si="112"/>
        <v>1</v>
      </c>
      <c r="CC259" s="57">
        <v>50</v>
      </c>
      <c r="CD259" s="61">
        <v>31.5</v>
      </c>
      <c r="CE259" s="57">
        <f t="shared" si="113"/>
        <v>1</v>
      </c>
      <c r="CF259" s="57">
        <v>50</v>
      </c>
      <c r="CG259" s="61">
        <v>40</v>
      </c>
      <c r="CH259" s="57"/>
      <c r="CI259" s="70">
        <v>50</v>
      </c>
      <c r="CJ259" s="54">
        <f t="shared" si="114"/>
        <v>1</v>
      </c>
      <c r="CK259" s="61" t="s">
        <v>134</v>
      </c>
      <c r="CL259" s="53">
        <f t="shared" si="115"/>
        <v>1</v>
      </c>
      <c r="CM259" s="53" t="s">
        <v>135</v>
      </c>
      <c r="CN259" s="54">
        <f t="shared" si="116"/>
        <v>1</v>
      </c>
      <c r="CO259" s="53" t="s">
        <v>135</v>
      </c>
      <c r="CP259" s="57"/>
      <c r="CQ259" s="57"/>
      <c r="CR259" s="54">
        <v>2.0009999999999999</v>
      </c>
      <c r="CS259" s="57">
        <f t="shared" si="117"/>
        <v>1</v>
      </c>
      <c r="CT259" s="57" t="s">
        <v>122</v>
      </c>
      <c r="CU259" s="57">
        <f t="shared" si="118"/>
        <v>1</v>
      </c>
      <c r="CV259" s="30">
        <v>2</v>
      </c>
      <c r="CW259" s="54">
        <v>2.0009999999999999</v>
      </c>
      <c r="CX259" s="57">
        <f t="shared" si="119"/>
        <v>1</v>
      </c>
      <c r="CY259" s="57" t="s">
        <v>122</v>
      </c>
      <c r="CZ259" s="57">
        <f t="shared" si="120"/>
        <v>1</v>
      </c>
      <c r="DA259" s="30">
        <v>2</v>
      </c>
      <c r="DB259" s="54"/>
      <c r="DC259" s="57"/>
      <c r="DD259" s="57"/>
      <c r="DE259" s="57"/>
      <c r="DF259" s="61"/>
      <c r="DG259" s="57">
        <v>1.3</v>
      </c>
      <c r="DH259" s="57">
        <f t="shared" si="123"/>
        <v>1</v>
      </c>
      <c r="DI259" s="57" t="s">
        <v>122</v>
      </c>
      <c r="DJ259" s="57">
        <f t="shared" si="124"/>
        <v>1</v>
      </c>
      <c r="DK259" s="61">
        <v>2</v>
      </c>
      <c r="DL259" s="57"/>
      <c r="DM259" s="50"/>
      <c r="DN259" s="34"/>
      <c r="DO259" s="51"/>
      <c r="DP259" s="34">
        <f t="shared" si="125"/>
        <v>0</v>
      </c>
      <c r="DQ259" s="56" t="s">
        <v>136</v>
      </c>
      <c r="DR259" s="34">
        <v>80</v>
      </c>
      <c r="DS259" s="53"/>
      <c r="DT259" s="70">
        <f t="shared" si="126"/>
        <v>0</v>
      </c>
      <c r="DU259" s="56" t="s">
        <v>136</v>
      </c>
      <c r="DV259" s="34">
        <v>25</v>
      </c>
      <c r="DW259" s="55">
        <v>8</v>
      </c>
      <c r="DX259" s="51"/>
      <c r="DY259" s="34"/>
      <c r="DZ259" s="56"/>
      <c r="EA259" s="34"/>
      <c r="EB259" s="51"/>
      <c r="EC259" s="34">
        <f t="shared" si="127"/>
        <v>0</v>
      </c>
      <c r="ED259" s="56" t="s">
        <v>136</v>
      </c>
      <c r="EE259" s="34">
        <v>80</v>
      </c>
      <c r="EF259" s="51"/>
      <c r="EG259" s="34">
        <f t="shared" si="128"/>
        <v>0</v>
      </c>
      <c r="EH259" s="76">
        <v>8</v>
      </c>
      <c r="EI259" s="31" t="s">
        <v>134</v>
      </c>
      <c r="EJ259" s="31"/>
      <c r="EK259" s="31"/>
      <c r="EL259" s="31"/>
      <c r="EM259" s="31"/>
      <c r="EN259" s="31"/>
      <c r="EO259" s="31"/>
      <c r="EP259" s="53"/>
      <c r="EQ259" s="57"/>
      <c r="ER259" s="57"/>
      <c r="ES259" s="57"/>
      <c r="ET259" s="53"/>
      <c r="EU259" s="51"/>
      <c r="EV259" s="34"/>
      <c r="EW259" s="56"/>
      <c r="EX259" s="34"/>
      <c r="EY259" s="53"/>
      <c r="EZ259" s="34"/>
      <c r="FA259" s="56"/>
      <c r="FB259" s="34"/>
      <c r="FC259" s="53"/>
      <c r="FD259" s="34"/>
      <c r="FE259" s="56"/>
      <c r="FF259" s="34"/>
      <c r="FG259" s="53"/>
      <c r="FH259" s="34"/>
      <c r="FI259" s="56"/>
      <c r="FJ259" s="55"/>
      <c r="FK259" s="57"/>
      <c r="FL259" s="61"/>
    </row>
    <row r="260" spans="52:168" x14ac:dyDescent="0.25">
      <c r="AZ260" s="172" t="s">
        <v>137</v>
      </c>
      <c r="BA260" s="57">
        <f>BA257-BA258</f>
        <v>20</v>
      </c>
      <c r="BB260" s="171" t="s">
        <v>118</v>
      </c>
      <c r="BC260" s="57"/>
      <c r="BD260" s="57" t="s">
        <v>51</v>
      </c>
      <c r="BE260" s="180" t="e">
        <f>VLOOKUP(1,BM252:BP265,2,0)</f>
        <v>#N/A</v>
      </c>
      <c r="BF260" s="57"/>
      <c r="BG260" s="57"/>
      <c r="BH260" s="54" t="e">
        <f t="shared" si="102"/>
        <v>#VALUE!</v>
      </c>
      <c r="BI260" s="57">
        <v>100</v>
      </c>
      <c r="BJ260" s="57" t="e">
        <f t="shared" si="103"/>
        <v>#VALUE!</v>
      </c>
      <c r="BK260" s="57" t="e">
        <f t="shared" si="104"/>
        <v>#VALUE!</v>
      </c>
      <c r="BL260" s="57"/>
      <c r="BM260" s="57" t="e">
        <f t="shared" si="105"/>
        <v>#VALUE!</v>
      </c>
      <c r="BN260" s="57">
        <v>100</v>
      </c>
      <c r="BO260" s="57" t="e">
        <f t="shared" si="106"/>
        <v>#VALUE!</v>
      </c>
      <c r="BP260" s="61" t="e">
        <f t="shared" si="107"/>
        <v>#VALUE!</v>
      </c>
      <c r="BQ260" s="57" t="e">
        <f t="shared" si="108"/>
        <v>#VALUE!</v>
      </c>
      <c r="BR260" s="57">
        <v>100</v>
      </c>
      <c r="BS260" s="57" t="e">
        <f t="shared" si="109"/>
        <v>#VALUE!</v>
      </c>
      <c r="BT260" s="61" t="e">
        <f t="shared" si="110"/>
        <v>#VALUE!</v>
      </c>
      <c r="BU260" s="57"/>
      <c r="BV260" s="62"/>
      <c r="BW260" s="57"/>
      <c r="BX260" s="57"/>
      <c r="BY260" s="54">
        <f t="shared" si="111"/>
        <v>1</v>
      </c>
      <c r="BZ260" s="57">
        <v>50</v>
      </c>
      <c r="CA260" s="61">
        <v>31.5</v>
      </c>
      <c r="CB260" s="54">
        <f t="shared" si="112"/>
        <v>1</v>
      </c>
      <c r="CC260" s="57">
        <v>50</v>
      </c>
      <c r="CD260" s="61">
        <v>40</v>
      </c>
      <c r="CE260" s="57">
        <f t="shared" si="113"/>
        <v>1</v>
      </c>
      <c r="CF260" s="57">
        <v>65</v>
      </c>
      <c r="CG260" s="61">
        <v>63</v>
      </c>
      <c r="CH260" s="57"/>
      <c r="CI260" s="70">
        <v>60</v>
      </c>
      <c r="CJ260" s="54">
        <f t="shared" si="114"/>
        <v>1</v>
      </c>
      <c r="CK260" s="61" t="s">
        <v>135</v>
      </c>
      <c r="CL260" s="53">
        <f t="shared" si="115"/>
        <v>1</v>
      </c>
      <c r="CM260" s="81" t="s">
        <v>135</v>
      </c>
      <c r="CN260" s="54">
        <f t="shared" si="116"/>
        <v>1</v>
      </c>
      <c r="CO260" s="81" t="s">
        <v>135</v>
      </c>
      <c r="CP260" s="57"/>
      <c r="CQ260" s="57"/>
      <c r="CR260" s="54"/>
      <c r="CS260" s="57"/>
      <c r="CT260" s="57"/>
      <c r="CU260" s="57"/>
      <c r="CV260" s="30"/>
      <c r="CW260" s="54"/>
      <c r="CX260" s="57"/>
      <c r="CY260" s="57"/>
      <c r="CZ260" s="57"/>
      <c r="DA260" s="61"/>
      <c r="DB260" s="54"/>
      <c r="DC260" s="57"/>
      <c r="DD260" s="57"/>
      <c r="DE260" s="57"/>
      <c r="DF260" s="61"/>
      <c r="DG260" s="57">
        <v>1.45</v>
      </c>
      <c r="DH260" s="57">
        <f t="shared" si="123"/>
        <v>1</v>
      </c>
      <c r="DI260" s="57" t="s">
        <v>129</v>
      </c>
      <c r="DJ260" s="57">
        <f t="shared" si="124"/>
        <v>1</v>
      </c>
      <c r="DK260" s="61">
        <v>1</v>
      </c>
      <c r="DL260" s="57"/>
      <c r="DM260" s="50"/>
      <c r="DN260" s="34"/>
      <c r="DO260" s="51"/>
      <c r="DP260" s="34">
        <f t="shared" si="125"/>
        <v>0</v>
      </c>
      <c r="DQ260" s="56" t="s">
        <v>138</v>
      </c>
      <c r="DR260" s="34">
        <v>100</v>
      </c>
      <c r="DS260" s="53"/>
      <c r="DT260" s="70">
        <f t="shared" si="126"/>
        <v>0</v>
      </c>
      <c r="DU260" s="56" t="s">
        <v>138</v>
      </c>
      <c r="DV260" s="34">
        <v>25</v>
      </c>
      <c r="DW260" s="55">
        <v>10</v>
      </c>
      <c r="DX260" s="51"/>
      <c r="DY260" s="34"/>
      <c r="DZ260" s="56"/>
      <c r="EA260" s="34"/>
      <c r="EB260" s="51"/>
      <c r="EC260" s="34">
        <f t="shared" si="127"/>
        <v>0</v>
      </c>
      <c r="ED260" s="56" t="s">
        <v>138</v>
      </c>
      <c r="EE260" s="34">
        <v>100</v>
      </c>
      <c r="EF260" s="51"/>
      <c r="EG260" s="34">
        <f t="shared" si="128"/>
        <v>1</v>
      </c>
      <c r="EH260" s="31"/>
      <c r="EI260" s="57"/>
      <c r="EJ260" s="57"/>
      <c r="EK260" s="57"/>
      <c r="EL260" s="57"/>
      <c r="EM260" s="57"/>
      <c r="EN260" s="57"/>
      <c r="EO260" s="57"/>
      <c r="EP260" s="53"/>
      <c r="EQ260" s="57"/>
      <c r="ER260" s="57"/>
      <c r="ES260" s="57"/>
      <c r="ET260" s="53"/>
      <c r="EU260" s="51"/>
      <c r="EV260" s="34"/>
      <c r="EW260" s="56"/>
      <c r="EX260" s="34"/>
      <c r="EY260" s="53"/>
      <c r="EZ260" s="34"/>
      <c r="FA260" s="56"/>
      <c r="FB260" s="34"/>
      <c r="FC260" s="53"/>
      <c r="FD260" s="34"/>
      <c r="FE260" s="56"/>
      <c r="FF260" s="34"/>
      <c r="FG260" s="53"/>
      <c r="FH260" s="34"/>
      <c r="FI260" s="56"/>
      <c r="FJ260" s="55"/>
      <c r="FK260" s="57"/>
      <c r="FL260" s="61"/>
    </row>
    <row r="261" spans="52:168" ht="45.75" thickBot="1" x14ac:dyDescent="0.3">
      <c r="AZ261" s="170"/>
      <c r="BA261" s="57"/>
      <c r="BB261" s="171"/>
      <c r="BC261" s="57"/>
      <c r="BD261" s="57" t="s">
        <v>56</v>
      </c>
      <c r="BE261" s="179" t="e">
        <f>BE259*1.1</f>
        <v>#DIV/0!</v>
      </c>
      <c r="BF261" s="57"/>
      <c r="BG261" s="57"/>
      <c r="BH261" s="54" t="e">
        <f t="shared" si="102"/>
        <v>#VALUE!</v>
      </c>
      <c r="BI261" s="57">
        <v>125</v>
      </c>
      <c r="BJ261" s="57" t="e">
        <f t="shared" si="103"/>
        <v>#VALUE!</v>
      </c>
      <c r="BK261" s="57" t="e">
        <f t="shared" si="104"/>
        <v>#VALUE!</v>
      </c>
      <c r="BL261" s="57"/>
      <c r="BM261" s="57" t="e">
        <f t="shared" si="105"/>
        <v>#VALUE!</v>
      </c>
      <c r="BN261" s="57">
        <v>125</v>
      </c>
      <c r="BO261" s="57" t="e">
        <f t="shared" si="106"/>
        <v>#VALUE!</v>
      </c>
      <c r="BP261" s="61" t="e">
        <f t="shared" si="107"/>
        <v>#VALUE!</v>
      </c>
      <c r="BQ261" s="57" t="e">
        <f t="shared" si="108"/>
        <v>#VALUE!</v>
      </c>
      <c r="BR261" s="57">
        <v>125</v>
      </c>
      <c r="BS261" s="57" t="e">
        <f t="shared" si="109"/>
        <v>#VALUE!</v>
      </c>
      <c r="BT261" s="61" t="e">
        <f t="shared" si="110"/>
        <v>#VALUE!</v>
      </c>
      <c r="BU261" s="57"/>
      <c r="BV261" s="62"/>
      <c r="BW261" s="74"/>
      <c r="BX261" s="57"/>
      <c r="BY261" s="54">
        <f t="shared" si="111"/>
        <v>1</v>
      </c>
      <c r="BZ261" s="57">
        <v>50</v>
      </c>
      <c r="CA261" s="61">
        <v>40</v>
      </c>
      <c r="CB261" s="54">
        <f t="shared" si="112"/>
        <v>1</v>
      </c>
      <c r="CC261" s="57">
        <v>65</v>
      </c>
      <c r="CD261" s="61">
        <v>50</v>
      </c>
      <c r="CE261" s="57">
        <f t="shared" si="113"/>
        <v>1</v>
      </c>
      <c r="CF261" s="57">
        <v>80</v>
      </c>
      <c r="CG261" s="61">
        <v>100</v>
      </c>
      <c r="CH261" s="57"/>
      <c r="CI261" s="82">
        <v>90</v>
      </c>
      <c r="CJ261" s="83">
        <f t="shared" si="114"/>
        <v>1</v>
      </c>
      <c r="CK261" s="84" t="s">
        <v>139</v>
      </c>
      <c r="CL261" s="85">
        <f t="shared" si="115"/>
        <v>1</v>
      </c>
      <c r="CM261" s="84" t="s">
        <v>139</v>
      </c>
      <c r="CN261" s="83">
        <f t="shared" si="116"/>
        <v>1</v>
      </c>
      <c r="CO261" s="86" t="s">
        <v>139</v>
      </c>
      <c r="CP261" s="57"/>
      <c r="CQ261" s="57"/>
      <c r="CR261" s="54"/>
      <c r="CS261" s="57"/>
      <c r="CT261" s="57"/>
      <c r="CU261" s="57"/>
      <c r="CV261" s="30"/>
      <c r="CW261" s="54"/>
      <c r="CX261" s="57"/>
      <c r="CY261" s="57"/>
      <c r="CZ261" s="57"/>
      <c r="DA261" s="61"/>
      <c r="DB261" s="54"/>
      <c r="DC261" s="57"/>
      <c r="DD261" s="57"/>
      <c r="DE261" s="57"/>
      <c r="DF261" s="61"/>
      <c r="DG261" s="54">
        <v>2.0009999999999999</v>
      </c>
      <c r="DH261" s="57">
        <f t="shared" si="123"/>
        <v>1</v>
      </c>
      <c r="DI261" s="57" t="s">
        <v>129</v>
      </c>
      <c r="DJ261" s="57">
        <f t="shared" si="124"/>
        <v>1</v>
      </c>
      <c r="DK261" s="61">
        <v>2</v>
      </c>
      <c r="DL261" s="57"/>
      <c r="DM261" s="50"/>
      <c r="DN261" s="34"/>
      <c r="DO261" s="51"/>
      <c r="DP261" s="34">
        <f t="shared" si="125"/>
        <v>0</v>
      </c>
      <c r="DQ261" s="56" t="s">
        <v>140</v>
      </c>
      <c r="DR261" s="34">
        <v>125</v>
      </c>
      <c r="DS261" s="53"/>
      <c r="DT261" s="70">
        <f t="shared" si="126"/>
        <v>0</v>
      </c>
      <c r="DU261" s="56" t="s">
        <v>140</v>
      </c>
      <c r="DV261" s="34">
        <v>32</v>
      </c>
      <c r="DW261" s="55">
        <v>12.5</v>
      </c>
      <c r="DX261" s="51"/>
      <c r="DY261" s="34"/>
      <c r="DZ261" s="56"/>
      <c r="EA261" s="34"/>
      <c r="EB261" s="51"/>
      <c r="EC261" s="34">
        <f t="shared" si="127"/>
        <v>0</v>
      </c>
      <c r="ED261" s="56" t="s">
        <v>140</v>
      </c>
      <c r="EE261" s="34">
        <v>125</v>
      </c>
      <c r="EF261" s="51"/>
      <c r="EG261" s="34">
        <f t="shared" si="128"/>
        <v>0</v>
      </c>
      <c r="EH261" s="31">
        <v>10</v>
      </c>
      <c r="EI261" s="76" t="s">
        <v>135</v>
      </c>
      <c r="EJ261" s="34">
        <f>IF($E$14=EL261,1,0)</f>
        <v>0</v>
      </c>
      <c r="EK261" s="31">
        <v>10</v>
      </c>
      <c r="EL261" s="76" t="s">
        <v>135</v>
      </c>
      <c r="EM261" s="34">
        <f>IF($E$14=EO261,1,0)</f>
        <v>0</v>
      </c>
      <c r="EN261" s="31">
        <v>10</v>
      </c>
      <c r="EO261" s="76" t="s">
        <v>135</v>
      </c>
      <c r="EP261" s="53"/>
      <c r="EQ261" s="57"/>
      <c r="ER261" s="76"/>
      <c r="ES261" s="57"/>
      <c r="ET261" s="53"/>
      <c r="EU261" s="51"/>
      <c r="EV261" s="34"/>
      <c r="EW261" s="56"/>
      <c r="EX261" s="34"/>
      <c r="EY261" s="53"/>
      <c r="EZ261" s="34"/>
      <c r="FA261" s="56"/>
      <c r="FB261" s="34"/>
      <c r="FC261" s="53"/>
      <c r="FD261" s="34"/>
      <c r="FE261" s="56"/>
      <c r="FF261" s="34"/>
      <c r="FG261" s="53"/>
      <c r="FH261" s="34"/>
      <c r="FI261" s="56"/>
      <c r="FJ261" s="55"/>
      <c r="FK261" s="57"/>
      <c r="FL261" s="61"/>
    </row>
    <row r="262" spans="52:168" x14ac:dyDescent="0.25">
      <c r="AZ262" s="170" t="s">
        <v>31</v>
      </c>
      <c r="BA262" s="1">
        <f>O28</f>
        <v>0</v>
      </c>
      <c r="BB262" s="1"/>
      <c r="BC262" s="57"/>
      <c r="BD262" s="1" t="e">
        <f>VLOOKUP(1,IF(BA263="TOP-SD",CJ252:CK261,IF(BA263="Yonos MAXO-D",CL252:CM261,IF(BA263="Stratos-D",CN252:CO261,0))),2,0)</f>
        <v>#N/A</v>
      </c>
      <c r="BE262" s="1"/>
      <c r="BF262" s="57"/>
      <c r="BG262" s="57"/>
      <c r="BH262" s="54" t="e">
        <f t="shared" si="102"/>
        <v>#VALUE!</v>
      </c>
      <c r="BI262" s="57">
        <v>150</v>
      </c>
      <c r="BJ262" s="57" t="e">
        <f t="shared" si="103"/>
        <v>#VALUE!</v>
      </c>
      <c r="BK262" s="57" t="e">
        <f t="shared" si="104"/>
        <v>#VALUE!</v>
      </c>
      <c r="BL262" s="57"/>
      <c r="BM262" s="57" t="e">
        <f t="shared" si="105"/>
        <v>#VALUE!</v>
      </c>
      <c r="BN262" s="57">
        <v>150</v>
      </c>
      <c r="BO262" s="57" t="e">
        <f t="shared" si="106"/>
        <v>#VALUE!</v>
      </c>
      <c r="BP262" s="61" t="e">
        <f t="shared" si="107"/>
        <v>#VALUE!</v>
      </c>
      <c r="BQ262" s="57" t="e">
        <f t="shared" si="108"/>
        <v>#VALUE!</v>
      </c>
      <c r="BR262" s="57">
        <v>150</v>
      </c>
      <c r="BS262" s="57" t="e">
        <f t="shared" si="109"/>
        <v>#VALUE!</v>
      </c>
      <c r="BT262" s="61" t="e">
        <f t="shared" si="110"/>
        <v>#VALUE!</v>
      </c>
      <c r="BU262" s="57"/>
      <c r="BV262" s="54"/>
      <c r="BW262" s="57"/>
      <c r="BX262" s="57"/>
      <c r="BY262" s="54">
        <f t="shared" si="111"/>
        <v>1</v>
      </c>
      <c r="BZ262" s="57">
        <v>65</v>
      </c>
      <c r="CA262" s="61">
        <v>50</v>
      </c>
      <c r="CB262" s="54">
        <f t="shared" si="112"/>
        <v>1</v>
      </c>
      <c r="CC262" s="57">
        <v>65</v>
      </c>
      <c r="CD262" s="61">
        <v>63</v>
      </c>
      <c r="CE262" s="57">
        <f t="shared" si="113"/>
        <v>1</v>
      </c>
      <c r="CF262" s="57">
        <v>100</v>
      </c>
      <c r="CG262" s="61">
        <v>160</v>
      </c>
      <c r="CH262" s="57"/>
      <c r="CI262" s="57"/>
      <c r="CJ262" s="57"/>
      <c r="CK262" s="57"/>
      <c r="CL262" s="57"/>
      <c r="CM262" s="57"/>
      <c r="CN262" s="57"/>
      <c r="CO262" s="57"/>
      <c r="CP262" s="57"/>
      <c r="CQ262" s="57"/>
      <c r="CR262" s="54"/>
      <c r="CS262" s="57"/>
      <c r="CT262" s="57"/>
      <c r="CU262" s="57"/>
      <c r="CV262" s="30"/>
      <c r="CW262" s="54"/>
      <c r="CX262" s="57"/>
      <c r="CY262" s="57"/>
      <c r="CZ262" s="57"/>
      <c r="DA262" s="61"/>
      <c r="DB262" s="54"/>
      <c r="DC262" s="57"/>
      <c r="DD262" s="57"/>
      <c r="DE262" s="57"/>
      <c r="DF262" s="61"/>
      <c r="DG262" s="57"/>
      <c r="DH262" s="57"/>
      <c r="DI262" s="57"/>
      <c r="DJ262" s="57"/>
      <c r="DK262" s="61"/>
      <c r="DL262" s="57"/>
      <c r="DM262" s="50"/>
      <c r="DN262" s="34"/>
      <c r="DO262" s="51"/>
      <c r="DP262" s="34">
        <f t="shared" si="125"/>
        <v>0</v>
      </c>
      <c r="DQ262" s="56" t="s">
        <v>141</v>
      </c>
      <c r="DR262" s="34">
        <v>150</v>
      </c>
      <c r="DS262" s="53"/>
      <c r="DT262" s="70">
        <f t="shared" si="126"/>
        <v>0</v>
      </c>
      <c r="DU262" s="56" t="s">
        <v>141</v>
      </c>
      <c r="DV262" s="34">
        <v>32</v>
      </c>
      <c r="DW262" s="55">
        <v>16</v>
      </c>
      <c r="DX262" s="51"/>
      <c r="DY262" s="34"/>
      <c r="DZ262" s="56"/>
      <c r="EA262" s="34"/>
      <c r="EB262" s="51"/>
      <c r="EC262" s="34">
        <f t="shared" si="127"/>
        <v>0</v>
      </c>
      <c r="ED262" s="56" t="s">
        <v>141</v>
      </c>
      <c r="EE262" s="34">
        <v>150</v>
      </c>
      <c r="EF262" s="51"/>
      <c r="EG262" s="34">
        <f t="shared" si="128"/>
        <v>0</v>
      </c>
      <c r="EH262" s="31">
        <v>11</v>
      </c>
      <c r="EI262" s="76" t="s">
        <v>139</v>
      </c>
      <c r="EJ262" s="34">
        <f>IF($E$14=EL262,1,0)</f>
        <v>0</v>
      </c>
      <c r="EK262" s="31">
        <v>11</v>
      </c>
      <c r="EL262" s="76" t="s">
        <v>139</v>
      </c>
      <c r="EM262" s="34">
        <f>IF($E$14=EO262,1,0)</f>
        <v>0</v>
      </c>
      <c r="EN262" s="31">
        <v>11</v>
      </c>
      <c r="EO262" s="76" t="s">
        <v>139</v>
      </c>
      <c r="EP262" s="53"/>
      <c r="EQ262" s="57"/>
      <c r="ER262" s="76"/>
      <c r="ES262" s="57"/>
      <c r="ET262" s="53"/>
      <c r="EU262" s="51"/>
      <c r="EV262" s="34"/>
      <c r="EW262" s="56"/>
      <c r="EX262" s="34"/>
      <c r="EY262" s="53"/>
      <c r="EZ262" s="34"/>
      <c r="FA262" s="56"/>
      <c r="FB262" s="34"/>
      <c r="FC262" s="53"/>
      <c r="FD262" s="34"/>
      <c r="FE262" s="56"/>
      <c r="FF262" s="34"/>
      <c r="FG262" s="53"/>
      <c r="FH262" s="34"/>
      <c r="FI262" s="56"/>
      <c r="FJ262" s="55"/>
      <c r="FK262" s="57"/>
      <c r="FL262" s="61"/>
    </row>
    <row r="263" spans="52:168" x14ac:dyDescent="0.25">
      <c r="AZ263" s="170" t="s">
        <v>32</v>
      </c>
      <c r="BA263" s="1">
        <f>I28</f>
        <v>0</v>
      </c>
      <c r="BB263" s="1"/>
      <c r="BC263" s="57"/>
      <c r="BD263" s="57"/>
      <c r="BE263" s="57"/>
      <c r="BF263" s="57"/>
      <c r="BG263" s="57"/>
      <c r="BH263" s="54" t="e">
        <f t="shared" si="102"/>
        <v>#VALUE!</v>
      </c>
      <c r="BI263" s="57">
        <v>200</v>
      </c>
      <c r="BJ263" s="57" t="e">
        <f t="shared" si="103"/>
        <v>#VALUE!</v>
      </c>
      <c r="BK263" s="57" t="e">
        <f t="shared" si="104"/>
        <v>#VALUE!</v>
      </c>
      <c r="BL263" s="57"/>
      <c r="BM263" s="57" t="e">
        <f t="shared" si="105"/>
        <v>#VALUE!</v>
      </c>
      <c r="BN263" s="57">
        <v>200</v>
      </c>
      <c r="BO263" s="57" t="e">
        <f t="shared" si="106"/>
        <v>#VALUE!</v>
      </c>
      <c r="BP263" s="61" t="e">
        <f t="shared" si="107"/>
        <v>#VALUE!</v>
      </c>
      <c r="BQ263" s="57" t="e">
        <f t="shared" si="108"/>
        <v>#VALUE!</v>
      </c>
      <c r="BR263" s="57">
        <v>200</v>
      </c>
      <c r="BS263" s="57" t="e">
        <f t="shared" si="109"/>
        <v>#VALUE!</v>
      </c>
      <c r="BT263" s="61" t="e">
        <f t="shared" si="110"/>
        <v>#VALUE!</v>
      </c>
      <c r="BU263" s="57"/>
      <c r="BV263" s="54"/>
      <c r="BW263" s="57"/>
      <c r="BX263" s="57"/>
      <c r="BY263" s="54">
        <f t="shared" si="111"/>
        <v>1</v>
      </c>
      <c r="BZ263" s="57">
        <v>65</v>
      </c>
      <c r="CA263" s="61">
        <v>63</v>
      </c>
      <c r="CB263" s="54">
        <f t="shared" si="112"/>
        <v>1</v>
      </c>
      <c r="CC263" s="57">
        <v>80</v>
      </c>
      <c r="CD263" s="61">
        <v>80</v>
      </c>
      <c r="CE263" s="57">
        <f t="shared" si="113"/>
        <v>1</v>
      </c>
      <c r="CF263" s="57">
        <v>125</v>
      </c>
      <c r="CG263" s="61">
        <v>250</v>
      </c>
      <c r="CH263" s="57"/>
      <c r="CI263" s="57"/>
      <c r="CJ263" s="57"/>
      <c r="CK263" s="57"/>
      <c r="CL263" s="57"/>
      <c r="CM263" s="57"/>
      <c r="CN263" s="57"/>
      <c r="CO263" s="57"/>
      <c r="CP263" s="57"/>
      <c r="CQ263" s="57"/>
      <c r="CR263" s="54"/>
      <c r="CS263" s="57"/>
      <c r="CT263" s="57"/>
      <c r="CU263" s="57"/>
      <c r="CV263" s="30"/>
      <c r="CW263" s="54"/>
      <c r="CX263" s="57"/>
      <c r="CY263" s="57"/>
      <c r="CZ263" s="57"/>
      <c r="DA263" s="61"/>
      <c r="DB263" s="54"/>
      <c r="DC263" s="57"/>
      <c r="DD263" s="57"/>
      <c r="DE263" s="57"/>
      <c r="DF263" s="61"/>
      <c r="DG263" s="57"/>
      <c r="DH263" s="57"/>
      <c r="DI263" s="57"/>
      <c r="DJ263" s="57"/>
      <c r="DK263" s="61"/>
      <c r="DL263" s="57"/>
      <c r="DM263" s="50"/>
      <c r="DN263" s="34"/>
      <c r="DO263" s="51"/>
      <c r="DP263" s="34">
        <f t="shared" si="125"/>
        <v>0</v>
      </c>
      <c r="DQ263" s="56" t="s">
        <v>142</v>
      </c>
      <c r="DR263" s="34">
        <v>200</v>
      </c>
      <c r="DS263" s="53"/>
      <c r="DT263" s="70">
        <f t="shared" si="126"/>
        <v>0</v>
      </c>
      <c r="DU263" s="56" t="s">
        <v>142</v>
      </c>
      <c r="DV263" s="34">
        <v>40</v>
      </c>
      <c r="DW263" s="55">
        <v>20</v>
      </c>
      <c r="DX263" s="51"/>
      <c r="DY263" s="34"/>
      <c r="DZ263" s="56"/>
      <c r="EA263" s="34"/>
      <c r="EB263" s="51"/>
      <c r="EC263" s="34">
        <f t="shared" si="127"/>
        <v>0</v>
      </c>
      <c r="ED263" s="56" t="s">
        <v>142</v>
      </c>
      <c r="EE263" s="34">
        <v>200</v>
      </c>
      <c r="EF263" s="51"/>
      <c r="EG263" s="34"/>
      <c r="EH263" s="31"/>
      <c r="EI263" s="57"/>
      <c r="EJ263" s="57"/>
      <c r="EK263" s="57"/>
      <c r="EL263" s="57"/>
      <c r="EM263" s="57"/>
      <c r="EN263" s="57"/>
      <c r="EO263" s="57"/>
      <c r="EP263" s="53"/>
      <c r="EQ263" s="57"/>
      <c r="ER263" s="57"/>
      <c r="ES263" s="57"/>
      <c r="ET263" s="53"/>
      <c r="EU263" s="51"/>
      <c r="EV263" s="34"/>
      <c r="EW263" s="56"/>
      <c r="EX263" s="34"/>
      <c r="EY263" s="53"/>
      <c r="EZ263" s="34"/>
      <c r="FA263" s="56"/>
      <c r="FB263" s="34"/>
      <c r="FC263" s="53"/>
      <c r="FD263" s="34"/>
      <c r="FE263" s="56"/>
      <c r="FF263" s="34"/>
      <c r="FG263" s="53"/>
      <c r="FH263" s="34"/>
      <c r="FI263" s="56"/>
      <c r="FJ263" s="55"/>
      <c r="FK263" s="57"/>
      <c r="FL263" s="61"/>
    </row>
    <row r="264" spans="52:168" ht="15.75" thickBot="1" x14ac:dyDescent="0.3">
      <c r="AZ264" s="170" t="s">
        <v>143</v>
      </c>
      <c r="BA264" s="1">
        <f>U28</f>
        <v>0</v>
      </c>
      <c r="BB264" s="1"/>
      <c r="BC264" s="57"/>
      <c r="BD264" s="57" t="s">
        <v>144</v>
      </c>
      <c r="BE264" s="57">
        <f>IF(BA266="Отопление",11.7,IF(BA266="Вентиляция",8.6,30))*BA252/6</f>
        <v>0</v>
      </c>
      <c r="BF264" s="57"/>
      <c r="BG264" s="57"/>
      <c r="BH264" s="54" t="e">
        <f t="shared" si="102"/>
        <v>#VALUE!</v>
      </c>
      <c r="BI264" s="57">
        <v>250</v>
      </c>
      <c r="BJ264" s="57" t="e">
        <f t="shared" si="103"/>
        <v>#VALUE!</v>
      </c>
      <c r="BK264" s="57" t="e">
        <f t="shared" si="104"/>
        <v>#VALUE!</v>
      </c>
      <c r="BL264" s="57"/>
      <c r="BM264" s="57" t="e">
        <f t="shared" si="105"/>
        <v>#VALUE!</v>
      </c>
      <c r="BN264" s="57">
        <v>250</v>
      </c>
      <c r="BO264" s="57" t="e">
        <f t="shared" si="106"/>
        <v>#VALUE!</v>
      </c>
      <c r="BP264" s="61" t="e">
        <f t="shared" si="107"/>
        <v>#VALUE!</v>
      </c>
      <c r="BQ264" s="57" t="e">
        <f t="shared" si="108"/>
        <v>#VALUE!</v>
      </c>
      <c r="BR264" s="57">
        <v>250</v>
      </c>
      <c r="BS264" s="57" t="e">
        <f t="shared" si="109"/>
        <v>#VALUE!</v>
      </c>
      <c r="BT264" s="61" t="e">
        <f t="shared" si="110"/>
        <v>#VALUE!</v>
      </c>
      <c r="BU264" s="57"/>
      <c r="BV264" s="54"/>
      <c r="BW264" s="57"/>
      <c r="BX264" s="57"/>
      <c r="BY264" s="54">
        <f t="shared" si="111"/>
        <v>1</v>
      </c>
      <c r="BZ264" s="57">
        <v>80</v>
      </c>
      <c r="CA264" s="61">
        <v>80</v>
      </c>
      <c r="CB264" s="54">
        <f t="shared" si="112"/>
        <v>1</v>
      </c>
      <c r="CC264" s="57">
        <v>80</v>
      </c>
      <c r="CD264" s="61">
        <v>100</v>
      </c>
      <c r="CE264" s="57">
        <f t="shared" si="113"/>
        <v>1</v>
      </c>
      <c r="CF264" s="57">
        <v>150</v>
      </c>
      <c r="CG264" s="61">
        <v>400</v>
      </c>
      <c r="CH264" s="57"/>
      <c r="CI264" s="57"/>
      <c r="CJ264" s="57"/>
      <c r="CK264" s="57"/>
      <c r="CL264" s="57"/>
      <c r="CM264" s="57"/>
      <c r="CN264" s="57"/>
      <c r="CO264" s="57"/>
      <c r="CP264" s="57"/>
      <c r="CQ264" s="57"/>
      <c r="CR264" s="83"/>
      <c r="CS264" s="87"/>
      <c r="CT264" s="87"/>
      <c r="CU264" s="87"/>
      <c r="CV264" s="88"/>
      <c r="CW264" s="83"/>
      <c r="CX264" s="87"/>
      <c r="CY264" s="87"/>
      <c r="CZ264" s="87"/>
      <c r="DA264" s="89"/>
      <c r="DB264" s="83"/>
      <c r="DC264" s="87"/>
      <c r="DD264" s="87"/>
      <c r="DE264" s="87"/>
      <c r="DF264" s="89"/>
      <c r="DG264" s="87"/>
      <c r="DH264" s="87"/>
      <c r="DI264" s="87"/>
      <c r="DJ264" s="87"/>
      <c r="DK264" s="89"/>
      <c r="DL264" s="57"/>
      <c r="DM264" s="50"/>
      <c r="DN264" s="34"/>
      <c r="DO264" s="51"/>
      <c r="DP264" s="34"/>
      <c r="DQ264" s="56"/>
      <c r="DR264" s="34"/>
      <c r="DS264" s="53"/>
      <c r="DT264" s="70">
        <f t="shared" si="126"/>
        <v>0</v>
      </c>
      <c r="DU264" s="56" t="s">
        <v>145</v>
      </c>
      <c r="DV264" s="34">
        <v>40</v>
      </c>
      <c r="DW264" s="55">
        <v>25</v>
      </c>
      <c r="DX264" s="51"/>
      <c r="DY264" s="34"/>
      <c r="DZ264" s="56"/>
      <c r="EA264" s="34"/>
      <c r="EB264" s="53"/>
      <c r="EC264" s="57"/>
      <c r="ED264" s="57"/>
      <c r="EE264" s="57"/>
      <c r="EF264" s="53"/>
      <c r="EG264" s="34"/>
      <c r="EH264" s="57"/>
      <c r="EI264" s="57"/>
      <c r="EJ264" s="57"/>
      <c r="EK264" s="57"/>
      <c r="EL264" s="57"/>
      <c r="EM264" s="57"/>
      <c r="EN264" s="57"/>
      <c r="EO264" s="57"/>
      <c r="EP264" s="53"/>
      <c r="EQ264" s="57"/>
      <c r="ER264" s="57"/>
      <c r="ES264" s="57"/>
      <c r="ET264" s="53"/>
      <c r="EU264" s="53"/>
      <c r="EV264" s="57"/>
      <c r="EW264" s="57"/>
      <c r="EX264" s="57"/>
      <c r="EY264" s="53"/>
      <c r="EZ264" s="57"/>
      <c r="FA264" s="57"/>
      <c r="FB264" s="57"/>
      <c r="FC264" s="53"/>
      <c r="FD264" s="57"/>
      <c r="FE264" s="57"/>
      <c r="FF264" s="57"/>
      <c r="FG264" s="53"/>
      <c r="FH264" s="57"/>
      <c r="FI264" s="57"/>
      <c r="FJ264" s="61"/>
      <c r="FK264" s="57"/>
      <c r="FL264" s="61"/>
    </row>
    <row r="265" spans="52:168" x14ac:dyDescent="0.25">
      <c r="AZ265" s="170" t="s">
        <v>69</v>
      </c>
      <c r="BA265" s="1" t="str">
        <f>AA28</f>
        <v>Учтен в БОВ-1</v>
      </c>
      <c r="BB265" s="1"/>
      <c r="BC265" s="57"/>
      <c r="BD265" s="57" t="s">
        <v>52</v>
      </c>
      <c r="BE265" s="57" t="e">
        <f>VLOOKUP(1,BQ252:BT265,2,0)</f>
        <v>#N/A</v>
      </c>
      <c r="BF265" s="57"/>
      <c r="BG265" s="57"/>
      <c r="BH265" s="54" t="e">
        <f t="shared" si="102"/>
        <v>#VALUE!</v>
      </c>
      <c r="BI265" s="57">
        <v>300</v>
      </c>
      <c r="BJ265" s="57" t="e">
        <f t="shared" si="103"/>
        <v>#VALUE!</v>
      </c>
      <c r="BK265" s="57" t="e">
        <f t="shared" si="104"/>
        <v>#VALUE!</v>
      </c>
      <c r="BL265" s="57"/>
      <c r="BM265" s="57" t="e">
        <f t="shared" si="105"/>
        <v>#VALUE!</v>
      </c>
      <c r="BN265" s="57">
        <v>300</v>
      </c>
      <c r="BO265" s="57" t="e">
        <f t="shared" si="106"/>
        <v>#VALUE!</v>
      </c>
      <c r="BP265" s="61" t="e">
        <f t="shared" si="107"/>
        <v>#VALUE!</v>
      </c>
      <c r="BQ265" s="57" t="e">
        <f t="shared" si="108"/>
        <v>#VALUE!</v>
      </c>
      <c r="BR265" s="57">
        <v>300</v>
      </c>
      <c r="BS265" s="57" t="e">
        <f t="shared" si="109"/>
        <v>#VALUE!</v>
      </c>
      <c r="BT265" s="61" t="e">
        <f t="shared" si="110"/>
        <v>#VALUE!</v>
      </c>
      <c r="BU265" s="57"/>
      <c r="BV265" s="54"/>
      <c r="BW265" s="57"/>
      <c r="BX265" s="57"/>
      <c r="BY265" s="54">
        <f t="shared" si="111"/>
        <v>1</v>
      </c>
      <c r="BZ265" s="57">
        <v>80</v>
      </c>
      <c r="CA265" s="61">
        <v>100</v>
      </c>
      <c r="CB265" s="54">
        <f t="shared" si="112"/>
        <v>1</v>
      </c>
      <c r="CC265" s="57">
        <v>100</v>
      </c>
      <c r="CD265" s="61">
        <v>125</v>
      </c>
      <c r="CE265" s="57"/>
      <c r="CF265" s="57"/>
      <c r="CG265" s="61"/>
      <c r="CH265" s="57"/>
      <c r="CI265" s="57"/>
      <c r="CJ265" s="57"/>
      <c r="CK265" s="57"/>
      <c r="CL265" s="57"/>
      <c r="CM265" s="57"/>
      <c r="CN265" s="57"/>
      <c r="CO265" s="57"/>
      <c r="CP265" s="57"/>
      <c r="CQ265" s="57"/>
      <c r="CR265" s="57"/>
      <c r="CS265" s="57"/>
      <c r="CT265" s="57"/>
      <c r="CU265" s="57"/>
      <c r="CV265" s="31"/>
      <c r="CW265" s="57"/>
      <c r="CX265" s="57"/>
      <c r="CY265" s="57"/>
      <c r="CZ265" s="57"/>
      <c r="DA265" s="57"/>
      <c r="DB265" s="57"/>
      <c r="DC265" s="57"/>
      <c r="DD265" s="57"/>
      <c r="DE265" s="57"/>
      <c r="DF265" s="57"/>
      <c r="DG265" s="57"/>
      <c r="DH265" s="57"/>
      <c r="DI265" s="57"/>
      <c r="DJ265" s="57"/>
      <c r="DK265" s="57"/>
      <c r="DL265" s="57"/>
      <c r="DM265" s="50"/>
      <c r="DN265" s="34"/>
      <c r="DO265" s="51"/>
      <c r="DP265" s="34"/>
      <c r="DQ265" s="56"/>
      <c r="DR265" s="34"/>
      <c r="DS265" s="53"/>
      <c r="DT265" s="70">
        <f t="shared" si="126"/>
        <v>0</v>
      </c>
      <c r="DU265" s="56" t="s">
        <v>146</v>
      </c>
      <c r="DV265" s="34">
        <v>50</v>
      </c>
      <c r="DW265" s="55">
        <v>31.5</v>
      </c>
      <c r="DX265" s="51"/>
      <c r="DY265" s="34"/>
      <c r="DZ265" s="56"/>
      <c r="EA265" s="34"/>
      <c r="EB265" s="53"/>
      <c r="EC265" s="57"/>
      <c r="ED265" s="57"/>
      <c r="EE265" s="57"/>
      <c r="EF265" s="53"/>
      <c r="EG265" s="34"/>
      <c r="EH265" s="57"/>
      <c r="EI265" s="57"/>
      <c r="EJ265" s="57"/>
      <c r="EK265" s="57"/>
      <c r="EL265" s="57"/>
      <c r="EM265" s="57"/>
      <c r="EN265" s="57"/>
      <c r="EO265" s="57"/>
      <c r="EP265" s="53"/>
      <c r="EQ265" s="57"/>
      <c r="ER265" s="57"/>
      <c r="ES265" s="57"/>
      <c r="ET265" s="53"/>
      <c r="EU265" s="53"/>
      <c r="EV265" s="57"/>
      <c r="EW265" s="57"/>
      <c r="EX265" s="57"/>
      <c r="EY265" s="53"/>
      <c r="EZ265" s="57"/>
      <c r="FA265" s="57"/>
      <c r="FB265" s="57"/>
      <c r="FC265" s="53"/>
      <c r="FD265" s="57"/>
      <c r="FE265" s="57"/>
      <c r="FF265" s="57"/>
      <c r="FG265" s="53"/>
      <c r="FH265" s="57"/>
      <c r="FI265" s="57"/>
      <c r="FJ265" s="61"/>
      <c r="FK265" s="57"/>
      <c r="FL265" s="61"/>
    </row>
    <row r="266" spans="52:168" x14ac:dyDescent="0.25">
      <c r="AZ266" s="170" t="s">
        <v>147</v>
      </c>
      <c r="BA266" s="1" t="str">
        <f>A15</f>
        <v>Вентиляция</v>
      </c>
      <c r="BB266" s="1"/>
      <c r="BC266" s="57"/>
      <c r="BD266" s="57"/>
      <c r="BE266" s="57"/>
      <c r="BF266" s="57"/>
      <c r="BG266" s="57"/>
      <c r="BH266" s="54"/>
      <c r="BI266" s="57"/>
      <c r="BJ266" s="57"/>
      <c r="BK266" s="57"/>
      <c r="BL266" s="57"/>
      <c r="BM266" s="57"/>
      <c r="BN266" s="57"/>
      <c r="BO266" s="57"/>
      <c r="BP266" s="61"/>
      <c r="BQ266" s="57"/>
      <c r="BR266" s="57"/>
      <c r="BS266" s="57"/>
      <c r="BT266" s="61"/>
      <c r="BU266" s="57"/>
      <c r="BV266" s="54"/>
      <c r="BW266" s="57"/>
      <c r="BX266" s="57"/>
      <c r="BY266" s="54">
        <f t="shared" si="111"/>
        <v>1</v>
      </c>
      <c r="BZ266" s="57">
        <v>100</v>
      </c>
      <c r="CA266" s="61">
        <v>125</v>
      </c>
      <c r="CB266" s="54">
        <f t="shared" si="112"/>
        <v>1</v>
      </c>
      <c r="CC266" s="57">
        <v>100</v>
      </c>
      <c r="CD266" s="61">
        <v>160</v>
      </c>
      <c r="CE266" s="57"/>
      <c r="CF266" s="57"/>
      <c r="CG266" s="61"/>
      <c r="CH266" s="57"/>
      <c r="CI266" s="57"/>
      <c r="CJ266" s="57"/>
      <c r="CK266" s="57"/>
      <c r="CL266" s="57"/>
      <c r="CM266" s="57"/>
      <c r="CN266" s="57"/>
      <c r="CO266" s="57"/>
      <c r="CP266" s="57"/>
      <c r="CQ266" s="57"/>
      <c r="CR266" s="57"/>
      <c r="CS266" s="57"/>
      <c r="CT266" s="57"/>
      <c r="CU266" s="57"/>
      <c r="CV266" s="31"/>
      <c r="CW266" s="57"/>
      <c r="CX266" s="57"/>
      <c r="CY266" s="57"/>
      <c r="CZ266" s="57"/>
      <c r="DA266" s="57"/>
      <c r="DB266" s="57"/>
      <c r="DC266" s="57"/>
      <c r="DD266" s="57"/>
      <c r="DE266" s="57"/>
      <c r="DF266" s="57"/>
      <c r="DG266" s="57"/>
      <c r="DH266" s="57"/>
      <c r="DI266" s="57"/>
      <c r="DJ266" s="57"/>
      <c r="DK266" s="57"/>
      <c r="DL266" s="57"/>
      <c r="DM266" s="50"/>
      <c r="DN266" s="34"/>
      <c r="DO266" s="51"/>
      <c r="DP266" s="34"/>
      <c r="DQ266" s="56"/>
      <c r="DR266" s="34"/>
      <c r="DS266" s="53"/>
      <c r="DT266" s="70">
        <f t="shared" si="126"/>
        <v>0</v>
      </c>
      <c r="DU266" s="56" t="s">
        <v>148</v>
      </c>
      <c r="DV266" s="34">
        <v>50</v>
      </c>
      <c r="DW266" s="55">
        <v>40</v>
      </c>
      <c r="DX266" s="51"/>
      <c r="DY266" s="34"/>
      <c r="DZ266" s="56"/>
      <c r="EA266" s="34"/>
      <c r="EB266" s="53"/>
      <c r="EC266" s="57"/>
      <c r="ED266" s="57"/>
      <c r="EE266" s="57"/>
      <c r="EF266" s="53"/>
      <c r="EG266" s="34"/>
      <c r="EH266" s="57"/>
      <c r="EI266" s="57"/>
      <c r="EJ266" s="57"/>
      <c r="EK266" s="57"/>
      <c r="EL266" s="57"/>
      <c r="EM266" s="57"/>
      <c r="EN266" s="57"/>
      <c r="EO266" s="57"/>
      <c r="EP266" s="53"/>
      <c r="EQ266" s="57"/>
      <c r="ER266" s="57"/>
      <c r="ES266" s="57"/>
      <c r="ET266" s="53"/>
      <c r="EU266" s="53"/>
      <c r="EV266" s="57"/>
      <c r="EW266" s="57"/>
      <c r="EX266" s="57"/>
      <c r="EY266" s="53"/>
      <c r="EZ266" s="57"/>
      <c r="FA266" s="57"/>
      <c r="FB266" s="57"/>
      <c r="FC266" s="53"/>
      <c r="FD266" s="57"/>
      <c r="FE266" s="57"/>
      <c r="FF266" s="57"/>
      <c r="FG266" s="53"/>
      <c r="FH266" s="57"/>
      <c r="FI266" s="57"/>
      <c r="FJ266" s="61"/>
      <c r="FK266" s="57"/>
      <c r="FL266" s="61"/>
    </row>
    <row r="267" spans="52:168" x14ac:dyDescent="0.25">
      <c r="AZ267" s="170"/>
      <c r="BA267" s="57"/>
      <c r="BB267" s="171"/>
      <c r="BC267" s="57"/>
      <c r="BD267" s="57"/>
      <c r="BE267" s="57"/>
      <c r="BF267" s="57"/>
      <c r="BG267" s="57"/>
      <c r="BH267" s="54"/>
      <c r="BI267" s="90"/>
      <c r="BJ267" s="57"/>
      <c r="BK267" s="57"/>
      <c r="BL267" s="57"/>
      <c r="BM267" s="57"/>
      <c r="BN267" s="57"/>
      <c r="BO267" s="57"/>
      <c r="BP267" s="61"/>
      <c r="BQ267" s="57"/>
      <c r="BR267" s="57"/>
      <c r="BS267" s="57"/>
      <c r="BT267" s="61"/>
      <c r="BU267" s="57"/>
      <c r="BV267" s="54"/>
      <c r="BW267" s="57"/>
      <c r="BX267" s="57"/>
      <c r="BY267" s="54">
        <f t="shared" si="111"/>
        <v>1</v>
      </c>
      <c r="BZ267" s="57">
        <v>100</v>
      </c>
      <c r="CA267" s="61">
        <v>160</v>
      </c>
      <c r="CB267" s="54">
        <f t="shared" si="112"/>
        <v>1</v>
      </c>
      <c r="CC267" s="57">
        <v>125</v>
      </c>
      <c r="CD267" s="61">
        <v>200</v>
      </c>
      <c r="CE267" s="57"/>
      <c r="CF267" s="57"/>
      <c r="CG267" s="61"/>
      <c r="CH267" s="57"/>
      <c r="CI267" s="57"/>
      <c r="CJ267" s="57"/>
      <c r="CK267" s="57"/>
      <c r="CL267" s="57"/>
      <c r="CM267" s="57"/>
      <c r="CN267" s="57"/>
      <c r="CO267" s="57"/>
      <c r="CP267" s="57"/>
      <c r="CQ267" s="57"/>
      <c r="CR267" s="57"/>
      <c r="CS267" s="57"/>
      <c r="CT267" s="57"/>
      <c r="CU267" s="57"/>
      <c r="CV267" s="31"/>
      <c r="CW267" s="57"/>
      <c r="CX267" s="57"/>
      <c r="CY267" s="57"/>
      <c r="CZ267" s="57"/>
      <c r="DA267" s="57"/>
      <c r="DB267" s="57"/>
      <c r="DC267" s="57"/>
      <c r="DD267" s="57"/>
      <c r="DE267" s="57"/>
      <c r="DF267" s="57"/>
      <c r="DG267" s="57"/>
      <c r="DH267" s="57"/>
      <c r="DI267" s="57"/>
      <c r="DJ267" s="57"/>
      <c r="DK267" s="57"/>
      <c r="DL267" s="57"/>
      <c r="DM267" s="50"/>
      <c r="DN267" s="34"/>
      <c r="DO267" s="51"/>
      <c r="DP267" s="34"/>
      <c r="DQ267" s="56"/>
      <c r="DR267" s="34"/>
      <c r="DS267" s="53"/>
      <c r="DT267" s="70">
        <f t="shared" si="126"/>
        <v>0</v>
      </c>
      <c r="DU267" s="56" t="s">
        <v>149</v>
      </c>
      <c r="DV267" s="34">
        <v>65</v>
      </c>
      <c r="DW267" s="55">
        <v>50</v>
      </c>
      <c r="DX267" s="51"/>
      <c r="DY267" s="34"/>
      <c r="DZ267" s="56"/>
      <c r="EA267" s="34"/>
      <c r="EB267" s="53"/>
      <c r="EC267" s="57"/>
      <c r="ED267" s="57"/>
      <c r="EE267" s="57"/>
      <c r="EF267" s="53"/>
      <c r="EG267" s="57"/>
      <c r="EH267" s="57"/>
      <c r="EI267" s="57"/>
      <c r="EJ267" s="57"/>
      <c r="EK267" s="57"/>
      <c r="EL267" s="57"/>
      <c r="EM267" s="57"/>
      <c r="EN267" s="57"/>
      <c r="EO267" s="57"/>
      <c r="EP267" s="53"/>
      <c r="EQ267" s="57"/>
      <c r="ER267" s="57"/>
      <c r="ES267" s="57"/>
      <c r="ET267" s="53"/>
      <c r="EU267" s="53"/>
      <c r="EV267" s="57"/>
      <c r="EW267" s="57"/>
      <c r="EX267" s="57"/>
      <c r="EY267" s="53"/>
      <c r="EZ267" s="57"/>
      <c r="FA267" s="57"/>
      <c r="FB267" s="57"/>
      <c r="FC267" s="53"/>
      <c r="FD267" s="57"/>
      <c r="FE267" s="57"/>
      <c r="FF267" s="57"/>
      <c r="FG267" s="53"/>
      <c r="FH267" s="57"/>
      <c r="FI267" s="57"/>
      <c r="FJ267" s="61"/>
      <c r="FK267" s="57"/>
      <c r="FL267" s="61"/>
    </row>
    <row r="268" spans="52:168" x14ac:dyDescent="0.25">
      <c r="AZ268" s="170"/>
      <c r="BA268" s="57"/>
      <c r="BB268" s="171"/>
      <c r="BC268" s="57"/>
      <c r="BD268" s="57"/>
      <c r="BE268" s="57"/>
      <c r="BF268" s="57"/>
      <c r="BG268" s="57"/>
      <c r="BH268" s="54"/>
      <c r="BI268" s="90" t="s">
        <v>150</v>
      </c>
      <c r="BJ268" s="57">
        <v>958.4</v>
      </c>
      <c r="BK268" s="57"/>
      <c r="BL268" s="57"/>
      <c r="BM268" s="57"/>
      <c r="BN268" s="57"/>
      <c r="BO268" s="57"/>
      <c r="BP268" s="61"/>
      <c r="BQ268" s="57"/>
      <c r="BR268" s="57"/>
      <c r="BS268" s="57"/>
      <c r="BT268" s="61"/>
      <c r="BU268" s="57"/>
      <c r="BV268" s="54"/>
      <c r="BW268" s="57"/>
      <c r="BX268" s="57"/>
      <c r="BY268" s="54">
        <f t="shared" si="111"/>
        <v>1</v>
      </c>
      <c r="BZ268" s="57">
        <v>125</v>
      </c>
      <c r="CA268" s="61">
        <v>250</v>
      </c>
      <c r="CB268" s="54">
        <f t="shared" si="112"/>
        <v>1</v>
      </c>
      <c r="CC268" s="57">
        <v>125</v>
      </c>
      <c r="CD268" s="61">
        <v>250</v>
      </c>
      <c r="CE268" s="57"/>
      <c r="CF268" s="57"/>
      <c r="CG268" s="61"/>
      <c r="CH268" s="57"/>
      <c r="CI268" s="57"/>
      <c r="CJ268" s="57"/>
      <c r="CK268" s="57"/>
      <c r="CL268" s="57"/>
      <c r="CM268" s="57"/>
      <c r="CN268" s="57"/>
      <c r="CO268" s="57"/>
      <c r="CP268" s="57"/>
      <c r="CQ268" s="57"/>
      <c r="CR268" s="57"/>
      <c r="CS268" s="57"/>
      <c r="CT268" s="57"/>
      <c r="CU268" s="57"/>
      <c r="CV268" s="31"/>
      <c r="CW268" s="57"/>
      <c r="CX268" s="57"/>
      <c r="CY268" s="57"/>
      <c r="CZ268" s="57"/>
      <c r="DA268" s="57"/>
      <c r="DB268" s="57"/>
      <c r="DC268" s="57"/>
      <c r="DD268" s="57"/>
      <c r="DE268" s="57"/>
      <c r="DF268" s="57"/>
      <c r="DG268" s="57"/>
      <c r="DH268" s="57"/>
      <c r="DI268" s="57"/>
      <c r="DJ268" s="57"/>
      <c r="DK268" s="57"/>
      <c r="DL268" s="57"/>
      <c r="DM268" s="50"/>
      <c r="DN268" s="34"/>
      <c r="DO268" s="51"/>
      <c r="DP268" s="34"/>
      <c r="DQ268" s="56"/>
      <c r="DR268" s="34"/>
      <c r="DS268" s="53"/>
      <c r="DT268" s="70">
        <f t="shared" si="126"/>
        <v>0</v>
      </c>
      <c r="DU268" s="56" t="s">
        <v>151</v>
      </c>
      <c r="DV268" s="34">
        <v>65</v>
      </c>
      <c r="DW268" s="55">
        <v>63</v>
      </c>
      <c r="DX268" s="51"/>
      <c r="DY268" s="34"/>
      <c r="DZ268" s="56"/>
      <c r="EA268" s="34"/>
      <c r="EB268" s="53"/>
      <c r="EC268" s="57"/>
      <c r="ED268" s="57"/>
      <c r="EE268" s="57"/>
      <c r="EF268" s="53"/>
      <c r="EG268" s="57"/>
      <c r="EH268" s="57"/>
      <c r="EI268" s="57"/>
      <c r="EJ268" s="57"/>
      <c r="EK268" s="57"/>
      <c r="EL268" s="57"/>
      <c r="EM268" s="57"/>
      <c r="EN268" s="57"/>
      <c r="EO268" s="57"/>
      <c r="EP268" s="53"/>
      <c r="EQ268" s="57"/>
      <c r="ER268" s="57"/>
      <c r="ES268" s="57"/>
      <c r="ET268" s="53"/>
      <c r="EU268" s="53"/>
      <c r="EV268" s="57"/>
      <c r="EW268" s="57"/>
      <c r="EX268" s="57"/>
      <c r="EY268" s="53"/>
      <c r="EZ268" s="57"/>
      <c r="FA268" s="57"/>
      <c r="FB268" s="57"/>
      <c r="FC268" s="53"/>
      <c r="FD268" s="57"/>
      <c r="FE268" s="57"/>
      <c r="FF268" s="57"/>
      <c r="FG268" s="53"/>
      <c r="FH268" s="57"/>
      <c r="FI268" s="57"/>
      <c r="FJ268" s="61"/>
      <c r="FK268" s="57"/>
      <c r="FL268" s="61"/>
    </row>
    <row r="269" spans="52:168" x14ac:dyDescent="0.25">
      <c r="AZ269" s="54"/>
      <c r="BA269" s="57"/>
      <c r="BB269" s="57"/>
      <c r="BC269" s="57"/>
      <c r="BD269" s="57"/>
      <c r="BE269" s="57"/>
      <c r="BF269" s="57"/>
      <c r="BG269" s="57"/>
      <c r="BH269" s="54"/>
      <c r="BI269" s="90" t="s">
        <v>152</v>
      </c>
      <c r="BJ269" s="57">
        <v>0.5</v>
      </c>
      <c r="BK269" s="57"/>
      <c r="BL269" s="57"/>
      <c r="BM269" s="57"/>
      <c r="BN269" s="57"/>
      <c r="BO269" s="57"/>
      <c r="BP269" s="61"/>
      <c r="BQ269" s="57"/>
      <c r="BR269" s="57"/>
      <c r="BS269" s="57"/>
      <c r="BT269" s="61"/>
      <c r="BU269" s="57"/>
      <c r="BV269" s="54"/>
      <c r="BW269" s="57"/>
      <c r="BX269" s="57"/>
      <c r="BY269" s="54">
        <f t="shared" si="111"/>
        <v>1</v>
      </c>
      <c r="BZ269" s="57">
        <v>150</v>
      </c>
      <c r="CA269" s="61">
        <v>315</v>
      </c>
      <c r="CB269" s="54">
        <f t="shared" si="112"/>
        <v>1</v>
      </c>
      <c r="CC269" s="57">
        <v>150</v>
      </c>
      <c r="CD269" s="61">
        <v>315</v>
      </c>
      <c r="CE269" s="57"/>
      <c r="CF269" s="57"/>
      <c r="CG269" s="61"/>
      <c r="CH269" s="57"/>
      <c r="CI269" s="57"/>
      <c r="CJ269" s="57"/>
      <c r="CK269" s="57"/>
      <c r="CL269" s="57"/>
      <c r="CM269" s="57"/>
      <c r="CN269" s="57"/>
      <c r="CO269" s="57"/>
      <c r="CP269" s="57"/>
      <c r="CQ269" s="57"/>
      <c r="CR269" s="57"/>
      <c r="CS269" s="57"/>
      <c r="CT269" s="57"/>
      <c r="CU269" s="57"/>
      <c r="CV269" s="31"/>
      <c r="CW269" s="57"/>
      <c r="CX269" s="57"/>
      <c r="CY269" s="57"/>
      <c r="CZ269" s="57"/>
      <c r="DA269" s="57"/>
      <c r="DB269" s="57"/>
      <c r="DC269" s="57"/>
      <c r="DD269" s="57"/>
      <c r="DE269" s="57"/>
      <c r="DF269" s="57"/>
      <c r="DG269" s="57"/>
      <c r="DH269" s="57"/>
      <c r="DI269" s="57"/>
      <c r="DJ269" s="57"/>
      <c r="DK269" s="57"/>
      <c r="DL269" s="57"/>
      <c r="DM269" s="50"/>
      <c r="DN269" s="34"/>
      <c r="DO269" s="51"/>
      <c r="DP269" s="34"/>
      <c r="DQ269" s="56"/>
      <c r="DR269" s="34"/>
      <c r="DS269" s="53"/>
      <c r="DT269" s="70">
        <f t="shared" si="126"/>
        <v>0</v>
      </c>
      <c r="DU269" s="56" t="s">
        <v>153</v>
      </c>
      <c r="DV269" s="34">
        <v>80</v>
      </c>
      <c r="DW269" s="55">
        <v>80</v>
      </c>
      <c r="DX269" s="51"/>
      <c r="DY269" s="34"/>
      <c r="DZ269" s="56"/>
      <c r="EA269" s="34"/>
      <c r="EB269" s="53"/>
      <c r="EC269" s="57"/>
      <c r="ED269" s="57"/>
      <c r="EE269" s="57"/>
      <c r="EF269" s="53"/>
      <c r="EG269" s="57"/>
      <c r="EH269" s="57"/>
      <c r="EI269" s="57"/>
      <c r="EJ269" s="57"/>
      <c r="EK269" s="57"/>
      <c r="EL269" s="57"/>
      <c r="EM269" s="57"/>
      <c r="EN269" s="57"/>
      <c r="EO269" s="57"/>
      <c r="EP269" s="53"/>
      <c r="EQ269" s="57"/>
      <c r="ER269" s="57"/>
      <c r="ES269" s="57"/>
      <c r="ET269" s="53"/>
      <c r="EU269" s="53"/>
      <c r="EV269" s="57"/>
      <c r="EW269" s="57"/>
      <c r="EX269" s="57"/>
      <c r="EY269" s="53"/>
      <c r="EZ269" s="57"/>
      <c r="FA269" s="57"/>
      <c r="FB269" s="57"/>
      <c r="FC269" s="53"/>
      <c r="FD269" s="57"/>
      <c r="FE269" s="57"/>
      <c r="FF269" s="57"/>
      <c r="FG269" s="53"/>
      <c r="FH269" s="57"/>
      <c r="FI269" s="57"/>
      <c r="FJ269" s="61"/>
      <c r="FK269" s="57"/>
      <c r="FL269" s="61"/>
    </row>
    <row r="270" spans="52:168" ht="15.75" thickBot="1" x14ac:dyDescent="0.3">
      <c r="AZ270" s="54"/>
      <c r="BA270" s="57"/>
      <c r="BB270" s="57"/>
      <c r="BC270" s="57"/>
      <c r="BD270" s="57"/>
      <c r="BE270" s="57"/>
      <c r="BF270" s="57"/>
      <c r="BG270" s="57"/>
      <c r="BH270" s="83"/>
      <c r="BI270" s="91"/>
      <c r="BJ270" s="87"/>
      <c r="BK270" s="87"/>
      <c r="BL270" s="87"/>
      <c r="BM270" s="87"/>
      <c r="BN270" s="87"/>
      <c r="BO270" s="87"/>
      <c r="BP270" s="89"/>
      <c r="BQ270" s="87"/>
      <c r="BR270" s="87"/>
      <c r="BS270" s="87"/>
      <c r="BT270" s="89"/>
      <c r="BU270" s="57"/>
      <c r="BV270" s="83"/>
      <c r="BW270" s="87"/>
      <c r="BX270" s="87"/>
      <c r="BY270" s="83"/>
      <c r="BZ270" s="87"/>
      <c r="CA270" s="89"/>
      <c r="CB270" s="83">
        <f t="shared" si="112"/>
        <v>1</v>
      </c>
      <c r="CC270" s="87">
        <v>150</v>
      </c>
      <c r="CD270" s="89">
        <v>400</v>
      </c>
      <c r="CE270" s="87"/>
      <c r="CF270" s="87"/>
      <c r="CG270" s="89"/>
      <c r="CH270" s="57"/>
      <c r="CI270" s="57"/>
      <c r="CJ270" s="57"/>
      <c r="CK270" s="57"/>
      <c r="CL270" s="57"/>
      <c r="CM270" s="57"/>
      <c r="CN270" s="57"/>
      <c r="CO270" s="57"/>
      <c r="CP270" s="57"/>
      <c r="CQ270" s="57"/>
      <c r="CR270" s="57"/>
      <c r="CS270" s="57"/>
      <c r="CT270" s="57"/>
      <c r="CU270" s="57"/>
      <c r="CV270" s="31"/>
      <c r="CW270" s="57"/>
      <c r="CX270" s="57"/>
      <c r="CY270" s="57"/>
      <c r="CZ270" s="57"/>
      <c r="DA270" s="57"/>
      <c r="DB270" s="57"/>
      <c r="DC270" s="57"/>
      <c r="DD270" s="57"/>
      <c r="DE270" s="57"/>
      <c r="DF270" s="57"/>
      <c r="DG270" s="57"/>
      <c r="DH270" s="57"/>
      <c r="DI270" s="57"/>
      <c r="DJ270" s="57"/>
      <c r="DK270" s="57"/>
      <c r="DL270" s="57"/>
      <c r="DM270" s="50"/>
      <c r="DN270" s="34"/>
      <c r="DO270" s="51"/>
      <c r="DP270" s="34"/>
      <c r="DQ270" s="56"/>
      <c r="DR270" s="34"/>
      <c r="DS270" s="53"/>
      <c r="DT270" s="70">
        <f t="shared" si="126"/>
        <v>0</v>
      </c>
      <c r="DU270" s="56" t="s">
        <v>154</v>
      </c>
      <c r="DV270" s="34">
        <v>80</v>
      </c>
      <c r="DW270" s="55">
        <v>100</v>
      </c>
      <c r="DX270" s="51"/>
      <c r="DY270" s="34"/>
      <c r="DZ270" s="56"/>
      <c r="EA270" s="34"/>
      <c r="EB270" s="53"/>
      <c r="EC270" s="57"/>
      <c r="ED270" s="57"/>
      <c r="EE270" s="57"/>
      <c r="EF270" s="53"/>
      <c r="EG270" s="57"/>
      <c r="EH270" s="57"/>
      <c r="EI270" s="57"/>
      <c r="EJ270" s="57"/>
      <c r="EK270" s="57"/>
      <c r="EL270" s="57"/>
      <c r="EM270" s="57"/>
      <c r="EN270" s="57"/>
      <c r="EO270" s="57"/>
      <c r="EP270" s="53"/>
      <c r="EQ270" s="57"/>
      <c r="ER270" s="57"/>
      <c r="ES270" s="57"/>
      <c r="ET270" s="53"/>
      <c r="EU270" s="53"/>
      <c r="EV270" s="57"/>
      <c r="EW270" s="57"/>
      <c r="EX270" s="57"/>
      <c r="EY270" s="53"/>
      <c r="EZ270" s="57"/>
      <c r="FA270" s="57"/>
      <c r="FB270" s="57"/>
      <c r="FC270" s="53"/>
      <c r="FD270" s="57"/>
      <c r="FE270" s="57"/>
      <c r="FF270" s="57"/>
      <c r="FG270" s="53"/>
      <c r="FH270" s="57"/>
      <c r="FI270" s="57"/>
      <c r="FJ270" s="61"/>
      <c r="FK270" s="57"/>
      <c r="FL270" s="61"/>
    </row>
    <row r="271" spans="52:168" x14ac:dyDescent="0.25">
      <c r="AZ271" s="54"/>
      <c r="BA271" s="57"/>
      <c r="BB271" s="57"/>
      <c r="BC271" s="57"/>
      <c r="BD271" s="57"/>
      <c r="BE271" s="57"/>
      <c r="BF271" s="57"/>
      <c r="BG271" s="57"/>
      <c r="BH271" s="57"/>
      <c r="BI271" s="57"/>
      <c r="BJ271" s="57"/>
      <c r="BK271" s="57"/>
      <c r="BL271" s="57"/>
      <c r="BM271" s="57"/>
      <c r="BN271" s="57"/>
      <c r="BO271" s="57"/>
      <c r="BP271" s="57"/>
      <c r="BQ271" s="57"/>
      <c r="BR271" s="57"/>
      <c r="BS271" s="57"/>
      <c r="BT271" s="57"/>
      <c r="BU271" s="57"/>
      <c r="BV271" s="57"/>
      <c r="BW271" s="57"/>
      <c r="BX271" s="57"/>
      <c r="BY271" s="57"/>
      <c r="BZ271" s="57"/>
      <c r="CA271" s="57"/>
      <c r="CB271" s="57"/>
      <c r="CC271" s="57"/>
      <c r="CD271" s="57"/>
      <c r="CE271" s="57"/>
      <c r="CF271" s="57"/>
      <c r="CG271" s="57"/>
      <c r="CH271" s="57"/>
      <c r="CI271" s="57"/>
      <c r="CJ271" s="57"/>
      <c r="CK271" s="57"/>
      <c r="CL271" s="57"/>
      <c r="CM271" s="57"/>
      <c r="CN271" s="57"/>
      <c r="CO271" s="57"/>
      <c r="CP271" s="57"/>
      <c r="CQ271" s="57"/>
      <c r="CR271" s="57"/>
      <c r="CS271" s="57"/>
      <c r="CT271" s="57"/>
      <c r="CU271" s="57"/>
      <c r="CV271" s="31"/>
      <c r="CW271" s="57"/>
      <c r="CX271" s="57"/>
      <c r="CY271" s="57"/>
      <c r="CZ271" s="57"/>
      <c r="DA271" s="57"/>
      <c r="DB271" s="57"/>
      <c r="DC271" s="57"/>
      <c r="DD271" s="57"/>
      <c r="DE271" s="57"/>
      <c r="DF271" s="57"/>
      <c r="DG271" s="57"/>
      <c r="DH271" s="57"/>
      <c r="DI271" s="57"/>
      <c r="DJ271" s="57"/>
      <c r="DK271" s="57"/>
      <c r="DL271" s="57"/>
      <c r="DM271" s="50"/>
      <c r="DN271" s="34"/>
      <c r="DO271" s="51"/>
      <c r="DP271" s="34"/>
      <c r="DQ271" s="56"/>
      <c r="DR271" s="34"/>
      <c r="DS271" s="53"/>
      <c r="DT271" s="70">
        <f t="shared" si="126"/>
        <v>0</v>
      </c>
      <c r="DU271" s="56" t="s">
        <v>155</v>
      </c>
      <c r="DV271" s="34">
        <v>100</v>
      </c>
      <c r="DW271" s="55">
        <v>125</v>
      </c>
      <c r="DX271" s="51"/>
      <c r="DY271" s="34"/>
      <c r="DZ271" s="56"/>
      <c r="EA271" s="34"/>
      <c r="EB271" s="53"/>
      <c r="EC271" s="57"/>
      <c r="ED271" s="57"/>
      <c r="EE271" s="57"/>
      <c r="EF271" s="53"/>
      <c r="EG271" s="57"/>
      <c r="EH271" s="57"/>
      <c r="EI271" s="57"/>
      <c r="EJ271" s="57"/>
      <c r="EK271" s="57"/>
      <c r="EL271" s="57"/>
      <c r="EM271" s="57"/>
      <c r="EN271" s="57"/>
      <c r="EO271" s="57"/>
      <c r="EP271" s="53"/>
      <c r="EQ271" s="57"/>
      <c r="ER271" s="57"/>
      <c r="ES271" s="57"/>
      <c r="ET271" s="53"/>
      <c r="EU271" s="53"/>
      <c r="EV271" s="57"/>
      <c r="EW271" s="57"/>
      <c r="EX271" s="57"/>
      <c r="EY271" s="53"/>
      <c r="EZ271" s="57"/>
      <c r="FA271" s="57"/>
      <c r="FB271" s="57"/>
      <c r="FC271" s="53"/>
      <c r="FD271" s="57"/>
      <c r="FE271" s="57"/>
      <c r="FF271" s="57"/>
      <c r="FG271" s="53"/>
      <c r="FH271" s="57"/>
      <c r="FI271" s="57"/>
      <c r="FJ271" s="61"/>
      <c r="FK271" s="57"/>
      <c r="FL271" s="61"/>
    </row>
    <row r="272" spans="52:168" x14ac:dyDescent="0.25">
      <c r="AZ272" s="54"/>
      <c r="BA272" s="57"/>
      <c r="BB272" s="57"/>
      <c r="BC272" s="57"/>
      <c r="BD272" s="57"/>
      <c r="BE272" s="57"/>
      <c r="BF272" s="57"/>
      <c r="BG272" s="57"/>
      <c r="BH272" s="57"/>
      <c r="BI272" s="57"/>
      <c r="BJ272" s="57"/>
      <c r="BK272" s="57"/>
      <c r="BL272" s="57"/>
      <c r="BM272" s="57"/>
      <c r="BN272" s="57"/>
      <c r="BO272" s="57"/>
      <c r="BP272" s="57"/>
      <c r="BQ272" s="57"/>
      <c r="BR272" s="57"/>
      <c r="BS272" s="57"/>
      <c r="BT272" s="57"/>
      <c r="BU272" s="57"/>
      <c r="BV272" s="57"/>
      <c r="BW272" s="57"/>
      <c r="BX272" s="57"/>
      <c r="BY272" s="57"/>
      <c r="BZ272" s="57"/>
      <c r="CA272" s="57"/>
      <c r="CB272" s="57"/>
      <c r="CC272" s="57"/>
      <c r="CD272" s="57"/>
      <c r="CE272" s="57"/>
      <c r="CF272" s="57"/>
      <c r="CG272" s="57"/>
      <c r="CH272" s="57"/>
      <c r="CI272" s="57"/>
      <c r="CJ272" s="57"/>
      <c r="CK272" s="57"/>
      <c r="CL272" s="57"/>
      <c r="CM272" s="57"/>
      <c r="CN272" s="57"/>
      <c r="CO272" s="57"/>
      <c r="CP272" s="57"/>
      <c r="CQ272" s="57"/>
      <c r="CR272" s="57"/>
      <c r="CS272" s="57"/>
      <c r="CT272" s="57"/>
      <c r="CU272" s="57"/>
      <c r="CV272" s="31"/>
      <c r="CW272" s="57"/>
      <c r="CX272" s="57"/>
      <c r="CY272" s="57"/>
      <c r="CZ272" s="57"/>
      <c r="DA272" s="57"/>
      <c r="DB272" s="57"/>
      <c r="DC272" s="57"/>
      <c r="DD272" s="57"/>
      <c r="DE272" s="57"/>
      <c r="DF272" s="57"/>
      <c r="DG272" s="57"/>
      <c r="DH272" s="57"/>
      <c r="DI272" s="57"/>
      <c r="DJ272" s="57"/>
      <c r="DK272" s="57"/>
      <c r="DL272" s="57"/>
      <c r="DM272" s="50"/>
      <c r="DN272" s="34"/>
      <c r="DO272" s="51"/>
      <c r="DP272" s="34"/>
      <c r="DQ272" s="56"/>
      <c r="DR272" s="34"/>
      <c r="DS272" s="53"/>
      <c r="DT272" s="70">
        <f t="shared" si="126"/>
        <v>0</v>
      </c>
      <c r="DU272" s="56" t="s">
        <v>156</v>
      </c>
      <c r="DV272" s="34">
        <v>100</v>
      </c>
      <c r="DW272" s="55">
        <v>160</v>
      </c>
      <c r="DX272" s="51"/>
      <c r="DY272" s="34"/>
      <c r="DZ272" s="56"/>
      <c r="EA272" s="34"/>
      <c r="EB272" s="53"/>
      <c r="EC272" s="57"/>
      <c r="ED272" s="57"/>
      <c r="EE272" s="57"/>
      <c r="EF272" s="53"/>
      <c r="EG272" s="57"/>
      <c r="EH272" s="57"/>
      <c r="EI272" s="57"/>
      <c r="EJ272" s="57"/>
      <c r="EK272" s="57"/>
      <c r="EL272" s="57"/>
      <c r="EM272" s="57"/>
      <c r="EN272" s="57"/>
      <c r="EO272" s="57"/>
      <c r="EP272" s="53"/>
      <c r="EQ272" s="57"/>
      <c r="ER272" s="57"/>
      <c r="ES272" s="57"/>
      <c r="ET272" s="53"/>
      <c r="EU272" s="53"/>
      <c r="EV272" s="57"/>
      <c r="EW272" s="57"/>
      <c r="EX272" s="57"/>
      <c r="EY272" s="53"/>
      <c r="EZ272" s="57"/>
      <c r="FA272" s="57"/>
      <c r="FB272" s="57"/>
      <c r="FC272" s="53"/>
      <c r="FD272" s="57"/>
      <c r="FE272" s="57"/>
      <c r="FF272" s="57"/>
      <c r="FG272" s="53"/>
      <c r="FH272" s="57"/>
      <c r="FI272" s="57"/>
      <c r="FJ272" s="61"/>
      <c r="FK272" s="57"/>
      <c r="FL272" s="61"/>
    </row>
    <row r="273" spans="52:168" x14ac:dyDescent="0.25">
      <c r="AZ273" s="54"/>
      <c r="BA273" s="57"/>
      <c r="BB273" s="57"/>
      <c r="BC273" s="57"/>
      <c r="BD273" s="57"/>
      <c r="BE273" s="57"/>
      <c r="BF273" s="57"/>
      <c r="BG273" s="57"/>
      <c r="BH273" s="57"/>
      <c r="BI273" s="57"/>
      <c r="BJ273" s="57"/>
      <c r="BK273" s="57"/>
      <c r="BL273" s="57"/>
      <c r="BM273" s="57"/>
      <c r="BN273" s="57"/>
      <c r="BO273" s="57"/>
      <c r="BP273" s="57"/>
      <c r="BQ273" s="57"/>
      <c r="BR273" s="57"/>
      <c r="BS273" s="57"/>
      <c r="BT273" s="57"/>
      <c r="BU273" s="57"/>
      <c r="BV273" s="57"/>
      <c r="BW273" s="57"/>
      <c r="BX273" s="57"/>
      <c r="BY273" s="57"/>
      <c r="BZ273" s="57"/>
      <c r="CA273" s="57"/>
      <c r="CB273" s="57"/>
      <c r="CC273" s="57"/>
      <c r="CD273" s="57"/>
      <c r="CE273" s="57"/>
      <c r="CF273" s="57"/>
      <c r="CG273" s="57"/>
      <c r="CH273" s="57"/>
      <c r="CI273" s="57"/>
      <c r="CJ273" s="57"/>
      <c r="CK273" s="57"/>
      <c r="CL273" s="57"/>
      <c r="CM273" s="57"/>
      <c r="CN273" s="57"/>
      <c r="CO273" s="57"/>
      <c r="CP273" s="57"/>
      <c r="CQ273" s="57"/>
      <c r="CR273" s="57"/>
      <c r="CS273" s="57"/>
      <c r="CT273" s="57"/>
      <c r="CU273" s="57"/>
      <c r="CV273" s="31"/>
      <c r="CW273" s="57"/>
      <c r="CX273" s="57"/>
      <c r="CY273" s="57"/>
      <c r="CZ273" s="57"/>
      <c r="DA273" s="57"/>
      <c r="DB273" s="57"/>
      <c r="DC273" s="57"/>
      <c r="DD273" s="57"/>
      <c r="DE273" s="57"/>
      <c r="DF273" s="57"/>
      <c r="DG273" s="57"/>
      <c r="DH273" s="57"/>
      <c r="DI273" s="57"/>
      <c r="DJ273" s="57"/>
      <c r="DK273" s="57"/>
      <c r="DL273" s="57"/>
      <c r="DM273" s="50"/>
      <c r="DN273" s="34"/>
      <c r="DO273" s="51"/>
      <c r="DP273" s="34"/>
      <c r="DQ273" s="56"/>
      <c r="DR273" s="34"/>
      <c r="DS273" s="53"/>
      <c r="DT273" s="70">
        <f t="shared" si="126"/>
        <v>0</v>
      </c>
      <c r="DU273" s="56" t="s">
        <v>157</v>
      </c>
      <c r="DV273" s="34">
        <v>125</v>
      </c>
      <c r="DW273" s="55">
        <v>250</v>
      </c>
      <c r="DX273" s="51"/>
      <c r="DY273" s="34"/>
      <c r="DZ273" s="56"/>
      <c r="EA273" s="34"/>
      <c r="EB273" s="53"/>
      <c r="EC273" s="57"/>
      <c r="ED273" s="57"/>
      <c r="EE273" s="57"/>
      <c r="EF273" s="53"/>
      <c r="EG273" s="57"/>
      <c r="EH273" s="57"/>
      <c r="EI273" s="57"/>
      <c r="EJ273" s="57"/>
      <c r="EK273" s="57"/>
      <c r="EL273" s="57"/>
      <c r="EM273" s="57"/>
      <c r="EN273" s="57"/>
      <c r="EO273" s="57"/>
      <c r="EP273" s="53"/>
      <c r="EQ273" s="57"/>
      <c r="ER273" s="57"/>
      <c r="ES273" s="57"/>
      <c r="ET273" s="53"/>
      <c r="EU273" s="53"/>
      <c r="EV273" s="57"/>
      <c r="EW273" s="57"/>
      <c r="EX273" s="57"/>
      <c r="EY273" s="53"/>
      <c r="EZ273" s="57"/>
      <c r="FA273" s="57"/>
      <c r="FB273" s="57"/>
      <c r="FC273" s="53"/>
      <c r="FD273" s="57"/>
      <c r="FE273" s="57"/>
      <c r="FF273" s="57"/>
      <c r="FG273" s="53"/>
      <c r="FH273" s="57"/>
      <c r="FI273" s="57"/>
      <c r="FJ273" s="61"/>
      <c r="FK273" s="57"/>
      <c r="FL273" s="61"/>
    </row>
    <row r="274" spans="52:168" ht="15.75" thickBot="1" x14ac:dyDescent="0.3">
      <c r="AZ274" s="54"/>
      <c r="BA274" s="57"/>
      <c r="BB274" s="57"/>
      <c r="BC274" s="57"/>
      <c r="BD274" s="57"/>
      <c r="BE274" s="57"/>
      <c r="BF274" s="57"/>
      <c r="BG274" s="57"/>
      <c r="BH274" s="57"/>
      <c r="BI274" s="57"/>
      <c r="BJ274" s="57"/>
      <c r="BK274" s="57"/>
      <c r="BL274" s="57"/>
      <c r="BM274" s="57"/>
      <c r="BN274" s="57"/>
      <c r="BO274" s="57"/>
      <c r="BP274" s="57"/>
      <c r="BQ274" s="57"/>
      <c r="BR274" s="57"/>
      <c r="BS274" s="57"/>
      <c r="BT274" s="57"/>
      <c r="BU274" s="57"/>
      <c r="BV274" s="57"/>
      <c r="BW274" s="57"/>
      <c r="BX274" s="57"/>
      <c r="BY274" s="57"/>
      <c r="BZ274" s="57"/>
      <c r="CA274" s="57"/>
      <c r="CB274" s="57"/>
      <c r="CC274" s="57"/>
      <c r="CD274" s="57"/>
      <c r="CE274" s="57"/>
      <c r="CF274" s="57"/>
      <c r="CG274" s="57"/>
      <c r="CH274" s="57"/>
      <c r="CI274" s="57"/>
      <c r="CJ274" s="57"/>
      <c r="CK274" s="57"/>
      <c r="CL274" s="57"/>
      <c r="CM274" s="57"/>
      <c r="CN274" s="57"/>
      <c r="CO274" s="57"/>
      <c r="CP274" s="57"/>
      <c r="CQ274" s="57"/>
      <c r="CR274" s="57"/>
      <c r="CS274" s="57"/>
      <c r="CT274" s="57"/>
      <c r="CU274" s="57"/>
      <c r="CV274" s="31"/>
      <c r="CW274" s="57"/>
      <c r="CX274" s="57"/>
      <c r="CY274" s="57"/>
      <c r="CZ274" s="57"/>
      <c r="DA274" s="57"/>
      <c r="DB274" s="57"/>
      <c r="DC274" s="57"/>
      <c r="DD274" s="57"/>
      <c r="DE274" s="57"/>
      <c r="DF274" s="57"/>
      <c r="DG274" s="57"/>
      <c r="DH274" s="57"/>
      <c r="DI274" s="57"/>
      <c r="DJ274" s="57"/>
      <c r="DK274" s="57"/>
      <c r="DL274" s="57"/>
      <c r="DM274" s="92"/>
      <c r="DN274" s="93"/>
      <c r="DO274" s="94"/>
      <c r="DP274" s="93"/>
      <c r="DQ274" s="95"/>
      <c r="DR274" s="93"/>
      <c r="DS274" s="85"/>
      <c r="DT274" s="82">
        <f t="shared" si="126"/>
        <v>0</v>
      </c>
      <c r="DU274" s="95" t="s">
        <v>158</v>
      </c>
      <c r="DV274" s="93">
        <v>150</v>
      </c>
      <c r="DW274" s="96">
        <v>315</v>
      </c>
      <c r="DX274" s="94"/>
      <c r="DY274" s="93"/>
      <c r="DZ274" s="95"/>
      <c r="EA274" s="93"/>
      <c r="EB274" s="85"/>
      <c r="EC274" s="87"/>
      <c r="ED274" s="87"/>
      <c r="EE274" s="87"/>
      <c r="EF274" s="85"/>
      <c r="EG274" s="87"/>
      <c r="EH274" s="87"/>
      <c r="EI274" s="87"/>
      <c r="EJ274" s="87"/>
      <c r="EK274" s="87"/>
      <c r="EL274" s="87"/>
      <c r="EM274" s="87"/>
      <c r="EN274" s="87"/>
      <c r="EO274" s="87"/>
      <c r="EP274" s="85"/>
      <c r="EQ274" s="87"/>
      <c r="ER274" s="87"/>
      <c r="ES274" s="87"/>
      <c r="ET274" s="85"/>
      <c r="EU274" s="85"/>
      <c r="EV274" s="87"/>
      <c r="EW274" s="87"/>
      <c r="EX274" s="87"/>
      <c r="EY274" s="85"/>
      <c r="EZ274" s="87"/>
      <c r="FA274" s="87"/>
      <c r="FB274" s="87"/>
      <c r="FC274" s="85"/>
      <c r="FD274" s="87"/>
      <c r="FE274" s="87"/>
      <c r="FF274" s="87"/>
      <c r="FG274" s="85"/>
      <c r="FH274" s="87"/>
      <c r="FI274" s="87"/>
      <c r="FJ274" s="89"/>
      <c r="FK274" s="57"/>
      <c r="FL274" s="61"/>
    </row>
    <row r="275" spans="52:168" x14ac:dyDescent="0.25">
      <c r="AZ275" s="54"/>
      <c r="BA275" s="57"/>
      <c r="BB275" s="57"/>
      <c r="BC275" s="57"/>
      <c r="BD275" s="57"/>
      <c r="BE275" s="57"/>
      <c r="BF275" s="57"/>
      <c r="BG275" s="57"/>
      <c r="BH275" s="57"/>
      <c r="BI275" s="57"/>
      <c r="BJ275" s="57"/>
      <c r="BK275" s="57"/>
      <c r="BL275" s="57"/>
      <c r="BM275" s="57"/>
      <c r="BN275" s="57"/>
      <c r="BO275" s="57"/>
      <c r="BP275" s="57"/>
      <c r="BQ275" s="57"/>
      <c r="BR275" s="57"/>
      <c r="BS275" s="57"/>
      <c r="BT275" s="57"/>
      <c r="BU275" s="57"/>
      <c r="BV275" s="57"/>
      <c r="BW275" s="57"/>
      <c r="BX275" s="57"/>
      <c r="BY275" s="57"/>
      <c r="BZ275" s="57"/>
      <c r="CA275" s="57"/>
      <c r="CB275" s="57"/>
      <c r="CC275" s="57"/>
      <c r="CD275" s="57"/>
      <c r="CE275" s="57"/>
      <c r="CF275" s="57"/>
      <c r="CG275" s="57"/>
      <c r="CH275" s="57"/>
      <c r="CI275" s="57"/>
      <c r="CJ275" s="57"/>
      <c r="CK275" s="57"/>
      <c r="CL275" s="57"/>
      <c r="CM275" s="57"/>
      <c r="CN275" s="57"/>
      <c r="CO275" s="57"/>
      <c r="CP275" s="57"/>
      <c r="CQ275" s="57"/>
      <c r="CR275" s="57"/>
      <c r="CS275" s="57"/>
      <c r="CT275" s="57"/>
      <c r="CU275" s="57"/>
      <c r="CV275" s="31"/>
      <c r="CW275" s="57"/>
      <c r="CX275" s="57"/>
      <c r="CY275" s="57"/>
      <c r="CZ275" s="57"/>
      <c r="DA275" s="57"/>
      <c r="DB275" s="57"/>
      <c r="DC275" s="57"/>
      <c r="DD275" s="57"/>
      <c r="DE275" s="57"/>
      <c r="DF275" s="57"/>
      <c r="DG275" s="57"/>
      <c r="DH275" s="57"/>
      <c r="DI275" s="57"/>
      <c r="DJ275" s="57"/>
      <c r="DK275" s="57"/>
      <c r="DL275" s="57"/>
      <c r="DM275" s="57"/>
      <c r="DN275" s="57"/>
      <c r="DO275" s="57"/>
      <c r="DP275" s="57"/>
      <c r="DQ275" s="57"/>
      <c r="DR275" s="57"/>
      <c r="DS275" s="57"/>
      <c r="DT275" s="57"/>
      <c r="DU275" s="57"/>
      <c r="DV275" s="57"/>
      <c r="DW275" s="57"/>
      <c r="DX275" s="57"/>
      <c r="DY275" s="57"/>
      <c r="DZ275" s="57"/>
      <c r="EA275" s="57"/>
      <c r="EB275" s="57"/>
      <c r="EC275" s="57"/>
      <c r="ED275" s="57"/>
      <c r="EE275" s="57"/>
      <c r="EF275" s="57"/>
      <c r="EG275" s="57"/>
      <c r="EH275" s="57"/>
      <c r="EI275" s="57"/>
      <c r="EJ275" s="57"/>
      <c r="EK275" s="57"/>
      <c r="EL275" s="57"/>
      <c r="EM275" s="57"/>
      <c r="EN275" s="57"/>
      <c r="EO275" s="57"/>
      <c r="EP275" s="57"/>
      <c r="EQ275" s="57"/>
      <c r="ER275" s="57"/>
      <c r="ES275" s="57"/>
      <c r="ET275" s="57"/>
      <c r="EU275" s="57"/>
      <c r="EV275" s="57"/>
      <c r="EW275" s="57"/>
      <c r="EX275" s="57"/>
      <c r="EY275" s="57"/>
      <c r="EZ275" s="57"/>
      <c r="FA275" s="57"/>
      <c r="FB275" s="57"/>
      <c r="FC275" s="57"/>
      <c r="FD275" s="57"/>
      <c r="FE275" s="57"/>
      <c r="FF275" s="57"/>
      <c r="FG275" s="57"/>
      <c r="FH275" s="57"/>
      <c r="FI275" s="57"/>
      <c r="FJ275" s="57"/>
      <c r="FK275" s="57"/>
      <c r="FL275" s="61"/>
    </row>
    <row r="276" spans="52:168" x14ac:dyDescent="0.25">
      <c r="AZ276" s="54"/>
      <c r="BA276" s="57"/>
      <c r="BB276" s="57"/>
      <c r="BC276" s="57"/>
      <c r="BD276" s="57"/>
      <c r="BE276" s="57"/>
      <c r="BF276" s="57"/>
      <c r="BG276" s="57"/>
      <c r="BH276" s="57"/>
      <c r="BI276" s="57"/>
      <c r="BJ276" s="57"/>
      <c r="BK276" s="57"/>
      <c r="BL276" s="57"/>
      <c r="BM276" s="57"/>
      <c r="BN276" s="57"/>
      <c r="BO276" s="57"/>
      <c r="BP276" s="57"/>
      <c r="BQ276" s="57"/>
      <c r="BR276" s="57"/>
      <c r="BS276" s="57"/>
      <c r="BT276" s="57"/>
      <c r="BU276" s="57"/>
      <c r="BV276" s="57"/>
      <c r="BW276" s="57"/>
      <c r="BX276" s="57"/>
      <c r="BY276" s="57"/>
      <c r="BZ276" s="57"/>
      <c r="CA276" s="57"/>
      <c r="CB276" s="57"/>
      <c r="CC276" s="57"/>
      <c r="CD276" s="57"/>
      <c r="CE276" s="57"/>
      <c r="CF276" s="57"/>
      <c r="CG276" s="57"/>
      <c r="CH276" s="57"/>
      <c r="CI276" s="57"/>
      <c r="CJ276" s="57"/>
      <c r="CK276" s="57"/>
      <c r="CL276" s="57"/>
      <c r="CM276" s="57"/>
      <c r="CN276" s="57"/>
      <c r="CO276" s="57"/>
      <c r="CP276" s="57"/>
      <c r="CQ276" s="57"/>
      <c r="CR276" s="57"/>
      <c r="CS276" s="57"/>
      <c r="CT276" s="57"/>
      <c r="CU276" s="57"/>
      <c r="CV276" s="31"/>
      <c r="CW276" s="57"/>
      <c r="CX276" s="57"/>
      <c r="CY276" s="57"/>
      <c r="CZ276" s="57"/>
      <c r="DA276" s="57"/>
      <c r="DB276" s="57"/>
      <c r="DC276" s="57"/>
      <c r="DD276" s="57"/>
      <c r="DE276" s="57"/>
      <c r="DF276" s="57"/>
      <c r="DG276" s="57"/>
      <c r="DH276" s="57"/>
      <c r="DI276" s="57"/>
      <c r="DJ276" s="57"/>
      <c r="DK276" s="57"/>
      <c r="DL276" s="57"/>
      <c r="DM276" s="57"/>
      <c r="DN276" s="57"/>
      <c r="DO276" s="57"/>
      <c r="DP276" s="57"/>
      <c r="DQ276" s="57"/>
      <c r="DR276" s="57"/>
      <c r="DS276" s="57"/>
      <c r="DT276" s="57"/>
      <c r="DU276" s="57"/>
      <c r="DV276" s="57"/>
      <c r="DW276" s="57"/>
      <c r="DX276" s="57"/>
      <c r="DY276" s="57"/>
      <c r="DZ276" s="57"/>
      <c r="EA276" s="57"/>
      <c r="EB276" s="57"/>
      <c r="EC276" s="57"/>
      <c r="ED276" s="57"/>
      <c r="EE276" s="57"/>
      <c r="EF276" s="57"/>
      <c r="EG276" s="57"/>
      <c r="EH276" s="57"/>
      <c r="EI276" s="57"/>
      <c r="EJ276" s="57"/>
      <c r="EK276" s="57"/>
      <c r="EL276" s="57"/>
      <c r="EM276" s="57"/>
      <c r="EN276" s="57"/>
      <c r="EO276" s="57"/>
      <c r="EP276" s="57"/>
      <c r="EQ276" s="57"/>
      <c r="ER276" s="57"/>
      <c r="ES276" s="57"/>
      <c r="ET276" s="57"/>
      <c r="EU276" s="57"/>
      <c r="EV276" s="57"/>
      <c r="EW276" s="57"/>
      <c r="EX276" s="57"/>
      <c r="EY276" s="57"/>
      <c r="EZ276" s="57"/>
      <c r="FA276" s="57"/>
      <c r="FB276" s="57"/>
      <c r="FC276" s="57"/>
      <c r="FD276" s="57"/>
      <c r="FE276" s="57"/>
      <c r="FF276" s="57"/>
      <c r="FG276" s="57"/>
      <c r="FH276" s="57"/>
      <c r="FI276" s="57"/>
      <c r="FJ276" s="57"/>
      <c r="FK276" s="57"/>
      <c r="FL276" s="61"/>
    </row>
    <row r="277" spans="52:168" x14ac:dyDescent="0.25">
      <c r="AZ277" s="54"/>
      <c r="BA277" s="57"/>
      <c r="BB277" s="57"/>
      <c r="BC277" s="57"/>
      <c r="BD277" s="57"/>
      <c r="BE277" s="57"/>
      <c r="BF277" s="57"/>
      <c r="BG277" s="57"/>
      <c r="BH277" s="57"/>
      <c r="BI277" s="57"/>
      <c r="BJ277" s="57"/>
      <c r="BK277" s="57"/>
      <c r="BL277" s="57"/>
      <c r="BM277" s="57"/>
      <c r="BN277" s="57"/>
      <c r="BO277" s="57"/>
      <c r="BP277" s="57"/>
      <c r="BQ277" s="57"/>
      <c r="BR277" s="57"/>
      <c r="BS277" s="57"/>
      <c r="BT277" s="57"/>
      <c r="BU277" s="57"/>
      <c r="BV277" s="57"/>
      <c r="BW277" s="57"/>
      <c r="BX277" s="57"/>
      <c r="BY277" s="57"/>
      <c r="BZ277" s="57"/>
      <c r="CA277" s="57"/>
      <c r="CB277" s="57"/>
      <c r="CC277" s="57"/>
      <c r="CD277" s="57"/>
      <c r="CE277" s="57"/>
      <c r="CF277" s="57"/>
      <c r="CG277" s="57"/>
      <c r="CH277" s="57"/>
      <c r="CI277" s="57"/>
      <c r="CJ277" s="57"/>
      <c r="CK277" s="57"/>
      <c r="CL277" s="57"/>
      <c r="CM277" s="57"/>
      <c r="CN277" s="57"/>
      <c r="CO277" s="57"/>
      <c r="CP277" s="57"/>
      <c r="CQ277" s="57"/>
      <c r="CR277" s="57"/>
      <c r="CS277" s="57"/>
      <c r="CT277" s="57"/>
      <c r="CU277" s="57"/>
      <c r="CV277" s="31"/>
      <c r="CW277" s="57"/>
      <c r="CX277" s="57"/>
      <c r="CY277" s="57"/>
      <c r="CZ277" s="57"/>
      <c r="DA277" s="57"/>
      <c r="DB277" s="57"/>
      <c r="DC277" s="57"/>
      <c r="DD277" s="57"/>
      <c r="DE277" s="57"/>
      <c r="DF277" s="57"/>
      <c r="DG277" s="57"/>
      <c r="DH277" s="57"/>
      <c r="DI277" s="57"/>
      <c r="DJ277" s="57"/>
      <c r="DK277" s="57"/>
      <c r="DL277" s="57"/>
      <c r="DM277" s="57"/>
      <c r="DN277" s="57"/>
      <c r="DO277" s="57"/>
      <c r="DP277" s="57"/>
      <c r="DQ277" s="57"/>
      <c r="DR277" s="57"/>
      <c r="DS277" s="57"/>
      <c r="DT277" s="57"/>
      <c r="DU277" s="57"/>
      <c r="DV277" s="57"/>
      <c r="DW277" s="57"/>
      <c r="DX277" s="57"/>
      <c r="DY277" s="57"/>
      <c r="DZ277" s="57"/>
      <c r="EA277" s="57"/>
      <c r="EB277" s="57"/>
      <c r="EC277" s="57"/>
      <c r="ED277" s="57"/>
      <c r="EE277" s="57"/>
      <c r="EF277" s="57"/>
      <c r="EG277" s="57"/>
      <c r="EH277" s="57"/>
      <c r="EI277" s="57"/>
      <c r="EJ277" s="57"/>
      <c r="EK277" s="57"/>
      <c r="EL277" s="57"/>
      <c r="EM277" s="57"/>
      <c r="EN277" s="57"/>
      <c r="EO277" s="57"/>
      <c r="EP277" s="57"/>
      <c r="EQ277" s="57"/>
      <c r="ER277" s="57"/>
      <c r="ES277" s="57"/>
      <c r="ET277" s="57"/>
      <c r="EU277" s="57"/>
      <c r="EV277" s="57"/>
      <c r="EW277" s="57"/>
      <c r="EX277" s="57"/>
      <c r="EY277" s="57"/>
      <c r="EZ277" s="57"/>
      <c r="FA277" s="57"/>
      <c r="FB277" s="57"/>
      <c r="FC277" s="57"/>
      <c r="FD277" s="57"/>
      <c r="FE277" s="57"/>
      <c r="FF277" s="57"/>
      <c r="FG277" s="57"/>
      <c r="FH277" s="57"/>
      <c r="FI277" s="57"/>
      <c r="FJ277" s="57"/>
      <c r="FK277" s="57"/>
      <c r="FL277" s="61"/>
    </row>
    <row r="278" spans="52:168" x14ac:dyDescent="0.25">
      <c r="AZ278" s="54"/>
      <c r="BA278" s="57"/>
      <c r="BB278" s="57"/>
      <c r="BC278" s="57"/>
      <c r="BD278" s="57"/>
      <c r="BE278" s="57"/>
      <c r="BF278" s="57"/>
      <c r="BG278" s="57"/>
      <c r="BH278" s="57"/>
      <c r="BI278" s="57"/>
      <c r="BJ278" s="57"/>
      <c r="BK278" s="57"/>
      <c r="BL278" s="57"/>
      <c r="BM278" s="57"/>
      <c r="BN278" s="57"/>
      <c r="BO278" s="57"/>
      <c r="BP278" s="57"/>
      <c r="BQ278" s="57"/>
      <c r="BR278" s="57"/>
      <c r="BS278" s="57"/>
      <c r="BT278" s="57"/>
      <c r="BU278" s="57"/>
      <c r="BV278" s="57"/>
      <c r="BW278" s="57"/>
      <c r="BX278" s="57"/>
      <c r="BY278" s="57"/>
      <c r="BZ278" s="57"/>
      <c r="CA278" s="57"/>
      <c r="CB278" s="57"/>
      <c r="CC278" s="57"/>
      <c r="CD278" s="57"/>
      <c r="CE278" s="57"/>
      <c r="CF278" s="57"/>
      <c r="CG278" s="57"/>
      <c r="CH278" s="57"/>
      <c r="CI278" s="57"/>
      <c r="CJ278" s="57"/>
      <c r="CK278" s="57"/>
      <c r="CL278" s="57"/>
      <c r="CM278" s="57"/>
      <c r="CN278" s="57"/>
      <c r="CO278" s="57"/>
      <c r="CP278" s="57"/>
      <c r="CQ278" s="57"/>
      <c r="CR278" s="57"/>
      <c r="CS278" s="57"/>
      <c r="CT278" s="57"/>
      <c r="CU278" s="57"/>
      <c r="CV278" s="31"/>
      <c r="CW278" s="57"/>
      <c r="CX278" s="57"/>
      <c r="CY278" s="57"/>
      <c r="CZ278" s="57"/>
      <c r="DA278" s="57"/>
      <c r="DB278" s="57"/>
      <c r="DC278" s="57"/>
      <c r="DD278" s="57"/>
      <c r="DE278" s="57"/>
      <c r="DF278" s="57"/>
      <c r="DG278" s="57"/>
      <c r="DH278" s="57"/>
      <c r="DI278" s="57"/>
      <c r="DJ278" s="57"/>
      <c r="DK278" s="57"/>
      <c r="DL278" s="57"/>
      <c r="DM278" s="57"/>
      <c r="DN278" s="57"/>
      <c r="DO278" s="57"/>
      <c r="DP278" s="57"/>
      <c r="DQ278" s="57"/>
      <c r="DR278" s="57"/>
      <c r="DS278" s="57"/>
      <c r="DT278" s="57"/>
      <c r="DU278" s="57"/>
      <c r="DV278" s="57"/>
      <c r="DW278" s="57"/>
      <c r="DX278" s="57"/>
      <c r="DY278" s="57"/>
      <c r="DZ278" s="57"/>
      <c r="EA278" s="57"/>
      <c r="EB278" s="57"/>
      <c r="EC278" s="57"/>
      <c r="ED278" s="57"/>
      <c r="EE278" s="57"/>
      <c r="EF278" s="57"/>
      <c r="EG278" s="57"/>
      <c r="EH278" s="57"/>
      <c r="EI278" s="57"/>
      <c r="EJ278" s="57"/>
      <c r="EK278" s="57"/>
      <c r="EL278" s="57"/>
      <c r="EM278" s="57"/>
      <c r="EN278" s="57"/>
      <c r="EO278" s="57"/>
      <c r="EP278" s="57"/>
      <c r="EQ278" s="57"/>
      <c r="ER278" s="57"/>
      <c r="ES278" s="57"/>
      <c r="ET278" s="57"/>
      <c r="EU278" s="57"/>
      <c r="EV278" s="57"/>
      <c r="EW278" s="57"/>
      <c r="EX278" s="57"/>
      <c r="EY278" s="57"/>
      <c r="EZ278" s="57"/>
      <c r="FA278" s="57"/>
      <c r="FB278" s="57"/>
      <c r="FC278" s="57"/>
      <c r="FD278" s="57"/>
      <c r="FE278" s="57"/>
      <c r="FF278" s="57"/>
      <c r="FG278" s="57"/>
      <c r="FH278" s="57"/>
      <c r="FI278" s="57"/>
      <c r="FJ278" s="57"/>
      <c r="FK278" s="57"/>
      <c r="FL278" s="61"/>
    </row>
    <row r="279" spans="52:168" x14ac:dyDescent="0.25">
      <c r="AZ279" s="54"/>
      <c r="BA279" s="57"/>
      <c r="BB279" s="57"/>
      <c r="BC279" s="57"/>
      <c r="BD279" s="57"/>
      <c r="BE279" s="57"/>
      <c r="BF279" s="57"/>
      <c r="BG279" s="57"/>
      <c r="BH279" s="57"/>
      <c r="BI279" s="57"/>
      <c r="BJ279" s="57"/>
      <c r="BK279" s="57"/>
      <c r="BL279" s="57"/>
      <c r="BM279" s="57"/>
      <c r="BN279" s="57"/>
      <c r="BO279" s="57"/>
      <c r="BP279" s="57"/>
      <c r="BQ279" s="57"/>
      <c r="BR279" s="57"/>
      <c r="BS279" s="57"/>
      <c r="BT279" s="57"/>
      <c r="BU279" s="57"/>
      <c r="BV279" s="57"/>
      <c r="BW279" s="57"/>
      <c r="BX279" s="57"/>
      <c r="BY279" s="57"/>
      <c r="BZ279" s="57"/>
      <c r="CA279" s="57"/>
      <c r="CB279" s="57"/>
      <c r="CC279" s="57"/>
      <c r="CD279" s="57"/>
      <c r="CE279" s="57"/>
      <c r="CF279" s="57"/>
      <c r="CG279" s="57"/>
      <c r="CH279" s="57"/>
      <c r="CI279" s="57"/>
      <c r="CJ279" s="57"/>
      <c r="CK279" s="57"/>
      <c r="CL279" s="57"/>
      <c r="CM279" s="57"/>
      <c r="CN279" s="57"/>
      <c r="CO279" s="57"/>
      <c r="CP279" s="57"/>
      <c r="CQ279" s="57"/>
      <c r="CR279" s="57"/>
      <c r="CS279" s="57"/>
      <c r="CT279" s="57"/>
      <c r="CU279" s="57"/>
      <c r="CV279" s="31"/>
      <c r="CW279" s="57"/>
      <c r="CX279" s="57"/>
      <c r="CY279" s="57"/>
      <c r="CZ279" s="57"/>
      <c r="DA279" s="57"/>
      <c r="DB279" s="57"/>
      <c r="DC279" s="57"/>
      <c r="DD279" s="57"/>
      <c r="DE279" s="57"/>
      <c r="DF279" s="57"/>
      <c r="DG279" s="57"/>
      <c r="DH279" s="57"/>
      <c r="DI279" s="57"/>
      <c r="DJ279" s="57"/>
      <c r="DK279" s="57"/>
      <c r="DL279" s="57"/>
      <c r="DM279" s="57"/>
      <c r="DN279" s="57"/>
      <c r="DO279" s="57"/>
      <c r="DP279" s="57"/>
      <c r="DQ279" s="57"/>
      <c r="DR279" s="57"/>
      <c r="DS279" s="57"/>
      <c r="DT279" s="57"/>
      <c r="DU279" s="57"/>
      <c r="DV279" s="57"/>
      <c r="DW279" s="57"/>
      <c r="DX279" s="57"/>
      <c r="DY279" s="57"/>
      <c r="DZ279" s="57"/>
      <c r="EA279" s="57"/>
      <c r="EB279" s="57"/>
      <c r="EC279" s="57"/>
      <c r="ED279" s="57"/>
      <c r="EE279" s="57"/>
      <c r="EF279" s="57"/>
      <c r="EG279" s="57"/>
      <c r="EH279" s="57"/>
      <c r="EI279" s="57"/>
      <c r="EJ279" s="57"/>
      <c r="EK279" s="57"/>
      <c r="EL279" s="57"/>
      <c r="EM279" s="57"/>
      <c r="EN279" s="57"/>
      <c r="EO279" s="57"/>
      <c r="EP279" s="57"/>
      <c r="EQ279" s="57"/>
      <c r="ER279" s="57"/>
      <c r="ES279" s="57"/>
      <c r="ET279" s="57"/>
      <c r="EU279" s="57"/>
      <c r="EV279" s="57"/>
      <c r="EW279" s="57"/>
      <c r="EX279" s="57"/>
      <c r="EY279" s="57"/>
      <c r="EZ279" s="57"/>
      <c r="FA279" s="57"/>
      <c r="FB279" s="57"/>
      <c r="FC279" s="57"/>
      <c r="FD279" s="57"/>
      <c r="FE279" s="57"/>
      <c r="FF279" s="57"/>
      <c r="FG279" s="57"/>
      <c r="FH279" s="57"/>
      <c r="FI279" s="57"/>
      <c r="FJ279" s="57"/>
      <c r="FK279" s="57"/>
      <c r="FL279" s="61"/>
    </row>
    <row r="280" spans="52:168" x14ac:dyDescent="0.25">
      <c r="AZ280" s="54"/>
      <c r="BA280" s="57"/>
      <c r="BB280" s="57"/>
      <c r="BC280" s="57"/>
      <c r="BD280" s="57"/>
      <c r="BE280" s="57"/>
      <c r="BF280" s="57"/>
      <c r="BG280" s="57"/>
      <c r="BH280" s="57"/>
      <c r="BI280" s="57"/>
      <c r="BJ280" s="57"/>
      <c r="BK280" s="57"/>
      <c r="BL280" s="57"/>
      <c r="BM280" s="57"/>
      <c r="BN280" s="57"/>
      <c r="BO280" s="57"/>
      <c r="BP280" s="57"/>
      <c r="BQ280" s="57"/>
      <c r="BR280" s="57"/>
      <c r="BS280" s="57"/>
      <c r="BT280" s="57"/>
      <c r="BU280" s="57"/>
      <c r="BV280" s="57"/>
      <c r="BW280" s="57"/>
      <c r="BX280" s="57"/>
      <c r="BY280" s="57"/>
      <c r="BZ280" s="57"/>
      <c r="CA280" s="57"/>
      <c r="CB280" s="57"/>
      <c r="CC280" s="57"/>
      <c r="CD280" s="57"/>
      <c r="CE280" s="57"/>
      <c r="CF280" s="57"/>
      <c r="CG280" s="57"/>
      <c r="CH280" s="57"/>
      <c r="CI280" s="57"/>
      <c r="CJ280" s="57"/>
      <c r="CK280" s="57"/>
      <c r="CL280" s="57"/>
      <c r="CM280" s="57"/>
      <c r="CN280" s="57"/>
      <c r="CO280" s="57"/>
      <c r="CP280" s="57"/>
      <c r="CQ280" s="57"/>
      <c r="CR280" s="57"/>
      <c r="CS280" s="57"/>
      <c r="CT280" s="57"/>
      <c r="CU280" s="57"/>
      <c r="CV280" s="31"/>
      <c r="CW280" s="57"/>
      <c r="CX280" s="57"/>
      <c r="CY280" s="57"/>
      <c r="CZ280" s="57"/>
      <c r="DA280" s="57"/>
      <c r="DB280" s="57"/>
      <c r="DC280" s="57"/>
      <c r="DD280" s="57"/>
      <c r="DE280" s="57"/>
      <c r="DF280" s="57"/>
      <c r="DG280" s="57"/>
      <c r="DH280" s="57"/>
      <c r="DI280" s="57"/>
      <c r="DJ280" s="57"/>
      <c r="DK280" s="57"/>
      <c r="DL280" s="57"/>
      <c r="DM280" s="57"/>
      <c r="DN280" s="57"/>
      <c r="DO280" s="57"/>
      <c r="DP280" s="57"/>
      <c r="DQ280" s="57"/>
      <c r="DR280" s="57"/>
      <c r="DS280" s="57"/>
      <c r="DT280" s="57"/>
      <c r="DU280" s="57"/>
      <c r="DV280" s="57"/>
      <c r="DW280" s="57"/>
      <c r="DX280" s="57"/>
      <c r="DY280" s="57"/>
      <c r="DZ280" s="57"/>
      <c r="EA280" s="57"/>
      <c r="EB280" s="57"/>
      <c r="EC280" s="57"/>
      <c r="ED280" s="57"/>
      <c r="EE280" s="57"/>
      <c r="EF280" s="57"/>
      <c r="EG280" s="57"/>
      <c r="EH280" s="57"/>
      <c r="EI280" s="57"/>
      <c r="EJ280" s="57"/>
      <c r="EK280" s="57"/>
      <c r="EL280" s="57"/>
      <c r="EM280" s="57"/>
      <c r="EN280" s="57"/>
      <c r="EO280" s="57"/>
      <c r="EP280" s="57"/>
      <c r="EQ280" s="57"/>
      <c r="ER280" s="57"/>
      <c r="ES280" s="57"/>
      <c r="ET280" s="57"/>
      <c r="EU280" s="57"/>
      <c r="EV280" s="57"/>
      <c r="EW280" s="57"/>
      <c r="EX280" s="57"/>
      <c r="EY280" s="57"/>
      <c r="EZ280" s="57"/>
      <c r="FA280" s="57"/>
      <c r="FB280" s="57"/>
      <c r="FC280" s="57"/>
      <c r="FD280" s="57"/>
      <c r="FE280" s="57"/>
      <c r="FF280" s="57"/>
      <c r="FG280" s="57"/>
      <c r="FH280" s="57"/>
      <c r="FI280" s="57"/>
      <c r="FJ280" s="57"/>
      <c r="FK280" s="57"/>
      <c r="FL280" s="61"/>
    </row>
    <row r="281" spans="52:168" x14ac:dyDescent="0.25">
      <c r="AZ281" s="54"/>
      <c r="BA281" s="57"/>
      <c r="BB281" s="57"/>
      <c r="BC281" s="57"/>
      <c r="BD281" s="57"/>
      <c r="BE281" s="57"/>
      <c r="BF281" s="57"/>
      <c r="BG281" s="57"/>
      <c r="BH281" s="57"/>
      <c r="BI281" s="57"/>
      <c r="BJ281" s="57"/>
      <c r="BK281" s="57"/>
      <c r="BL281" s="57"/>
      <c r="BM281" s="57"/>
      <c r="BN281" s="57"/>
      <c r="BO281" s="57"/>
      <c r="BP281" s="57"/>
      <c r="BQ281" s="57"/>
      <c r="BR281" s="57"/>
      <c r="BS281" s="57"/>
      <c r="BT281" s="57"/>
      <c r="BU281" s="57"/>
      <c r="BV281" s="57"/>
      <c r="BW281" s="57"/>
      <c r="BX281" s="57"/>
      <c r="BY281" s="57"/>
      <c r="BZ281" s="57"/>
      <c r="CA281" s="57"/>
      <c r="CB281" s="57"/>
      <c r="CC281" s="57"/>
      <c r="CD281" s="57"/>
      <c r="CE281" s="57"/>
      <c r="CF281" s="57"/>
      <c r="CG281" s="57"/>
      <c r="CH281" s="57"/>
      <c r="CI281" s="57"/>
      <c r="CJ281" s="57"/>
      <c r="CK281" s="57"/>
      <c r="CL281" s="57"/>
      <c r="CM281" s="57"/>
      <c r="CN281" s="57"/>
      <c r="CO281" s="57"/>
      <c r="CP281" s="57"/>
      <c r="CQ281" s="57"/>
      <c r="CR281" s="57"/>
      <c r="CS281" s="57"/>
      <c r="CT281" s="57"/>
      <c r="CU281" s="57"/>
      <c r="CV281" s="31"/>
      <c r="CW281" s="57"/>
      <c r="CX281" s="57"/>
      <c r="CY281" s="57"/>
      <c r="CZ281" s="57"/>
      <c r="DA281" s="57"/>
      <c r="DB281" s="57"/>
      <c r="DC281" s="57"/>
      <c r="DD281" s="57"/>
      <c r="DE281" s="57"/>
      <c r="DF281" s="57"/>
      <c r="DG281" s="57"/>
      <c r="DH281" s="57"/>
      <c r="DI281" s="57"/>
      <c r="DJ281" s="57"/>
      <c r="DK281" s="57"/>
      <c r="DL281" s="57"/>
      <c r="DM281" s="57"/>
      <c r="DN281" s="57"/>
      <c r="DO281" s="57"/>
      <c r="DP281" s="57"/>
      <c r="DQ281" s="57"/>
      <c r="DR281" s="57"/>
      <c r="DS281" s="57"/>
      <c r="DT281" s="57"/>
      <c r="DU281" s="57"/>
      <c r="DV281" s="57"/>
      <c r="DW281" s="57"/>
      <c r="DX281" s="57"/>
      <c r="DY281" s="57"/>
      <c r="DZ281" s="57"/>
      <c r="EA281" s="57"/>
      <c r="EB281" s="57"/>
      <c r="EC281" s="57"/>
      <c r="ED281" s="57"/>
      <c r="EE281" s="57"/>
      <c r="EF281" s="57"/>
      <c r="EG281" s="57"/>
      <c r="EH281" s="57"/>
      <c r="EI281" s="57"/>
      <c r="EJ281" s="57"/>
      <c r="EK281" s="57"/>
      <c r="EL281" s="57"/>
      <c r="EM281" s="57"/>
      <c r="EN281" s="57"/>
      <c r="EO281" s="57"/>
      <c r="EP281" s="57"/>
      <c r="EQ281" s="57"/>
      <c r="ER281" s="57"/>
      <c r="ES281" s="57"/>
      <c r="ET281" s="57"/>
      <c r="EU281" s="57"/>
      <c r="EV281" s="57"/>
      <c r="EW281" s="57"/>
      <c r="EX281" s="57"/>
      <c r="EY281" s="57"/>
      <c r="EZ281" s="57"/>
      <c r="FA281" s="57"/>
      <c r="FB281" s="57"/>
      <c r="FC281" s="57"/>
      <c r="FD281" s="57"/>
      <c r="FE281" s="57"/>
      <c r="FF281" s="57"/>
      <c r="FG281" s="57"/>
      <c r="FH281" s="57"/>
      <c r="FI281" s="57"/>
      <c r="FJ281" s="57"/>
      <c r="FK281" s="57"/>
      <c r="FL281" s="61"/>
    </row>
    <row r="282" spans="52:168" x14ac:dyDescent="0.25">
      <c r="AZ282" s="54"/>
      <c r="BA282" s="174" t="s">
        <v>348</v>
      </c>
      <c r="BB282" s="174"/>
      <c r="BC282" s="174"/>
      <c r="BD282" s="174"/>
      <c r="BE282" s="174"/>
      <c r="BF282" s="57"/>
      <c r="BG282" s="57"/>
      <c r="BH282" s="57"/>
      <c r="BI282" s="57"/>
      <c r="BJ282" s="57"/>
      <c r="BK282" s="57"/>
      <c r="BL282" s="57"/>
      <c r="BM282" s="57"/>
      <c r="BN282" s="57"/>
      <c r="BO282" s="57"/>
      <c r="BP282" s="57"/>
      <c r="BQ282" s="57"/>
      <c r="BR282" s="57"/>
      <c r="BS282" s="57"/>
      <c r="BT282" s="57"/>
      <c r="BU282" s="57"/>
      <c r="BV282" s="57"/>
      <c r="BW282" s="57"/>
      <c r="BX282" s="57"/>
      <c r="BY282" s="57"/>
      <c r="BZ282" s="57"/>
      <c r="CA282" s="57"/>
      <c r="CB282" s="57"/>
      <c r="CC282" s="57"/>
      <c r="CD282" s="57"/>
      <c r="CE282" s="57"/>
      <c r="CF282" s="57"/>
      <c r="CG282" s="57"/>
      <c r="CH282" s="57"/>
      <c r="CI282" s="57"/>
      <c r="CJ282" s="57"/>
      <c r="CK282" s="57"/>
      <c r="CL282" s="57"/>
      <c r="CM282" s="57"/>
      <c r="CN282" s="57"/>
      <c r="CO282" s="57"/>
      <c r="CP282" s="57"/>
      <c r="CQ282" s="57"/>
      <c r="CR282" s="57"/>
      <c r="CS282" s="57"/>
      <c r="CT282" s="57"/>
      <c r="CU282" s="57"/>
      <c r="CV282" s="31"/>
      <c r="CW282" s="57"/>
      <c r="CX282" s="57"/>
      <c r="CY282" s="57"/>
      <c r="CZ282" s="57"/>
      <c r="DA282" s="57"/>
      <c r="DB282" s="57"/>
      <c r="DC282" s="57"/>
      <c r="DD282" s="57"/>
      <c r="DE282" s="57"/>
      <c r="DF282" s="57"/>
      <c r="DG282" s="57"/>
      <c r="DH282" s="57"/>
      <c r="DI282" s="57"/>
      <c r="DJ282" s="57"/>
      <c r="DK282" s="57"/>
      <c r="DL282" s="57"/>
      <c r="DM282" s="57"/>
      <c r="DN282" s="57"/>
      <c r="DO282" s="57"/>
      <c r="DP282" s="57"/>
      <c r="DQ282" s="57"/>
      <c r="DR282" s="57"/>
      <c r="DS282" s="57"/>
      <c r="DT282" s="57"/>
      <c r="DU282" s="57"/>
      <c r="DV282" s="57"/>
      <c r="DW282" s="57"/>
      <c r="DX282" s="57"/>
      <c r="DY282" s="57"/>
      <c r="DZ282" s="57"/>
      <c r="EA282" s="57"/>
      <c r="EB282" s="57"/>
      <c r="EC282" s="57"/>
      <c r="ED282" s="57"/>
      <c r="EE282" s="57"/>
      <c r="EF282" s="57"/>
      <c r="EG282" s="57"/>
      <c r="EH282" s="57"/>
      <c r="EI282" s="57"/>
      <c r="EJ282" s="57"/>
      <c r="EK282" s="57"/>
      <c r="EL282" s="57"/>
      <c r="EM282" s="57"/>
      <c r="EN282" s="57"/>
      <c r="EO282" s="57"/>
      <c r="EP282" s="57"/>
      <c r="EQ282" s="57"/>
      <c r="ER282" s="57"/>
      <c r="ES282" s="57"/>
      <c r="ET282" s="57"/>
      <c r="EU282" s="57"/>
      <c r="EV282" s="57"/>
      <c r="EW282" s="57"/>
      <c r="EX282" s="57"/>
      <c r="EY282" s="57"/>
      <c r="EZ282" s="57"/>
      <c r="FA282" s="57"/>
      <c r="FB282" s="57"/>
      <c r="FC282" s="57"/>
      <c r="FD282" s="57"/>
      <c r="FE282" s="57"/>
      <c r="FF282" s="57"/>
      <c r="FG282" s="57"/>
      <c r="FH282" s="57"/>
      <c r="FI282" s="57"/>
      <c r="FJ282" s="57"/>
      <c r="FK282" s="57"/>
      <c r="FL282" s="61"/>
    </row>
    <row r="283" spans="52:168" x14ac:dyDescent="0.25">
      <c r="AZ283" s="54"/>
      <c r="BA283" s="174"/>
      <c r="BB283" s="174"/>
      <c r="BC283" s="174"/>
      <c r="BD283" s="174"/>
      <c r="BE283" s="174"/>
      <c r="BF283" s="57"/>
      <c r="BG283" s="57"/>
      <c r="BH283" s="57"/>
      <c r="BI283" s="57"/>
      <c r="BJ283" s="57"/>
      <c r="BK283" s="57"/>
      <c r="BL283" s="57"/>
      <c r="BM283" s="57"/>
      <c r="BN283" s="57"/>
      <c r="BO283" s="57"/>
      <c r="BP283" s="57"/>
      <c r="BQ283" s="57"/>
      <c r="BR283" s="57"/>
      <c r="BS283" s="57"/>
      <c r="BT283" s="57"/>
      <c r="BU283" s="57"/>
      <c r="BV283" s="57"/>
      <c r="BW283" s="57"/>
      <c r="BX283" s="57"/>
      <c r="BY283" s="57"/>
      <c r="BZ283" s="57"/>
      <c r="CA283" s="57"/>
      <c r="CB283" s="57"/>
      <c r="CC283" s="57"/>
      <c r="CD283" s="57"/>
      <c r="CE283" s="57"/>
      <c r="CF283" s="57"/>
      <c r="CG283" s="57"/>
      <c r="CH283" s="57"/>
      <c r="CI283" s="57"/>
      <c r="CJ283" s="57"/>
      <c r="CK283" s="57"/>
      <c r="CL283" s="57"/>
      <c r="CM283" s="57"/>
      <c r="CN283" s="57"/>
      <c r="CO283" s="57"/>
      <c r="CP283" s="57"/>
      <c r="CQ283" s="57"/>
      <c r="CR283" s="57"/>
      <c r="CS283" s="57"/>
      <c r="CT283" s="57"/>
      <c r="CU283" s="57"/>
      <c r="CV283" s="31"/>
      <c r="CW283" s="57"/>
      <c r="CX283" s="57"/>
      <c r="CY283" s="57"/>
      <c r="CZ283" s="57"/>
      <c r="DA283" s="57"/>
      <c r="DB283" s="57"/>
      <c r="DC283" s="57"/>
      <c r="DD283" s="57"/>
      <c r="DE283" s="57"/>
      <c r="DF283" s="57"/>
      <c r="DG283" s="57"/>
      <c r="DH283" s="57"/>
      <c r="DI283" s="57"/>
      <c r="DJ283" s="57"/>
      <c r="DK283" s="57"/>
      <c r="DL283" s="57"/>
      <c r="DM283" s="57"/>
      <c r="DN283" s="57"/>
      <c r="DO283" s="57"/>
      <c r="DP283" s="57"/>
      <c r="DQ283" s="57"/>
      <c r="DR283" s="57"/>
      <c r="DS283" s="57"/>
      <c r="DT283" s="57"/>
      <c r="DU283" s="57"/>
      <c r="DV283" s="57"/>
      <c r="DW283" s="57"/>
      <c r="DX283" s="57"/>
      <c r="DY283" s="57"/>
      <c r="DZ283" s="57"/>
      <c r="EA283" s="57"/>
      <c r="EB283" s="57"/>
      <c r="EC283" s="57"/>
      <c r="ED283" s="57"/>
      <c r="EE283" s="57"/>
      <c r="EF283" s="57"/>
      <c r="EG283" s="57"/>
      <c r="EH283" s="57"/>
      <c r="EI283" s="57"/>
      <c r="EJ283" s="57"/>
      <c r="EK283" s="57"/>
      <c r="EL283" s="57"/>
      <c r="EM283" s="57"/>
      <c r="EN283" s="57"/>
      <c r="EO283" s="57"/>
      <c r="EP283" s="57"/>
      <c r="EQ283" s="57"/>
      <c r="ER283" s="57"/>
      <c r="ES283" s="57"/>
      <c r="ET283" s="57"/>
      <c r="EU283" s="57"/>
      <c r="EV283" s="57"/>
      <c r="EW283" s="57"/>
      <c r="EX283" s="57"/>
      <c r="EY283" s="57"/>
      <c r="EZ283" s="57"/>
      <c r="FA283" s="57"/>
      <c r="FB283" s="57"/>
      <c r="FC283" s="57"/>
      <c r="FD283" s="57"/>
      <c r="FE283" s="57"/>
      <c r="FF283" s="57"/>
      <c r="FG283" s="57"/>
      <c r="FH283" s="57"/>
      <c r="FI283" s="57"/>
      <c r="FJ283" s="57"/>
      <c r="FK283" s="57"/>
      <c r="FL283" s="61"/>
    </row>
    <row r="284" spans="52:168" x14ac:dyDescent="0.25">
      <c r="AZ284" s="54"/>
      <c r="BA284" s="174"/>
      <c r="BB284" s="174"/>
      <c r="BC284" s="174"/>
      <c r="BD284" s="174"/>
      <c r="BE284" s="174"/>
      <c r="BF284" s="57"/>
      <c r="BG284" s="57"/>
      <c r="BH284" s="57"/>
      <c r="BI284" s="57"/>
      <c r="BJ284" s="57"/>
      <c r="BK284" s="57"/>
      <c r="BL284" s="57"/>
      <c r="BM284" s="57"/>
      <c r="BN284" s="57"/>
      <c r="BO284" s="57"/>
      <c r="BP284" s="57"/>
      <c r="BQ284" s="57"/>
      <c r="BR284" s="57"/>
      <c r="BS284" s="57"/>
      <c r="BT284" s="57"/>
      <c r="BU284" s="57"/>
      <c r="BV284" s="57"/>
      <c r="BW284" s="57"/>
      <c r="BX284" s="57"/>
      <c r="BY284" s="57"/>
      <c r="BZ284" s="57"/>
      <c r="CA284" s="57"/>
      <c r="CB284" s="57"/>
      <c r="CC284" s="57"/>
      <c r="CD284" s="57"/>
      <c r="CE284" s="57"/>
      <c r="CF284" s="57"/>
      <c r="CG284" s="57"/>
      <c r="CH284" s="57"/>
      <c r="CI284" s="57"/>
      <c r="CJ284" s="57"/>
      <c r="CK284" s="57"/>
      <c r="CL284" s="57"/>
      <c r="CM284" s="57"/>
      <c r="CN284" s="57"/>
      <c r="CO284" s="57"/>
      <c r="CP284" s="57"/>
      <c r="CQ284" s="57"/>
      <c r="CR284" s="57"/>
      <c r="CS284" s="57"/>
      <c r="CT284" s="57"/>
      <c r="CU284" s="57"/>
      <c r="CV284" s="31"/>
      <c r="CW284" s="57"/>
      <c r="CX284" s="57"/>
      <c r="CY284" s="57"/>
      <c r="CZ284" s="57"/>
      <c r="DA284" s="57"/>
      <c r="DB284" s="57"/>
      <c r="DC284" s="57"/>
      <c r="DD284" s="57"/>
      <c r="DE284" s="57"/>
      <c r="DF284" s="57"/>
      <c r="DG284" s="57"/>
      <c r="DH284" s="57"/>
      <c r="DI284" s="57"/>
      <c r="DJ284" s="57"/>
      <c r="DK284" s="57"/>
      <c r="DL284" s="57"/>
      <c r="DM284" s="57"/>
      <c r="DN284" s="57"/>
      <c r="DO284" s="57"/>
      <c r="DP284" s="57"/>
      <c r="DQ284" s="57"/>
      <c r="DR284" s="57"/>
      <c r="DS284" s="57"/>
      <c r="DT284" s="57"/>
      <c r="DU284" s="57"/>
      <c r="DV284" s="57"/>
      <c r="DW284" s="57"/>
      <c r="DX284" s="57"/>
      <c r="DY284" s="57"/>
      <c r="DZ284" s="57"/>
      <c r="EA284" s="57"/>
      <c r="EB284" s="57"/>
      <c r="EC284" s="57"/>
      <c r="ED284" s="57"/>
      <c r="EE284" s="57"/>
      <c r="EF284" s="57"/>
      <c r="EG284" s="57"/>
      <c r="EH284" s="57"/>
      <c r="EI284" s="57"/>
      <c r="EJ284" s="57"/>
      <c r="EK284" s="57"/>
      <c r="EL284" s="57"/>
      <c r="EM284" s="57"/>
      <c r="EN284" s="57"/>
      <c r="EO284" s="57"/>
      <c r="EP284" s="57"/>
      <c r="EQ284" s="57"/>
      <c r="ER284" s="57"/>
      <c r="ES284" s="57"/>
      <c r="ET284" s="57"/>
      <c r="EU284" s="57"/>
      <c r="EV284" s="57"/>
      <c r="EW284" s="57"/>
      <c r="EX284" s="57"/>
      <c r="EY284" s="57"/>
      <c r="EZ284" s="57"/>
      <c r="FA284" s="57"/>
      <c r="FB284" s="57"/>
      <c r="FC284" s="57"/>
      <c r="FD284" s="57"/>
      <c r="FE284" s="57"/>
      <c r="FF284" s="57"/>
      <c r="FG284" s="57"/>
      <c r="FH284" s="57"/>
      <c r="FI284" s="57"/>
      <c r="FJ284" s="57"/>
      <c r="FK284" s="57"/>
      <c r="FL284" s="61"/>
    </row>
    <row r="285" spans="52:168" x14ac:dyDescent="0.25">
      <c r="AZ285" s="54"/>
      <c r="BA285" s="174"/>
      <c r="BB285" s="174"/>
      <c r="BC285" s="174"/>
      <c r="BD285" s="174"/>
      <c r="BE285" s="174"/>
      <c r="BF285" s="57"/>
      <c r="BG285" s="57"/>
      <c r="BH285" s="57"/>
      <c r="BI285" s="57"/>
      <c r="BJ285" s="57"/>
      <c r="BK285" s="57"/>
      <c r="BL285" s="57"/>
      <c r="BM285" s="57"/>
      <c r="BN285" s="57"/>
      <c r="BO285" s="57"/>
      <c r="BP285" s="57"/>
      <c r="BQ285" s="57"/>
      <c r="BR285" s="57"/>
      <c r="BS285" s="57"/>
      <c r="BT285" s="57"/>
      <c r="BU285" s="57"/>
      <c r="BV285" s="57"/>
      <c r="BW285" s="57"/>
      <c r="BX285" s="57"/>
      <c r="BY285" s="57"/>
      <c r="BZ285" s="57"/>
      <c r="CA285" s="57"/>
      <c r="CB285" s="57"/>
      <c r="CC285" s="57"/>
      <c r="CD285" s="57"/>
      <c r="CE285" s="57"/>
      <c r="CF285" s="57"/>
      <c r="CG285" s="57"/>
      <c r="CH285" s="57"/>
      <c r="CI285" s="57"/>
      <c r="CJ285" s="57"/>
      <c r="CK285" s="57"/>
      <c r="CL285" s="57"/>
      <c r="CM285" s="57"/>
      <c r="CN285" s="57"/>
      <c r="CO285" s="57"/>
      <c r="CP285" s="57"/>
      <c r="CQ285" s="57"/>
      <c r="CR285" s="57"/>
      <c r="CS285" s="57"/>
      <c r="CT285" s="57"/>
      <c r="CU285" s="57"/>
      <c r="CV285" s="31"/>
      <c r="CW285" s="57"/>
      <c r="CX285" s="57"/>
      <c r="CY285" s="57"/>
      <c r="CZ285" s="57"/>
      <c r="DA285" s="57"/>
      <c r="DB285" s="57"/>
      <c r="DC285" s="57"/>
      <c r="DD285" s="57"/>
      <c r="DE285" s="57"/>
      <c r="DF285" s="57"/>
      <c r="DG285" s="57"/>
      <c r="DH285" s="57"/>
      <c r="DI285" s="57"/>
      <c r="DJ285" s="57"/>
      <c r="DK285" s="57"/>
      <c r="DL285" s="57"/>
      <c r="DM285" s="57"/>
      <c r="DN285" s="57"/>
      <c r="DO285" s="57"/>
      <c r="DP285" s="57"/>
      <c r="DQ285" s="57"/>
      <c r="DR285" s="57"/>
      <c r="DS285" s="57"/>
      <c r="DT285" s="57"/>
      <c r="DU285" s="57"/>
      <c r="DV285" s="57"/>
      <c r="DW285" s="57"/>
      <c r="DX285" s="57"/>
      <c r="DY285" s="57"/>
      <c r="DZ285" s="57"/>
      <c r="EA285" s="57"/>
      <c r="EB285" s="57"/>
      <c r="EC285" s="57"/>
      <c r="ED285" s="57"/>
      <c r="EE285" s="57"/>
      <c r="EF285" s="57"/>
      <c r="EG285" s="57"/>
      <c r="EH285" s="57"/>
      <c r="EI285" s="57"/>
      <c r="EJ285" s="57"/>
      <c r="EK285" s="57"/>
      <c r="EL285" s="57"/>
      <c r="EM285" s="57"/>
      <c r="EN285" s="57"/>
      <c r="EO285" s="57"/>
      <c r="EP285" s="57"/>
      <c r="EQ285" s="57"/>
      <c r="ER285" s="57"/>
      <c r="ES285" s="57"/>
      <c r="ET285" s="57"/>
      <c r="EU285" s="57"/>
      <c r="EV285" s="57"/>
      <c r="EW285" s="57"/>
      <c r="EX285" s="57"/>
      <c r="EY285" s="57"/>
      <c r="EZ285" s="57"/>
      <c r="FA285" s="57"/>
      <c r="FB285" s="57"/>
      <c r="FC285" s="57"/>
      <c r="FD285" s="57"/>
      <c r="FE285" s="57"/>
      <c r="FF285" s="57"/>
      <c r="FG285" s="57"/>
      <c r="FH285" s="57"/>
      <c r="FI285" s="57"/>
      <c r="FJ285" s="57"/>
      <c r="FK285" s="57"/>
      <c r="FL285" s="61"/>
    </row>
    <row r="286" spans="52:168" x14ac:dyDescent="0.25">
      <c r="AZ286" s="54"/>
      <c r="BA286" s="57"/>
      <c r="BB286" s="57"/>
      <c r="BC286" s="57"/>
      <c r="BD286" s="57"/>
      <c r="BE286" s="57"/>
      <c r="BF286" s="57"/>
      <c r="BG286" s="57"/>
      <c r="BH286" s="57"/>
      <c r="BI286" s="57"/>
      <c r="BJ286" s="57"/>
      <c r="BK286" s="57"/>
      <c r="BL286" s="57"/>
      <c r="BM286" s="57"/>
      <c r="BN286" s="57"/>
      <c r="BO286" s="57"/>
      <c r="BP286" s="57"/>
      <c r="BQ286" s="57"/>
      <c r="BR286" s="57"/>
      <c r="BS286" s="57"/>
      <c r="BT286" s="57"/>
      <c r="BU286" s="57"/>
      <c r="BV286" s="57"/>
      <c r="BW286" s="57"/>
      <c r="BX286" s="57"/>
      <c r="BY286" s="57"/>
      <c r="BZ286" s="57"/>
      <c r="CA286" s="57"/>
      <c r="CB286" s="57"/>
      <c r="CC286" s="57"/>
      <c r="CD286" s="57"/>
      <c r="CE286" s="57"/>
      <c r="CF286" s="57"/>
      <c r="CG286" s="57"/>
      <c r="CH286" s="57"/>
      <c r="CI286" s="57"/>
      <c r="CJ286" s="57"/>
      <c r="CK286" s="57"/>
      <c r="CL286" s="57"/>
      <c r="CM286" s="57"/>
      <c r="CN286" s="57"/>
      <c r="CO286" s="57"/>
      <c r="CP286" s="57"/>
      <c r="CQ286" s="57"/>
      <c r="CR286" s="57"/>
      <c r="CS286" s="57"/>
      <c r="CT286" s="57"/>
      <c r="CU286" s="57"/>
      <c r="CV286" s="31"/>
      <c r="CW286" s="57"/>
      <c r="CX286" s="57"/>
      <c r="CY286" s="57"/>
      <c r="CZ286" s="57"/>
      <c r="DA286" s="57"/>
      <c r="DB286" s="57"/>
      <c r="DC286" s="57"/>
      <c r="DD286" s="57"/>
      <c r="DE286" s="57"/>
      <c r="DF286" s="57"/>
      <c r="DG286" s="57"/>
      <c r="DH286" s="57"/>
      <c r="DI286" s="57"/>
      <c r="DJ286" s="57"/>
      <c r="DK286" s="57"/>
      <c r="DL286" s="57"/>
      <c r="DM286" s="57"/>
      <c r="DN286" s="57"/>
      <c r="DO286" s="57"/>
      <c r="DP286" s="57"/>
      <c r="DQ286" s="57"/>
      <c r="DR286" s="57"/>
      <c r="DS286" s="57"/>
      <c r="DT286" s="57"/>
      <c r="DU286" s="57"/>
      <c r="DV286" s="57"/>
      <c r="DW286" s="57"/>
      <c r="DX286" s="57"/>
      <c r="DY286" s="57"/>
      <c r="DZ286" s="57"/>
      <c r="EA286" s="57"/>
      <c r="EB286" s="57"/>
      <c r="EC286" s="57"/>
      <c r="ED286" s="57"/>
      <c r="EE286" s="57"/>
      <c r="EF286" s="57"/>
      <c r="EG286" s="57"/>
      <c r="EH286" s="57"/>
      <c r="EI286" s="57"/>
      <c r="EJ286" s="57"/>
      <c r="EK286" s="57"/>
      <c r="EL286" s="57"/>
      <c r="EM286" s="57"/>
      <c r="EN286" s="57"/>
      <c r="EO286" s="57"/>
      <c r="EP286" s="57"/>
      <c r="EQ286" s="57"/>
      <c r="ER286" s="57"/>
      <c r="ES286" s="57"/>
      <c r="ET286" s="57"/>
      <c r="EU286" s="57"/>
      <c r="EV286" s="57"/>
      <c r="EW286" s="57"/>
      <c r="EX286" s="57"/>
      <c r="EY286" s="57"/>
      <c r="EZ286" s="57"/>
      <c r="FA286" s="57"/>
      <c r="FB286" s="57"/>
      <c r="FC286" s="57"/>
      <c r="FD286" s="57"/>
      <c r="FE286" s="57"/>
      <c r="FF286" s="57"/>
      <c r="FG286" s="57"/>
      <c r="FH286" s="57"/>
      <c r="FI286" s="57"/>
      <c r="FJ286" s="57"/>
      <c r="FK286" s="57"/>
      <c r="FL286" s="61"/>
    </row>
    <row r="287" spans="52:168" x14ac:dyDescent="0.25">
      <c r="AZ287" s="54"/>
      <c r="BA287" s="57"/>
      <c r="BB287" s="57"/>
      <c r="BC287" s="57"/>
      <c r="BD287" s="57"/>
      <c r="BE287" s="57"/>
      <c r="BF287" s="57"/>
      <c r="BG287" s="57"/>
      <c r="BH287" s="57"/>
      <c r="BI287" s="57"/>
      <c r="BJ287" s="57"/>
      <c r="BK287" s="57"/>
      <c r="BL287" s="57"/>
      <c r="BM287" s="57"/>
      <c r="BN287" s="57"/>
      <c r="BO287" s="57"/>
      <c r="BP287" s="57"/>
      <c r="BQ287" s="57"/>
      <c r="BR287" s="57"/>
      <c r="BS287" s="57"/>
      <c r="BT287" s="57"/>
      <c r="BU287" s="57"/>
      <c r="BV287" s="57"/>
      <c r="BW287" s="57"/>
      <c r="BX287" s="57"/>
      <c r="BY287" s="57"/>
      <c r="BZ287" s="57"/>
      <c r="CA287" s="57"/>
      <c r="CB287" s="57"/>
      <c r="CC287" s="57"/>
      <c r="CD287" s="57"/>
      <c r="CE287" s="57"/>
      <c r="CF287" s="57"/>
      <c r="CG287" s="57"/>
      <c r="CH287" s="57"/>
      <c r="CI287" s="57"/>
      <c r="CJ287" s="57"/>
      <c r="CK287" s="57"/>
      <c r="CL287" s="57"/>
      <c r="CM287" s="57"/>
      <c r="CN287" s="57"/>
      <c r="CO287" s="57"/>
      <c r="CP287" s="57"/>
      <c r="CQ287" s="57"/>
      <c r="CR287" s="57"/>
      <c r="CS287" s="57"/>
      <c r="CT287" s="57"/>
      <c r="CU287" s="57"/>
      <c r="CV287" s="31"/>
      <c r="CW287" s="57"/>
      <c r="CX287" s="57"/>
      <c r="CY287" s="57"/>
      <c r="CZ287" s="57"/>
      <c r="DA287" s="57"/>
      <c r="DB287" s="57"/>
      <c r="DC287" s="57"/>
      <c r="DD287" s="57"/>
      <c r="DE287" s="57"/>
      <c r="DF287" s="57"/>
      <c r="DG287" s="57"/>
      <c r="DH287" s="57"/>
      <c r="DI287" s="57"/>
      <c r="DJ287" s="57"/>
      <c r="DK287" s="57"/>
      <c r="DL287" s="57"/>
      <c r="DM287" s="57"/>
      <c r="DN287" s="57"/>
      <c r="DO287" s="57"/>
      <c r="DP287" s="57"/>
      <c r="DQ287" s="57"/>
      <c r="DR287" s="57"/>
      <c r="DS287" s="57"/>
      <c r="DT287" s="57"/>
      <c r="DU287" s="57"/>
      <c r="DV287" s="57"/>
      <c r="DW287" s="57"/>
      <c r="DX287" s="57"/>
      <c r="DY287" s="57"/>
      <c r="DZ287" s="57"/>
      <c r="EA287" s="57"/>
      <c r="EB287" s="57"/>
      <c r="EC287" s="57"/>
      <c r="ED287" s="57"/>
      <c r="EE287" s="57"/>
      <c r="EF287" s="57"/>
      <c r="EG287" s="57"/>
      <c r="EH287" s="57"/>
      <c r="EI287" s="57"/>
      <c r="EJ287" s="57"/>
      <c r="EK287" s="57"/>
      <c r="EL287" s="57"/>
      <c r="EM287" s="57"/>
      <c r="EN287" s="57"/>
      <c r="EO287" s="57"/>
      <c r="EP287" s="57"/>
      <c r="EQ287" s="57"/>
      <c r="ER287" s="57"/>
      <c r="ES287" s="57"/>
      <c r="ET287" s="57"/>
      <c r="EU287" s="57"/>
      <c r="EV287" s="57"/>
      <c r="EW287" s="57"/>
      <c r="EX287" s="57"/>
      <c r="EY287" s="57"/>
      <c r="EZ287" s="57"/>
      <c r="FA287" s="57"/>
      <c r="FB287" s="57"/>
      <c r="FC287" s="57"/>
      <c r="FD287" s="57"/>
      <c r="FE287" s="57"/>
      <c r="FF287" s="57"/>
      <c r="FG287" s="57"/>
      <c r="FH287" s="57"/>
      <c r="FI287" s="57"/>
      <c r="FJ287" s="57"/>
      <c r="FK287" s="57"/>
      <c r="FL287" s="61"/>
    </row>
    <row r="288" spans="52:168" x14ac:dyDescent="0.25">
      <c r="AZ288" s="54"/>
      <c r="BA288" s="57"/>
      <c r="BB288" s="57"/>
      <c r="BC288" s="57"/>
      <c r="BD288" s="57"/>
      <c r="BE288" s="57"/>
      <c r="BF288" s="57"/>
      <c r="BG288" s="57"/>
      <c r="BH288" s="57"/>
      <c r="BI288" s="57"/>
      <c r="BJ288" s="57"/>
      <c r="BK288" s="57"/>
      <c r="BL288" s="57"/>
      <c r="BM288" s="57"/>
      <c r="BN288" s="57"/>
      <c r="BO288" s="57"/>
      <c r="BP288" s="57"/>
      <c r="BQ288" s="57"/>
      <c r="BR288" s="57"/>
      <c r="BS288" s="57"/>
      <c r="BT288" s="57"/>
      <c r="BU288" s="57"/>
      <c r="BV288" s="57"/>
      <c r="BW288" s="57"/>
      <c r="BX288" s="57"/>
      <c r="BY288" s="57"/>
      <c r="BZ288" s="57"/>
      <c r="CA288" s="57"/>
      <c r="CB288" s="57"/>
      <c r="CC288" s="57"/>
      <c r="CD288" s="57"/>
      <c r="CE288" s="57"/>
      <c r="CF288" s="57"/>
      <c r="CG288" s="57"/>
      <c r="CH288" s="57"/>
      <c r="CI288" s="57"/>
      <c r="CJ288" s="57"/>
      <c r="CK288" s="57"/>
      <c r="CL288" s="57"/>
      <c r="CM288" s="57"/>
      <c r="CN288" s="57"/>
      <c r="CO288" s="57"/>
      <c r="CP288" s="57"/>
      <c r="CQ288" s="57"/>
      <c r="CR288" s="57"/>
      <c r="CS288" s="57"/>
      <c r="CT288" s="57"/>
      <c r="CU288" s="57"/>
      <c r="CV288" s="31"/>
      <c r="CW288" s="57"/>
      <c r="CX288" s="57"/>
      <c r="CY288" s="57"/>
      <c r="CZ288" s="57"/>
      <c r="DA288" s="57"/>
      <c r="DB288" s="57"/>
      <c r="DC288" s="57"/>
      <c r="DD288" s="57"/>
      <c r="DE288" s="57"/>
      <c r="DF288" s="57"/>
      <c r="DG288" s="57"/>
      <c r="DH288" s="57"/>
      <c r="DI288" s="57"/>
      <c r="DJ288" s="57"/>
      <c r="DK288" s="57"/>
      <c r="DL288" s="57"/>
      <c r="DM288" s="57"/>
      <c r="DN288" s="57"/>
      <c r="DO288" s="57"/>
      <c r="DP288" s="57"/>
      <c r="DQ288" s="57"/>
      <c r="DR288" s="57"/>
      <c r="DS288" s="57"/>
      <c r="DT288" s="57"/>
      <c r="DU288" s="57"/>
      <c r="DV288" s="57"/>
      <c r="DW288" s="57"/>
      <c r="DX288" s="57"/>
      <c r="DY288" s="57"/>
      <c r="DZ288" s="57"/>
      <c r="EA288" s="57"/>
      <c r="EB288" s="57"/>
      <c r="EC288" s="57"/>
      <c r="ED288" s="57"/>
      <c r="EE288" s="57"/>
      <c r="EF288" s="57"/>
      <c r="EG288" s="57"/>
      <c r="EH288" s="57"/>
      <c r="EI288" s="57"/>
      <c r="EJ288" s="57"/>
      <c r="EK288" s="57"/>
      <c r="EL288" s="57"/>
      <c r="EM288" s="57"/>
      <c r="EN288" s="57"/>
      <c r="EO288" s="57"/>
      <c r="EP288" s="57"/>
      <c r="EQ288" s="57"/>
      <c r="ER288" s="57"/>
      <c r="ES288" s="57"/>
      <c r="ET288" s="57"/>
      <c r="EU288" s="57"/>
      <c r="EV288" s="57"/>
      <c r="EW288" s="57"/>
      <c r="EX288" s="57"/>
      <c r="EY288" s="57"/>
      <c r="EZ288" s="57"/>
      <c r="FA288" s="57"/>
      <c r="FB288" s="57"/>
      <c r="FC288" s="57"/>
      <c r="FD288" s="57"/>
      <c r="FE288" s="57"/>
      <c r="FF288" s="57"/>
      <c r="FG288" s="57"/>
      <c r="FH288" s="57"/>
      <c r="FI288" s="57"/>
      <c r="FJ288" s="57"/>
      <c r="FK288" s="57"/>
      <c r="FL288" s="61"/>
    </row>
    <row r="289" spans="52:168" x14ac:dyDescent="0.25">
      <c r="AZ289" s="54"/>
      <c r="BA289" s="57"/>
      <c r="BB289" s="57"/>
      <c r="BC289" s="57"/>
      <c r="BD289" s="57"/>
      <c r="BE289" s="57"/>
      <c r="BF289" s="57"/>
      <c r="BG289" s="57"/>
      <c r="BH289" s="57"/>
      <c r="BI289" s="57"/>
      <c r="BJ289" s="57"/>
      <c r="BK289" s="57"/>
      <c r="BL289" s="57"/>
      <c r="BM289" s="57"/>
      <c r="BN289" s="57"/>
      <c r="BO289" s="57"/>
      <c r="BP289" s="57"/>
      <c r="BQ289" s="57"/>
      <c r="BR289" s="57"/>
      <c r="BS289" s="57"/>
      <c r="BT289" s="57"/>
      <c r="BU289" s="57"/>
      <c r="BV289" s="57"/>
      <c r="BW289" s="57"/>
      <c r="BX289" s="57"/>
      <c r="BY289" s="57"/>
      <c r="BZ289" s="57"/>
      <c r="CA289" s="57"/>
      <c r="CB289" s="57"/>
      <c r="CC289" s="57"/>
      <c r="CD289" s="57"/>
      <c r="CE289" s="57"/>
      <c r="CF289" s="57"/>
      <c r="CG289" s="57"/>
      <c r="CH289" s="57"/>
      <c r="CI289" s="57"/>
      <c r="CJ289" s="57"/>
      <c r="CK289" s="57"/>
      <c r="CL289" s="57"/>
      <c r="CM289" s="57"/>
      <c r="CN289" s="57"/>
      <c r="CO289" s="57"/>
      <c r="CP289" s="57"/>
      <c r="CQ289" s="57"/>
      <c r="CR289" s="57"/>
      <c r="CS289" s="57"/>
      <c r="CT289" s="57"/>
      <c r="CU289" s="57"/>
      <c r="CV289" s="31"/>
      <c r="CW289" s="57"/>
      <c r="CX289" s="57"/>
      <c r="CY289" s="57"/>
      <c r="CZ289" s="57"/>
      <c r="DA289" s="57"/>
      <c r="DB289" s="57"/>
      <c r="DC289" s="57"/>
      <c r="DD289" s="57"/>
      <c r="DE289" s="57"/>
      <c r="DF289" s="57"/>
      <c r="DG289" s="57"/>
      <c r="DH289" s="57"/>
      <c r="DI289" s="57"/>
      <c r="DJ289" s="57"/>
      <c r="DK289" s="57"/>
      <c r="DL289" s="57"/>
      <c r="DM289" s="57"/>
      <c r="DN289" s="57"/>
      <c r="DO289" s="57"/>
      <c r="DP289" s="57"/>
      <c r="DQ289" s="57"/>
      <c r="DR289" s="57"/>
      <c r="DS289" s="57"/>
      <c r="DT289" s="57"/>
      <c r="DU289" s="57"/>
      <c r="DV289" s="57"/>
      <c r="DW289" s="57"/>
      <c r="DX289" s="57"/>
      <c r="DY289" s="57"/>
      <c r="DZ289" s="57"/>
      <c r="EA289" s="57"/>
      <c r="EB289" s="57"/>
      <c r="EC289" s="57"/>
      <c r="ED289" s="57"/>
      <c r="EE289" s="57"/>
      <c r="EF289" s="57"/>
      <c r="EG289" s="57"/>
      <c r="EH289" s="57"/>
      <c r="EI289" s="57"/>
      <c r="EJ289" s="57"/>
      <c r="EK289" s="57"/>
      <c r="EL289" s="57"/>
      <c r="EM289" s="57"/>
      <c r="EN289" s="57"/>
      <c r="EO289" s="57"/>
      <c r="EP289" s="57"/>
      <c r="EQ289" s="57"/>
      <c r="ER289" s="57"/>
      <c r="ES289" s="57"/>
      <c r="ET289" s="57"/>
      <c r="EU289" s="57"/>
      <c r="EV289" s="57"/>
      <c r="EW289" s="57"/>
      <c r="EX289" s="57"/>
      <c r="EY289" s="57"/>
      <c r="EZ289" s="57"/>
      <c r="FA289" s="57"/>
      <c r="FB289" s="57"/>
      <c r="FC289" s="57"/>
      <c r="FD289" s="57"/>
      <c r="FE289" s="57"/>
      <c r="FF289" s="57"/>
      <c r="FG289" s="57"/>
      <c r="FH289" s="57"/>
      <c r="FI289" s="57"/>
      <c r="FJ289" s="57"/>
      <c r="FK289" s="57"/>
      <c r="FL289" s="61"/>
    </row>
    <row r="290" spans="52:168" x14ac:dyDescent="0.25">
      <c r="AZ290" s="54"/>
      <c r="BA290" s="57"/>
      <c r="BB290" s="57"/>
      <c r="BC290" s="57"/>
      <c r="BD290" s="57"/>
      <c r="BE290" s="57"/>
      <c r="BF290" s="57"/>
      <c r="BG290" s="57"/>
      <c r="BH290" s="57"/>
      <c r="BI290" s="57"/>
      <c r="BJ290" s="57"/>
      <c r="BK290" s="57"/>
      <c r="BL290" s="57"/>
      <c r="BM290" s="57"/>
      <c r="BN290" s="57"/>
      <c r="BO290" s="57"/>
      <c r="BP290" s="57"/>
      <c r="BQ290" s="57"/>
      <c r="BR290" s="57"/>
      <c r="BS290" s="57"/>
      <c r="BT290" s="57"/>
      <c r="BU290" s="57"/>
      <c r="BV290" s="57"/>
      <c r="BW290" s="57"/>
      <c r="BX290" s="57"/>
      <c r="BY290" s="57"/>
      <c r="BZ290" s="57"/>
      <c r="CA290" s="57"/>
      <c r="CB290" s="57"/>
      <c r="CC290" s="57"/>
      <c r="CD290" s="57"/>
      <c r="CE290" s="57"/>
      <c r="CF290" s="57"/>
      <c r="CG290" s="57"/>
      <c r="CH290" s="57"/>
      <c r="CI290" s="57"/>
      <c r="CJ290" s="57"/>
      <c r="CK290" s="57"/>
      <c r="CL290" s="57"/>
      <c r="CM290" s="57"/>
      <c r="CN290" s="57"/>
      <c r="CO290" s="57"/>
      <c r="CP290" s="57"/>
      <c r="CQ290" s="57"/>
      <c r="CR290" s="57"/>
      <c r="CS290" s="57"/>
      <c r="CT290" s="57"/>
      <c r="CU290" s="57"/>
      <c r="CV290" s="31"/>
      <c r="CW290" s="57"/>
      <c r="CX290" s="57"/>
      <c r="CY290" s="57"/>
      <c r="CZ290" s="57"/>
      <c r="DA290" s="57"/>
      <c r="DB290" s="57"/>
      <c r="DC290" s="57"/>
      <c r="DD290" s="57"/>
      <c r="DE290" s="57"/>
      <c r="DF290" s="57"/>
      <c r="DG290" s="57"/>
      <c r="DH290" s="57"/>
      <c r="DI290" s="57"/>
      <c r="DJ290" s="57"/>
      <c r="DK290" s="57"/>
      <c r="DL290" s="57"/>
      <c r="DM290" s="57"/>
      <c r="DN290" s="57"/>
      <c r="DO290" s="57"/>
      <c r="DP290" s="57"/>
      <c r="DQ290" s="57"/>
      <c r="DR290" s="57"/>
      <c r="DS290" s="57"/>
      <c r="DT290" s="57"/>
      <c r="DU290" s="57"/>
      <c r="DV290" s="57"/>
      <c r="DW290" s="57"/>
      <c r="DX290" s="57"/>
      <c r="DY290" s="57"/>
      <c r="DZ290" s="57"/>
      <c r="EA290" s="57"/>
      <c r="EB290" s="57"/>
      <c r="EC290" s="57"/>
      <c r="ED290" s="57"/>
      <c r="EE290" s="57"/>
      <c r="EF290" s="57"/>
      <c r="EG290" s="57"/>
      <c r="EH290" s="57"/>
      <c r="EI290" s="57"/>
      <c r="EJ290" s="57"/>
      <c r="EK290" s="57"/>
      <c r="EL290" s="57"/>
      <c r="EM290" s="57"/>
      <c r="EN290" s="57"/>
      <c r="EO290" s="57"/>
      <c r="EP290" s="57"/>
      <c r="EQ290" s="57"/>
      <c r="ER290" s="57"/>
      <c r="ES290" s="57"/>
      <c r="ET290" s="57"/>
      <c r="EU290" s="57"/>
      <c r="EV290" s="57"/>
      <c r="EW290" s="57"/>
      <c r="EX290" s="57"/>
      <c r="EY290" s="57"/>
      <c r="EZ290" s="57"/>
      <c r="FA290" s="57"/>
      <c r="FB290" s="57"/>
      <c r="FC290" s="57"/>
      <c r="FD290" s="57"/>
      <c r="FE290" s="57"/>
      <c r="FF290" s="57"/>
      <c r="FG290" s="57"/>
      <c r="FH290" s="57"/>
      <c r="FI290" s="57"/>
      <c r="FJ290" s="57"/>
      <c r="FK290" s="57"/>
      <c r="FL290" s="61"/>
    </row>
    <row r="291" spans="52:168" x14ac:dyDescent="0.25">
      <c r="AZ291" s="54"/>
      <c r="BA291" s="57"/>
      <c r="BB291" s="57"/>
      <c r="BC291" s="57"/>
      <c r="BD291" s="57"/>
      <c r="BE291" s="57"/>
      <c r="BF291" s="57"/>
      <c r="BG291" s="57"/>
      <c r="BH291" s="57"/>
      <c r="BI291" s="57"/>
      <c r="BJ291" s="57"/>
      <c r="BK291" s="57"/>
      <c r="BL291" s="57"/>
      <c r="BM291" s="57"/>
      <c r="BN291" s="57"/>
      <c r="BO291" s="57"/>
      <c r="BP291" s="57"/>
      <c r="BQ291" s="57"/>
      <c r="BR291" s="57"/>
      <c r="BS291" s="57"/>
      <c r="BT291" s="57"/>
      <c r="BU291" s="57"/>
      <c r="BV291" s="57"/>
      <c r="BW291" s="57"/>
      <c r="BX291" s="57"/>
      <c r="BY291" s="57"/>
      <c r="BZ291" s="57"/>
      <c r="CA291" s="57"/>
      <c r="CB291" s="57"/>
      <c r="CC291" s="57"/>
      <c r="CD291" s="57"/>
      <c r="CE291" s="57"/>
      <c r="CF291" s="57"/>
      <c r="CG291" s="57"/>
      <c r="CH291" s="57"/>
      <c r="CI291" s="57"/>
      <c r="CJ291" s="57"/>
      <c r="CK291" s="57"/>
      <c r="CL291" s="57"/>
      <c r="CM291" s="57"/>
      <c r="CN291" s="57"/>
      <c r="CO291" s="57"/>
      <c r="CP291" s="57"/>
      <c r="CQ291" s="57"/>
      <c r="CR291" s="57"/>
      <c r="CS291" s="57"/>
      <c r="CT291" s="57"/>
      <c r="CU291" s="57"/>
      <c r="CV291" s="31"/>
      <c r="CW291" s="57"/>
      <c r="CX291" s="57"/>
      <c r="CY291" s="57"/>
      <c r="CZ291" s="57"/>
      <c r="DA291" s="57"/>
      <c r="DB291" s="57"/>
      <c r="DC291" s="57"/>
      <c r="DD291" s="57"/>
      <c r="DE291" s="57"/>
      <c r="DF291" s="57"/>
      <c r="DG291" s="57"/>
      <c r="DH291" s="57"/>
      <c r="DI291" s="57"/>
      <c r="DJ291" s="57"/>
      <c r="DK291" s="57"/>
      <c r="DL291" s="57"/>
      <c r="DM291" s="57"/>
      <c r="DN291" s="57"/>
      <c r="DO291" s="57"/>
      <c r="DP291" s="57"/>
      <c r="DQ291" s="57"/>
      <c r="DR291" s="57"/>
      <c r="DS291" s="57"/>
      <c r="DT291" s="57"/>
      <c r="DU291" s="57"/>
      <c r="DV291" s="57"/>
      <c r="DW291" s="57"/>
      <c r="DX291" s="57"/>
      <c r="DY291" s="57"/>
      <c r="DZ291" s="57"/>
      <c r="EA291" s="57"/>
      <c r="EB291" s="57"/>
      <c r="EC291" s="57"/>
      <c r="ED291" s="57"/>
      <c r="EE291" s="57"/>
      <c r="EF291" s="57"/>
      <c r="EG291" s="57"/>
      <c r="EH291" s="57"/>
      <c r="EI291" s="57"/>
      <c r="EJ291" s="57"/>
      <c r="EK291" s="57"/>
      <c r="EL291" s="57"/>
      <c r="EM291" s="57"/>
      <c r="EN291" s="57"/>
      <c r="EO291" s="57"/>
      <c r="EP291" s="57"/>
      <c r="EQ291" s="57"/>
      <c r="ER291" s="57"/>
      <c r="ES291" s="57"/>
      <c r="ET291" s="57"/>
      <c r="EU291" s="57"/>
      <c r="EV291" s="57"/>
      <c r="EW291" s="57"/>
      <c r="EX291" s="57"/>
      <c r="EY291" s="57"/>
      <c r="EZ291" s="57"/>
      <c r="FA291" s="57"/>
      <c r="FB291" s="57"/>
      <c r="FC291" s="57"/>
      <c r="FD291" s="57"/>
      <c r="FE291" s="57"/>
      <c r="FF291" s="57"/>
      <c r="FG291" s="57"/>
      <c r="FH291" s="57"/>
      <c r="FI291" s="57"/>
      <c r="FJ291" s="57"/>
      <c r="FK291" s="57"/>
      <c r="FL291" s="61"/>
    </row>
    <row r="292" spans="52:168" x14ac:dyDescent="0.25">
      <c r="AZ292" s="54"/>
      <c r="BA292" s="57"/>
      <c r="BB292" s="57"/>
      <c r="BC292" s="57"/>
      <c r="BD292" s="57"/>
      <c r="BE292" s="57"/>
      <c r="BF292" s="57"/>
      <c r="BG292" s="57"/>
      <c r="BH292" s="57"/>
      <c r="BI292" s="57"/>
      <c r="BJ292" s="57"/>
      <c r="BK292" s="57"/>
      <c r="BL292" s="57"/>
      <c r="BM292" s="57"/>
      <c r="BN292" s="57"/>
      <c r="BO292" s="57"/>
      <c r="BP292" s="57"/>
      <c r="BQ292" s="57"/>
      <c r="BR292" s="57"/>
      <c r="BS292" s="57"/>
      <c r="BT292" s="57"/>
      <c r="BU292" s="57"/>
      <c r="BV292" s="57"/>
      <c r="BW292" s="57"/>
      <c r="BX292" s="57"/>
      <c r="BY292" s="57"/>
      <c r="BZ292" s="57"/>
      <c r="CA292" s="57"/>
      <c r="CB292" s="57"/>
      <c r="CC292" s="57"/>
      <c r="CD292" s="57"/>
      <c r="CE292" s="57"/>
      <c r="CF292" s="57"/>
      <c r="CG292" s="57"/>
      <c r="CH292" s="57"/>
      <c r="CI292" s="57"/>
      <c r="CJ292" s="57"/>
      <c r="CK292" s="57"/>
      <c r="CL292" s="57"/>
      <c r="CM292" s="57"/>
      <c r="CN292" s="57"/>
      <c r="CO292" s="57"/>
      <c r="CP292" s="57"/>
      <c r="CQ292" s="57"/>
      <c r="CR292" s="57"/>
      <c r="CS292" s="57"/>
      <c r="CT292" s="57"/>
      <c r="CU292" s="57"/>
      <c r="CV292" s="31"/>
      <c r="CW292" s="57"/>
      <c r="CX292" s="57"/>
      <c r="CY292" s="57"/>
      <c r="CZ292" s="57"/>
      <c r="DA292" s="57"/>
      <c r="DB292" s="57"/>
      <c r="DC292" s="57"/>
      <c r="DD292" s="57"/>
      <c r="DE292" s="57"/>
      <c r="DF292" s="57"/>
      <c r="DG292" s="57"/>
      <c r="DH292" s="57"/>
      <c r="DI292" s="57"/>
      <c r="DJ292" s="57"/>
      <c r="DK292" s="57"/>
      <c r="DL292" s="57"/>
      <c r="DM292" s="57"/>
      <c r="DN292" s="57"/>
      <c r="DO292" s="57"/>
      <c r="DP292" s="57"/>
      <c r="DQ292" s="57"/>
      <c r="DR292" s="57"/>
      <c r="DS292" s="57"/>
      <c r="DT292" s="57"/>
      <c r="DU292" s="57"/>
      <c r="DV292" s="57"/>
      <c r="DW292" s="57"/>
      <c r="DX292" s="57"/>
      <c r="DY292" s="57"/>
      <c r="DZ292" s="57"/>
      <c r="EA292" s="57"/>
      <c r="EB292" s="57"/>
      <c r="EC292" s="57"/>
      <c r="ED292" s="57"/>
      <c r="EE292" s="57"/>
      <c r="EF292" s="57"/>
      <c r="EG292" s="57"/>
      <c r="EH292" s="57"/>
      <c r="EI292" s="57"/>
      <c r="EJ292" s="57"/>
      <c r="EK292" s="57"/>
      <c r="EL292" s="57"/>
      <c r="EM292" s="57"/>
      <c r="EN292" s="57"/>
      <c r="EO292" s="57"/>
      <c r="EP292" s="57"/>
      <c r="EQ292" s="57"/>
      <c r="ER292" s="57"/>
      <c r="ES292" s="57"/>
      <c r="ET292" s="57"/>
      <c r="EU292" s="57"/>
      <c r="EV292" s="57"/>
      <c r="EW292" s="57"/>
      <c r="EX292" s="57"/>
      <c r="EY292" s="57"/>
      <c r="EZ292" s="57"/>
      <c r="FA292" s="57"/>
      <c r="FB292" s="57"/>
      <c r="FC292" s="57"/>
      <c r="FD292" s="57"/>
      <c r="FE292" s="57"/>
      <c r="FF292" s="57"/>
      <c r="FG292" s="57"/>
      <c r="FH292" s="57"/>
      <c r="FI292" s="57"/>
      <c r="FJ292" s="57"/>
      <c r="FK292" s="57"/>
      <c r="FL292" s="61"/>
    </row>
    <row r="293" spans="52:168" ht="15.75" thickBot="1" x14ac:dyDescent="0.3">
      <c r="AZ293" s="83"/>
      <c r="BA293" s="87"/>
      <c r="BB293" s="87"/>
      <c r="BC293" s="87"/>
      <c r="BD293" s="87"/>
      <c r="BE293" s="87"/>
      <c r="BF293" s="87"/>
      <c r="BG293" s="87"/>
      <c r="BH293" s="87"/>
      <c r="BI293" s="87"/>
      <c r="BJ293" s="87"/>
      <c r="BK293" s="87"/>
      <c r="BL293" s="87"/>
      <c r="BM293" s="87"/>
      <c r="BN293" s="87"/>
      <c r="BO293" s="87"/>
      <c r="BP293" s="87"/>
      <c r="BQ293" s="87"/>
      <c r="BR293" s="87"/>
      <c r="BS293" s="87"/>
      <c r="BT293" s="87"/>
      <c r="BU293" s="87"/>
      <c r="BV293" s="87"/>
      <c r="BW293" s="87"/>
      <c r="BX293" s="87"/>
      <c r="BY293" s="87"/>
      <c r="BZ293" s="87"/>
      <c r="CA293" s="87"/>
      <c r="CB293" s="87"/>
      <c r="CC293" s="87"/>
      <c r="CD293" s="87"/>
      <c r="CE293" s="87"/>
      <c r="CF293" s="87"/>
      <c r="CG293" s="87"/>
      <c r="CH293" s="87"/>
      <c r="CI293" s="87"/>
      <c r="CJ293" s="87"/>
      <c r="CK293" s="87"/>
      <c r="CL293" s="87"/>
      <c r="CM293" s="87"/>
      <c r="CN293" s="87"/>
      <c r="CO293" s="87"/>
      <c r="CP293" s="87"/>
      <c r="CQ293" s="87"/>
      <c r="CR293" s="87"/>
      <c r="CS293" s="87"/>
      <c r="CT293" s="87"/>
      <c r="CU293" s="87"/>
      <c r="CV293" s="181"/>
      <c r="CW293" s="87"/>
      <c r="CX293" s="87"/>
      <c r="CY293" s="87"/>
      <c r="CZ293" s="87"/>
      <c r="DA293" s="87"/>
      <c r="DB293" s="87"/>
      <c r="DC293" s="87"/>
      <c r="DD293" s="87"/>
      <c r="DE293" s="87"/>
      <c r="DF293" s="87"/>
      <c r="DG293" s="87"/>
      <c r="DH293" s="87"/>
      <c r="DI293" s="87"/>
      <c r="DJ293" s="87"/>
      <c r="DK293" s="87"/>
      <c r="DL293" s="87"/>
      <c r="DM293" s="87"/>
      <c r="DN293" s="87"/>
      <c r="DO293" s="87"/>
      <c r="DP293" s="87"/>
      <c r="DQ293" s="87"/>
      <c r="DR293" s="87"/>
      <c r="DS293" s="87"/>
      <c r="DT293" s="87"/>
      <c r="DU293" s="87"/>
      <c r="DV293" s="87"/>
      <c r="DW293" s="87"/>
      <c r="DX293" s="87"/>
      <c r="DY293" s="87"/>
      <c r="DZ293" s="87"/>
      <c r="EA293" s="87"/>
      <c r="EB293" s="87"/>
      <c r="EC293" s="87"/>
      <c r="ED293" s="87"/>
      <c r="EE293" s="87"/>
      <c r="EF293" s="87"/>
      <c r="EG293" s="87"/>
      <c r="EH293" s="87"/>
      <c r="EI293" s="87"/>
      <c r="EJ293" s="87"/>
      <c r="EK293" s="87"/>
      <c r="EL293" s="87"/>
      <c r="EM293" s="87"/>
      <c r="EN293" s="87"/>
      <c r="EO293" s="87"/>
      <c r="EP293" s="87"/>
      <c r="EQ293" s="87"/>
      <c r="ER293" s="87"/>
      <c r="ES293" s="87"/>
      <c r="ET293" s="87"/>
      <c r="EU293" s="87"/>
      <c r="EV293" s="87"/>
      <c r="EW293" s="87"/>
      <c r="EX293" s="87"/>
      <c r="EY293" s="87"/>
      <c r="EZ293" s="87"/>
      <c r="FA293" s="87"/>
      <c r="FB293" s="87"/>
      <c r="FC293" s="87"/>
      <c r="FD293" s="87"/>
      <c r="FE293" s="87"/>
      <c r="FF293" s="87"/>
      <c r="FG293" s="87"/>
      <c r="FH293" s="87"/>
      <c r="FI293" s="87"/>
      <c r="FJ293" s="87"/>
      <c r="FK293" s="87"/>
      <c r="FL293" s="89"/>
    </row>
    <row r="296" spans="52:168" ht="15.75" thickBot="1" x14ac:dyDescent="0.3"/>
    <row r="297" spans="52:168" ht="15.75" thickBot="1" x14ac:dyDescent="0.3">
      <c r="AZ297" s="63"/>
      <c r="BA297" s="64"/>
      <c r="BB297" s="64"/>
      <c r="BC297" s="64"/>
      <c r="BD297" s="64"/>
      <c r="BE297" s="64"/>
      <c r="BF297" s="64"/>
      <c r="BG297" s="64"/>
      <c r="BH297" s="64"/>
      <c r="BI297" s="64"/>
      <c r="BJ297" s="64"/>
      <c r="BK297" s="64"/>
      <c r="BL297" s="64"/>
      <c r="BM297" s="64"/>
      <c r="BN297" s="64"/>
      <c r="BO297" s="64"/>
      <c r="BP297" s="64"/>
      <c r="BQ297" s="64"/>
      <c r="BR297" s="64"/>
      <c r="BS297" s="64"/>
      <c r="BT297" s="64"/>
      <c r="BU297" s="64"/>
      <c r="BV297" s="64"/>
      <c r="BW297" s="64"/>
      <c r="BX297" s="64"/>
      <c r="BY297" s="64"/>
      <c r="BZ297" s="64"/>
      <c r="CA297" s="64"/>
      <c r="CB297" s="64"/>
      <c r="CC297" s="64"/>
      <c r="CD297" s="64"/>
      <c r="CE297" s="64"/>
      <c r="CF297" s="64"/>
      <c r="CG297" s="64"/>
      <c r="CH297" s="64"/>
      <c r="CI297" s="64"/>
      <c r="CJ297" s="64"/>
      <c r="CK297" s="64"/>
      <c r="CL297" s="64"/>
      <c r="CM297" s="64"/>
      <c r="CN297" s="64"/>
      <c r="CO297" s="64"/>
      <c r="CP297" s="64"/>
      <c r="CQ297" s="64"/>
      <c r="CR297" s="64"/>
      <c r="CS297" s="64"/>
      <c r="CT297" s="64"/>
      <c r="CU297" s="64"/>
      <c r="CV297" s="177"/>
      <c r="CW297" s="64"/>
      <c r="CX297" s="64"/>
      <c r="CY297" s="64"/>
      <c r="CZ297" s="64"/>
      <c r="DA297" s="64"/>
      <c r="DB297" s="64"/>
      <c r="DC297" s="64"/>
      <c r="DD297" s="64"/>
      <c r="DE297" s="64"/>
      <c r="DF297" s="64"/>
      <c r="DG297" s="64"/>
      <c r="DH297" s="64"/>
      <c r="DI297" s="64"/>
      <c r="DJ297" s="64"/>
      <c r="DK297" s="64"/>
      <c r="DL297" s="64"/>
      <c r="DM297" s="64"/>
      <c r="DN297" s="64"/>
      <c r="DO297" s="64"/>
      <c r="DP297" s="64"/>
      <c r="DQ297" s="64"/>
      <c r="DR297" s="64"/>
      <c r="DS297" s="64"/>
      <c r="DT297" s="64"/>
      <c r="DU297" s="64"/>
      <c r="DV297" s="64"/>
      <c r="DW297" s="64"/>
      <c r="DX297" s="64"/>
      <c r="DY297" s="64"/>
      <c r="DZ297" s="64"/>
      <c r="EA297" s="64"/>
      <c r="EB297" s="64"/>
      <c r="EC297" s="64"/>
      <c r="ED297" s="64"/>
      <c r="EE297" s="64"/>
      <c r="EF297" s="64"/>
      <c r="EG297" s="64"/>
      <c r="EH297" s="64"/>
      <c r="EI297" s="64"/>
      <c r="EJ297" s="64"/>
      <c r="EK297" s="64"/>
      <c r="EL297" s="64"/>
      <c r="EM297" s="64"/>
      <c r="EN297" s="64"/>
      <c r="EO297" s="64"/>
      <c r="EP297" s="64"/>
      <c r="EQ297" s="64"/>
      <c r="ER297" s="64"/>
      <c r="ES297" s="64"/>
      <c r="ET297" s="64"/>
      <c r="EU297" s="64"/>
      <c r="EV297" s="64"/>
      <c r="EW297" s="64"/>
      <c r="EX297" s="64"/>
      <c r="EY297" s="64"/>
      <c r="EZ297" s="64"/>
      <c r="FA297" s="64"/>
      <c r="FB297" s="64"/>
      <c r="FC297" s="64"/>
      <c r="FD297" s="64"/>
      <c r="FE297" s="64"/>
      <c r="FF297" s="64"/>
      <c r="FG297" s="64"/>
      <c r="FH297" s="64"/>
      <c r="FI297" s="64"/>
      <c r="FJ297" s="64"/>
      <c r="FK297" s="64"/>
      <c r="FL297" s="65"/>
    </row>
    <row r="298" spans="52:168" ht="15.75" thickBot="1" x14ac:dyDescent="0.3">
      <c r="AZ298" s="54"/>
      <c r="BA298" s="57" t="s">
        <v>29</v>
      </c>
      <c r="BB298" s="57"/>
      <c r="BC298" s="57"/>
      <c r="BD298" s="57"/>
      <c r="BE298" s="57"/>
      <c r="BF298" s="57"/>
      <c r="BG298" s="57"/>
      <c r="BH298" s="7" t="s">
        <v>30</v>
      </c>
      <c r="BI298" s="7"/>
      <c r="BJ298" s="7"/>
      <c r="BK298" s="7"/>
      <c r="BL298" s="7"/>
      <c r="BM298" s="7"/>
      <c r="BN298" s="7"/>
      <c r="BO298" s="7"/>
      <c r="BP298" s="7"/>
      <c r="BQ298" s="34"/>
      <c r="BR298" s="34"/>
      <c r="BS298" s="34"/>
      <c r="BT298" s="34"/>
      <c r="BU298" s="57"/>
      <c r="BV298" s="7" t="s">
        <v>31</v>
      </c>
      <c r="BW298" s="7"/>
      <c r="BX298" s="7"/>
      <c r="BY298" s="7"/>
      <c r="BZ298" s="7"/>
      <c r="CA298" s="7"/>
      <c r="CB298" s="7"/>
      <c r="CC298" s="7"/>
      <c r="CD298" s="7"/>
      <c r="CE298" s="7"/>
      <c r="CF298" s="7"/>
      <c r="CG298" s="7"/>
      <c r="CH298" s="57"/>
      <c r="CI298" s="7" t="s">
        <v>32</v>
      </c>
      <c r="CJ298" s="7"/>
      <c r="CK298" s="7"/>
      <c r="CL298" s="7"/>
      <c r="CM298" s="35" t="s">
        <v>33</v>
      </c>
      <c r="CN298" s="35" t="s">
        <v>34</v>
      </c>
      <c r="CO298" s="36" t="s">
        <v>35</v>
      </c>
      <c r="CP298" s="57"/>
      <c r="CQ298" s="57"/>
      <c r="CR298" s="6" t="s">
        <v>36</v>
      </c>
      <c r="CS298" s="6"/>
      <c r="CT298" s="6"/>
      <c r="CU298" s="6"/>
      <c r="CV298" s="6"/>
      <c r="CW298" s="6"/>
      <c r="CX298" s="6"/>
      <c r="CY298" s="6"/>
      <c r="CZ298" s="6"/>
      <c r="DA298" s="6"/>
      <c r="DB298" s="6"/>
      <c r="DC298" s="6"/>
      <c r="DD298" s="6"/>
      <c r="DE298" s="6"/>
      <c r="DF298" s="6"/>
      <c r="DG298" s="6"/>
      <c r="DH298" s="6"/>
      <c r="DI298" s="6"/>
      <c r="DJ298" s="6"/>
      <c r="DK298" s="6"/>
      <c r="DL298" s="57"/>
      <c r="DM298" s="13" t="s">
        <v>37</v>
      </c>
      <c r="DN298" s="13"/>
      <c r="DO298" s="18"/>
      <c r="DP298" s="37"/>
      <c r="DQ298" s="5" t="s">
        <v>38</v>
      </c>
      <c r="DR298" s="5"/>
      <c r="DS298" s="38"/>
      <c r="DT298" s="39"/>
      <c r="DU298" s="4" t="s">
        <v>39</v>
      </c>
      <c r="DV298" s="4"/>
      <c r="DW298" s="4"/>
      <c r="DX298" s="18"/>
      <c r="DY298" s="37"/>
      <c r="DZ298" s="5" t="s">
        <v>40</v>
      </c>
      <c r="EA298" s="5"/>
      <c r="EB298" s="18"/>
      <c r="EC298" s="37"/>
      <c r="ED298" s="5" t="s">
        <v>41</v>
      </c>
      <c r="EE298" s="5"/>
      <c r="EF298" s="18"/>
      <c r="EG298" s="37"/>
      <c r="EH298" s="3" t="s">
        <v>42</v>
      </c>
      <c r="EI298" s="3"/>
      <c r="EJ298" s="3"/>
      <c r="EK298" s="3"/>
      <c r="EL298" s="3"/>
      <c r="EM298" s="3"/>
      <c r="EN298" s="3"/>
      <c r="EO298" s="3"/>
      <c r="EP298" s="38"/>
      <c r="EQ298" s="14" t="s">
        <v>43</v>
      </c>
      <c r="ER298" s="14"/>
      <c r="ES298" s="14"/>
      <c r="ET298" s="40"/>
      <c r="EU298" s="18"/>
      <c r="EV298" s="14" t="s">
        <v>44</v>
      </c>
      <c r="EW298" s="14"/>
      <c r="EX298" s="14"/>
      <c r="EY298" s="38"/>
      <c r="EZ298" s="14" t="s">
        <v>45</v>
      </c>
      <c r="FA298" s="14"/>
      <c r="FB298" s="14"/>
      <c r="FC298" s="38"/>
      <c r="FD298" s="14" t="s">
        <v>46</v>
      </c>
      <c r="FE298" s="14"/>
      <c r="FF298" s="14"/>
      <c r="FG298" s="38"/>
      <c r="FH298" s="14" t="s">
        <v>47</v>
      </c>
      <c r="FI298" s="14"/>
      <c r="FJ298" s="14"/>
      <c r="FK298" s="178"/>
      <c r="FL298" s="61"/>
    </row>
    <row r="299" spans="52:168" ht="15.75" thickBot="1" x14ac:dyDescent="0.3">
      <c r="AZ299" s="54"/>
      <c r="BA299" s="57"/>
      <c r="BB299" s="57"/>
      <c r="BC299" s="57"/>
      <c r="BD299" s="57"/>
      <c r="BE299" s="57"/>
      <c r="BF299" s="57"/>
      <c r="BG299" s="57"/>
      <c r="BH299" s="42"/>
      <c r="BI299" s="43" t="s">
        <v>48</v>
      </c>
      <c r="BJ299" s="44" t="s">
        <v>49</v>
      </c>
      <c r="BK299" s="43" t="s">
        <v>50</v>
      </c>
      <c r="BL299" s="43"/>
      <c r="BM299" s="43"/>
      <c r="BN299" s="43" t="s">
        <v>51</v>
      </c>
      <c r="BO299" s="44" t="s">
        <v>49</v>
      </c>
      <c r="BP299" s="45" t="s">
        <v>50</v>
      </c>
      <c r="BQ299" s="43"/>
      <c r="BR299" s="43" t="s">
        <v>52</v>
      </c>
      <c r="BS299" s="44" t="s">
        <v>49</v>
      </c>
      <c r="BT299" s="45" t="s">
        <v>50</v>
      </c>
      <c r="BU299" s="57"/>
      <c r="BV299" s="42" t="s">
        <v>53</v>
      </c>
      <c r="BW299" s="43" t="s">
        <v>54</v>
      </c>
      <c r="BX299" s="45" t="s">
        <v>55</v>
      </c>
      <c r="BY299" s="7" t="s">
        <v>53</v>
      </c>
      <c r="BZ299" s="7"/>
      <c r="CA299" s="7"/>
      <c r="CB299" s="7" t="s">
        <v>54</v>
      </c>
      <c r="CC299" s="7"/>
      <c r="CD299" s="7"/>
      <c r="CE299" s="7" t="s">
        <v>55</v>
      </c>
      <c r="CF299" s="7"/>
      <c r="CG299" s="7"/>
      <c r="CH299" s="57"/>
      <c r="CI299" s="46" t="s">
        <v>56</v>
      </c>
      <c r="CJ299" s="47"/>
      <c r="CK299" s="48"/>
      <c r="CL299" s="48"/>
      <c r="CM299" s="49"/>
      <c r="CN299" s="49"/>
      <c r="CO299" s="49"/>
      <c r="CP299" s="57"/>
      <c r="CQ299" s="57"/>
      <c r="CR299" s="7" t="s">
        <v>57</v>
      </c>
      <c r="CS299" s="7"/>
      <c r="CT299" s="7"/>
      <c r="CU299" s="7"/>
      <c r="CV299" s="7"/>
      <c r="CW299" s="2" t="s">
        <v>58</v>
      </c>
      <c r="CX299" s="2"/>
      <c r="CY299" s="2"/>
      <c r="CZ299" s="2"/>
      <c r="DA299" s="2"/>
      <c r="DB299" s="7" t="s">
        <v>59</v>
      </c>
      <c r="DC299" s="7"/>
      <c r="DD299" s="7"/>
      <c r="DE299" s="7"/>
      <c r="DF299" s="7"/>
      <c r="DG299" s="7" t="s">
        <v>60</v>
      </c>
      <c r="DH299" s="7"/>
      <c r="DI299" s="7"/>
      <c r="DJ299" s="7"/>
      <c r="DK299" s="7"/>
      <c r="DL299" s="57"/>
      <c r="DM299" s="50" t="s">
        <v>61</v>
      </c>
      <c r="DN299" s="34" t="s">
        <v>62</v>
      </c>
      <c r="DO299" s="51"/>
      <c r="DP299" s="34"/>
      <c r="DQ299" s="52" t="s">
        <v>61</v>
      </c>
      <c r="DR299" s="31" t="s">
        <v>63</v>
      </c>
      <c r="DS299" s="53"/>
      <c r="DT299" s="54"/>
      <c r="DU299" s="52" t="s">
        <v>61</v>
      </c>
      <c r="DV299" s="31" t="s">
        <v>63</v>
      </c>
      <c r="DW299" s="55" t="s">
        <v>64</v>
      </c>
      <c r="DX299" s="51"/>
      <c r="DY299" s="34"/>
      <c r="DZ299" s="56" t="s">
        <v>61</v>
      </c>
      <c r="EA299" s="34" t="s">
        <v>65</v>
      </c>
      <c r="EB299" s="51"/>
      <c r="EC299" s="34"/>
      <c r="ED299" s="52" t="s">
        <v>61</v>
      </c>
      <c r="EE299" s="31" t="s">
        <v>63</v>
      </c>
      <c r="EF299" s="51"/>
      <c r="EG299" s="34"/>
      <c r="EH299" s="52" t="s">
        <v>61</v>
      </c>
      <c r="EI299" s="34" t="s">
        <v>66</v>
      </c>
      <c r="EJ299" s="34"/>
      <c r="EK299" s="34"/>
      <c r="EL299" s="34" t="s">
        <v>66</v>
      </c>
      <c r="EM299" s="34"/>
      <c r="EN299" s="34"/>
      <c r="EO299" s="34" t="s">
        <v>66</v>
      </c>
      <c r="EP299" s="53"/>
      <c r="EQ299" s="57"/>
      <c r="ER299" s="56" t="s">
        <v>61</v>
      </c>
      <c r="ES299" s="34" t="s">
        <v>66</v>
      </c>
      <c r="ET299" s="53"/>
      <c r="EU299" s="51"/>
      <c r="EV299" s="34"/>
      <c r="EW299" s="52" t="s">
        <v>61</v>
      </c>
      <c r="EX299" s="31" t="s">
        <v>67</v>
      </c>
      <c r="EY299" s="53"/>
      <c r="EZ299" s="34"/>
      <c r="FA299" s="52" t="s">
        <v>61</v>
      </c>
      <c r="FB299" s="31" t="s">
        <v>68</v>
      </c>
      <c r="FC299" s="53"/>
      <c r="FD299" s="34"/>
      <c r="FE299" s="52" t="s">
        <v>61</v>
      </c>
      <c r="FF299" s="31" t="s">
        <v>68</v>
      </c>
      <c r="FG299" s="53"/>
      <c r="FH299" s="34"/>
      <c r="FI299" s="52" t="s">
        <v>61</v>
      </c>
      <c r="FJ299" s="30" t="s">
        <v>69</v>
      </c>
      <c r="FK299" s="57"/>
      <c r="FL299" s="61"/>
    </row>
    <row r="300" spans="52:168" ht="45" x14ac:dyDescent="0.25">
      <c r="AZ300" s="170" t="s">
        <v>70</v>
      </c>
      <c r="BA300" s="176">
        <f>C14</f>
        <v>0.2</v>
      </c>
      <c r="BB300" s="57" t="s">
        <v>71</v>
      </c>
      <c r="BC300" s="57"/>
      <c r="BD300" s="57" t="s">
        <v>72</v>
      </c>
      <c r="BE300" s="179">
        <f>BA300*1000/(BA301-BA302)</f>
        <v>3.3333333333333335</v>
      </c>
      <c r="BF300" s="57"/>
      <c r="BG300" s="57"/>
      <c r="BH300" s="54" t="e">
        <f t="shared" ref="BH300:BH313" si="133">IF($B$12&lt;12,(IF((BK300&gt;4)*AND(BK300&lt;16),2,0)),IF((BK300&gt;4)*AND(BK300&lt;20),2,0))</f>
        <v>#VALUE!</v>
      </c>
      <c r="BI300" s="57">
        <v>15</v>
      </c>
      <c r="BJ300" s="57" t="e">
        <f t="shared" ref="BJ300:BJ313" si="134">1/POWER(1.14+2*LOG10((BI300/1000)/($K$21/1000)),2)</f>
        <v>#VALUE!</v>
      </c>
      <c r="BK300" s="57" t="e">
        <f t="shared" ref="BK300:BK313" si="135">0.00638*BJ300*POWER($F$4,2)/(POWER(BI300/1000,5)*$K$20)</f>
        <v>#VALUE!</v>
      </c>
      <c r="BL300" s="57"/>
      <c r="BM300" s="57" t="e">
        <f t="shared" ref="BM300:BM313" si="136">IF((BP300&gt;4)*AND(BP300&lt;20),1,0)</f>
        <v>#VALUE!</v>
      </c>
      <c r="BN300" s="57">
        <v>15</v>
      </c>
      <c r="BO300" s="57" t="e">
        <f t="shared" ref="BO300:BO313" si="137">1/POWER(1.14+2*LOG10((BN300/1000)/($K$21/1000)),2)</f>
        <v>#VALUE!</v>
      </c>
      <c r="BP300" s="61" t="e">
        <f t="shared" ref="BP300:BP313" si="138">0.00638*BO300*POWER($F$11,2)/(POWER(BN300/1000,5)*$K$20)</f>
        <v>#VALUE!</v>
      </c>
      <c r="BQ300" s="57" t="e">
        <f t="shared" ref="BQ300:BQ313" si="139">IF((BT300&gt;4)*AND(BT300&lt;20),1,0)</f>
        <v>#VALUE!</v>
      </c>
      <c r="BR300" s="57">
        <v>15</v>
      </c>
      <c r="BS300" s="57" t="e">
        <f t="shared" ref="BS300:BS313" si="140">1/POWER(1.14+2*LOG10((BR300/1000)/($K$21/1000)),2)</f>
        <v>#VALUE!</v>
      </c>
      <c r="BT300" s="61" t="e">
        <f t="shared" ref="BT300:BT313" si="141">0.00638*BS300*POWER($F$16,2)/(POWER(BR300/1000,5)*$K$20)</f>
        <v>#VALUE!</v>
      </c>
      <c r="BU300" s="57"/>
      <c r="BV300" s="62" t="s">
        <v>73</v>
      </c>
      <c r="BW300" s="57">
        <f>IF(BA308=0,0,IF(BA308&gt;12,3,1.8))</f>
        <v>3</v>
      </c>
      <c r="BX300" s="57"/>
      <c r="BY300" s="63">
        <f t="shared" ref="BY300:BY317" si="142">IF(CA300&gt;$X$5,1,0)</f>
        <v>1</v>
      </c>
      <c r="BZ300" s="64">
        <v>15</v>
      </c>
      <c r="CA300" s="65">
        <v>1.6</v>
      </c>
      <c r="CB300" s="63">
        <f t="shared" ref="CB300:CB318" si="143">IF(CD300&gt;$X$5,1,0)</f>
        <v>1</v>
      </c>
      <c r="CC300" s="64">
        <v>15</v>
      </c>
      <c r="CD300" s="65">
        <v>1.6</v>
      </c>
      <c r="CE300" s="57">
        <f t="shared" ref="CE300:CE312" si="144">IF(CG300&gt;$X$5,1,0)</f>
        <v>1</v>
      </c>
      <c r="CF300" s="57">
        <v>15</v>
      </c>
      <c r="CG300" s="61">
        <v>1.6</v>
      </c>
      <c r="CH300" s="57"/>
      <c r="CI300" s="66">
        <v>4</v>
      </c>
      <c r="CJ300" s="63">
        <f t="shared" ref="CJ300:CJ309" si="145">IF($F$13&lt;CI300,1,0)</f>
        <v>1</v>
      </c>
      <c r="CK300" s="65" t="s">
        <v>74</v>
      </c>
      <c r="CL300" s="67">
        <f t="shared" ref="CL300:CL309" si="146">IF($F$13&lt;CI300,1,0)</f>
        <v>1</v>
      </c>
      <c r="CM300" s="68" t="s">
        <v>75</v>
      </c>
      <c r="CN300" s="63">
        <f t="shared" ref="CN300:CN309" si="147">IF($F$13&lt;CI300,1,0)</f>
        <v>1</v>
      </c>
      <c r="CO300" s="69" t="s">
        <v>76</v>
      </c>
      <c r="CP300" s="57"/>
      <c r="CQ300" s="57"/>
      <c r="CR300" s="63">
        <v>0.1</v>
      </c>
      <c r="CS300" s="64">
        <f t="shared" ref="CS300:CS307" si="148">IF($B$4&lt;CR300,1,0)</f>
        <v>1</v>
      </c>
      <c r="CT300" s="64" t="s">
        <v>77</v>
      </c>
      <c r="CU300" s="64">
        <f t="shared" ref="CU300:CU307" si="149">IF($B$4&lt;CR300,1,0)</f>
        <v>1</v>
      </c>
      <c r="CV300" s="17">
        <v>1</v>
      </c>
      <c r="CW300" s="63">
        <v>0.1</v>
      </c>
      <c r="CX300" s="64">
        <f t="shared" ref="CX300:CX307" si="150">IF($B$4&lt;CW300,1,0)</f>
        <v>1</v>
      </c>
      <c r="CY300" s="64" t="s">
        <v>77</v>
      </c>
      <c r="CZ300" s="64">
        <f t="shared" ref="CZ300:CZ307" si="151">IF($B$4&lt;CW300,1,0)</f>
        <v>1</v>
      </c>
      <c r="DA300" s="17">
        <v>1</v>
      </c>
      <c r="DB300" s="54">
        <v>0.14000000000000001</v>
      </c>
      <c r="DC300" s="57">
        <f t="shared" ref="DC300:DC306" si="152">IF($B$4&lt;DB300,1,0)</f>
        <v>1</v>
      </c>
      <c r="DD300" s="64" t="s">
        <v>77</v>
      </c>
      <c r="DE300" s="57">
        <f t="shared" ref="DE300:DE306" si="153">IF($B$4&lt;DB300,1,0)</f>
        <v>1</v>
      </c>
      <c r="DF300" s="55">
        <v>1</v>
      </c>
      <c r="DG300" s="57">
        <v>0.05</v>
      </c>
      <c r="DH300" s="57">
        <f t="shared" ref="DH300:DH309" si="154">IF($B$4&lt;DG300,1,0)</f>
        <v>1</v>
      </c>
      <c r="DI300" s="57" t="s">
        <v>77</v>
      </c>
      <c r="DJ300" s="57">
        <f t="shared" ref="DJ300:DJ309" si="155">IF($B$4&lt;DG300,1,0)</f>
        <v>1</v>
      </c>
      <c r="DK300" s="61">
        <v>1</v>
      </c>
      <c r="DL300" s="57"/>
      <c r="DM300" s="50" t="s">
        <v>78</v>
      </c>
      <c r="DN300" s="34" t="s">
        <v>79</v>
      </c>
      <c r="DO300" s="51"/>
      <c r="DP300" s="34">
        <f t="shared" ref="DP300:DP311" si="156">IF($F$5=DR300,1,0)</f>
        <v>0</v>
      </c>
      <c r="DQ300" s="56" t="s">
        <v>80</v>
      </c>
      <c r="DR300" s="34">
        <v>15</v>
      </c>
      <c r="DS300" s="53"/>
      <c r="DT300" s="70">
        <f t="shared" ref="DT300:DT322" si="157">IF($F$7=DW300,1,0)</f>
        <v>0</v>
      </c>
      <c r="DU300" s="56" t="s">
        <v>80</v>
      </c>
      <c r="DV300" s="34">
        <v>15</v>
      </c>
      <c r="DW300" s="55">
        <v>0.63</v>
      </c>
      <c r="DX300" s="51"/>
      <c r="DY300" s="34">
        <f>IF($B$14=EA300,1,0)</f>
        <v>0</v>
      </c>
      <c r="DZ300" s="56" t="s">
        <v>78</v>
      </c>
      <c r="EA300" s="34" t="s">
        <v>53</v>
      </c>
      <c r="EB300" s="51"/>
      <c r="EC300" s="34">
        <f t="shared" ref="EC300:EC311" si="158">IF($F$12=EE300,1,0)</f>
        <v>0</v>
      </c>
      <c r="ED300" s="56" t="s">
        <v>80</v>
      </c>
      <c r="EE300" s="34">
        <v>15</v>
      </c>
      <c r="EF300" s="51"/>
      <c r="EG300" s="34">
        <f t="shared" ref="EG300:EG310" si="159">IF($E$14=EI300,1,0)</f>
        <v>0</v>
      </c>
      <c r="EH300" s="31">
        <v>1</v>
      </c>
      <c r="EI300" s="31" t="s">
        <v>74</v>
      </c>
      <c r="EJ300" s="31">
        <f t="shared" ref="EJ300:EJ306" si="160">IF($E$14=EL300,1,0)</f>
        <v>0</v>
      </c>
      <c r="EK300" s="31">
        <v>1</v>
      </c>
      <c r="EL300" s="71" t="s">
        <v>75</v>
      </c>
      <c r="EM300" s="71">
        <f t="shared" ref="EM300:EM306" si="161">IF($E$14=EO300,1,0)</f>
        <v>0</v>
      </c>
      <c r="EN300" s="31">
        <v>1</v>
      </c>
      <c r="EO300" s="71" t="s">
        <v>76</v>
      </c>
      <c r="EP300" s="53"/>
      <c r="EQ300" s="57">
        <f>IF(OR(BD310="DPL 80/115-2,2/2",BD310="DPL 100/175-3/4"),1,0)</f>
        <v>0</v>
      </c>
      <c r="ER300" s="31">
        <v>5</v>
      </c>
      <c r="ES300" s="57"/>
      <c r="ET300" s="53"/>
      <c r="EU300" s="51"/>
      <c r="EV300" s="34">
        <f t="shared" ref="EV300:EV306" si="162">IF($E$9=EX300,1,0)</f>
        <v>0</v>
      </c>
      <c r="EW300" s="56" t="s">
        <v>81</v>
      </c>
      <c r="EX300" s="57" t="s">
        <v>82</v>
      </c>
      <c r="EY300" s="53"/>
      <c r="EZ300" s="34">
        <f t="shared" ref="EZ300:EZ305" si="163">IF($F$9=FB300,1,0)</f>
        <v>0</v>
      </c>
      <c r="FA300" s="56" t="s">
        <v>81</v>
      </c>
      <c r="FB300" s="57" t="s">
        <v>82</v>
      </c>
      <c r="FC300" s="53"/>
      <c r="FD300" s="34">
        <f>IF($B$16=FF300,1,0)</f>
        <v>0</v>
      </c>
      <c r="FE300" s="56" t="s">
        <v>78</v>
      </c>
      <c r="FF300" s="34" t="s">
        <v>83</v>
      </c>
      <c r="FG300" s="53"/>
      <c r="FH300" s="34">
        <f>IF($B$17=FJ300,1,0)</f>
        <v>0</v>
      </c>
      <c r="FI300" s="56" t="s">
        <v>78</v>
      </c>
      <c r="FJ300" s="61" t="s">
        <v>84</v>
      </c>
      <c r="FK300" s="57"/>
      <c r="FL300" s="61"/>
    </row>
    <row r="301" spans="52:168" ht="30" x14ac:dyDescent="0.25">
      <c r="AZ301" s="170" t="s">
        <v>85</v>
      </c>
      <c r="BA301" s="176">
        <f>N13</f>
        <v>130</v>
      </c>
      <c r="BB301" s="171" t="s">
        <v>86</v>
      </c>
      <c r="BC301" s="57"/>
      <c r="BD301" s="57" t="s">
        <v>48</v>
      </c>
      <c r="BE301" s="180" t="e">
        <f>VLOOKUP(2,BH300:BK313,2,0)</f>
        <v>#N/A</v>
      </c>
      <c r="BF301" s="57"/>
      <c r="BG301" s="57"/>
      <c r="BH301" s="54" t="e">
        <f t="shared" si="133"/>
        <v>#VALUE!</v>
      </c>
      <c r="BI301" s="57">
        <v>20</v>
      </c>
      <c r="BJ301" s="57" t="e">
        <f t="shared" si="134"/>
        <v>#VALUE!</v>
      </c>
      <c r="BK301" s="57" t="e">
        <f t="shared" si="135"/>
        <v>#VALUE!</v>
      </c>
      <c r="BL301" s="57"/>
      <c r="BM301" s="57" t="e">
        <f t="shared" si="136"/>
        <v>#VALUE!</v>
      </c>
      <c r="BN301" s="57">
        <v>20</v>
      </c>
      <c r="BO301" s="57" t="e">
        <f t="shared" si="137"/>
        <v>#VALUE!</v>
      </c>
      <c r="BP301" s="61" t="e">
        <f t="shared" si="138"/>
        <v>#VALUE!</v>
      </c>
      <c r="BQ301" s="57" t="e">
        <f t="shared" si="139"/>
        <v>#VALUE!</v>
      </c>
      <c r="BR301" s="57">
        <v>20</v>
      </c>
      <c r="BS301" s="57" t="e">
        <f t="shared" si="140"/>
        <v>#VALUE!</v>
      </c>
      <c r="BT301" s="61" t="e">
        <f t="shared" si="141"/>
        <v>#VALUE!</v>
      </c>
      <c r="BU301" s="57"/>
      <c r="BV301" s="62" t="s">
        <v>87</v>
      </c>
      <c r="BW301" s="74">
        <f>BE300/SQRT(0.1*BW300)</f>
        <v>6.0858061945018456</v>
      </c>
      <c r="BX301" s="74"/>
      <c r="BY301" s="54">
        <f t="shared" si="142"/>
        <v>1</v>
      </c>
      <c r="BZ301" s="57">
        <v>15</v>
      </c>
      <c r="CA301" s="61">
        <v>2.5</v>
      </c>
      <c r="CB301" s="54">
        <f t="shared" si="143"/>
        <v>1</v>
      </c>
      <c r="CC301" s="57">
        <v>15</v>
      </c>
      <c r="CD301" s="61">
        <v>2.5</v>
      </c>
      <c r="CE301" s="57">
        <f t="shared" si="144"/>
        <v>1</v>
      </c>
      <c r="CF301" s="57">
        <v>15</v>
      </c>
      <c r="CG301" s="61">
        <v>2.5</v>
      </c>
      <c r="CH301" s="57"/>
      <c r="CI301" s="70">
        <v>6</v>
      </c>
      <c r="CJ301" s="54">
        <f t="shared" si="145"/>
        <v>1</v>
      </c>
      <c r="CK301" s="61" t="s">
        <v>88</v>
      </c>
      <c r="CL301" s="53">
        <f t="shared" si="146"/>
        <v>1</v>
      </c>
      <c r="CM301" s="53" t="s">
        <v>89</v>
      </c>
      <c r="CN301" s="54">
        <f t="shared" si="147"/>
        <v>1</v>
      </c>
      <c r="CO301" s="75" t="s">
        <v>90</v>
      </c>
      <c r="CP301" s="57"/>
      <c r="CQ301" s="57"/>
      <c r="CR301" s="54">
        <v>0.25</v>
      </c>
      <c r="CS301" s="57">
        <f t="shared" si="148"/>
        <v>1</v>
      </c>
      <c r="CT301" s="57" t="s">
        <v>91</v>
      </c>
      <c r="CU301" s="57">
        <f t="shared" si="149"/>
        <v>1</v>
      </c>
      <c r="CV301" s="30">
        <v>1</v>
      </c>
      <c r="CW301" s="54">
        <v>0.25</v>
      </c>
      <c r="CX301" s="57">
        <f t="shared" si="150"/>
        <v>1</v>
      </c>
      <c r="CY301" s="57" t="s">
        <v>91</v>
      </c>
      <c r="CZ301" s="57">
        <f t="shared" si="151"/>
        <v>1</v>
      </c>
      <c r="DA301" s="30">
        <v>1</v>
      </c>
      <c r="DB301" s="54">
        <v>0.45</v>
      </c>
      <c r="DC301" s="57">
        <f t="shared" si="152"/>
        <v>1</v>
      </c>
      <c r="DD301" s="57" t="s">
        <v>92</v>
      </c>
      <c r="DE301" s="57">
        <f t="shared" si="153"/>
        <v>1</v>
      </c>
      <c r="DF301" s="55">
        <v>1</v>
      </c>
      <c r="DG301" s="57">
        <v>0.09</v>
      </c>
      <c r="DH301" s="57">
        <f t="shared" si="154"/>
        <v>1</v>
      </c>
      <c r="DI301" s="57" t="s">
        <v>93</v>
      </c>
      <c r="DJ301" s="57">
        <f t="shared" si="155"/>
        <v>1</v>
      </c>
      <c r="DK301" s="61">
        <v>1</v>
      </c>
      <c r="DL301" s="57"/>
      <c r="DM301" s="50" t="s">
        <v>94</v>
      </c>
      <c r="DN301" s="34" t="s">
        <v>95</v>
      </c>
      <c r="DO301" s="51"/>
      <c r="DP301" s="34">
        <f t="shared" si="156"/>
        <v>0</v>
      </c>
      <c r="DQ301" s="56" t="s">
        <v>96</v>
      </c>
      <c r="DR301" s="34">
        <v>20</v>
      </c>
      <c r="DS301" s="53"/>
      <c r="DT301" s="70">
        <f t="shared" si="157"/>
        <v>0</v>
      </c>
      <c r="DU301" s="56" t="s">
        <v>96</v>
      </c>
      <c r="DV301" s="34">
        <v>15</v>
      </c>
      <c r="DW301" s="55">
        <v>1.25</v>
      </c>
      <c r="DX301" s="51"/>
      <c r="DY301" s="34">
        <f>IF($B$14=EA301,1,0)</f>
        <v>0</v>
      </c>
      <c r="DZ301" s="56" t="s">
        <v>94</v>
      </c>
      <c r="EA301" s="34" t="s">
        <v>55</v>
      </c>
      <c r="EB301" s="51"/>
      <c r="EC301" s="34">
        <f t="shared" si="158"/>
        <v>0</v>
      </c>
      <c r="ED301" s="56" t="s">
        <v>96</v>
      </c>
      <c r="EE301" s="34">
        <v>20</v>
      </c>
      <c r="EF301" s="51"/>
      <c r="EG301" s="34">
        <f t="shared" si="159"/>
        <v>0</v>
      </c>
      <c r="EH301" s="31">
        <v>2</v>
      </c>
      <c r="EI301" s="31" t="s">
        <v>88</v>
      </c>
      <c r="EJ301" s="31">
        <f t="shared" si="160"/>
        <v>0</v>
      </c>
      <c r="EK301" s="31">
        <v>2</v>
      </c>
      <c r="EL301" s="31" t="s">
        <v>89</v>
      </c>
      <c r="EM301" s="71">
        <f t="shared" si="161"/>
        <v>0</v>
      </c>
      <c r="EN301" s="31">
        <v>2</v>
      </c>
      <c r="EO301" s="71" t="s">
        <v>90</v>
      </c>
      <c r="EP301" s="53"/>
      <c r="EQ301" s="57">
        <f>IF($B$15=ES301,1,0)</f>
        <v>0</v>
      </c>
      <c r="ER301" s="31">
        <v>1</v>
      </c>
      <c r="ES301" s="31" t="s">
        <v>33</v>
      </c>
      <c r="ET301" s="53"/>
      <c r="EU301" s="51"/>
      <c r="EV301" s="34">
        <f t="shared" si="162"/>
        <v>0</v>
      </c>
      <c r="EW301" s="56" t="s">
        <v>78</v>
      </c>
      <c r="EX301" s="34" t="s">
        <v>77</v>
      </c>
      <c r="EY301" s="53"/>
      <c r="EZ301" s="34">
        <f t="shared" si="163"/>
        <v>0</v>
      </c>
      <c r="FA301" s="56" t="s">
        <v>78</v>
      </c>
      <c r="FB301" s="34">
        <v>1</v>
      </c>
      <c r="FC301" s="53"/>
      <c r="FD301" s="34">
        <f>IF($B$16=FF301,1,0)</f>
        <v>0</v>
      </c>
      <c r="FE301" s="56" t="s">
        <v>94</v>
      </c>
      <c r="FF301" s="34" t="s">
        <v>55</v>
      </c>
      <c r="FG301" s="53"/>
      <c r="FH301" s="34">
        <f>IF($B$17=FJ301,1,0)</f>
        <v>0</v>
      </c>
      <c r="FI301" s="56" t="s">
        <v>81</v>
      </c>
      <c r="FJ301" s="55" t="s">
        <v>97</v>
      </c>
      <c r="FK301" s="57"/>
      <c r="FL301" s="61"/>
    </row>
    <row r="302" spans="52:168" ht="30" x14ac:dyDescent="0.25">
      <c r="AZ302" s="170" t="s">
        <v>98</v>
      </c>
      <c r="BA302" s="176">
        <f>IF(OR(C24="зависимая",C24=0),R13,IF((R13-BA304)&lt;5,BA304+5,R13))</f>
        <v>70</v>
      </c>
      <c r="BB302" s="171" t="s">
        <v>86</v>
      </c>
      <c r="BC302" s="57"/>
      <c r="BD302" s="57" t="s">
        <v>99</v>
      </c>
      <c r="BE302" s="180">
        <f>VLOOKUP(1,IF(BA310="IMI Hydronic",BY300:CA317,IF(BA310="Siemens",CB300:CD318,CE300:CG312)),2,0)</f>
        <v>15</v>
      </c>
      <c r="BF302" s="57"/>
      <c r="BG302" s="57"/>
      <c r="BH302" s="54" t="e">
        <f t="shared" si="133"/>
        <v>#VALUE!</v>
      </c>
      <c r="BI302" s="57">
        <v>25</v>
      </c>
      <c r="BJ302" s="57" t="e">
        <f t="shared" si="134"/>
        <v>#VALUE!</v>
      </c>
      <c r="BK302" s="57" t="e">
        <f t="shared" si="135"/>
        <v>#VALUE!</v>
      </c>
      <c r="BL302" s="57"/>
      <c r="BM302" s="57" t="e">
        <f t="shared" si="136"/>
        <v>#VALUE!</v>
      </c>
      <c r="BN302" s="57">
        <v>25</v>
      </c>
      <c r="BO302" s="57" t="e">
        <f t="shared" si="137"/>
        <v>#VALUE!</v>
      </c>
      <c r="BP302" s="61" t="e">
        <f t="shared" si="138"/>
        <v>#VALUE!</v>
      </c>
      <c r="BQ302" s="57" t="e">
        <f t="shared" si="139"/>
        <v>#VALUE!</v>
      </c>
      <c r="BR302" s="57">
        <v>25</v>
      </c>
      <c r="BS302" s="57" t="e">
        <f t="shared" si="140"/>
        <v>#VALUE!</v>
      </c>
      <c r="BT302" s="61" t="e">
        <f t="shared" si="141"/>
        <v>#VALUE!</v>
      </c>
      <c r="BU302" s="57"/>
      <c r="BV302" s="54"/>
      <c r="BW302" s="57"/>
      <c r="BX302" s="57"/>
      <c r="BY302" s="54">
        <f t="shared" si="142"/>
        <v>1</v>
      </c>
      <c r="BZ302" s="57">
        <v>15</v>
      </c>
      <c r="CA302" s="61">
        <v>4</v>
      </c>
      <c r="CB302" s="54">
        <f t="shared" si="143"/>
        <v>1</v>
      </c>
      <c r="CC302" s="57">
        <v>15</v>
      </c>
      <c r="CD302" s="61">
        <v>4</v>
      </c>
      <c r="CE302" s="57">
        <f t="shared" si="144"/>
        <v>1</v>
      </c>
      <c r="CF302" s="57">
        <v>15</v>
      </c>
      <c r="CG302" s="61">
        <v>4</v>
      </c>
      <c r="CH302" s="57"/>
      <c r="CI302" s="70">
        <v>10</v>
      </c>
      <c r="CJ302" s="54">
        <f t="shared" si="145"/>
        <v>1</v>
      </c>
      <c r="CK302" s="61" t="s">
        <v>100</v>
      </c>
      <c r="CL302" s="53">
        <f t="shared" si="146"/>
        <v>1</v>
      </c>
      <c r="CM302" s="53" t="s">
        <v>101</v>
      </c>
      <c r="CN302" s="54">
        <f t="shared" si="147"/>
        <v>1</v>
      </c>
      <c r="CO302" s="75" t="s">
        <v>102</v>
      </c>
      <c r="CP302" s="57"/>
      <c r="CQ302" s="57"/>
      <c r="CR302" s="54">
        <v>0.67</v>
      </c>
      <c r="CS302" s="57">
        <f t="shared" si="148"/>
        <v>1</v>
      </c>
      <c r="CT302" s="57" t="s">
        <v>92</v>
      </c>
      <c r="CU302" s="57">
        <f t="shared" si="149"/>
        <v>1</v>
      </c>
      <c r="CV302" s="30">
        <v>1</v>
      </c>
      <c r="CW302" s="54">
        <v>0.57499999999999996</v>
      </c>
      <c r="CX302" s="57">
        <f t="shared" si="150"/>
        <v>1</v>
      </c>
      <c r="CY302" s="57" t="s">
        <v>92</v>
      </c>
      <c r="CZ302" s="57">
        <f t="shared" si="151"/>
        <v>1</v>
      </c>
      <c r="DA302" s="30">
        <v>1</v>
      </c>
      <c r="DB302" s="54">
        <v>0.71</v>
      </c>
      <c r="DC302" s="57">
        <f t="shared" si="152"/>
        <v>1</v>
      </c>
      <c r="DD302" s="57" t="s">
        <v>92</v>
      </c>
      <c r="DE302" s="57">
        <f t="shared" si="153"/>
        <v>1</v>
      </c>
      <c r="DF302" s="55">
        <v>2</v>
      </c>
      <c r="DG302" s="57">
        <v>0.3</v>
      </c>
      <c r="DH302" s="57">
        <f t="shared" si="154"/>
        <v>1</v>
      </c>
      <c r="DI302" s="57" t="s">
        <v>92</v>
      </c>
      <c r="DJ302" s="57">
        <f t="shared" si="155"/>
        <v>1</v>
      </c>
      <c r="DK302" s="61">
        <v>1</v>
      </c>
      <c r="DL302" s="57"/>
      <c r="DM302" s="50"/>
      <c r="DN302" s="34"/>
      <c r="DO302" s="51"/>
      <c r="DP302" s="34">
        <f t="shared" si="156"/>
        <v>0</v>
      </c>
      <c r="DQ302" s="56" t="s">
        <v>103</v>
      </c>
      <c r="DR302" s="34">
        <v>25</v>
      </c>
      <c r="DS302" s="53"/>
      <c r="DT302" s="70">
        <f t="shared" si="157"/>
        <v>0</v>
      </c>
      <c r="DU302" s="56" t="s">
        <v>103</v>
      </c>
      <c r="DV302" s="34">
        <v>15</v>
      </c>
      <c r="DW302" s="55">
        <v>1.6</v>
      </c>
      <c r="DX302" s="51"/>
      <c r="DY302" s="34">
        <f>IF($B$14=EA302,1,0)</f>
        <v>0</v>
      </c>
      <c r="DZ302" s="56" t="s">
        <v>104</v>
      </c>
      <c r="EA302" s="34" t="s">
        <v>54</v>
      </c>
      <c r="EB302" s="51"/>
      <c r="EC302" s="34">
        <f t="shared" si="158"/>
        <v>0</v>
      </c>
      <c r="ED302" s="56" t="s">
        <v>103</v>
      </c>
      <c r="EE302" s="34">
        <v>25</v>
      </c>
      <c r="EF302" s="51"/>
      <c r="EG302" s="34">
        <f t="shared" si="159"/>
        <v>0</v>
      </c>
      <c r="EH302" s="31">
        <v>3</v>
      </c>
      <c r="EI302" s="31" t="s">
        <v>100</v>
      </c>
      <c r="EJ302" s="31">
        <f t="shared" si="160"/>
        <v>0</v>
      </c>
      <c r="EK302" s="31">
        <v>3</v>
      </c>
      <c r="EL302" s="31" t="s">
        <v>101</v>
      </c>
      <c r="EM302" s="71">
        <f t="shared" si="161"/>
        <v>0</v>
      </c>
      <c r="EN302" s="31">
        <v>3</v>
      </c>
      <c r="EO302" s="71" t="s">
        <v>102</v>
      </c>
      <c r="EP302" s="53"/>
      <c r="EQ302" s="57">
        <f>IF($B$15=ES302,1,0)</f>
        <v>0</v>
      </c>
      <c r="ER302" s="31">
        <v>2</v>
      </c>
      <c r="ES302" s="31" t="s">
        <v>34</v>
      </c>
      <c r="ET302" s="53"/>
      <c r="EU302" s="51"/>
      <c r="EV302" s="34">
        <f t="shared" si="162"/>
        <v>0</v>
      </c>
      <c r="EW302" s="56" t="s">
        <v>94</v>
      </c>
      <c r="EX302" s="34" t="s">
        <v>91</v>
      </c>
      <c r="EY302" s="53"/>
      <c r="EZ302" s="34">
        <f t="shared" si="163"/>
        <v>0</v>
      </c>
      <c r="FA302" s="56" t="s">
        <v>94</v>
      </c>
      <c r="FB302" s="34">
        <v>2</v>
      </c>
      <c r="FC302" s="53"/>
      <c r="FD302" s="34">
        <f>IF($B$16=FF302,1,0)</f>
        <v>0</v>
      </c>
      <c r="FE302" s="56" t="s">
        <v>104</v>
      </c>
      <c r="FF302" s="76" t="s">
        <v>54</v>
      </c>
      <c r="FG302" s="53"/>
      <c r="FH302" s="34"/>
      <c r="FI302" s="56"/>
      <c r="FJ302" s="55"/>
      <c r="FK302" s="57"/>
      <c r="FL302" s="61"/>
    </row>
    <row r="303" spans="52:168" x14ac:dyDescent="0.25">
      <c r="AZ303" s="170" t="s">
        <v>105</v>
      </c>
      <c r="BA303" s="176">
        <f>N14</f>
        <v>95</v>
      </c>
      <c r="BB303" s="171" t="s">
        <v>86</v>
      </c>
      <c r="BC303" s="57"/>
      <c r="BD303" s="57" t="s">
        <v>106</v>
      </c>
      <c r="BE303" s="180">
        <f>VLOOKUP(1,IF(BA310="IMI Hydronic",BY300:CA317,IF(BA310="Siemens",CB300:CD318,CE300:CG312)),3,0)</f>
        <v>1.6</v>
      </c>
      <c r="BF303" s="57"/>
      <c r="BG303" s="57"/>
      <c r="BH303" s="54" t="e">
        <f t="shared" si="133"/>
        <v>#VALUE!</v>
      </c>
      <c r="BI303" s="57">
        <v>32</v>
      </c>
      <c r="BJ303" s="57" t="e">
        <f t="shared" si="134"/>
        <v>#VALUE!</v>
      </c>
      <c r="BK303" s="57" t="e">
        <f t="shared" si="135"/>
        <v>#VALUE!</v>
      </c>
      <c r="BL303" s="57"/>
      <c r="BM303" s="57" t="e">
        <f t="shared" si="136"/>
        <v>#VALUE!</v>
      </c>
      <c r="BN303" s="57">
        <v>32</v>
      </c>
      <c r="BO303" s="57" t="e">
        <f t="shared" si="137"/>
        <v>#VALUE!</v>
      </c>
      <c r="BP303" s="61" t="e">
        <f t="shared" si="138"/>
        <v>#VALUE!</v>
      </c>
      <c r="BQ303" s="57" t="e">
        <f t="shared" si="139"/>
        <v>#VALUE!</v>
      </c>
      <c r="BR303" s="57">
        <v>32</v>
      </c>
      <c r="BS303" s="57" t="e">
        <f t="shared" si="140"/>
        <v>#VALUE!</v>
      </c>
      <c r="BT303" s="61" t="e">
        <f t="shared" si="141"/>
        <v>#VALUE!</v>
      </c>
      <c r="BU303" s="57"/>
      <c r="BV303" s="54"/>
      <c r="BW303" s="57"/>
      <c r="BX303" s="57"/>
      <c r="BY303" s="54">
        <f t="shared" si="142"/>
        <v>1</v>
      </c>
      <c r="BZ303" s="57">
        <v>20</v>
      </c>
      <c r="CA303" s="61">
        <v>6.3</v>
      </c>
      <c r="CB303" s="54">
        <f t="shared" si="143"/>
        <v>1</v>
      </c>
      <c r="CC303" s="57">
        <v>20</v>
      </c>
      <c r="CD303" s="61">
        <v>6.3</v>
      </c>
      <c r="CE303" s="57">
        <f t="shared" si="144"/>
        <v>1</v>
      </c>
      <c r="CF303" s="57">
        <v>20</v>
      </c>
      <c r="CG303" s="61">
        <v>6.3</v>
      </c>
      <c r="CH303" s="57"/>
      <c r="CI303" s="70">
        <v>14</v>
      </c>
      <c r="CJ303" s="54">
        <f t="shared" si="145"/>
        <v>1</v>
      </c>
      <c r="CK303" s="61" t="s">
        <v>107</v>
      </c>
      <c r="CL303" s="53">
        <f t="shared" si="146"/>
        <v>1</v>
      </c>
      <c r="CM303" s="53" t="s">
        <v>108</v>
      </c>
      <c r="CN303" s="54">
        <f t="shared" si="147"/>
        <v>1</v>
      </c>
      <c r="CO303" s="53" t="s">
        <v>109</v>
      </c>
      <c r="CP303" s="57"/>
      <c r="CQ303" s="57"/>
      <c r="CR303" s="54">
        <v>1</v>
      </c>
      <c r="CS303" s="57">
        <f t="shared" si="148"/>
        <v>1</v>
      </c>
      <c r="CT303" s="57" t="s">
        <v>92</v>
      </c>
      <c r="CU303" s="57">
        <f t="shared" si="149"/>
        <v>1</v>
      </c>
      <c r="CV303" s="30">
        <v>2</v>
      </c>
      <c r="CW303" s="54">
        <v>0.9</v>
      </c>
      <c r="CX303" s="57">
        <f t="shared" si="150"/>
        <v>1</v>
      </c>
      <c r="CY303" s="57" t="s">
        <v>92</v>
      </c>
      <c r="CZ303" s="57">
        <f t="shared" si="151"/>
        <v>1</v>
      </c>
      <c r="DA303" s="30">
        <v>2</v>
      </c>
      <c r="DB303" s="54">
        <v>0.95</v>
      </c>
      <c r="DC303" s="57">
        <f t="shared" si="152"/>
        <v>1</v>
      </c>
      <c r="DD303" s="57" t="s">
        <v>92</v>
      </c>
      <c r="DE303" s="57">
        <f t="shared" si="153"/>
        <v>1</v>
      </c>
      <c r="DF303" s="77">
        <v>3</v>
      </c>
      <c r="DG303" s="57">
        <v>0.48</v>
      </c>
      <c r="DH303" s="57">
        <f t="shared" si="154"/>
        <v>1</v>
      </c>
      <c r="DI303" s="57" t="s">
        <v>92</v>
      </c>
      <c r="DJ303" s="57">
        <f t="shared" si="155"/>
        <v>1</v>
      </c>
      <c r="DK303" s="61">
        <v>2</v>
      </c>
      <c r="DL303" s="57"/>
      <c r="DM303" s="50"/>
      <c r="DN303" s="34"/>
      <c r="DO303" s="51"/>
      <c r="DP303" s="34">
        <f t="shared" si="156"/>
        <v>0</v>
      </c>
      <c r="DQ303" s="56" t="s">
        <v>110</v>
      </c>
      <c r="DR303" s="34">
        <v>32</v>
      </c>
      <c r="DS303" s="53"/>
      <c r="DT303" s="70">
        <f t="shared" si="157"/>
        <v>0</v>
      </c>
      <c r="DU303" s="56" t="s">
        <v>110</v>
      </c>
      <c r="DV303" s="34">
        <v>15</v>
      </c>
      <c r="DW303" s="55">
        <v>2.5</v>
      </c>
      <c r="DX303" s="51"/>
      <c r="DY303" s="34"/>
      <c r="DZ303" s="56"/>
      <c r="EA303" s="34"/>
      <c r="EB303" s="51"/>
      <c r="EC303" s="34">
        <f t="shared" si="158"/>
        <v>0</v>
      </c>
      <c r="ED303" s="56" t="s">
        <v>110</v>
      </c>
      <c r="EE303" s="34">
        <v>32</v>
      </c>
      <c r="EF303" s="51"/>
      <c r="EG303" s="34">
        <f t="shared" si="159"/>
        <v>0</v>
      </c>
      <c r="EH303" s="76">
        <v>4</v>
      </c>
      <c r="EI303" s="31" t="s">
        <v>107</v>
      </c>
      <c r="EJ303" s="31">
        <f t="shared" si="160"/>
        <v>0</v>
      </c>
      <c r="EK303" s="76">
        <v>4</v>
      </c>
      <c r="EL303" s="31" t="s">
        <v>108</v>
      </c>
      <c r="EM303" s="71">
        <f t="shared" si="161"/>
        <v>0</v>
      </c>
      <c r="EN303" s="76">
        <v>4</v>
      </c>
      <c r="EO303" s="31" t="s">
        <v>109</v>
      </c>
      <c r="EP303" s="53"/>
      <c r="EQ303" s="57">
        <f>IF($B$15=ES303,1,0)</f>
        <v>0</v>
      </c>
      <c r="ER303" s="31">
        <v>3</v>
      </c>
      <c r="ES303" s="76" t="s">
        <v>35</v>
      </c>
      <c r="ET303" s="53"/>
      <c r="EU303" s="51"/>
      <c r="EV303" s="34">
        <f t="shared" si="162"/>
        <v>0</v>
      </c>
      <c r="EW303" s="56" t="s">
        <v>104</v>
      </c>
      <c r="EX303" s="76" t="s">
        <v>93</v>
      </c>
      <c r="EY303" s="53"/>
      <c r="EZ303" s="34">
        <f t="shared" si="163"/>
        <v>0</v>
      </c>
      <c r="FA303" s="56" t="s">
        <v>104</v>
      </c>
      <c r="FB303" s="34">
        <v>3</v>
      </c>
      <c r="FC303" s="53"/>
      <c r="FD303" s="34"/>
      <c r="FE303" s="57"/>
      <c r="FF303" s="57"/>
      <c r="FG303" s="53"/>
      <c r="FH303" s="34"/>
      <c r="FI303" s="56"/>
      <c r="FJ303" s="30"/>
      <c r="FK303" s="57"/>
      <c r="FL303" s="61"/>
    </row>
    <row r="304" spans="52:168" ht="30" x14ac:dyDescent="0.25">
      <c r="AZ304" s="170" t="s">
        <v>111</v>
      </c>
      <c r="BA304" s="176">
        <f>R14</f>
        <v>70</v>
      </c>
      <c r="BB304" s="171" t="s">
        <v>86</v>
      </c>
      <c r="BC304" s="57"/>
      <c r="BD304" s="78" t="s">
        <v>73</v>
      </c>
      <c r="BE304" s="179">
        <f>(BE300^2/BE303^2)*10</f>
        <v>43.402777777777779</v>
      </c>
      <c r="BF304" s="57"/>
      <c r="BG304" s="57"/>
      <c r="BH304" s="54" t="e">
        <f t="shared" si="133"/>
        <v>#VALUE!</v>
      </c>
      <c r="BI304" s="57">
        <v>40</v>
      </c>
      <c r="BJ304" s="57" t="e">
        <f t="shared" si="134"/>
        <v>#VALUE!</v>
      </c>
      <c r="BK304" s="57" t="e">
        <f t="shared" si="135"/>
        <v>#VALUE!</v>
      </c>
      <c r="BL304" s="57"/>
      <c r="BM304" s="57" t="e">
        <f t="shared" si="136"/>
        <v>#VALUE!</v>
      </c>
      <c r="BN304" s="57">
        <v>40</v>
      </c>
      <c r="BO304" s="57" t="e">
        <f t="shared" si="137"/>
        <v>#VALUE!</v>
      </c>
      <c r="BP304" s="61" t="e">
        <f t="shared" si="138"/>
        <v>#VALUE!</v>
      </c>
      <c r="BQ304" s="57" t="e">
        <f t="shared" si="139"/>
        <v>#VALUE!</v>
      </c>
      <c r="BR304" s="57">
        <v>40</v>
      </c>
      <c r="BS304" s="57" t="e">
        <f t="shared" si="140"/>
        <v>#VALUE!</v>
      </c>
      <c r="BT304" s="61" t="e">
        <f t="shared" si="141"/>
        <v>#VALUE!</v>
      </c>
      <c r="BU304" s="57"/>
      <c r="BV304" s="62"/>
      <c r="BW304" s="57"/>
      <c r="BX304" s="74"/>
      <c r="BY304" s="54">
        <f t="shared" si="142"/>
        <v>1</v>
      </c>
      <c r="BZ304" s="57">
        <v>25</v>
      </c>
      <c r="CA304" s="61">
        <v>10</v>
      </c>
      <c r="CB304" s="54">
        <f t="shared" si="143"/>
        <v>1</v>
      </c>
      <c r="CC304" s="57">
        <v>25</v>
      </c>
      <c r="CD304" s="61">
        <v>10</v>
      </c>
      <c r="CE304" s="57">
        <f t="shared" si="144"/>
        <v>1</v>
      </c>
      <c r="CF304" s="57">
        <v>25</v>
      </c>
      <c r="CG304" s="61">
        <v>10</v>
      </c>
      <c r="CH304" s="57"/>
      <c r="CI304" s="70">
        <v>25</v>
      </c>
      <c r="CJ304" s="54">
        <f t="shared" si="145"/>
        <v>1</v>
      </c>
      <c r="CK304" s="61" t="s">
        <v>112</v>
      </c>
      <c r="CL304" s="53">
        <f t="shared" si="146"/>
        <v>1</v>
      </c>
      <c r="CM304" s="53" t="s">
        <v>113</v>
      </c>
      <c r="CN304" s="54">
        <f t="shared" si="147"/>
        <v>1</v>
      </c>
      <c r="CO304" s="75" t="s">
        <v>114</v>
      </c>
      <c r="CP304" s="57"/>
      <c r="CQ304" s="57"/>
      <c r="CR304" s="54">
        <v>1.25</v>
      </c>
      <c r="CS304" s="57">
        <f t="shared" si="148"/>
        <v>1</v>
      </c>
      <c r="CT304" s="57" t="s">
        <v>92</v>
      </c>
      <c r="CU304" s="57">
        <f t="shared" si="149"/>
        <v>1</v>
      </c>
      <c r="CV304" s="30">
        <v>3</v>
      </c>
      <c r="CW304" s="54">
        <v>1.1599999999999999</v>
      </c>
      <c r="CX304" s="57">
        <f t="shared" si="150"/>
        <v>1</v>
      </c>
      <c r="CY304" s="57" t="s">
        <v>92</v>
      </c>
      <c r="CZ304" s="57">
        <f t="shared" si="151"/>
        <v>1</v>
      </c>
      <c r="DA304" s="30">
        <v>3</v>
      </c>
      <c r="DB304" s="54">
        <v>1.25</v>
      </c>
      <c r="DC304" s="57">
        <f t="shared" si="152"/>
        <v>1</v>
      </c>
      <c r="DD304" s="57" t="s">
        <v>92</v>
      </c>
      <c r="DE304" s="57">
        <f t="shared" si="153"/>
        <v>1</v>
      </c>
      <c r="DF304" s="77">
        <v>4</v>
      </c>
      <c r="DG304" s="57">
        <v>0.66</v>
      </c>
      <c r="DH304" s="57">
        <f t="shared" si="154"/>
        <v>1</v>
      </c>
      <c r="DI304" s="57" t="s">
        <v>92</v>
      </c>
      <c r="DJ304" s="57">
        <f t="shared" si="155"/>
        <v>1</v>
      </c>
      <c r="DK304" s="61">
        <v>3</v>
      </c>
      <c r="DL304" s="57"/>
      <c r="DM304" s="50"/>
      <c r="DN304" s="34"/>
      <c r="DO304" s="51"/>
      <c r="DP304" s="34">
        <f t="shared" si="156"/>
        <v>0</v>
      </c>
      <c r="DQ304" s="56" t="s">
        <v>115</v>
      </c>
      <c r="DR304" s="34">
        <v>40</v>
      </c>
      <c r="DS304" s="53"/>
      <c r="DT304" s="70">
        <f t="shared" si="157"/>
        <v>0</v>
      </c>
      <c r="DU304" s="56" t="s">
        <v>115</v>
      </c>
      <c r="DV304" s="34">
        <v>15</v>
      </c>
      <c r="DW304" s="55">
        <v>4</v>
      </c>
      <c r="DX304" s="51"/>
      <c r="DY304" s="34"/>
      <c r="DZ304" s="56"/>
      <c r="EA304" s="34"/>
      <c r="EB304" s="51"/>
      <c r="EC304" s="34">
        <f t="shared" si="158"/>
        <v>0</v>
      </c>
      <c r="ED304" s="56" t="s">
        <v>115</v>
      </c>
      <c r="EE304" s="34">
        <v>40</v>
      </c>
      <c r="EF304" s="51"/>
      <c r="EG304" s="34">
        <f t="shared" si="159"/>
        <v>0</v>
      </c>
      <c r="EH304" s="76">
        <v>5</v>
      </c>
      <c r="EI304" s="31" t="s">
        <v>112</v>
      </c>
      <c r="EJ304" s="31">
        <f t="shared" si="160"/>
        <v>0</v>
      </c>
      <c r="EK304" s="76">
        <v>5</v>
      </c>
      <c r="EL304" s="31" t="s">
        <v>113</v>
      </c>
      <c r="EM304" s="71">
        <f t="shared" si="161"/>
        <v>0</v>
      </c>
      <c r="EN304" s="76">
        <v>5</v>
      </c>
      <c r="EO304" s="71" t="s">
        <v>114</v>
      </c>
      <c r="EP304" s="53"/>
      <c r="EQ304" s="57"/>
      <c r="ER304" s="57"/>
      <c r="ES304" s="57"/>
      <c r="ET304" s="53"/>
      <c r="EU304" s="51"/>
      <c r="EV304" s="34">
        <f t="shared" si="162"/>
        <v>0</v>
      </c>
      <c r="EW304" s="56" t="s">
        <v>116</v>
      </c>
      <c r="EX304" s="34" t="s">
        <v>92</v>
      </c>
      <c r="EY304" s="53"/>
      <c r="EZ304" s="34">
        <f t="shared" si="163"/>
        <v>0</v>
      </c>
      <c r="FA304" s="56" t="s">
        <v>116</v>
      </c>
      <c r="FB304" s="34">
        <v>4</v>
      </c>
      <c r="FC304" s="53"/>
      <c r="FD304" s="34"/>
      <c r="FE304" s="56"/>
      <c r="FF304" s="34"/>
      <c r="FG304" s="53"/>
      <c r="FH304" s="34"/>
      <c r="FI304" s="56"/>
      <c r="FJ304" s="55"/>
      <c r="FK304" s="57"/>
      <c r="FL304" s="61"/>
    </row>
    <row r="305" spans="52:168" ht="30" x14ac:dyDescent="0.25">
      <c r="AZ305" s="170" t="s">
        <v>117</v>
      </c>
      <c r="BA305" s="176">
        <f>W13*100</f>
        <v>60</v>
      </c>
      <c r="BB305" s="171" t="s">
        <v>118</v>
      </c>
      <c r="BC305" s="57"/>
      <c r="BD305" s="34" t="str">
        <f>IF(C24="ЗАВИСИМАЯ","ОТСУТСТВУЕТ",VLOOKUP(1,IF(BA301=150,CS300:CT307,IF(BA301=130,CX300:CY307,IF(BA301=115,DC300:DD306,IF(BA301=105,DH300:DI309,0)))),2,0))</f>
        <v>ОТСУТСТВУЕТ</v>
      </c>
      <c r="BE305" s="180" t="str">
        <f>IF(C24="ЗАВИСИМАЯ","ОТСУТСТВУЕТ",VLOOKUP(1,IF(BA301=150,CU300:CV307,IF(BA301=130,CZ300:DA307,IF(BA301=115,DE300:DF306,IF(BA301=105,DJ300:DK309,0)))),2,0))</f>
        <v>ОТСУТСТВУЕТ</v>
      </c>
      <c r="BF305" s="57"/>
      <c r="BG305" s="57"/>
      <c r="BH305" s="54" t="e">
        <f t="shared" si="133"/>
        <v>#VALUE!</v>
      </c>
      <c r="BI305" s="57">
        <v>50</v>
      </c>
      <c r="BJ305" s="57" t="e">
        <f t="shared" si="134"/>
        <v>#VALUE!</v>
      </c>
      <c r="BK305" s="57" t="e">
        <f t="shared" si="135"/>
        <v>#VALUE!</v>
      </c>
      <c r="BL305" s="57"/>
      <c r="BM305" s="57" t="e">
        <f t="shared" si="136"/>
        <v>#VALUE!</v>
      </c>
      <c r="BN305" s="57">
        <v>50</v>
      </c>
      <c r="BO305" s="57" t="e">
        <f t="shared" si="137"/>
        <v>#VALUE!</v>
      </c>
      <c r="BP305" s="61" t="e">
        <f t="shared" si="138"/>
        <v>#VALUE!</v>
      </c>
      <c r="BQ305" s="57" t="e">
        <f t="shared" si="139"/>
        <v>#VALUE!</v>
      </c>
      <c r="BR305" s="57">
        <v>50</v>
      </c>
      <c r="BS305" s="57" t="e">
        <f t="shared" si="140"/>
        <v>#VALUE!</v>
      </c>
      <c r="BT305" s="61" t="e">
        <f t="shared" si="141"/>
        <v>#VALUE!</v>
      </c>
      <c r="BU305" s="57"/>
      <c r="BV305" s="62"/>
      <c r="BW305" s="74"/>
      <c r="BX305" s="57"/>
      <c r="BY305" s="54">
        <f t="shared" si="142"/>
        <v>1</v>
      </c>
      <c r="BZ305" s="57">
        <v>32</v>
      </c>
      <c r="CA305" s="61">
        <v>16</v>
      </c>
      <c r="CB305" s="54">
        <f t="shared" si="143"/>
        <v>1</v>
      </c>
      <c r="CC305" s="57">
        <v>32</v>
      </c>
      <c r="CD305" s="61">
        <v>16</v>
      </c>
      <c r="CE305" s="57">
        <f t="shared" si="144"/>
        <v>1</v>
      </c>
      <c r="CF305" s="57">
        <v>32</v>
      </c>
      <c r="CG305" s="61">
        <v>16</v>
      </c>
      <c r="CH305" s="57"/>
      <c r="CI305" s="70">
        <v>30</v>
      </c>
      <c r="CJ305" s="54">
        <f t="shared" si="145"/>
        <v>1</v>
      </c>
      <c r="CK305" s="61" t="s">
        <v>119</v>
      </c>
      <c r="CL305" s="53">
        <f t="shared" si="146"/>
        <v>1</v>
      </c>
      <c r="CM305" s="53" t="s">
        <v>120</v>
      </c>
      <c r="CN305" s="54">
        <f t="shared" si="147"/>
        <v>1</v>
      </c>
      <c r="CO305" s="75" t="s">
        <v>121</v>
      </c>
      <c r="CP305" s="57"/>
      <c r="CQ305" s="57"/>
      <c r="CR305" s="54">
        <v>1.3</v>
      </c>
      <c r="CS305" s="57">
        <f t="shared" si="148"/>
        <v>1</v>
      </c>
      <c r="CT305" s="57" t="s">
        <v>92</v>
      </c>
      <c r="CU305" s="57">
        <f t="shared" si="149"/>
        <v>1</v>
      </c>
      <c r="CV305" s="30">
        <v>4</v>
      </c>
      <c r="CW305" s="54">
        <v>1.3</v>
      </c>
      <c r="CX305" s="57">
        <f t="shared" si="150"/>
        <v>1</v>
      </c>
      <c r="CY305" s="57" t="s">
        <v>92</v>
      </c>
      <c r="CZ305" s="57">
        <f t="shared" si="151"/>
        <v>1</v>
      </c>
      <c r="DA305" s="30">
        <v>4</v>
      </c>
      <c r="DB305" s="54">
        <v>1.8</v>
      </c>
      <c r="DC305" s="57">
        <f t="shared" si="152"/>
        <v>1</v>
      </c>
      <c r="DD305" s="57" t="s">
        <v>122</v>
      </c>
      <c r="DE305" s="57">
        <f t="shared" si="153"/>
        <v>1</v>
      </c>
      <c r="DF305" s="77">
        <v>2</v>
      </c>
      <c r="DG305" s="57">
        <v>0.91</v>
      </c>
      <c r="DH305" s="57">
        <f t="shared" si="154"/>
        <v>1</v>
      </c>
      <c r="DI305" s="57" t="s">
        <v>92</v>
      </c>
      <c r="DJ305" s="57">
        <f t="shared" si="155"/>
        <v>1</v>
      </c>
      <c r="DK305" s="61">
        <v>4</v>
      </c>
      <c r="DL305" s="57"/>
      <c r="DM305" s="50"/>
      <c r="DN305" s="34"/>
      <c r="DO305" s="51"/>
      <c r="DP305" s="34">
        <f t="shared" si="156"/>
        <v>0</v>
      </c>
      <c r="DQ305" s="56" t="s">
        <v>123</v>
      </c>
      <c r="DR305" s="34">
        <v>50</v>
      </c>
      <c r="DS305" s="53"/>
      <c r="DT305" s="70">
        <f t="shared" si="157"/>
        <v>0</v>
      </c>
      <c r="DU305" s="56" t="s">
        <v>123</v>
      </c>
      <c r="DV305" s="34">
        <v>20</v>
      </c>
      <c r="DW305" s="55">
        <v>5</v>
      </c>
      <c r="DX305" s="51"/>
      <c r="DY305" s="34"/>
      <c r="DZ305" s="56"/>
      <c r="EA305" s="34"/>
      <c r="EB305" s="51"/>
      <c r="EC305" s="34">
        <f t="shared" si="158"/>
        <v>0</v>
      </c>
      <c r="ED305" s="56" t="s">
        <v>123</v>
      </c>
      <c r="EE305" s="34">
        <v>50</v>
      </c>
      <c r="EF305" s="51"/>
      <c r="EG305" s="34">
        <f t="shared" si="159"/>
        <v>0</v>
      </c>
      <c r="EH305" s="76">
        <v>6</v>
      </c>
      <c r="EI305" s="31" t="s">
        <v>119</v>
      </c>
      <c r="EJ305" s="31">
        <f t="shared" si="160"/>
        <v>0</v>
      </c>
      <c r="EK305" s="76">
        <v>6</v>
      </c>
      <c r="EL305" s="31" t="s">
        <v>120</v>
      </c>
      <c r="EM305" s="71">
        <f t="shared" si="161"/>
        <v>0</v>
      </c>
      <c r="EN305" s="76">
        <v>6</v>
      </c>
      <c r="EO305" s="71" t="s">
        <v>121</v>
      </c>
      <c r="EP305" s="53"/>
      <c r="EQ305" s="57"/>
      <c r="ER305" s="57"/>
      <c r="ES305" s="57"/>
      <c r="ET305" s="53"/>
      <c r="EU305" s="51"/>
      <c r="EV305" s="34">
        <f t="shared" si="162"/>
        <v>0</v>
      </c>
      <c r="EW305" s="56" t="s">
        <v>124</v>
      </c>
      <c r="EX305" s="34" t="s">
        <v>122</v>
      </c>
      <c r="EY305" s="53"/>
      <c r="EZ305" s="34">
        <f t="shared" si="163"/>
        <v>0</v>
      </c>
      <c r="FA305" s="56" t="s">
        <v>124</v>
      </c>
      <c r="FB305" s="34">
        <v>5</v>
      </c>
      <c r="FC305" s="53"/>
      <c r="FD305" s="34"/>
      <c r="FE305" s="56"/>
      <c r="FF305" s="34"/>
      <c r="FG305" s="53"/>
      <c r="FH305" s="34"/>
      <c r="FI305" s="56"/>
      <c r="FJ305" s="55"/>
      <c r="FK305" s="57"/>
      <c r="FL305" s="61"/>
    </row>
    <row r="306" spans="52:168" ht="30" x14ac:dyDescent="0.25">
      <c r="AZ306" s="170" t="s">
        <v>125</v>
      </c>
      <c r="BA306" s="176">
        <f>AC13*100</f>
        <v>40</v>
      </c>
      <c r="BB306" s="171" t="s">
        <v>118</v>
      </c>
      <c r="BC306" s="57"/>
      <c r="BD306" s="57"/>
      <c r="BE306" s="57"/>
      <c r="BF306" s="57"/>
      <c r="BG306" s="57"/>
      <c r="BH306" s="54" t="e">
        <f t="shared" si="133"/>
        <v>#VALUE!</v>
      </c>
      <c r="BI306" s="57">
        <v>65</v>
      </c>
      <c r="BJ306" s="57" t="e">
        <f t="shared" si="134"/>
        <v>#VALUE!</v>
      </c>
      <c r="BK306" s="57" t="e">
        <f t="shared" si="135"/>
        <v>#VALUE!</v>
      </c>
      <c r="BL306" s="57"/>
      <c r="BM306" s="57" t="e">
        <f t="shared" si="136"/>
        <v>#VALUE!</v>
      </c>
      <c r="BN306" s="57">
        <v>65</v>
      </c>
      <c r="BO306" s="57" t="e">
        <f t="shared" si="137"/>
        <v>#VALUE!</v>
      </c>
      <c r="BP306" s="61" t="e">
        <f t="shared" si="138"/>
        <v>#VALUE!</v>
      </c>
      <c r="BQ306" s="57" t="e">
        <f t="shared" si="139"/>
        <v>#VALUE!</v>
      </c>
      <c r="BR306" s="57">
        <v>65</v>
      </c>
      <c r="BS306" s="57" t="e">
        <f t="shared" si="140"/>
        <v>#VALUE!</v>
      </c>
      <c r="BT306" s="61" t="e">
        <f t="shared" si="141"/>
        <v>#VALUE!</v>
      </c>
      <c r="BU306" s="57"/>
      <c r="BV306" s="54"/>
      <c r="BW306" s="57"/>
      <c r="BX306" s="57"/>
      <c r="BY306" s="54">
        <f t="shared" si="142"/>
        <v>1</v>
      </c>
      <c r="BZ306" s="57">
        <v>40</v>
      </c>
      <c r="CA306" s="61">
        <v>20</v>
      </c>
      <c r="CB306" s="54">
        <f t="shared" si="143"/>
        <v>1</v>
      </c>
      <c r="CC306" s="57">
        <v>40</v>
      </c>
      <c r="CD306" s="61">
        <v>25</v>
      </c>
      <c r="CE306" s="57">
        <f t="shared" si="144"/>
        <v>1</v>
      </c>
      <c r="CF306" s="57">
        <v>40</v>
      </c>
      <c r="CG306" s="61">
        <v>25</v>
      </c>
      <c r="CH306" s="57"/>
      <c r="CI306" s="70">
        <v>40</v>
      </c>
      <c r="CJ306" s="54">
        <f t="shared" si="145"/>
        <v>1</v>
      </c>
      <c r="CK306" s="61" t="s">
        <v>126</v>
      </c>
      <c r="CL306" s="53">
        <f t="shared" si="146"/>
        <v>1</v>
      </c>
      <c r="CM306" s="53" t="s">
        <v>127</v>
      </c>
      <c r="CN306" s="54">
        <f t="shared" si="147"/>
        <v>1</v>
      </c>
      <c r="CO306" s="75" t="s">
        <v>128</v>
      </c>
      <c r="CP306" s="57"/>
      <c r="CQ306" s="57"/>
      <c r="CR306" s="54">
        <v>1.65</v>
      </c>
      <c r="CS306" s="57">
        <f t="shared" si="148"/>
        <v>1</v>
      </c>
      <c r="CT306" s="57" t="s">
        <v>122</v>
      </c>
      <c r="CU306" s="57">
        <f t="shared" si="149"/>
        <v>1</v>
      </c>
      <c r="CV306" s="30">
        <v>1</v>
      </c>
      <c r="CW306" s="54">
        <v>1.4</v>
      </c>
      <c r="CX306" s="57">
        <f t="shared" si="150"/>
        <v>1</v>
      </c>
      <c r="CY306" s="57" t="s">
        <v>122</v>
      </c>
      <c r="CZ306" s="57">
        <f t="shared" si="151"/>
        <v>1</v>
      </c>
      <c r="DA306" s="30">
        <v>1</v>
      </c>
      <c r="DB306" s="54">
        <v>2.0009999999999999</v>
      </c>
      <c r="DC306" s="57">
        <f t="shared" si="152"/>
        <v>1</v>
      </c>
      <c r="DD306" s="57" t="s">
        <v>129</v>
      </c>
      <c r="DE306" s="57">
        <f t="shared" si="153"/>
        <v>1</v>
      </c>
      <c r="DF306" s="77">
        <v>1</v>
      </c>
      <c r="DG306" s="57">
        <v>1.1000000000000001</v>
      </c>
      <c r="DH306" s="57">
        <f t="shared" si="154"/>
        <v>1</v>
      </c>
      <c r="DI306" s="57" t="s">
        <v>92</v>
      </c>
      <c r="DJ306" s="57">
        <f t="shared" si="155"/>
        <v>1</v>
      </c>
      <c r="DK306" s="61">
        <v>5</v>
      </c>
      <c r="DL306" s="57"/>
      <c r="DM306" s="50"/>
      <c r="DN306" s="34"/>
      <c r="DO306" s="51"/>
      <c r="DP306" s="34">
        <f t="shared" si="156"/>
        <v>0</v>
      </c>
      <c r="DQ306" s="56" t="s">
        <v>130</v>
      </c>
      <c r="DR306" s="34">
        <v>65</v>
      </c>
      <c r="DS306" s="53"/>
      <c r="DT306" s="70">
        <f t="shared" si="157"/>
        <v>0</v>
      </c>
      <c r="DU306" s="56" t="s">
        <v>130</v>
      </c>
      <c r="DV306" s="34">
        <v>20</v>
      </c>
      <c r="DW306" s="55">
        <v>6.3</v>
      </c>
      <c r="DX306" s="51"/>
      <c r="DY306" s="34"/>
      <c r="DZ306" s="56"/>
      <c r="EA306" s="34"/>
      <c r="EB306" s="51"/>
      <c r="EC306" s="34">
        <f t="shared" si="158"/>
        <v>0</v>
      </c>
      <c r="ED306" s="56" t="s">
        <v>130</v>
      </c>
      <c r="EE306" s="34">
        <v>65</v>
      </c>
      <c r="EF306" s="51"/>
      <c r="EG306" s="34">
        <f t="shared" si="159"/>
        <v>0</v>
      </c>
      <c r="EH306" s="76">
        <v>7</v>
      </c>
      <c r="EI306" s="31" t="s">
        <v>126</v>
      </c>
      <c r="EJ306" s="31">
        <f t="shared" si="160"/>
        <v>0</v>
      </c>
      <c r="EK306" s="76">
        <v>7</v>
      </c>
      <c r="EL306" s="31" t="s">
        <v>127</v>
      </c>
      <c r="EM306" s="71">
        <f t="shared" si="161"/>
        <v>0</v>
      </c>
      <c r="EN306" s="76">
        <v>7</v>
      </c>
      <c r="EO306" s="71" t="s">
        <v>128</v>
      </c>
      <c r="EP306" s="53"/>
      <c r="EQ306" s="57"/>
      <c r="ER306" s="57"/>
      <c r="ES306" s="57"/>
      <c r="ET306" s="53"/>
      <c r="EU306" s="51"/>
      <c r="EV306" s="34">
        <f t="shared" si="162"/>
        <v>0</v>
      </c>
      <c r="EW306" s="56" t="s">
        <v>131</v>
      </c>
      <c r="EX306" s="34" t="s">
        <v>129</v>
      </c>
      <c r="EY306" s="53"/>
      <c r="EZ306" s="34"/>
      <c r="FA306" s="56"/>
      <c r="FB306" s="34"/>
      <c r="FC306" s="53"/>
      <c r="FD306" s="34"/>
      <c r="FE306" s="56"/>
      <c r="FF306" s="34"/>
      <c r="FG306" s="53"/>
      <c r="FH306" s="34"/>
      <c r="FI306" s="56"/>
      <c r="FJ306" s="55"/>
      <c r="FK306" s="57"/>
      <c r="FL306" s="61"/>
    </row>
    <row r="307" spans="52:168" x14ac:dyDescent="0.25">
      <c r="AZ307" s="172" t="s">
        <v>132</v>
      </c>
      <c r="BA307" s="176">
        <f>Z14</f>
        <v>0</v>
      </c>
      <c r="BB307" s="171" t="s">
        <v>118</v>
      </c>
      <c r="BC307" s="57"/>
      <c r="BD307" s="57" t="s">
        <v>133</v>
      </c>
      <c r="BE307" s="179">
        <f>BA300*1000/(BA303-BA304)</f>
        <v>8</v>
      </c>
      <c r="BF307" s="57"/>
      <c r="BG307" s="57"/>
      <c r="BH307" s="54" t="e">
        <f t="shared" si="133"/>
        <v>#VALUE!</v>
      </c>
      <c r="BI307" s="57">
        <v>80</v>
      </c>
      <c r="BJ307" s="57" t="e">
        <f t="shared" si="134"/>
        <v>#VALUE!</v>
      </c>
      <c r="BK307" s="57" t="e">
        <f t="shared" si="135"/>
        <v>#VALUE!</v>
      </c>
      <c r="BL307" s="57"/>
      <c r="BM307" s="57" t="e">
        <f t="shared" si="136"/>
        <v>#VALUE!</v>
      </c>
      <c r="BN307" s="57">
        <v>80</v>
      </c>
      <c r="BO307" s="57" t="e">
        <f t="shared" si="137"/>
        <v>#VALUE!</v>
      </c>
      <c r="BP307" s="61" t="e">
        <f t="shared" si="138"/>
        <v>#VALUE!</v>
      </c>
      <c r="BQ307" s="57" t="e">
        <f t="shared" si="139"/>
        <v>#VALUE!</v>
      </c>
      <c r="BR307" s="57">
        <v>80</v>
      </c>
      <c r="BS307" s="57" t="e">
        <f t="shared" si="140"/>
        <v>#VALUE!</v>
      </c>
      <c r="BT307" s="61" t="e">
        <f t="shared" si="141"/>
        <v>#VALUE!</v>
      </c>
      <c r="BU307" s="57"/>
      <c r="BV307" s="54"/>
      <c r="BW307" s="57"/>
      <c r="BX307" s="74"/>
      <c r="BY307" s="54">
        <f t="shared" si="142"/>
        <v>1</v>
      </c>
      <c r="BZ307" s="57">
        <v>40</v>
      </c>
      <c r="CA307" s="61">
        <v>25</v>
      </c>
      <c r="CB307" s="54">
        <f t="shared" si="143"/>
        <v>1</v>
      </c>
      <c r="CC307" s="57">
        <v>50</v>
      </c>
      <c r="CD307" s="61">
        <v>31.5</v>
      </c>
      <c r="CE307" s="57">
        <f t="shared" si="144"/>
        <v>1</v>
      </c>
      <c r="CF307" s="57">
        <v>50</v>
      </c>
      <c r="CG307" s="61">
        <v>40</v>
      </c>
      <c r="CH307" s="57"/>
      <c r="CI307" s="70">
        <v>50</v>
      </c>
      <c r="CJ307" s="54">
        <f t="shared" si="145"/>
        <v>1</v>
      </c>
      <c r="CK307" s="61" t="s">
        <v>134</v>
      </c>
      <c r="CL307" s="53">
        <f t="shared" si="146"/>
        <v>1</v>
      </c>
      <c r="CM307" s="53" t="s">
        <v>135</v>
      </c>
      <c r="CN307" s="54">
        <f t="shared" si="147"/>
        <v>1</v>
      </c>
      <c r="CO307" s="53" t="s">
        <v>135</v>
      </c>
      <c r="CP307" s="57"/>
      <c r="CQ307" s="57"/>
      <c r="CR307" s="54">
        <v>2.0009999999999999</v>
      </c>
      <c r="CS307" s="57">
        <f t="shared" si="148"/>
        <v>1</v>
      </c>
      <c r="CT307" s="57" t="s">
        <v>122</v>
      </c>
      <c r="CU307" s="57">
        <f t="shared" si="149"/>
        <v>1</v>
      </c>
      <c r="CV307" s="30">
        <v>2</v>
      </c>
      <c r="CW307" s="54">
        <v>2.0009999999999999</v>
      </c>
      <c r="CX307" s="57">
        <f t="shared" si="150"/>
        <v>1</v>
      </c>
      <c r="CY307" s="57" t="s">
        <v>122</v>
      </c>
      <c r="CZ307" s="57">
        <f t="shared" si="151"/>
        <v>1</v>
      </c>
      <c r="DA307" s="30">
        <v>2</v>
      </c>
      <c r="DB307" s="54"/>
      <c r="DC307" s="57"/>
      <c r="DD307" s="57"/>
      <c r="DE307" s="57"/>
      <c r="DF307" s="61"/>
      <c r="DG307" s="57">
        <v>1.3</v>
      </c>
      <c r="DH307" s="57">
        <f t="shared" si="154"/>
        <v>1</v>
      </c>
      <c r="DI307" s="57" t="s">
        <v>122</v>
      </c>
      <c r="DJ307" s="57">
        <f t="shared" si="155"/>
        <v>1</v>
      </c>
      <c r="DK307" s="61">
        <v>2</v>
      </c>
      <c r="DL307" s="57"/>
      <c r="DM307" s="50"/>
      <c r="DN307" s="34"/>
      <c r="DO307" s="51"/>
      <c r="DP307" s="34">
        <f t="shared" si="156"/>
        <v>0</v>
      </c>
      <c r="DQ307" s="56" t="s">
        <v>136</v>
      </c>
      <c r="DR307" s="34">
        <v>80</v>
      </c>
      <c r="DS307" s="53"/>
      <c r="DT307" s="70">
        <f t="shared" si="157"/>
        <v>0</v>
      </c>
      <c r="DU307" s="56" t="s">
        <v>136</v>
      </c>
      <c r="DV307" s="34">
        <v>25</v>
      </c>
      <c r="DW307" s="55">
        <v>8</v>
      </c>
      <c r="DX307" s="51"/>
      <c r="DY307" s="34"/>
      <c r="DZ307" s="56"/>
      <c r="EA307" s="34"/>
      <c r="EB307" s="51"/>
      <c r="EC307" s="34">
        <f t="shared" si="158"/>
        <v>0</v>
      </c>
      <c r="ED307" s="56" t="s">
        <v>136</v>
      </c>
      <c r="EE307" s="34">
        <v>80</v>
      </c>
      <c r="EF307" s="51"/>
      <c r="EG307" s="34">
        <f t="shared" si="159"/>
        <v>0</v>
      </c>
      <c r="EH307" s="76">
        <v>8</v>
      </c>
      <c r="EI307" s="31" t="s">
        <v>134</v>
      </c>
      <c r="EJ307" s="31"/>
      <c r="EK307" s="31"/>
      <c r="EL307" s="31"/>
      <c r="EM307" s="31"/>
      <c r="EN307" s="31"/>
      <c r="EO307" s="31"/>
      <c r="EP307" s="53"/>
      <c r="EQ307" s="57"/>
      <c r="ER307" s="57"/>
      <c r="ES307" s="57"/>
      <c r="ET307" s="53"/>
      <c r="EU307" s="51"/>
      <c r="EV307" s="34"/>
      <c r="EW307" s="56"/>
      <c r="EX307" s="34"/>
      <c r="EY307" s="53"/>
      <c r="EZ307" s="34"/>
      <c r="FA307" s="56"/>
      <c r="FB307" s="34"/>
      <c r="FC307" s="53"/>
      <c r="FD307" s="34"/>
      <c r="FE307" s="56"/>
      <c r="FF307" s="34"/>
      <c r="FG307" s="53"/>
      <c r="FH307" s="34"/>
      <c r="FI307" s="56"/>
      <c r="FJ307" s="55"/>
      <c r="FK307" s="57"/>
      <c r="FL307" s="61"/>
    </row>
    <row r="308" spans="52:168" x14ac:dyDescent="0.25">
      <c r="AZ308" s="172" t="s">
        <v>137</v>
      </c>
      <c r="BA308" s="57">
        <f>BA305-BA306</f>
        <v>20</v>
      </c>
      <c r="BB308" s="171" t="s">
        <v>118</v>
      </c>
      <c r="BC308" s="57"/>
      <c r="BD308" s="57" t="s">
        <v>51</v>
      </c>
      <c r="BE308" s="180" t="e">
        <f>VLOOKUP(1,BM300:BP313,2,0)</f>
        <v>#N/A</v>
      </c>
      <c r="BF308" s="57"/>
      <c r="BG308" s="57"/>
      <c r="BH308" s="54" t="e">
        <f t="shared" si="133"/>
        <v>#VALUE!</v>
      </c>
      <c r="BI308" s="57">
        <v>100</v>
      </c>
      <c r="BJ308" s="57" t="e">
        <f t="shared" si="134"/>
        <v>#VALUE!</v>
      </c>
      <c r="BK308" s="57" t="e">
        <f t="shared" si="135"/>
        <v>#VALUE!</v>
      </c>
      <c r="BL308" s="57"/>
      <c r="BM308" s="57" t="e">
        <f t="shared" si="136"/>
        <v>#VALUE!</v>
      </c>
      <c r="BN308" s="57">
        <v>100</v>
      </c>
      <c r="BO308" s="57" t="e">
        <f t="shared" si="137"/>
        <v>#VALUE!</v>
      </c>
      <c r="BP308" s="61" t="e">
        <f t="shared" si="138"/>
        <v>#VALUE!</v>
      </c>
      <c r="BQ308" s="57" t="e">
        <f t="shared" si="139"/>
        <v>#VALUE!</v>
      </c>
      <c r="BR308" s="57">
        <v>100</v>
      </c>
      <c r="BS308" s="57" t="e">
        <f t="shared" si="140"/>
        <v>#VALUE!</v>
      </c>
      <c r="BT308" s="61" t="e">
        <f t="shared" si="141"/>
        <v>#VALUE!</v>
      </c>
      <c r="BU308" s="57"/>
      <c r="BV308" s="62"/>
      <c r="BW308" s="57"/>
      <c r="BX308" s="57"/>
      <c r="BY308" s="54">
        <f t="shared" si="142"/>
        <v>1</v>
      </c>
      <c r="BZ308" s="57">
        <v>50</v>
      </c>
      <c r="CA308" s="61">
        <v>31.5</v>
      </c>
      <c r="CB308" s="54">
        <f t="shared" si="143"/>
        <v>1</v>
      </c>
      <c r="CC308" s="57">
        <v>50</v>
      </c>
      <c r="CD308" s="61">
        <v>40</v>
      </c>
      <c r="CE308" s="57">
        <f t="shared" si="144"/>
        <v>1</v>
      </c>
      <c r="CF308" s="57">
        <v>65</v>
      </c>
      <c r="CG308" s="61">
        <v>63</v>
      </c>
      <c r="CH308" s="57"/>
      <c r="CI308" s="70">
        <v>60</v>
      </c>
      <c r="CJ308" s="54">
        <f t="shared" si="145"/>
        <v>1</v>
      </c>
      <c r="CK308" s="61" t="s">
        <v>135</v>
      </c>
      <c r="CL308" s="53">
        <f t="shared" si="146"/>
        <v>1</v>
      </c>
      <c r="CM308" s="81" t="s">
        <v>135</v>
      </c>
      <c r="CN308" s="54">
        <f t="shared" si="147"/>
        <v>1</v>
      </c>
      <c r="CO308" s="81" t="s">
        <v>135</v>
      </c>
      <c r="CP308" s="57"/>
      <c r="CQ308" s="57"/>
      <c r="CR308" s="54"/>
      <c r="CS308" s="57"/>
      <c r="CT308" s="57"/>
      <c r="CU308" s="57"/>
      <c r="CV308" s="30"/>
      <c r="CW308" s="54"/>
      <c r="CX308" s="57"/>
      <c r="CY308" s="57"/>
      <c r="CZ308" s="57"/>
      <c r="DA308" s="61"/>
      <c r="DB308" s="54"/>
      <c r="DC308" s="57"/>
      <c r="DD308" s="57"/>
      <c r="DE308" s="57"/>
      <c r="DF308" s="61"/>
      <c r="DG308" s="57">
        <v>1.45</v>
      </c>
      <c r="DH308" s="57">
        <f t="shared" si="154"/>
        <v>1</v>
      </c>
      <c r="DI308" s="57" t="s">
        <v>129</v>
      </c>
      <c r="DJ308" s="57">
        <f t="shared" si="155"/>
        <v>1</v>
      </c>
      <c r="DK308" s="61">
        <v>1</v>
      </c>
      <c r="DL308" s="57"/>
      <c r="DM308" s="50"/>
      <c r="DN308" s="34"/>
      <c r="DO308" s="51"/>
      <c r="DP308" s="34">
        <f t="shared" si="156"/>
        <v>0</v>
      </c>
      <c r="DQ308" s="56" t="s">
        <v>138</v>
      </c>
      <c r="DR308" s="34">
        <v>100</v>
      </c>
      <c r="DS308" s="53"/>
      <c r="DT308" s="70">
        <f t="shared" si="157"/>
        <v>0</v>
      </c>
      <c r="DU308" s="56" t="s">
        <v>138</v>
      </c>
      <c r="DV308" s="34">
        <v>25</v>
      </c>
      <c r="DW308" s="55">
        <v>10</v>
      </c>
      <c r="DX308" s="51"/>
      <c r="DY308" s="34"/>
      <c r="DZ308" s="56"/>
      <c r="EA308" s="34"/>
      <c r="EB308" s="51"/>
      <c r="EC308" s="34">
        <f t="shared" si="158"/>
        <v>0</v>
      </c>
      <c r="ED308" s="56" t="s">
        <v>138</v>
      </c>
      <c r="EE308" s="34">
        <v>100</v>
      </c>
      <c r="EF308" s="51"/>
      <c r="EG308" s="34">
        <f t="shared" si="159"/>
        <v>1</v>
      </c>
      <c r="EH308" s="31"/>
      <c r="EI308" s="57"/>
      <c r="EJ308" s="57"/>
      <c r="EK308" s="57"/>
      <c r="EL308" s="57"/>
      <c r="EM308" s="57"/>
      <c r="EN308" s="57"/>
      <c r="EO308" s="57"/>
      <c r="EP308" s="53"/>
      <c r="EQ308" s="57"/>
      <c r="ER308" s="57"/>
      <c r="ES308" s="57"/>
      <c r="ET308" s="53"/>
      <c r="EU308" s="51"/>
      <c r="EV308" s="34"/>
      <c r="EW308" s="56"/>
      <c r="EX308" s="34"/>
      <c r="EY308" s="53"/>
      <c r="EZ308" s="34"/>
      <c r="FA308" s="56"/>
      <c r="FB308" s="34"/>
      <c r="FC308" s="53"/>
      <c r="FD308" s="34"/>
      <c r="FE308" s="56"/>
      <c r="FF308" s="34"/>
      <c r="FG308" s="53"/>
      <c r="FH308" s="34"/>
      <c r="FI308" s="56"/>
      <c r="FJ308" s="55"/>
      <c r="FK308" s="57"/>
      <c r="FL308" s="61"/>
    </row>
    <row r="309" spans="52:168" ht="45.75" thickBot="1" x14ac:dyDescent="0.3">
      <c r="AZ309" s="170"/>
      <c r="BA309" s="57"/>
      <c r="BB309" s="171"/>
      <c r="BC309" s="57"/>
      <c r="BD309" s="57" t="s">
        <v>56</v>
      </c>
      <c r="BE309" s="179">
        <f>BE307*1.1</f>
        <v>8.8000000000000007</v>
      </c>
      <c r="BF309" s="57"/>
      <c r="BG309" s="57"/>
      <c r="BH309" s="54" t="e">
        <f t="shared" si="133"/>
        <v>#VALUE!</v>
      </c>
      <c r="BI309" s="57">
        <v>125</v>
      </c>
      <c r="BJ309" s="57" t="e">
        <f t="shared" si="134"/>
        <v>#VALUE!</v>
      </c>
      <c r="BK309" s="57" t="e">
        <f t="shared" si="135"/>
        <v>#VALUE!</v>
      </c>
      <c r="BL309" s="57"/>
      <c r="BM309" s="57" t="e">
        <f t="shared" si="136"/>
        <v>#VALUE!</v>
      </c>
      <c r="BN309" s="57">
        <v>125</v>
      </c>
      <c r="BO309" s="57" t="e">
        <f t="shared" si="137"/>
        <v>#VALUE!</v>
      </c>
      <c r="BP309" s="61" t="e">
        <f t="shared" si="138"/>
        <v>#VALUE!</v>
      </c>
      <c r="BQ309" s="57" t="e">
        <f t="shared" si="139"/>
        <v>#VALUE!</v>
      </c>
      <c r="BR309" s="57">
        <v>125</v>
      </c>
      <c r="BS309" s="57" t="e">
        <f t="shared" si="140"/>
        <v>#VALUE!</v>
      </c>
      <c r="BT309" s="61" t="e">
        <f t="shared" si="141"/>
        <v>#VALUE!</v>
      </c>
      <c r="BU309" s="57"/>
      <c r="BV309" s="62"/>
      <c r="BW309" s="74"/>
      <c r="BX309" s="57"/>
      <c r="BY309" s="54">
        <f t="shared" si="142"/>
        <v>1</v>
      </c>
      <c r="BZ309" s="57">
        <v>50</v>
      </c>
      <c r="CA309" s="61">
        <v>40</v>
      </c>
      <c r="CB309" s="54">
        <f t="shared" si="143"/>
        <v>1</v>
      </c>
      <c r="CC309" s="57">
        <v>65</v>
      </c>
      <c r="CD309" s="61">
        <v>50</v>
      </c>
      <c r="CE309" s="57">
        <f t="shared" si="144"/>
        <v>1</v>
      </c>
      <c r="CF309" s="57">
        <v>80</v>
      </c>
      <c r="CG309" s="61">
        <v>100</v>
      </c>
      <c r="CH309" s="57"/>
      <c r="CI309" s="82">
        <v>90</v>
      </c>
      <c r="CJ309" s="83">
        <f t="shared" si="145"/>
        <v>1</v>
      </c>
      <c r="CK309" s="84" t="s">
        <v>139</v>
      </c>
      <c r="CL309" s="85">
        <f t="shared" si="146"/>
        <v>1</v>
      </c>
      <c r="CM309" s="84" t="s">
        <v>139</v>
      </c>
      <c r="CN309" s="83">
        <f t="shared" si="147"/>
        <v>1</v>
      </c>
      <c r="CO309" s="86" t="s">
        <v>139</v>
      </c>
      <c r="CP309" s="57"/>
      <c r="CQ309" s="57"/>
      <c r="CR309" s="54"/>
      <c r="CS309" s="57"/>
      <c r="CT309" s="57"/>
      <c r="CU309" s="57"/>
      <c r="CV309" s="30"/>
      <c r="CW309" s="54"/>
      <c r="CX309" s="57"/>
      <c r="CY309" s="57"/>
      <c r="CZ309" s="57"/>
      <c r="DA309" s="61"/>
      <c r="DB309" s="54"/>
      <c r="DC309" s="57"/>
      <c r="DD309" s="57"/>
      <c r="DE309" s="57"/>
      <c r="DF309" s="61"/>
      <c r="DG309" s="54">
        <v>2.0009999999999999</v>
      </c>
      <c r="DH309" s="57">
        <f t="shared" si="154"/>
        <v>1</v>
      </c>
      <c r="DI309" s="57" t="s">
        <v>129</v>
      </c>
      <c r="DJ309" s="57">
        <f t="shared" si="155"/>
        <v>1</v>
      </c>
      <c r="DK309" s="61">
        <v>2</v>
      </c>
      <c r="DL309" s="57"/>
      <c r="DM309" s="50"/>
      <c r="DN309" s="34"/>
      <c r="DO309" s="51"/>
      <c r="DP309" s="34">
        <f t="shared" si="156"/>
        <v>0</v>
      </c>
      <c r="DQ309" s="56" t="s">
        <v>140</v>
      </c>
      <c r="DR309" s="34">
        <v>125</v>
      </c>
      <c r="DS309" s="53"/>
      <c r="DT309" s="70">
        <f t="shared" si="157"/>
        <v>0</v>
      </c>
      <c r="DU309" s="56" t="s">
        <v>140</v>
      </c>
      <c r="DV309" s="34">
        <v>32</v>
      </c>
      <c r="DW309" s="55">
        <v>12.5</v>
      </c>
      <c r="DX309" s="51"/>
      <c r="DY309" s="34"/>
      <c r="DZ309" s="56"/>
      <c r="EA309" s="34"/>
      <c r="EB309" s="51"/>
      <c r="EC309" s="34">
        <f t="shared" si="158"/>
        <v>0</v>
      </c>
      <c r="ED309" s="56" t="s">
        <v>140</v>
      </c>
      <c r="EE309" s="34">
        <v>125</v>
      </c>
      <c r="EF309" s="51"/>
      <c r="EG309" s="34">
        <f t="shared" si="159"/>
        <v>0</v>
      </c>
      <c r="EH309" s="31">
        <v>10</v>
      </c>
      <c r="EI309" s="76" t="s">
        <v>135</v>
      </c>
      <c r="EJ309" s="34">
        <f>IF($E$14=EL309,1,0)</f>
        <v>0</v>
      </c>
      <c r="EK309" s="31">
        <v>10</v>
      </c>
      <c r="EL309" s="76" t="s">
        <v>135</v>
      </c>
      <c r="EM309" s="34">
        <f>IF($E$14=EO309,1,0)</f>
        <v>0</v>
      </c>
      <c r="EN309" s="31">
        <v>10</v>
      </c>
      <c r="EO309" s="76" t="s">
        <v>135</v>
      </c>
      <c r="EP309" s="53"/>
      <c r="EQ309" s="57"/>
      <c r="ER309" s="76"/>
      <c r="ES309" s="57"/>
      <c r="ET309" s="53"/>
      <c r="EU309" s="51"/>
      <c r="EV309" s="34"/>
      <c r="EW309" s="56"/>
      <c r="EX309" s="34"/>
      <c r="EY309" s="53"/>
      <c r="EZ309" s="34"/>
      <c r="FA309" s="56"/>
      <c r="FB309" s="34"/>
      <c r="FC309" s="53"/>
      <c r="FD309" s="34"/>
      <c r="FE309" s="56"/>
      <c r="FF309" s="34"/>
      <c r="FG309" s="53"/>
      <c r="FH309" s="34"/>
      <c r="FI309" s="56"/>
      <c r="FJ309" s="55"/>
      <c r="FK309" s="57"/>
      <c r="FL309" s="61"/>
    </row>
    <row r="310" spans="52:168" x14ac:dyDescent="0.25">
      <c r="AZ310" s="170" t="s">
        <v>31</v>
      </c>
      <c r="BA310" s="1" t="str">
        <f>O24</f>
        <v>Siemens</v>
      </c>
      <c r="BB310" s="1"/>
      <c r="BC310" s="57"/>
      <c r="BD310" s="1" t="str">
        <f>VLOOKUP(1,IF(BA311="TOP-SD",CJ300:CK309,IF(BA311="Yonos MAXO-D",CL300:CM309,IF(BA311="Stratos-D",CN300:CO309,0))),2,0)</f>
        <v>Yonos MAXO-D 32/0,5-11</v>
      </c>
      <c r="BE310" s="1"/>
      <c r="BF310" s="57"/>
      <c r="BG310" s="57"/>
      <c r="BH310" s="54" t="e">
        <f t="shared" si="133"/>
        <v>#VALUE!</v>
      </c>
      <c r="BI310" s="57">
        <v>150</v>
      </c>
      <c r="BJ310" s="57" t="e">
        <f t="shared" si="134"/>
        <v>#VALUE!</v>
      </c>
      <c r="BK310" s="57" t="e">
        <f t="shared" si="135"/>
        <v>#VALUE!</v>
      </c>
      <c r="BL310" s="57"/>
      <c r="BM310" s="57" t="e">
        <f t="shared" si="136"/>
        <v>#VALUE!</v>
      </c>
      <c r="BN310" s="57">
        <v>150</v>
      </c>
      <c r="BO310" s="57" t="e">
        <f t="shared" si="137"/>
        <v>#VALUE!</v>
      </c>
      <c r="BP310" s="61" t="e">
        <f t="shared" si="138"/>
        <v>#VALUE!</v>
      </c>
      <c r="BQ310" s="57" t="e">
        <f t="shared" si="139"/>
        <v>#VALUE!</v>
      </c>
      <c r="BR310" s="57">
        <v>150</v>
      </c>
      <c r="BS310" s="57" t="e">
        <f t="shared" si="140"/>
        <v>#VALUE!</v>
      </c>
      <c r="BT310" s="61" t="e">
        <f t="shared" si="141"/>
        <v>#VALUE!</v>
      </c>
      <c r="BU310" s="57"/>
      <c r="BV310" s="54"/>
      <c r="BW310" s="57"/>
      <c r="BX310" s="57"/>
      <c r="BY310" s="54">
        <f t="shared" si="142"/>
        <v>1</v>
      </c>
      <c r="BZ310" s="57">
        <v>65</v>
      </c>
      <c r="CA310" s="61">
        <v>50</v>
      </c>
      <c r="CB310" s="54">
        <f t="shared" si="143"/>
        <v>1</v>
      </c>
      <c r="CC310" s="57">
        <v>65</v>
      </c>
      <c r="CD310" s="61">
        <v>63</v>
      </c>
      <c r="CE310" s="57">
        <f t="shared" si="144"/>
        <v>1</v>
      </c>
      <c r="CF310" s="57">
        <v>100</v>
      </c>
      <c r="CG310" s="61">
        <v>160</v>
      </c>
      <c r="CH310" s="57"/>
      <c r="CI310" s="57"/>
      <c r="CJ310" s="57"/>
      <c r="CK310" s="57"/>
      <c r="CL310" s="57"/>
      <c r="CM310" s="57"/>
      <c r="CN310" s="57"/>
      <c r="CO310" s="57"/>
      <c r="CP310" s="57"/>
      <c r="CQ310" s="57"/>
      <c r="CR310" s="54"/>
      <c r="CS310" s="57"/>
      <c r="CT310" s="57"/>
      <c r="CU310" s="57"/>
      <c r="CV310" s="30"/>
      <c r="CW310" s="54"/>
      <c r="CX310" s="57"/>
      <c r="CY310" s="57"/>
      <c r="CZ310" s="57"/>
      <c r="DA310" s="61"/>
      <c r="DB310" s="54"/>
      <c r="DC310" s="57"/>
      <c r="DD310" s="57"/>
      <c r="DE310" s="57"/>
      <c r="DF310" s="61"/>
      <c r="DG310" s="57"/>
      <c r="DH310" s="57"/>
      <c r="DI310" s="57"/>
      <c r="DJ310" s="57"/>
      <c r="DK310" s="61"/>
      <c r="DL310" s="57"/>
      <c r="DM310" s="50"/>
      <c r="DN310" s="34"/>
      <c r="DO310" s="51"/>
      <c r="DP310" s="34">
        <f t="shared" si="156"/>
        <v>0</v>
      </c>
      <c r="DQ310" s="56" t="s">
        <v>141</v>
      </c>
      <c r="DR310" s="34">
        <v>150</v>
      </c>
      <c r="DS310" s="53"/>
      <c r="DT310" s="70">
        <f t="shared" si="157"/>
        <v>0</v>
      </c>
      <c r="DU310" s="56" t="s">
        <v>141</v>
      </c>
      <c r="DV310" s="34">
        <v>32</v>
      </c>
      <c r="DW310" s="55">
        <v>16</v>
      </c>
      <c r="DX310" s="51"/>
      <c r="DY310" s="34"/>
      <c r="DZ310" s="56"/>
      <c r="EA310" s="34"/>
      <c r="EB310" s="51"/>
      <c r="EC310" s="34">
        <f t="shared" si="158"/>
        <v>0</v>
      </c>
      <c r="ED310" s="56" t="s">
        <v>141</v>
      </c>
      <c r="EE310" s="34">
        <v>150</v>
      </c>
      <c r="EF310" s="51"/>
      <c r="EG310" s="34">
        <f t="shared" si="159"/>
        <v>0</v>
      </c>
      <c r="EH310" s="31">
        <v>11</v>
      </c>
      <c r="EI310" s="76" t="s">
        <v>139</v>
      </c>
      <c r="EJ310" s="34">
        <f>IF($E$14=EL310,1,0)</f>
        <v>0</v>
      </c>
      <c r="EK310" s="31">
        <v>11</v>
      </c>
      <c r="EL310" s="76" t="s">
        <v>139</v>
      </c>
      <c r="EM310" s="34">
        <f>IF($E$14=EO310,1,0)</f>
        <v>0</v>
      </c>
      <c r="EN310" s="31">
        <v>11</v>
      </c>
      <c r="EO310" s="76" t="s">
        <v>139</v>
      </c>
      <c r="EP310" s="53"/>
      <c r="EQ310" s="57"/>
      <c r="ER310" s="76"/>
      <c r="ES310" s="57"/>
      <c r="ET310" s="53"/>
      <c r="EU310" s="51"/>
      <c r="EV310" s="34"/>
      <c r="EW310" s="56"/>
      <c r="EX310" s="34"/>
      <c r="EY310" s="53"/>
      <c r="EZ310" s="34"/>
      <c r="FA310" s="56"/>
      <c r="FB310" s="34"/>
      <c r="FC310" s="53"/>
      <c r="FD310" s="34"/>
      <c r="FE310" s="56"/>
      <c r="FF310" s="34"/>
      <c r="FG310" s="53"/>
      <c r="FH310" s="34"/>
      <c r="FI310" s="56"/>
      <c r="FJ310" s="55"/>
      <c r="FK310" s="57"/>
      <c r="FL310" s="61"/>
    </row>
    <row r="311" spans="52:168" x14ac:dyDescent="0.25">
      <c r="AZ311" s="170" t="s">
        <v>32</v>
      </c>
      <c r="BA311" s="1" t="str">
        <f>I24</f>
        <v>Yonos MAXO-D</v>
      </c>
      <c r="BB311" s="1"/>
      <c r="BC311" s="57"/>
      <c r="BD311" s="57"/>
      <c r="BE311" s="57"/>
      <c r="BF311" s="57"/>
      <c r="BG311" s="57"/>
      <c r="BH311" s="54" t="e">
        <f t="shared" si="133"/>
        <v>#VALUE!</v>
      </c>
      <c r="BI311" s="57">
        <v>200</v>
      </c>
      <c r="BJ311" s="57" t="e">
        <f t="shared" si="134"/>
        <v>#VALUE!</v>
      </c>
      <c r="BK311" s="57" t="e">
        <f t="shared" si="135"/>
        <v>#VALUE!</v>
      </c>
      <c r="BL311" s="57"/>
      <c r="BM311" s="57" t="e">
        <f t="shared" si="136"/>
        <v>#VALUE!</v>
      </c>
      <c r="BN311" s="57">
        <v>200</v>
      </c>
      <c r="BO311" s="57" t="e">
        <f t="shared" si="137"/>
        <v>#VALUE!</v>
      </c>
      <c r="BP311" s="61" t="e">
        <f t="shared" si="138"/>
        <v>#VALUE!</v>
      </c>
      <c r="BQ311" s="57" t="e">
        <f t="shared" si="139"/>
        <v>#VALUE!</v>
      </c>
      <c r="BR311" s="57">
        <v>200</v>
      </c>
      <c r="BS311" s="57" t="e">
        <f t="shared" si="140"/>
        <v>#VALUE!</v>
      </c>
      <c r="BT311" s="61" t="e">
        <f t="shared" si="141"/>
        <v>#VALUE!</v>
      </c>
      <c r="BU311" s="57"/>
      <c r="BV311" s="54"/>
      <c r="BW311" s="57"/>
      <c r="BX311" s="57"/>
      <c r="BY311" s="54">
        <f t="shared" si="142"/>
        <v>1</v>
      </c>
      <c r="BZ311" s="57">
        <v>65</v>
      </c>
      <c r="CA311" s="61">
        <v>63</v>
      </c>
      <c r="CB311" s="54">
        <f t="shared" si="143"/>
        <v>1</v>
      </c>
      <c r="CC311" s="57">
        <v>80</v>
      </c>
      <c r="CD311" s="61">
        <v>80</v>
      </c>
      <c r="CE311" s="57">
        <f t="shared" si="144"/>
        <v>1</v>
      </c>
      <c r="CF311" s="57">
        <v>125</v>
      </c>
      <c r="CG311" s="61">
        <v>250</v>
      </c>
      <c r="CH311" s="57"/>
      <c r="CI311" s="57"/>
      <c r="CJ311" s="57"/>
      <c r="CK311" s="57"/>
      <c r="CL311" s="57"/>
      <c r="CM311" s="57"/>
      <c r="CN311" s="57"/>
      <c r="CO311" s="57"/>
      <c r="CP311" s="57"/>
      <c r="CQ311" s="57"/>
      <c r="CR311" s="54"/>
      <c r="CS311" s="57"/>
      <c r="CT311" s="57"/>
      <c r="CU311" s="57"/>
      <c r="CV311" s="30"/>
      <c r="CW311" s="54"/>
      <c r="CX311" s="57"/>
      <c r="CY311" s="57"/>
      <c r="CZ311" s="57"/>
      <c r="DA311" s="61"/>
      <c r="DB311" s="54"/>
      <c r="DC311" s="57"/>
      <c r="DD311" s="57"/>
      <c r="DE311" s="57"/>
      <c r="DF311" s="61"/>
      <c r="DG311" s="57"/>
      <c r="DH311" s="57"/>
      <c r="DI311" s="57"/>
      <c r="DJ311" s="57"/>
      <c r="DK311" s="61"/>
      <c r="DL311" s="57"/>
      <c r="DM311" s="50"/>
      <c r="DN311" s="34"/>
      <c r="DO311" s="51"/>
      <c r="DP311" s="34">
        <f t="shared" si="156"/>
        <v>0</v>
      </c>
      <c r="DQ311" s="56" t="s">
        <v>142</v>
      </c>
      <c r="DR311" s="34">
        <v>200</v>
      </c>
      <c r="DS311" s="53"/>
      <c r="DT311" s="70">
        <f t="shared" si="157"/>
        <v>0</v>
      </c>
      <c r="DU311" s="56" t="s">
        <v>142</v>
      </c>
      <c r="DV311" s="34">
        <v>40</v>
      </c>
      <c r="DW311" s="55">
        <v>20</v>
      </c>
      <c r="DX311" s="51"/>
      <c r="DY311" s="34"/>
      <c r="DZ311" s="56"/>
      <c r="EA311" s="34"/>
      <c r="EB311" s="51"/>
      <c r="EC311" s="34">
        <f t="shared" si="158"/>
        <v>0</v>
      </c>
      <c r="ED311" s="56" t="s">
        <v>142</v>
      </c>
      <c r="EE311" s="34">
        <v>200</v>
      </c>
      <c r="EF311" s="51"/>
      <c r="EG311" s="34"/>
      <c r="EH311" s="31"/>
      <c r="EI311" s="57"/>
      <c r="EJ311" s="57"/>
      <c r="EK311" s="57"/>
      <c r="EL311" s="57"/>
      <c r="EM311" s="57"/>
      <c r="EN311" s="57"/>
      <c r="EO311" s="57"/>
      <c r="EP311" s="53"/>
      <c r="EQ311" s="57"/>
      <c r="ER311" s="57"/>
      <c r="ES311" s="57"/>
      <c r="ET311" s="53"/>
      <c r="EU311" s="51"/>
      <c r="EV311" s="34"/>
      <c r="EW311" s="56"/>
      <c r="EX311" s="34"/>
      <c r="EY311" s="53"/>
      <c r="EZ311" s="34"/>
      <c r="FA311" s="56"/>
      <c r="FB311" s="34"/>
      <c r="FC311" s="53"/>
      <c r="FD311" s="34"/>
      <c r="FE311" s="56"/>
      <c r="FF311" s="34"/>
      <c r="FG311" s="53"/>
      <c r="FH311" s="34"/>
      <c r="FI311" s="56"/>
      <c r="FJ311" s="55"/>
      <c r="FK311" s="57"/>
      <c r="FL311" s="61"/>
    </row>
    <row r="312" spans="52:168" ht="15.75" thickBot="1" x14ac:dyDescent="0.3">
      <c r="AZ312" s="170" t="s">
        <v>143</v>
      </c>
      <c r="BA312" s="1" t="str">
        <f>U24</f>
        <v>Segnetics</v>
      </c>
      <c r="BB312" s="1"/>
      <c r="BC312" s="57"/>
      <c r="BD312" s="57" t="s">
        <v>144</v>
      </c>
      <c r="BE312" s="57">
        <f>IF(BA314="Отопление",11.7,IF(BA314="Вентиляция",8.6,30))*BA300/6</f>
        <v>0.38999999999999996</v>
      </c>
      <c r="BF312" s="57"/>
      <c r="BG312" s="57"/>
      <c r="BH312" s="54" t="e">
        <f t="shared" si="133"/>
        <v>#VALUE!</v>
      </c>
      <c r="BI312" s="57">
        <v>250</v>
      </c>
      <c r="BJ312" s="57" t="e">
        <f t="shared" si="134"/>
        <v>#VALUE!</v>
      </c>
      <c r="BK312" s="57" t="e">
        <f t="shared" si="135"/>
        <v>#VALUE!</v>
      </c>
      <c r="BL312" s="57"/>
      <c r="BM312" s="57" t="e">
        <f t="shared" si="136"/>
        <v>#VALUE!</v>
      </c>
      <c r="BN312" s="57">
        <v>250</v>
      </c>
      <c r="BO312" s="57" t="e">
        <f t="shared" si="137"/>
        <v>#VALUE!</v>
      </c>
      <c r="BP312" s="61" t="e">
        <f t="shared" si="138"/>
        <v>#VALUE!</v>
      </c>
      <c r="BQ312" s="57" t="e">
        <f t="shared" si="139"/>
        <v>#VALUE!</v>
      </c>
      <c r="BR312" s="57">
        <v>250</v>
      </c>
      <c r="BS312" s="57" t="e">
        <f t="shared" si="140"/>
        <v>#VALUE!</v>
      </c>
      <c r="BT312" s="61" t="e">
        <f t="shared" si="141"/>
        <v>#VALUE!</v>
      </c>
      <c r="BU312" s="57"/>
      <c r="BV312" s="54"/>
      <c r="BW312" s="57"/>
      <c r="BX312" s="57"/>
      <c r="BY312" s="54">
        <f t="shared" si="142"/>
        <v>1</v>
      </c>
      <c r="BZ312" s="57">
        <v>80</v>
      </c>
      <c r="CA312" s="61">
        <v>80</v>
      </c>
      <c r="CB312" s="54">
        <f t="shared" si="143"/>
        <v>1</v>
      </c>
      <c r="CC312" s="57">
        <v>80</v>
      </c>
      <c r="CD312" s="61">
        <v>100</v>
      </c>
      <c r="CE312" s="57">
        <f t="shared" si="144"/>
        <v>1</v>
      </c>
      <c r="CF312" s="57">
        <v>150</v>
      </c>
      <c r="CG312" s="61">
        <v>400</v>
      </c>
      <c r="CH312" s="57"/>
      <c r="CI312" s="57"/>
      <c r="CJ312" s="57"/>
      <c r="CK312" s="57"/>
      <c r="CL312" s="57"/>
      <c r="CM312" s="57"/>
      <c r="CN312" s="57"/>
      <c r="CO312" s="57"/>
      <c r="CP312" s="57"/>
      <c r="CQ312" s="57"/>
      <c r="CR312" s="83"/>
      <c r="CS312" s="87"/>
      <c r="CT312" s="87"/>
      <c r="CU312" s="87"/>
      <c r="CV312" s="88"/>
      <c r="CW312" s="83"/>
      <c r="CX312" s="87"/>
      <c r="CY312" s="87"/>
      <c r="CZ312" s="87"/>
      <c r="DA312" s="89"/>
      <c r="DB312" s="83"/>
      <c r="DC312" s="87"/>
      <c r="DD312" s="87"/>
      <c r="DE312" s="87"/>
      <c r="DF312" s="89"/>
      <c r="DG312" s="87"/>
      <c r="DH312" s="87"/>
      <c r="DI312" s="87"/>
      <c r="DJ312" s="87"/>
      <c r="DK312" s="89"/>
      <c r="DL312" s="57"/>
      <c r="DM312" s="50"/>
      <c r="DN312" s="34"/>
      <c r="DO312" s="51"/>
      <c r="DP312" s="34"/>
      <c r="DQ312" s="56"/>
      <c r="DR312" s="34"/>
      <c r="DS312" s="53"/>
      <c r="DT312" s="70">
        <f t="shared" si="157"/>
        <v>0</v>
      </c>
      <c r="DU312" s="56" t="s">
        <v>145</v>
      </c>
      <c r="DV312" s="34">
        <v>40</v>
      </c>
      <c r="DW312" s="55">
        <v>25</v>
      </c>
      <c r="DX312" s="51"/>
      <c r="DY312" s="34"/>
      <c r="DZ312" s="56"/>
      <c r="EA312" s="34"/>
      <c r="EB312" s="53"/>
      <c r="EC312" s="57"/>
      <c r="ED312" s="57"/>
      <c r="EE312" s="57"/>
      <c r="EF312" s="53"/>
      <c r="EG312" s="34"/>
      <c r="EH312" s="57"/>
      <c r="EI312" s="57"/>
      <c r="EJ312" s="57"/>
      <c r="EK312" s="57"/>
      <c r="EL312" s="57"/>
      <c r="EM312" s="57"/>
      <c r="EN312" s="57"/>
      <c r="EO312" s="57"/>
      <c r="EP312" s="53"/>
      <c r="EQ312" s="57"/>
      <c r="ER312" s="57"/>
      <c r="ES312" s="57"/>
      <c r="ET312" s="53"/>
      <c r="EU312" s="53"/>
      <c r="EV312" s="57"/>
      <c r="EW312" s="57"/>
      <c r="EX312" s="57"/>
      <c r="EY312" s="53"/>
      <c r="EZ312" s="57"/>
      <c r="FA312" s="57"/>
      <c r="FB312" s="57"/>
      <c r="FC312" s="53"/>
      <c r="FD312" s="57"/>
      <c r="FE312" s="57"/>
      <c r="FF312" s="57"/>
      <c r="FG312" s="53"/>
      <c r="FH312" s="57"/>
      <c r="FI312" s="57"/>
      <c r="FJ312" s="61"/>
      <c r="FK312" s="57"/>
      <c r="FL312" s="61"/>
    </row>
    <row r="313" spans="52:168" x14ac:dyDescent="0.25">
      <c r="AZ313" s="170" t="s">
        <v>69</v>
      </c>
      <c r="BA313" s="1" t="str">
        <f>AA24</f>
        <v>Отдельный</v>
      </c>
      <c r="BB313" s="1"/>
      <c r="BC313" s="57"/>
      <c r="BD313" s="57" t="s">
        <v>52</v>
      </c>
      <c r="BE313" s="57" t="e">
        <f>VLOOKUP(1,BQ300:BT313,2,0)</f>
        <v>#N/A</v>
      </c>
      <c r="BF313" s="57"/>
      <c r="BG313" s="57"/>
      <c r="BH313" s="54" t="e">
        <f t="shared" si="133"/>
        <v>#VALUE!</v>
      </c>
      <c r="BI313" s="57">
        <v>300</v>
      </c>
      <c r="BJ313" s="57" t="e">
        <f t="shared" si="134"/>
        <v>#VALUE!</v>
      </c>
      <c r="BK313" s="57" t="e">
        <f t="shared" si="135"/>
        <v>#VALUE!</v>
      </c>
      <c r="BL313" s="57"/>
      <c r="BM313" s="57" t="e">
        <f t="shared" si="136"/>
        <v>#VALUE!</v>
      </c>
      <c r="BN313" s="57">
        <v>300</v>
      </c>
      <c r="BO313" s="57" t="e">
        <f t="shared" si="137"/>
        <v>#VALUE!</v>
      </c>
      <c r="BP313" s="61" t="e">
        <f t="shared" si="138"/>
        <v>#VALUE!</v>
      </c>
      <c r="BQ313" s="57" t="e">
        <f t="shared" si="139"/>
        <v>#VALUE!</v>
      </c>
      <c r="BR313" s="57">
        <v>300</v>
      </c>
      <c r="BS313" s="57" t="e">
        <f t="shared" si="140"/>
        <v>#VALUE!</v>
      </c>
      <c r="BT313" s="61" t="e">
        <f t="shared" si="141"/>
        <v>#VALUE!</v>
      </c>
      <c r="BU313" s="57"/>
      <c r="BV313" s="54"/>
      <c r="BW313" s="57"/>
      <c r="BX313" s="57"/>
      <c r="BY313" s="54">
        <f t="shared" si="142"/>
        <v>1</v>
      </c>
      <c r="BZ313" s="57">
        <v>80</v>
      </c>
      <c r="CA313" s="61">
        <v>100</v>
      </c>
      <c r="CB313" s="54">
        <f t="shared" si="143"/>
        <v>1</v>
      </c>
      <c r="CC313" s="57">
        <v>100</v>
      </c>
      <c r="CD313" s="61">
        <v>125</v>
      </c>
      <c r="CE313" s="57"/>
      <c r="CF313" s="57"/>
      <c r="CG313" s="61"/>
      <c r="CH313" s="57"/>
      <c r="CI313" s="57"/>
      <c r="CJ313" s="57"/>
      <c r="CK313" s="57"/>
      <c r="CL313" s="57"/>
      <c r="CM313" s="57"/>
      <c r="CN313" s="57"/>
      <c r="CO313" s="57"/>
      <c r="CP313" s="57"/>
      <c r="CQ313" s="57"/>
      <c r="CR313" s="57"/>
      <c r="CS313" s="57"/>
      <c r="CT313" s="57"/>
      <c r="CU313" s="57"/>
      <c r="CV313" s="31"/>
      <c r="CW313" s="57"/>
      <c r="CX313" s="57"/>
      <c r="CY313" s="57"/>
      <c r="CZ313" s="57"/>
      <c r="DA313" s="57"/>
      <c r="DB313" s="57"/>
      <c r="DC313" s="57"/>
      <c r="DD313" s="57"/>
      <c r="DE313" s="57"/>
      <c r="DF313" s="57"/>
      <c r="DG313" s="57"/>
      <c r="DH313" s="57"/>
      <c r="DI313" s="57"/>
      <c r="DJ313" s="57"/>
      <c r="DK313" s="57"/>
      <c r="DL313" s="57"/>
      <c r="DM313" s="50"/>
      <c r="DN313" s="34"/>
      <c r="DO313" s="51"/>
      <c r="DP313" s="34"/>
      <c r="DQ313" s="56"/>
      <c r="DR313" s="34"/>
      <c r="DS313" s="53"/>
      <c r="DT313" s="70">
        <f t="shared" si="157"/>
        <v>0</v>
      </c>
      <c r="DU313" s="56" t="s">
        <v>146</v>
      </c>
      <c r="DV313" s="34">
        <v>50</v>
      </c>
      <c r="DW313" s="55">
        <v>31.5</v>
      </c>
      <c r="DX313" s="51"/>
      <c r="DY313" s="34"/>
      <c r="DZ313" s="56"/>
      <c r="EA313" s="34"/>
      <c r="EB313" s="53"/>
      <c r="EC313" s="57"/>
      <c r="ED313" s="57"/>
      <c r="EE313" s="57"/>
      <c r="EF313" s="53"/>
      <c r="EG313" s="34"/>
      <c r="EH313" s="57"/>
      <c r="EI313" s="57"/>
      <c r="EJ313" s="57"/>
      <c r="EK313" s="57"/>
      <c r="EL313" s="57"/>
      <c r="EM313" s="57"/>
      <c r="EN313" s="57"/>
      <c r="EO313" s="57"/>
      <c r="EP313" s="53"/>
      <c r="EQ313" s="57"/>
      <c r="ER313" s="57"/>
      <c r="ES313" s="57"/>
      <c r="ET313" s="53"/>
      <c r="EU313" s="53"/>
      <c r="EV313" s="57"/>
      <c r="EW313" s="57"/>
      <c r="EX313" s="57"/>
      <c r="EY313" s="53"/>
      <c r="EZ313" s="57"/>
      <c r="FA313" s="57"/>
      <c r="FB313" s="57"/>
      <c r="FC313" s="53"/>
      <c r="FD313" s="57"/>
      <c r="FE313" s="57"/>
      <c r="FF313" s="57"/>
      <c r="FG313" s="53"/>
      <c r="FH313" s="57"/>
      <c r="FI313" s="57"/>
      <c r="FJ313" s="61"/>
      <c r="FK313" s="57"/>
      <c r="FL313" s="61"/>
    </row>
    <row r="314" spans="52:168" x14ac:dyDescent="0.25">
      <c r="AZ314" s="170" t="s">
        <v>147</v>
      </c>
      <c r="BA314" s="1" t="str">
        <f>A14</f>
        <v>Отопление</v>
      </c>
      <c r="BB314" s="1"/>
      <c r="BC314" s="57"/>
      <c r="BD314" s="57"/>
      <c r="BE314" s="57"/>
      <c r="BF314" s="57"/>
      <c r="BG314" s="57"/>
      <c r="BH314" s="54"/>
      <c r="BI314" s="57"/>
      <c r="BJ314" s="57"/>
      <c r="BK314" s="57"/>
      <c r="BL314" s="57"/>
      <c r="BM314" s="57"/>
      <c r="BN314" s="57"/>
      <c r="BO314" s="57"/>
      <c r="BP314" s="61"/>
      <c r="BQ314" s="57"/>
      <c r="BR314" s="57"/>
      <c r="BS314" s="57"/>
      <c r="BT314" s="61"/>
      <c r="BU314" s="57"/>
      <c r="BV314" s="54"/>
      <c r="BW314" s="57"/>
      <c r="BX314" s="57"/>
      <c r="BY314" s="54">
        <f t="shared" si="142"/>
        <v>1</v>
      </c>
      <c r="BZ314" s="57">
        <v>100</v>
      </c>
      <c r="CA314" s="61">
        <v>125</v>
      </c>
      <c r="CB314" s="54">
        <f t="shared" si="143"/>
        <v>1</v>
      </c>
      <c r="CC314" s="57">
        <v>100</v>
      </c>
      <c r="CD314" s="61">
        <v>160</v>
      </c>
      <c r="CE314" s="57"/>
      <c r="CF314" s="57"/>
      <c r="CG314" s="61"/>
      <c r="CH314" s="57"/>
      <c r="CI314" s="57"/>
      <c r="CJ314" s="57"/>
      <c r="CK314" s="57"/>
      <c r="CL314" s="57"/>
      <c r="CM314" s="57"/>
      <c r="CN314" s="57"/>
      <c r="CO314" s="57"/>
      <c r="CP314" s="57"/>
      <c r="CQ314" s="57"/>
      <c r="CR314" s="57"/>
      <c r="CS314" s="57"/>
      <c r="CT314" s="57"/>
      <c r="CU314" s="57"/>
      <c r="CV314" s="31"/>
      <c r="CW314" s="57"/>
      <c r="CX314" s="57"/>
      <c r="CY314" s="57"/>
      <c r="CZ314" s="57"/>
      <c r="DA314" s="57"/>
      <c r="DB314" s="57"/>
      <c r="DC314" s="57"/>
      <c r="DD314" s="57"/>
      <c r="DE314" s="57"/>
      <c r="DF314" s="57"/>
      <c r="DG314" s="57"/>
      <c r="DH314" s="57"/>
      <c r="DI314" s="57"/>
      <c r="DJ314" s="57"/>
      <c r="DK314" s="57"/>
      <c r="DL314" s="57"/>
      <c r="DM314" s="50"/>
      <c r="DN314" s="34"/>
      <c r="DO314" s="51"/>
      <c r="DP314" s="34"/>
      <c r="DQ314" s="56"/>
      <c r="DR314" s="34"/>
      <c r="DS314" s="53"/>
      <c r="DT314" s="70">
        <f t="shared" si="157"/>
        <v>0</v>
      </c>
      <c r="DU314" s="56" t="s">
        <v>148</v>
      </c>
      <c r="DV314" s="34">
        <v>50</v>
      </c>
      <c r="DW314" s="55">
        <v>40</v>
      </c>
      <c r="DX314" s="51"/>
      <c r="DY314" s="34"/>
      <c r="DZ314" s="56"/>
      <c r="EA314" s="34"/>
      <c r="EB314" s="53"/>
      <c r="EC314" s="57"/>
      <c r="ED314" s="57"/>
      <c r="EE314" s="57"/>
      <c r="EF314" s="53"/>
      <c r="EG314" s="34"/>
      <c r="EH314" s="57"/>
      <c r="EI314" s="57"/>
      <c r="EJ314" s="57"/>
      <c r="EK314" s="57"/>
      <c r="EL314" s="57"/>
      <c r="EM314" s="57"/>
      <c r="EN314" s="57"/>
      <c r="EO314" s="57"/>
      <c r="EP314" s="53"/>
      <c r="EQ314" s="57"/>
      <c r="ER314" s="57"/>
      <c r="ES314" s="57"/>
      <c r="ET314" s="53"/>
      <c r="EU314" s="53"/>
      <c r="EV314" s="57"/>
      <c r="EW314" s="57"/>
      <c r="EX314" s="57"/>
      <c r="EY314" s="53"/>
      <c r="EZ314" s="57"/>
      <c r="FA314" s="57"/>
      <c r="FB314" s="57"/>
      <c r="FC314" s="53"/>
      <c r="FD314" s="57"/>
      <c r="FE314" s="57"/>
      <c r="FF314" s="57"/>
      <c r="FG314" s="53"/>
      <c r="FH314" s="57"/>
      <c r="FI314" s="57"/>
      <c r="FJ314" s="61"/>
      <c r="FK314" s="57"/>
      <c r="FL314" s="61"/>
    </row>
    <row r="315" spans="52:168" x14ac:dyDescent="0.25">
      <c r="AZ315" s="170"/>
      <c r="BA315" s="57"/>
      <c r="BB315" s="171"/>
      <c r="BC315" s="57"/>
      <c r="BD315" s="57"/>
      <c r="BE315" s="57"/>
      <c r="BF315" s="57"/>
      <c r="BG315" s="57"/>
      <c r="BH315" s="54"/>
      <c r="BI315" s="90"/>
      <c r="BJ315" s="57"/>
      <c r="BK315" s="57"/>
      <c r="BL315" s="57"/>
      <c r="BM315" s="57"/>
      <c r="BN315" s="57"/>
      <c r="BO315" s="57"/>
      <c r="BP315" s="61"/>
      <c r="BQ315" s="57"/>
      <c r="BR315" s="57"/>
      <c r="BS315" s="57"/>
      <c r="BT315" s="61"/>
      <c r="BU315" s="57"/>
      <c r="BV315" s="54"/>
      <c r="BW315" s="57"/>
      <c r="BX315" s="57"/>
      <c r="BY315" s="54">
        <f t="shared" si="142"/>
        <v>1</v>
      </c>
      <c r="BZ315" s="57">
        <v>100</v>
      </c>
      <c r="CA315" s="61">
        <v>160</v>
      </c>
      <c r="CB315" s="54">
        <f t="shared" si="143"/>
        <v>1</v>
      </c>
      <c r="CC315" s="57">
        <v>125</v>
      </c>
      <c r="CD315" s="61">
        <v>200</v>
      </c>
      <c r="CE315" s="57"/>
      <c r="CF315" s="57"/>
      <c r="CG315" s="61"/>
      <c r="CH315" s="57"/>
      <c r="CI315" s="57"/>
      <c r="CJ315" s="57"/>
      <c r="CK315" s="57"/>
      <c r="CL315" s="57"/>
      <c r="CM315" s="57"/>
      <c r="CN315" s="57"/>
      <c r="CO315" s="57"/>
      <c r="CP315" s="57"/>
      <c r="CQ315" s="57"/>
      <c r="CR315" s="57"/>
      <c r="CS315" s="57"/>
      <c r="CT315" s="57"/>
      <c r="CU315" s="57"/>
      <c r="CV315" s="31"/>
      <c r="CW315" s="57"/>
      <c r="CX315" s="57"/>
      <c r="CY315" s="57"/>
      <c r="CZ315" s="57"/>
      <c r="DA315" s="57"/>
      <c r="DB315" s="57"/>
      <c r="DC315" s="57"/>
      <c r="DD315" s="57"/>
      <c r="DE315" s="57"/>
      <c r="DF315" s="57"/>
      <c r="DG315" s="57"/>
      <c r="DH315" s="57"/>
      <c r="DI315" s="57"/>
      <c r="DJ315" s="57"/>
      <c r="DK315" s="57"/>
      <c r="DL315" s="57"/>
      <c r="DM315" s="50"/>
      <c r="DN315" s="34"/>
      <c r="DO315" s="51"/>
      <c r="DP315" s="34"/>
      <c r="DQ315" s="56"/>
      <c r="DR315" s="34"/>
      <c r="DS315" s="53"/>
      <c r="DT315" s="70">
        <f t="shared" si="157"/>
        <v>0</v>
      </c>
      <c r="DU315" s="56" t="s">
        <v>149</v>
      </c>
      <c r="DV315" s="34">
        <v>65</v>
      </c>
      <c r="DW315" s="55">
        <v>50</v>
      </c>
      <c r="DX315" s="51"/>
      <c r="DY315" s="34"/>
      <c r="DZ315" s="56"/>
      <c r="EA315" s="34"/>
      <c r="EB315" s="53"/>
      <c r="EC315" s="57"/>
      <c r="ED315" s="57"/>
      <c r="EE315" s="57"/>
      <c r="EF315" s="53"/>
      <c r="EG315" s="57"/>
      <c r="EH315" s="57"/>
      <c r="EI315" s="57"/>
      <c r="EJ315" s="57"/>
      <c r="EK315" s="57"/>
      <c r="EL315" s="57"/>
      <c r="EM315" s="57"/>
      <c r="EN315" s="57"/>
      <c r="EO315" s="57"/>
      <c r="EP315" s="53"/>
      <c r="EQ315" s="57"/>
      <c r="ER315" s="57"/>
      <c r="ES315" s="57"/>
      <c r="ET315" s="53"/>
      <c r="EU315" s="53"/>
      <c r="EV315" s="57"/>
      <c r="EW315" s="57"/>
      <c r="EX315" s="57"/>
      <c r="EY315" s="53"/>
      <c r="EZ315" s="57"/>
      <c r="FA315" s="57"/>
      <c r="FB315" s="57"/>
      <c r="FC315" s="53"/>
      <c r="FD315" s="57"/>
      <c r="FE315" s="57"/>
      <c r="FF315" s="57"/>
      <c r="FG315" s="53"/>
      <c r="FH315" s="57"/>
      <c r="FI315" s="57"/>
      <c r="FJ315" s="61"/>
      <c r="FK315" s="57"/>
      <c r="FL315" s="61"/>
    </row>
    <row r="316" spans="52:168" x14ac:dyDescent="0.25">
      <c r="AZ316" s="170"/>
      <c r="BA316" s="57"/>
      <c r="BB316" s="171"/>
      <c r="BC316" s="57"/>
      <c r="BD316" s="57"/>
      <c r="BE316" s="57"/>
      <c r="BF316" s="57"/>
      <c r="BG316" s="57"/>
      <c r="BH316" s="54"/>
      <c r="BI316" s="90" t="s">
        <v>150</v>
      </c>
      <c r="BJ316" s="57">
        <v>958.4</v>
      </c>
      <c r="BK316" s="57"/>
      <c r="BL316" s="57"/>
      <c r="BM316" s="57"/>
      <c r="BN316" s="57"/>
      <c r="BO316" s="57"/>
      <c r="BP316" s="61"/>
      <c r="BQ316" s="57"/>
      <c r="BR316" s="57"/>
      <c r="BS316" s="57"/>
      <c r="BT316" s="61"/>
      <c r="BU316" s="57"/>
      <c r="BV316" s="54"/>
      <c r="BW316" s="57"/>
      <c r="BX316" s="57"/>
      <c r="BY316" s="54">
        <f t="shared" si="142"/>
        <v>1</v>
      </c>
      <c r="BZ316" s="57">
        <v>125</v>
      </c>
      <c r="CA316" s="61">
        <v>250</v>
      </c>
      <c r="CB316" s="54">
        <f t="shared" si="143"/>
        <v>1</v>
      </c>
      <c r="CC316" s="57">
        <v>125</v>
      </c>
      <c r="CD316" s="61">
        <v>250</v>
      </c>
      <c r="CE316" s="57"/>
      <c r="CF316" s="57"/>
      <c r="CG316" s="61"/>
      <c r="CH316" s="57"/>
      <c r="CI316" s="57"/>
      <c r="CJ316" s="57"/>
      <c r="CK316" s="57"/>
      <c r="CL316" s="57"/>
      <c r="CM316" s="57"/>
      <c r="CN316" s="57"/>
      <c r="CO316" s="57"/>
      <c r="CP316" s="57"/>
      <c r="CQ316" s="57"/>
      <c r="CR316" s="57"/>
      <c r="CS316" s="57"/>
      <c r="CT316" s="57"/>
      <c r="CU316" s="57"/>
      <c r="CV316" s="31"/>
      <c r="CW316" s="57"/>
      <c r="CX316" s="57"/>
      <c r="CY316" s="57"/>
      <c r="CZ316" s="57"/>
      <c r="DA316" s="57"/>
      <c r="DB316" s="57"/>
      <c r="DC316" s="57"/>
      <c r="DD316" s="57"/>
      <c r="DE316" s="57"/>
      <c r="DF316" s="57"/>
      <c r="DG316" s="57"/>
      <c r="DH316" s="57"/>
      <c r="DI316" s="57"/>
      <c r="DJ316" s="57"/>
      <c r="DK316" s="57"/>
      <c r="DL316" s="57"/>
      <c r="DM316" s="50"/>
      <c r="DN316" s="34"/>
      <c r="DO316" s="51"/>
      <c r="DP316" s="34"/>
      <c r="DQ316" s="56"/>
      <c r="DR316" s="34"/>
      <c r="DS316" s="53"/>
      <c r="DT316" s="70">
        <f t="shared" si="157"/>
        <v>0</v>
      </c>
      <c r="DU316" s="56" t="s">
        <v>151</v>
      </c>
      <c r="DV316" s="34">
        <v>65</v>
      </c>
      <c r="DW316" s="55">
        <v>63</v>
      </c>
      <c r="DX316" s="51"/>
      <c r="DY316" s="34"/>
      <c r="DZ316" s="56"/>
      <c r="EA316" s="34"/>
      <c r="EB316" s="53"/>
      <c r="EC316" s="57"/>
      <c r="ED316" s="57"/>
      <c r="EE316" s="57"/>
      <c r="EF316" s="53"/>
      <c r="EG316" s="57"/>
      <c r="EH316" s="57"/>
      <c r="EI316" s="57"/>
      <c r="EJ316" s="57"/>
      <c r="EK316" s="57"/>
      <c r="EL316" s="57"/>
      <c r="EM316" s="57"/>
      <c r="EN316" s="57"/>
      <c r="EO316" s="57"/>
      <c r="EP316" s="53"/>
      <c r="EQ316" s="57"/>
      <c r="ER316" s="57"/>
      <c r="ES316" s="57"/>
      <c r="ET316" s="53"/>
      <c r="EU316" s="53"/>
      <c r="EV316" s="57"/>
      <c r="EW316" s="57"/>
      <c r="EX316" s="57"/>
      <c r="EY316" s="53"/>
      <c r="EZ316" s="57"/>
      <c r="FA316" s="57"/>
      <c r="FB316" s="57"/>
      <c r="FC316" s="53"/>
      <c r="FD316" s="57"/>
      <c r="FE316" s="57"/>
      <c r="FF316" s="57"/>
      <c r="FG316" s="53"/>
      <c r="FH316" s="57"/>
      <c r="FI316" s="57"/>
      <c r="FJ316" s="61"/>
      <c r="FK316" s="57"/>
      <c r="FL316" s="61"/>
    </row>
    <row r="317" spans="52:168" x14ac:dyDescent="0.25">
      <c r="AZ317" s="54"/>
      <c r="BA317" s="57"/>
      <c r="BB317" s="57"/>
      <c r="BC317" s="57"/>
      <c r="BD317" s="57"/>
      <c r="BE317" s="57"/>
      <c r="BF317" s="57"/>
      <c r="BG317" s="57"/>
      <c r="BH317" s="54"/>
      <c r="BI317" s="90" t="s">
        <v>152</v>
      </c>
      <c r="BJ317" s="57">
        <v>0.5</v>
      </c>
      <c r="BK317" s="57"/>
      <c r="BL317" s="57"/>
      <c r="BM317" s="57"/>
      <c r="BN317" s="57"/>
      <c r="BO317" s="57"/>
      <c r="BP317" s="61"/>
      <c r="BQ317" s="57"/>
      <c r="BR317" s="57"/>
      <c r="BS317" s="57"/>
      <c r="BT317" s="61"/>
      <c r="BU317" s="57"/>
      <c r="BV317" s="54"/>
      <c r="BW317" s="57"/>
      <c r="BX317" s="57"/>
      <c r="BY317" s="54">
        <f t="shared" si="142"/>
        <v>1</v>
      </c>
      <c r="BZ317" s="57">
        <v>150</v>
      </c>
      <c r="CA317" s="61">
        <v>315</v>
      </c>
      <c r="CB317" s="54">
        <f t="shared" si="143"/>
        <v>1</v>
      </c>
      <c r="CC317" s="57">
        <v>150</v>
      </c>
      <c r="CD317" s="61">
        <v>315</v>
      </c>
      <c r="CE317" s="57"/>
      <c r="CF317" s="57"/>
      <c r="CG317" s="61"/>
      <c r="CH317" s="57"/>
      <c r="CI317" s="57"/>
      <c r="CJ317" s="57"/>
      <c r="CK317" s="57"/>
      <c r="CL317" s="57"/>
      <c r="CM317" s="57"/>
      <c r="CN317" s="57"/>
      <c r="CO317" s="57"/>
      <c r="CP317" s="57"/>
      <c r="CQ317" s="57"/>
      <c r="CR317" s="57"/>
      <c r="CS317" s="57"/>
      <c r="CT317" s="57"/>
      <c r="CU317" s="57"/>
      <c r="CV317" s="31"/>
      <c r="CW317" s="57"/>
      <c r="CX317" s="57"/>
      <c r="CY317" s="57"/>
      <c r="CZ317" s="57"/>
      <c r="DA317" s="57"/>
      <c r="DB317" s="57"/>
      <c r="DC317" s="57"/>
      <c r="DD317" s="57"/>
      <c r="DE317" s="57"/>
      <c r="DF317" s="57"/>
      <c r="DG317" s="57"/>
      <c r="DH317" s="57"/>
      <c r="DI317" s="57"/>
      <c r="DJ317" s="57"/>
      <c r="DK317" s="57"/>
      <c r="DL317" s="57"/>
      <c r="DM317" s="50"/>
      <c r="DN317" s="34"/>
      <c r="DO317" s="51"/>
      <c r="DP317" s="34"/>
      <c r="DQ317" s="56"/>
      <c r="DR317" s="34"/>
      <c r="DS317" s="53"/>
      <c r="DT317" s="70">
        <f t="shared" si="157"/>
        <v>0</v>
      </c>
      <c r="DU317" s="56" t="s">
        <v>153</v>
      </c>
      <c r="DV317" s="34">
        <v>80</v>
      </c>
      <c r="DW317" s="55">
        <v>80</v>
      </c>
      <c r="DX317" s="51"/>
      <c r="DY317" s="34"/>
      <c r="DZ317" s="56"/>
      <c r="EA317" s="34"/>
      <c r="EB317" s="53"/>
      <c r="EC317" s="57"/>
      <c r="ED317" s="57"/>
      <c r="EE317" s="57"/>
      <c r="EF317" s="53"/>
      <c r="EG317" s="57"/>
      <c r="EH317" s="57"/>
      <c r="EI317" s="57"/>
      <c r="EJ317" s="57"/>
      <c r="EK317" s="57"/>
      <c r="EL317" s="57"/>
      <c r="EM317" s="57"/>
      <c r="EN317" s="57"/>
      <c r="EO317" s="57"/>
      <c r="EP317" s="53"/>
      <c r="EQ317" s="57"/>
      <c r="ER317" s="57"/>
      <c r="ES317" s="57"/>
      <c r="ET317" s="53"/>
      <c r="EU317" s="53"/>
      <c r="EV317" s="57"/>
      <c r="EW317" s="57"/>
      <c r="EX317" s="57"/>
      <c r="EY317" s="53"/>
      <c r="EZ317" s="57"/>
      <c r="FA317" s="57"/>
      <c r="FB317" s="57"/>
      <c r="FC317" s="53"/>
      <c r="FD317" s="57"/>
      <c r="FE317" s="57"/>
      <c r="FF317" s="57"/>
      <c r="FG317" s="53"/>
      <c r="FH317" s="57"/>
      <c r="FI317" s="57"/>
      <c r="FJ317" s="61"/>
      <c r="FK317" s="57"/>
      <c r="FL317" s="61"/>
    </row>
    <row r="318" spans="52:168" ht="15.75" thickBot="1" x14ac:dyDescent="0.3">
      <c r="AZ318" s="54"/>
      <c r="BA318" s="57"/>
      <c r="BB318" s="57"/>
      <c r="BC318" s="57"/>
      <c r="BD318" s="57"/>
      <c r="BE318" s="57"/>
      <c r="BF318" s="57"/>
      <c r="BG318" s="57"/>
      <c r="BH318" s="83"/>
      <c r="BI318" s="91"/>
      <c r="BJ318" s="87"/>
      <c r="BK318" s="87"/>
      <c r="BL318" s="87"/>
      <c r="BM318" s="87"/>
      <c r="BN318" s="87"/>
      <c r="BO318" s="87"/>
      <c r="BP318" s="89"/>
      <c r="BQ318" s="87"/>
      <c r="BR318" s="87"/>
      <c r="BS318" s="87"/>
      <c r="BT318" s="89"/>
      <c r="BU318" s="57"/>
      <c r="BV318" s="83"/>
      <c r="BW318" s="87"/>
      <c r="BX318" s="87"/>
      <c r="BY318" s="83"/>
      <c r="BZ318" s="87"/>
      <c r="CA318" s="89"/>
      <c r="CB318" s="83">
        <f t="shared" si="143"/>
        <v>1</v>
      </c>
      <c r="CC318" s="87">
        <v>150</v>
      </c>
      <c r="CD318" s="89">
        <v>400</v>
      </c>
      <c r="CE318" s="87"/>
      <c r="CF318" s="87"/>
      <c r="CG318" s="89"/>
      <c r="CH318" s="57"/>
      <c r="CI318" s="57"/>
      <c r="CJ318" s="57"/>
      <c r="CK318" s="57"/>
      <c r="CL318" s="57"/>
      <c r="CM318" s="57"/>
      <c r="CN318" s="57"/>
      <c r="CO318" s="57"/>
      <c r="CP318" s="57"/>
      <c r="CQ318" s="57"/>
      <c r="CR318" s="57"/>
      <c r="CS318" s="57"/>
      <c r="CT318" s="57"/>
      <c r="CU318" s="57"/>
      <c r="CV318" s="31"/>
      <c r="CW318" s="57"/>
      <c r="CX318" s="57"/>
      <c r="CY318" s="57"/>
      <c r="CZ318" s="57"/>
      <c r="DA318" s="57"/>
      <c r="DB318" s="57"/>
      <c r="DC318" s="57"/>
      <c r="DD318" s="57"/>
      <c r="DE318" s="57"/>
      <c r="DF318" s="57"/>
      <c r="DG318" s="57"/>
      <c r="DH318" s="57"/>
      <c r="DI318" s="57"/>
      <c r="DJ318" s="57"/>
      <c r="DK318" s="57"/>
      <c r="DL318" s="57"/>
      <c r="DM318" s="50"/>
      <c r="DN318" s="34"/>
      <c r="DO318" s="51"/>
      <c r="DP318" s="34"/>
      <c r="DQ318" s="56"/>
      <c r="DR318" s="34"/>
      <c r="DS318" s="53"/>
      <c r="DT318" s="70">
        <f t="shared" si="157"/>
        <v>0</v>
      </c>
      <c r="DU318" s="56" t="s">
        <v>154</v>
      </c>
      <c r="DV318" s="34">
        <v>80</v>
      </c>
      <c r="DW318" s="55">
        <v>100</v>
      </c>
      <c r="DX318" s="51"/>
      <c r="DY318" s="34"/>
      <c r="DZ318" s="56"/>
      <c r="EA318" s="34"/>
      <c r="EB318" s="53"/>
      <c r="EC318" s="57"/>
      <c r="ED318" s="57"/>
      <c r="EE318" s="57"/>
      <c r="EF318" s="53"/>
      <c r="EG318" s="57"/>
      <c r="EH318" s="57"/>
      <c r="EI318" s="57"/>
      <c r="EJ318" s="57"/>
      <c r="EK318" s="57"/>
      <c r="EL318" s="57"/>
      <c r="EM318" s="57"/>
      <c r="EN318" s="57"/>
      <c r="EO318" s="57"/>
      <c r="EP318" s="53"/>
      <c r="EQ318" s="57"/>
      <c r="ER318" s="57"/>
      <c r="ES318" s="57"/>
      <c r="ET318" s="53"/>
      <c r="EU318" s="53"/>
      <c r="EV318" s="57"/>
      <c r="EW318" s="57"/>
      <c r="EX318" s="57"/>
      <c r="EY318" s="53"/>
      <c r="EZ318" s="57"/>
      <c r="FA318" s="57"/>
      <c r="FB318" s="57"/>
      <c r="FC318" s="53"/>
      <c r="FD318" s="57"/>
      <c r="FE318" s="57"/>
      <c r="FF318" s="57"/>
      <c r="FG318" s="53"/>
      <c r="FH318" s="57"/>
      <c r="FI318" s="57"/>
      <c r="FJ318" s="61"/>
      <c r="FK318" s="57"/>
      <c r="FL318" s="61"/>
    </row>
    <row r="319" spans="52:168" x14ac:dyDescent="0.25">
      <c r="AZ319" s="54"/>
      <c r="BA319" s="57"/>
      <c r="BB319" s="57"/>
      <c r="BC319" s="57"/>
      <c r="BD319" s="57"/>
      <c r="BE319" s="57"/>
      <c r="BF319" s="57"/>
      <c r="BG319" s="57"/>
      <c r="BH319" s="57"/>
      <c r="BI319" s="57"/>
      <c r="BJ319" s="57"/>
      <c r="BK319" s="57"/>
      <c r="BL319" s="57"/>
      <c r="BM319" s="57"/>
      <c r="BN319" s="57"/>
      <c r="BO319" s="57"/>
      <c r="BP319" s="57"/>
      <c r="BQ319" s="57"/>
      <c r="BR319" s="57"/>
      <c r="BS319" s="57"/>
      <c r="BT319" s="57"/>
      <c r="BU319" s="57"/>
      <c r="BV319" s="57"/>
      <c r="BW319" s="57"/>
      <c r="BX319" s="57"/>
      <c r="BY319" s="57"/>
      <c r="BZ319" s="57"/>
      <c r="CA319" s="57"/>
      <c r="CB319" s="57"/>
      <c r="CC319" s="57"/>
      <c r="CD319" s="57"/>
      <c r="CE319" s="57"/>
      <c r="CF319" s="57"/>
      <c r="CG319" s="57"/>
      <c r="CH319" s="57"/>
      <c r="CI319" s="57"/>
      <c r="CJ319" s="57"/>
      <c r="CK319" s="57"/>
      <c r="CL319" s="57"/>
      <c r="CM319" s="57"/>
      <c r="CN319" s="57"/>
      <c r="CO319" s="57"/>
      <c r="CP319" s="57"/>
      <c r="CQ319" s="57"/>
      <c r="CR319" s="57"/>
      <c r="CS319" s="57"/>
      <c r="CT319" s="57"/>
      <c r="CU319" s="57"/>
      <c r="CV319" s="31"/>
      <c r="CW319" s="57"/>
      <c r="CX319" s="57"/>
      <c r="CY319" s="57"/>
      <c r="CZ319" s="57"/>
      <c r="DA319" s="57"/>
      <c r="DB319" s="57"/>
      <c r="DC319" s="57"/>
      <c r="DD319" s="57"/>
      <c r="DE319" s="57"/>
      <c r="DF319" s="57"/>
      <c r="DG319" s="57"/>
      <c r="DH319" s="57"/>
      <c r="DI319" s="57"/>
      <c r="DJ319" s="57"/>
      <c r="DK319" s="57"/>
      <c r="DL319" s="57"/>
      <c r="DM319" s="50"/>
      <c r="DN319" s="34"/>
      <c r="DO319" s="51"/>
      <c r="DP319" s="34"/>
      <c r="DQ319" s="56"/>
      <c r="DR319" s="34"/>
      <c r="DS319" s="53"/>
      <c r="DT319" s="70">
        <f t="shared" si="157"/>
        <v>0</v>
      </c>
      <c r="DU319" s="56" t="s">
        <v>155</v>
      </c>
      <c r="DV319" s="34">
        <v>100</v>
      </c>
      <c r="DW319" s="55">
        <v>125</v>
      </c>
      <c r="DX319" s="51"/>
      <c r="DY319" s="34"/>
      <c r="DZ319" s="56"/>
      <c r="EA319" s="34"/>
      <c r="EB319" s="53"/>
      <c r="EC319" s="57"/>
      <c r="ED319" s="57"/>
      <c r="EE319" s="57"/>
      <c r="EF319" s="53"/>
      <c r="EG319" s="57"/>
      <c r="EH319" s="57"/>
      <c r="EI319" s="57"/>
      <c r="EJ319" s="57"/>
      <c r="EK319" s="57"/>
      <c r="EL319" s="57"/>
      <c r="EM319" s="57"/>
      <c r="EN319" s="57"/>
      <c r="EO319" s="57"/>
      <c r="EP319" s="53"/>
      <c r="EQ319" s="57"/>
      <c r="ER319" s="57"/>
      <c r="ES319" s="57"/>
      <c r="ET319" s="53"/>
      <c r="EU319" s="53"/>
      <c r="EV319" s="57"/>
      <c r="EW319" s="57"/>
      <c r="EX319" s="57"/>
      <c r="EY319" s="53"/>
      <c r="EZ319" s="57"/>
      <c r="FA319" s="57"/>
      <c r="FB319" s="57"/>
      <c r="FC319" s="53"/>
      <c r="FD319" s="57"/>
      <c r="FE319" s="57"/>
      <c r="FF319" s="57"/>
      <c r="FG319" s="53"/>
      <c r="FH319" s="57"/>
      <c r="FI319" s="57"/>
      <c r="FJ319" s="61"/>
      <c r="FK319" s="57"/>
      <c r="FL319" s="61"/>
    </row>
    <row r="320" spans="52:168" x14ac:dyDescent="0.25">
      <c r="AZ320" s="54"/>
      <c r="BA320" s="57"/>
      <c r="BB320" s="57"/>
      <c r="BC320" s="57"/>
      <c r="BD320" s="57"/>
      <c r="BE320" s="57"/>
      <c r="BF320" s="57"/>
      <c r="BG320" s="57"/>
      <c r="BH320" s="57"/>
      <c r="BI320" s="57"/>
      <c r="BJ320" s="57"/>
      <c r="BK320" s="57"/>
      <c r="BL320" s="57"/>
      <c r="BM320" s="57"/>
      <c r="BN320" s="57"/>
      <c r="BO320" s="57"/>
      <c r="BP320" s="57"/>
      <c r="BQ320" s="57"/>
      <c r="BR320" s="57"/>
      <c r="BS320" s="57"/>
      <c r="BT320" s="57"/>
      <c r="BU320" s="57"/>
      <c r="BV320" s="57"/>
      <c r="BW320" s="57"/>
      <c r="BX320" s="57"/>
      <c r="BY320" s="57"/>
      <c r="BZ320" s="57"/>
      <c r="CA320" s="57"/>
      <c r="CB320" s="57"/>
      <c r="CC320" s="57"/>
      <c r="CD320" s="57"/>
      <c r="CE320" s="57"/>
      <c r="CF320" s="57"/>
      <c r="CG320" s="57"/>
      <c r="CH320" s="57"/>
      <c r="CI320" s="57"/>
      <c r="CJ320" s="57"/>
      <c r="CK320" s="57"/>
      <c r="CL320" s="57"/>
      <c r="CM320" s="57"/>
      <c r="CN320" s="57"/>
      <c r="CO320" s="57"/>
      <c r="CP320" s="57"/>
      <c r="CQ320" s="57"/>
      <c r="CR320" s="57"/>
      <c r="CS320" s="57"/>
      <c r="CT320" s="57"/>
      <c r="CU320" s="57"/>
      <c r="CV320" s="31"/>
      <c r="CW320" s="57"/>
      <c r="CX320" s="57"/>
      <c r="CY320" s="57"/>
      <c r="CZ320" s="57"/>
      <c r="DA320" s="57"/>
      <c r="DB320" s="57"/>
      <c r="DC320" s="57"/>
      <c r="DD320" s="57"/>
      <c r="DE320" s="57"/>
      <c r="DF320" s="57"/>
      <c r="DG320" s="57"/>
      <c r="DH320" s="57"/>
      <c r="DI320" s="57"/>
      <c r="DJ320" s="57"/>
      <c r="DK320" s="57"/>
      <c r="DL320" s="57"/>
      <c r="DM320" s="50"/>
      <c r="DN320" s="34"/>
      <c r="DO320" s="51"/>
      <c r="DP320" s="34"/>
      <c r="DQ320" s="56"/>
      <c r="DR320" s="34"/>
      <c r="DS320" s="53"/>
      <c r="DT320" s="70">
        <f t="shared" si="157"/>
        <v>0</v>
      </c>
      <c r="DU320" s="56" t="s">
        <v>156</v>
      </c>
      <c r="DV320" s="34">
        <v>100</v>
      </c>
      <c r="DW320" s="55">
        <v>160</v>
      </c>
      <c r="DX320" s="51"/>
      <c r="DY320" s="34"/>
      <c r="DZ320" s="56"/>
      <c r="EA320" s="34"/>
      <c r="EB320" s="53"/>
      <c r="EC320" s="57"/>
      <c r="ED320" s="57"/>
      <c r="EE320" s="57"/>
      <c r="EF320" s="53"/>
      <c r="EG320" s="57"/>
      <c r="EH320" s="57"/>
      <c r="EI320" s="57"/>
      <c r="EJ320" s="57"/>
      <c r="EK320" s="57"/>
      <c r="EL320" s="57"/>
      <c r="EM320" s="57"/>
      <c r="EN320" s="57"/>
      <c r="EO320" s="57"/>
      <c r="EP320" s="53"/>
      <c r="EQ320" s="57"/>
      <c r="ER320" s="57"/>
      <c r="ES320" s="57"/>
      <c r="ET320" s="53"/>
      <c r="EU320" s="53"/>
      <c r="EV320" s="57"/>
      <c r="EW320" s="57"/>
      <c r="EX320" s="57"/>
      <c r="EY320" s="53"/>
      <c r="EZ320" s="57"/>
      <c r="FA320" s="57"/>
      <c r="FB320" s="57"/>
      <c r="FC320" s="53"/>
      <c r="FD320" s="57"/>
      <c r="FE320" s="57"/>
      <c r="FF320" s="57"/>
      <c r="FG320" s="53"/>
      <c r="FH320" s="57"/>
      <c r="FI320" s="57"/>
      <c r="FJ320" s="61"/>
      <c r="FK320" s="57"/>
      <c r="FL320" s="61"/>
    </row>
    <row r="321" spans="52:168" x14ac:dyDescent="0.25">
      <c r="AZ321" s="54"/>
      <c r="BA321" s="57"/>
      <c r="BB321" s="57"/>
      <c r="BC321" s="57"/>
      <c r="BD321" s="57"/>
      <c r="BE321" s="57"/>
      <c r="BF321" s="57"/>
      <c r="BG321" s="57"/>
      <c r="BH321" s="57"/>
      <c r="BI321" s="57"/>
      <c r="BJ321" s="57"/>
      <c r="BK321" s="57"/>
      <c r="BL321" s="57"/>
      <c r="BM321" s="57"/>
      <c r="BN321" s="57"/>
      <c r="BO321" s="57"/>
      <c r="BP321" s="57"/>
      <c r="BQ321" s="57"/>
      <c r="BR321" s="57"/>
      <c r="BS321" s="57"/>
      <c r="BT321" s="57"/>
      <c r="BU321" s="57"/>
      <c r="BV321" s="57"/>
      <c r="BW321" s="57"/>
      <c r="BX321" s="57"/>
      <c r="BY321" s="57"/>
      <c r="BZ321" s="57"/>
      <c r="CA321" s="57"/>
      <c r="CB321" s="57"/>
      <c r="CC321" s="57"/>
      <c r="CD321" s="57"/>
      <c r="CE321" s="57"/>
      <c r="CF321" s="57"/>
      <c r="CG321" s="57"/>
      <c r="CH321" s="57"/>
      <c r="CI321" s="57"/>
      <c r="CJ321" s="57"/>
      <c r="CK321" s="57"/>
      <c r="CL321" s="57"/>
      <c r="CM321" s="57"/>
      <c r="CN321" s="57"/>
      <c r="CO321" s="57"/>
      <c r="CP321" s="57"/>
      <c r="CQ321" s="57"/>
      <c r="CR321" s="57"/>
      <c r="CS321" s="57"/>
      <c r="CT321" s="57"/>
      <c r="CU321" s="57"/>
      <c r="CV321" s="31"/>
      <c r="CW321" s="57"/>
      <c r="CX321" s="57"/>
      <c r="CY321" s="57"/>
      <c r="CZ321" s="57"/>
      <c r="DA321" s="57"/>
      <c r="DB321" s="57"/>
      <c r="DC321" s="57"/>
      <c r="DD321" s="57"/>
      <c r="DE321" s="57"/>
      <c r="DF321" s="57"/>
      <c r="DG321" s="57"/>
      <c r="DH321" s="57"/>
      <c r="DI321" s="57"/>
      <c r="DJ321" s="57"/>
      <c r="DK321" s="57"/>
      <c r="DL321" s="57"/>
      <c r="DM321" s="50"/>
      <c r="DN321" s="34"/>
      <c r="DO321" s="51"/>
      <c r="DP321" s="34"/>
      <c r="DQ321" s="56"/>
      <c r="DR321" s="34"/>
      <c r="DS321" s="53"/>
      <c r="DT321" s="70">
        <f t="shared" si="157"/>
        <v>0</v>
      </c>
      <c r="DU321" s="56" t="s">
        <v>157</v>
      </c>
      <c r="DV321" s="34">
        <v>125</v>
      </c>
      <c r="DW321" s="55">
        <v>250</v>
      </c>
      <c r="DX321" s="51"/>
      <c r="DY321" s="34"/>
      <c r="DZ321" s="56"/>
      <c r="EA321" s="34"/>
      <c r="EB321" s="53"/>
      <c r="EC321" s="57"/>
      <c r="ED321" s="57"/>
      <c r="EE321" s="57"/>
      <c r="EF321" s="53"/>
      <c r="EG321" s="57"/>
      <c r="EH321" s="57"/>
      <c r="EI321" s="57"/>
      <c r="EJ321" s="57"/>
      <c r="EK321" s="57"/>
      <c r="EL321" s="57"/>
      <c r="EM321" s="57"/>
      <c r="EN321" s="57"/>
      <c r="EO321" s="57"/>
      <c r="EP321" s="53"/>
      <c r="EQ321" s="57"/>
      <c r="ER321" s="57"/>
      <c r="ES321" s="57"/>
      <c r="ET321" s="53"/>
      <c r="EU321" s="53"/>
      <c r="EV321" s="57"/>
      <c r="EW321" s="57"/>
      <c r="EX321" s="57"/>
      <c r="EY321" s="53"/>
      <c r="EZ321" s="57"/>
      <c r="FA321" s="57"/>
      <c r="FB321" s="57"/>
      <c r="FC321" s="53"/>
      <c r="FD321" s="57"/>
      <c r="FE321" s="57"/>
      <c r="FF321" s="57"/>
      <c r="FG321" s="53"/>
      <c r="FH321" s="57"/>
      <c r="FI321" s="57"/>
      <c r="FJ321" s="61"/>
      <c r="FK321" s="57"/>
      <c r="FL321" s="61"/>
    </row>
    <row r="322" spans="52:168" ht="15.75" thickBot="1" x14ac:dyDescent="0.3">
      <c r="AZ322" s="54"/>
      <c r="BA322" s="174" t="s">
        <v>349</v>
      </c>
      <c r="BB322" s="174"/>
      <c r="BC322" s="174"/>
      <c r="BD322" s="174"/>
      <c r="BE322" s="174"/>
      <c r="BF322" s="57"/>
      <c r="BG322" s="57"/>
      <c r="BH322" s="57"/>
      <c r="BI322" s="57"/>
      <c r="BJ322" s="57"/>
      <c r="BK322" s="57"/>
      <c r="BL322" s="57"/>
      <c r="BM322" s="57"/>
      <c r="BN322" s="57"/>
      <c r="BO322" s="57"/>
      <c r="BP322" s="57"/>
      <c r="BQ322" s="57"/>
      <c r="BR322" s="57"/>
      <c r="BS322" s="57"/>
      <c r="BT322" s="57"/>
      <c r="BU322" s="57"/>
      <c r="BV322" s="57"/>
      <c r="BW322" s="57"/>
      <c r="BX322" s="57"/>
      <c r="BY322" s="57"/>
      <c r="BZ322" s="57"/>
      <c r="CA322" s="57"/>
      <c r="CB322" s="57"/>
      <c r="CC322" s="57"/>
      <c r="CD322" s="57"/>
      <c r="CE322" s="57"/>
      <c r="CF322" s="57"/>
      <c r="CG322" s="57"/>
      <c r="CH322" s="57"/>
      <c r="CI322" s="57"/>
      <c r="CJ322" s="57"/>
      <c r="CK322" s="57"/>
      <c r="CL322" s="57"/>
      <c r="CM322" s="57"/>
      <c r="CN322" s="57"/>
      <c r="CO322" s="57"/>
      <c r="CP322" s="57"/>
      <c r="CQ322" s="57"/>
      <c r="CR322" s="57"/>
      <c r="CS322" s="57"/>
      <c r="CT322" s="57"/>
      <c r="CU322" s="57"/>
      <c r="CV322" s="31"/>
      <c r="CW322" s="57"/>
      <c r="CX322" s="57"/>
      <c r="CY322" s="57"/>
      <c r="CZ322" s="57"/>
      <c r="DA322" s="57"/>
      <c r="DB322" s="57"/>
      <c r="DC322" s="57"/>
      <c r="DD322" s="57"/>
      <c r="DE322" s="57"/>
      <c r="DF322" s="57"/>
      <c r="DG322" s="57"/>
      <c r="DH322" s="57"/>
      <c r="DI322" s="57"/>
      <c r="DJ322" s="57"/>
      <c r="DK322" s="57"/>
      <c r="DL322" s="57"/>
      <c r="DM322" s="92"/>
      <c r="DN322" s="93"/>
      <c r="DO322" s="94"/>
      <c r="DP322" s="93"/>
      <c r="DQ322" s="95"/>
      <c r="DR322" s="93"/>
      <c r="DS322" s="85"/>
      <c r="DT322" s="82">
        <f t="shared" si="157"/>
        <v>0</v>
      </c>
      <c r="DU322" s="95" t="s">
        <v>158</v>
      </c>
      <c r="DV322" s="93">
        <v>150</v>
      </c>
      <c r="DW322" s="96">
        <v>315</v>
      </c>
      <c r="DX322" s="94"/>
      <c r="DY322" s="93"/>
      <c r="DZ322" s="95"/>
      <c r="EA322" s="93"/>
      <c r="EB322" s="85"/>
      <c r="EC322" s="87"/>
      <c r="ED322" s="87"/>
      <c r="EE322" s="87"/>
      <c r="EF322" s="85"/>
      <c r="EG322" s="87"/>
      <c r="EH322" s="87"/>
      <c r="EI322" s="87"/>
      <c r="EJ322" s="87"/>
      <c r="EK322" s="87"/>
      <c r="EL322" s="87"/>
      <c r="EM322" s="87"/>
      <c r="EN322" s="87"/>
      <c r="EO322" s="87"/>
      <c r="EP322" s="85"/>
      <c r="EQ322" s="87"/>
      <c r="ER322" s="87"/>
      <c r="ES322" s="87"/>
      <c r="ET322" s="85"/>
      <c r="EU322" s="85"/>
      <c r="EV322" s="87"/>
      <c r="EW322" s="87"/>
      <c r="EX322" s="87"/>
      <c r="EY322" s="85"/>
      <c r="EZ322" s="87"/>
      <c r="FA322" s="87"/>
      <c r="FB322" s="87"/>
      <c r="FC322" s="85"/>
      <c r="FD322" s="87"/>
      <c r="FE322" s="87"/>
      <c r="FF322" s="87"/>
      <c r="FG322" s="85"/>
      <c r="FH322" s="87"/>
      <c r="FI322" s="87"/>
      <c r="FJ322" s="89"/>
      <c r="FK322" s="57"/>
      <c r="FL322" s="61"/>
    </row>
    <row r="323" spans="52:168" x14ac:dyDescent="0.25">
      <c r="AZ323" s="54"/>
      <c r="BA323" s="174"/>
      <c r="BB323" s="174"/>
      <c r="BC323" s="174"/>
      <c r="BD323" s="174"/>
      <c r="BE323" s="174"/>
      <c r="BF323" s="57"/>
      <c r="BG323" s="57"/>
      <c r="BH323" s="57"/>
      <c r="BI323" s="57"/>
      <c r="BJ323" s="57"/>
      <c r="BK323" s="57"/>
      <c r="BL323" s="57"/>
      <c r="BM323" s="57"/>
      <c r="BN323" s="57"/>
      <c r="BO323" s="57"/>
      <c r="BP323" s="57"/>
      <c r="BQ323" s="57"/>
      <c r="BR323" s="57"/>
      <c r="BS323" s="57"/>
      <c r="BT323" s="57"/>
      <c r="BU323" s="57"/>
      <c r="BV323" s="57"/>
      <c r="BW323" s="57"/>
      <c r="BX323" s="57"/>
      <c r="BY323" s="57"/>
      <c r="BZ323" s="57"/>
      <c r="CA323" s="57"/>
      <c r="CB323" s="57"/>
      <c r="CC323" s="57"/>
      <c r="CD323" s="57"/>
      <c r="CE323" s="57"/>
      <c r="CF323" s="57"/>
      <c r="CG323" s="57"/>
      <c r="CH323" s="57"/>
      <c r="CI323" s="57"/>
      <c r="CJ323" s="57"/>
      <c r="CK323" s="57"/>
      <c r="CL323" s="57"/>
      <c r="CM323" s="57"/>
      <c r="CN323" s="57"/>
      <c r="CO323" s="57"/>
      <c r="CP323" s="57"/>
      <c r="CQ323" s="57"/>
      <c r="CR323" s="57"/>
      <c r="CS323" s="57"/>
      <c r="CT323" s="57"/>
      <c r="CU323" s="57"/>
      <c r="CV323" s="31"/>
      <c r="CW323" s="57"/>
      <c r="CX323" s="57"/>
      <c r="CY323" s="57"/>
      <c r="CZ323" s="57"/>
      <c r="DA323" s="57"/>
      <c r="DB323" s="57"/>
      <c r="DC323" s="57"/>
      <c r="DD323" s="57"/>
      <c r="DE323" s="57"/>
      <c r="DF323" s="57"/>
      <c r="DG323" s="57"/>
      <c r="DH323" s="57"/>
      <c r="DI323" s="57"/>
      <c r="DJ323" s="57"/>
      <c r="DK323" s="57"/>
      <c r="DL323" s="57"/>
      <c r="DM323" s="57"/>
      <c r="DN323" s="57"/>
      <c r="DO323" s="57"/>
      <c r="DP323" s="57"/>
      <c r="DQ323" s="57"/>
      <c r="DR323" s="57"/>
      <c r="DS323" s="57"/>
      <c r="DT323" s="57"/>
      <c r="DU323" s="57"/>
      <c r="DV323" s="57"/>
      <c r="DW323" s="57"/>
      <c r="DX323" s="57"/>
      <c r="DY323" s="57"/>
      <c r="DZ323" s="57"/>
      <c r="EA323" s="57"/>
      <c r="EB323" s="57"/>
      <c r="EC323" s="57"/>
      <c r="ED323" s="57"/>
      <c r="EE323" s="57"/>
      <c r="EF323" s="57"/>
      <c r="EG323" s="57"/>
      <c r="EH323" s="57"/>
      <c r="EI323" s="57"/>
      <c r="EJ323" s="57"/>
      <c r="EK323" s="57"/>
      <c r="EL323" s="57"/>
      <c r="EM323" s="57"/>
      <c r="EN323" s="57"/>
      <c r="EO323" s="57"/>
      <c r="EP323" s="57"/>
      <c r="EQ323" s="57"/>
      <c r="ER323" s="57"/>
      <c r="ES323" s="57"/>
      <c r="ET323" s="57"/>
      <c r="EU323" s="57"/>
      <c r="EV323" s="57"/>
      <c r="EW323" s="57"/>
      <c r="EX323" s="57"/>
      <c r="EY323" s="57"/>
      <c r="EZ323" s="57"/>
      <c r="FA323" s="57"/>
      <c r="FB323" s="57"/>
      <c r="FC323" s="57"/>
      <c r="FD323" s="57"/>
      <c r="FE323" s="57"/>
      <c r="FF323" s="57"/>
      <c r="FG323" s="57"/>
      <c r="FH323" s="57"/>
      <c r="FI323" s="57"/>
      <c r="FJ323" s="57"/>
      <c r="FK323" s="57"/>
      <c r="FL323" s="61"/>
    </row>
    <row r="324" spans="52:168" x14ac:dyDescent="0.25">
      <c r="AZ324" s="54"/>
      <c r="BA324" s="174"/>
      <c r="BB324" s="174"/>
      <c r="BC324" s="174"/>
      <c r="BD324" s="174"/>
      <c r="BE324" s="174"/>
      <c r="BF324" s="57"/>
      <c r="BG324" s="57"/>
      <c r="BH324" s="57"/>
      <c r="BI324" s="57"/>
      <c r="BJ324" s="57"/>
      <c r="BK324" s="57"/>
      <c r="BL324" s="57"/>
      <c r="BM324" s="57"/>
      <c r="BN324" s="57"/>
      <c r="BO324" s="57"/>
      <c r="BP324" s="57"/>
      <c r="BQ324" s="57"/>
      <c r="BR324" s="57"/>
      <c r="BS324" s="57"/>
      <c r="BT324" s="57"/>
      <c r="BU324" s="57"/>
      <c r="BV324" s="57"/>
      <c r="BW324" s="57"/>
      <c r="BX324" s="57"/>
      <c r="BY324" s="57"/>
      <c r="BZ324" s="57"/>
      <c r="CA324" s="57"/>
      <c r="CB324" s="57"/>
      <c r="CC324" s="57"/>
      <c r="CD324" s="57"/>
      <c r="CE324" s="57"/>
      <c r="CF324" s="57"/>
      <c r="CG324" s="57"/>
      <c r="CH324" s="57"/>
      <c r="CI324" s="57"/>
      <c r="CJ324" s="57"/>
      <c r="CK324" s="57"/>
      <c r="CL324" s="57"/>
      <c r="CM324" s="57"/>
      <c r="CN324" s="57"/>
      <c r="CO324" s="57"/>
      <c r="CP324" s="57"/>
      <c r="CQ324" s="57"/>
      <c r="CR324" s="57"/>
      <c r="CS324" s="57"/>
      <c r="CT324" s="57"/>
      <c r="CU324" s="57"/>
      <c r="CV324" s="31"/>
      <c r="CW324" s="57"/>
      <c r="CX324" s="57"/>
      <c r="CY324" s="57"/>
      <c r="CZ324" s="57"/>
      <c r="DA324" s="57"/>
      <c r="DB324" s="57"/>
      <c r="DC324" s="57"/>
      <c r="DD324" s="57"/>
      <c r="DE324" s="57"/>
      <c r="DF324" s="57"/>
      <c r="DG324" s="57"/>
      <c r="DH324" s="57"/>
      <c r="DI324" s="57"/>
      <c r="DJ324" s="57"/>
      <c r="DK324" s="57"/>
      <c r="DL324" s="57"/>
      <c r="DM324" s="57"/>
      <c r="DN324" s="57"/>
      <c r="DO324" s="57"/>
      <c r="DP324" s="57"/>
      <c r="DQ324" s="57"/>
      <c r="DR324" s="57"/>
      <c r="DS324" s="57"/>
      <c r="DT324" s="57"/>
      <c r="DU324" s="57"/>
      <c r="DV324" s="57"/>
      <c r="DW324" s="57"/>
      <c r="DX324" s="57"/>
      <c r="DY324" s="57"/>
      <c r="DZ324" s="57"/>
      <c r="EA324" s="57"/>
      <c r="EB324" s="57"/>
      <c r="EC324" s="57"/>
      <c r="ED324" s="57"/>
      <c r="EE324" s="57"/>
      <c r="EF324" s="57"/>
      <c r="EG324" s="57"/>
      <c r="EH324" s="57"/>
      <c r="EI324" s="57"/>
      <c r="EJ324" s="57"/>
      <c r="EK324" s="57"/>
      <c r="EL324" s="57"/>
      <c r="EM324" s="57"/>
      <c r="EN324" s="57"/>
      <c r="EO324" s="57"/>
      <c r="EP324" s="57"/>
      <c r="EQ324" s="57"/>
      <c r="ER324" s="57"/>
      <c r="ES324" s="57"/>
      <c r="ET324" s="57"/>
      <c r="EU324" s="57"/>
      <c r="EV324" s="57"/>
      <c r="EW324" s="57"/>
      <c r="EX324" s="57"/>
      <c r="EY324" s="57"/>
      <c r="EZ324" s="57"/>
      <c r="FA324" s="57"/>
      <c r="FB324" s="57"/>
      <c r="FC324" s="57"/>
      <c r="FD324" s="57"/>
      <c r="FE324" s="57"/>
      <c r="FF324" s="57"/>
      <c r="FG324" s="57"/>
      <c r="FH324" s="57"/>
      <c r="FI324" s="57"/>
      <c r="FJ324" s="57"/>
      <c r="FK324" s="57"/>
      <c r="FL324" s="61"/>
    </row>
    <row r="325" spans="52:168" x14ac:dyDescent="0.25">
      <c r="AZ325" s="54"/>
      <c r="BA325" s="174"/>
      <c r="BB325" s="174"/>
      <c r="BC325" s="174"/>
      <c r="BD325" s="174"/>
      <c r="BE325" s="174"/>
      <c r="BF325" s="57"/>
      <c r="BG325" s="57"/>
      <c r="BH325" s="57"/>
      <c r="BI325" s="57"/>
      <c r="BJ325" s="57"/>
      <c r="BK325" s="57"/>
      <c r="BL325" s="57"/>
      <c r="BM325" s="57"/>
      <c r="BN325" s="57"/>
      <c r="BO325" s="57"/>
      <c r="BP325" s="57"/>
      <c r="BQ325" s="57"/>
      <c r="BR325" s="57"/>
      <c r="BS325" s="57"/>
      <c r="BT325" s="57"/>
      <c r="BU325" s="57"/>
      <c r="BV325" s="57"/>
      <c r="BW325" s="57"/>
      <c r="BX325" s="57"/>
      <c r="BY325" s="57"/>
      <c r="BZ325" s="57"/>
      <c r="CA325" s="57"/>
      <c r="CB325" s="57"/>
      <c r="CC325" s="57"/>
      <c r="CD325" s="57"/>
      <c r="CE325" s="57"/>
      <c r="CF325" s="57"/>
      <c r="CG325" s="57"/>
      <c r="CH325" s="57"/>
      <c r="CI325" s="57"/>
      <c r="CJ325" s="57"/>
      <c r="CK325" s="57"/>
      <c r="CL325" s="57"/>
      <c r="CM325" s="57"/>
      <c r="CN325" s="57"/>
      <c r="CO325" s="57"/>
      <c r="CP325" s="57"/>
      <c r="CQ325" s="57"/>
      <c r="CR325" s="57"/>
      <c r="CS325" s="57"/>
      <c r="CT325" s="57"/>
      <c r="CU325" s="57"/>
      <c r="CV325" s="31"/>
      <c r="CW325" s="57"/>
      <c r="CX325" s="57"/>
      <c r="CY325" s="57"/>
      <c r="CZ325" s="57"/>
      <c r="DA325" s="57"/>
      <c r="DB325" s="57"/>
      <c r="DC325" s="57"/>
      <c r="DD325" s="57"/>
      <c r="DE325" s="57"/>
      <c r="DF325" s="57"/>
      <c r="DG325" s="57"/>
      <c r="DH325" s="57"/>
      <c r="DI325" s="57"/>
      <c r="DJ325" s="57"/>
      <c r="DK325" s="57"/>
      <c r="DL325" s="57"/>
      <c r="DM325" s="57"/>
      <c r="DN325" s="57"/>
      <c r="DO325" s="57"/>
      <c r="DP325" s="57"/>
      <c r="DQ325" s="57"/>
      <c r="DR325" s="57"/>
      <c r="DS325" s="57"/>
      <c r="DT325" s="57"/>
      <c r="DU325" s="57"/>
      <c r="DV325" s="57"/>
      <c r="DW325" s="57"/>
      <c r="DX325" s="57"/>
      <c r="DY325" s="57"/>
      <c r="DZ325" s="57"/>
      <c r="EA325" s="57"/>
      <c r="EB325" s="57"/>
      <c r="EC325" s="57"/>
      <c r="ED325" s="57"/>
      <c r="EE325" s="57"/>
      <c r="EF325" s="57"/>
      <c r="EG325" s="57"/>
      <c r="EH325" s="57"/>
      <c r="EI325" s="57"/>
      <c r="EJ325" s="57"/>
      <c r="EK325" s="57"/>
      <c r="EL325" s="57"/>
      <c r="EM325" s="57"/>
      <c r="EN325" s="57"/>
      <c r="EO325" s="57"/>
      <c r="EP325" s="57"/>
      <c r="EQ325" s="57"/>
      <c r="ER325" s="57"/>
      <c r="ES325" s="57"/>
      <c r="ET325" s="57"/>
      <c r="EU325" s="57"/>
      <c r="EV325" s="57"/>
      <c r="EW325" s="57"/>
      <c r="EX325" s="57"/>
      <c r="EY325" s="57"/>
      <c r="EZ325" s="57"/>
      <c r="FA325" s="57"/>
      <c r="FB325" s="57"/>
      <c r="FC325" s="57"/>
      <c r="FD325" s="57"/>
      <c r="FE325" s="57"/>
      <c r="FF325" s="57"/>
      <c r="FG325" s="57"/>
      <c r="FH325" s="57"/>
      <c r="FI325" s="57"/>
      <c r="FJ325" s="57"/>
      <c r="FK325" s="57"/>
      <c r="FL325" s="61"/>
    </row>
    <row r="326" spans="52:168" x14ac:dyDescent="0.25">
      <c r="AZ326" s="54"/>
      <c r="BA326" s="57"/>
      <c r="BB326" s="57"/>
      <c r="BC326" s="57"/>
      <c r="BD326" s="57"/>
      <c r="BE326" s="57"/>
      <c r="BF326" s="57"/>
      <c r="BG326" s="57"/>
      <c r="BH326" s="57"/>
      <c r="BI326" s="57"/>
      <c r="BJ326" s="57"/>
      <c r="BK326" s="57"/>
      <c r="BL326" s="57"/>
      <c r="BM326" s="57"/>
      <c r="BN326" s="57"/>
      <c r="BO326" s="57"/>
      <c r="BP326" s="57"/>
      <c r="BQ326" s="57"/>
      <c r="BR326" s="57"/>
      <c r="BS326" s="57"/>
      <c r="BT326" s="57"/>
      <c r="BU326" s="57"/>
      <c r="BV326" s="57"/>
      <c r="BW326" s="57"/>
      <c r="BX326" s="57"/>
      <c r="BY326" s="57"/>
      <c r="BZ326" s="57"/>
      <c r="CA326" s="57"/>
      <c r="CB326" s="57"/>
      <c r="CC326" s="57"/>
      <c r="CD326" s="57"/>
      <c r="CE326" s="57"/>
      <c r="CF326" s="57"/>
      <c r="CG326" s="57"/>
      <c r="CH326" s="57"/>
      <c r="CI326" s="57"/>
      <c r="CJ326" s="57"/>
      <c r="CK326" s="57"/>
      <c r="CL326" s="57"/>
      <c r="CM326" s="57"/>
      <c r="CN326" s="57"/>
      <c r="CO326" s="57"/>
      <c r="CP326" s="57"/>
      <c r="CQ326" s="57"/>
      <c r="CR326" s="57"/>
      <c r="CS326" s="57"/>
      <c r="CT326" s="57"/>
      <c r="CU326" s="57"/>
      <c r="CV326" s="31"/>
      <c r="CW326" s="57"/>
      <c r="CX326" s="57"/>
      <c r="CY326" s="57"/>
      <c r="CZ326" s="57"/>
      <c r="DA326" s="57"/>
      <c r="DB326" s="57"/>
      <c r="DC326" s="57"/>
      <c r="DD326" s="57"/>
      <c r="DE326" s="57"/>
      <c r="DF326" s="57"/>
      <c r="DG326" s="57"/>
      <c r="DH326" s="57"/>
      <c r="DI326" s="57"/>
      <c r="DJ326" s="57"/>
      <c r="DK326" s="57"/>
      <c r="DL326" s="57"/>
      <c r="DM326" s="57"/>
      <c r="DN326" s="57"/>
      <c r="DO326" s="57"/>
      <c r="DP326" s="57"/>
      <c r="DQ326" s="57"/>
      <c r="DR326" s="57"/>
      <c r="DS326" s="57"/>
      <c r="DT326" s="57"/>
      <c r="DU326" s="57"/>
      <c r="DV326" s="57"/>
      <c r="DW326" s="57"/>
      <c r="DX326" s="57"/>
      <c r="DY326" s="57"/>
      <c r="DZ326" s="57"/>
      <c r="EA326" s="57"/>
      <c r="EB326" s="57"/>
      <c r="EC326" s="57"/>
      <c r="ED326" s="57"/>
      <c r="EE326" s="57"/>
      <c r="EF326" s="57"/>
      <c r="EG326" s="57"/>
      <c r="EH326" s="57"/>
      <c r="EI326" s="57"/>
      <c r="EJ326" s="57"/>
      <c r="EK326" s="57"/>
      <c r="EL326" s="57"/>
      <c r="EM326" s="57"/>
      <c r="EN326" s="57"/>
      <c r="EO326" s="57"/>
      <c r="EP326" s="57"/>
      <c r="EQ326" s="57"/>
      <c r="ER326" s="57"/>
      <c r="ES326" s="57"/>
      <c r="ET326" s="57"/>
      <c r="EU326" s="57"/>
      <c r="EV326" s="57"/>
      <c r="EW326" s="57"/>
      <c r="EX326" s="57"/>
      <c r="EY326" s="57"/>
      <c r="EZ326" s="57"/>
      <c r="FA326" s="57"/>
      <c r="FB326" s="57"/>
      <c r="FC326" s="57"/>
      <c r="FD326" s="57"/>
      <c r="FE326" s="57"/>
      <c r="FF326" s="57"/>
      <c r="FG326" s="57"/>
      <c r="FH326" s="57"/>
      <c r="FI326" s="57"/>
      <c r="FJ326" s="57"/>
      <c r="FK326" s="57"/>
      <c r="FL326" s="61"/>
    </row>
    <row r="327" spans="52:168" x14ac:dyDescent="0.25">
      <c r="AZ327" s="54"/>
      <c r="BA327" s="57"/>
      <c r="BB327" s="57"/>
      <c r="BC327" s="57"/>
      <c r="BD327" s="57"/>
      <c r="BE327" s="57"/>
      <c r="BF327" s="57"/>
      <c r="BG327" s="57"/>
      <c r="BH327" s="57"/>
      <c r="BI327" s="57"/>
      <c r="BJ327" s="57"/>
      <c r="BK327" s="57"/>
      <c r="BL327" s="57"/>
      <c r="BM327" s="57"/>
      <c r="BN327" s="57"/>
      <c r="BO327" s="57"/>
      <c r="BP327" s="57"/>
      <c r="BQ327" s="57"/>
      <c r="BR327" s="57"/>
      <c r="BS327" s="57"/>
      <c r="BT327" s="57"/>
      <c r="BU327" s="57"/>
      <c r="BV327" s="57"/>
      <c r="BW327" s="57"/>
      <c r="BX327" s="57"/>
      <c r="BY327" s="57"/>
      <c r="BZ327" s="57"/>
      <c r="CA327" s="57"/>
      <c r="CB327" s="57"/>
      <c r="CC327" s="57"/>
      <c r="CD327" s="57"/>
      <c r="CE327" s="57"/>
      <c r="CF327" s="57"/>
      <c r="CG327" s="57"/>
      <c r="CH327" s="57"/>
      <c r="CI327" s="57"/>
      <c r="CJ327" s="57"/>
      <c r="CK327" s="57"/>
      <c r="CL327" s="57"/>
      <c r="CM327" s="57"/>
      <c r="CN327" s="57"/>
      <c r="CO327" s="57"/>
      <c r="CP327" s="57"/>
      <c r="CQ327" s="57"/>
      <c r="CR327" s="57"/>
      <c r="CS327" s="57"/>
      <c r="CT327" s="57"/>
      <c r="CU327" s="57"/>
      <c r="CV327" s="31"/>
      <c r="CW327" s="57"/>
      <c r="CX327" s="57"/>
      <c r="CY327" s="57"/>
      <c r="CZ327" s="57"/>
      <c r="DA327" s="57"/>
      <c r="DB327" s="57"/>
      <c r="DC327" s="57"/>
      <c r="DD327" s="57"/>
      <c r="DE327" s="57"/>
      <c r="DF327" s="57"/>
      <c r="DG327" s="57"/>
      <c r="DH327" s="57"/>
      <c r="DI327" s="57"/>
      <c r="DJ327" s="57"/>
      <c r="DK327" s="57"/>
      <c r="DL327" s="57"/>
      <c r="DM327" s="57"/>
      <c r="DN327" s="57"/>
      <c r="DO327" s="57"/>
      <c r="DP327" s="57"/>
      <c r="DQ327" s="57"/>
      <c r="DR327" s="57"/>
      <c r="DS327" s="57"/>
      <c r="DT327" s="57"/>
      <c r="DU327" s="57"/>
      <c r="DV327" s="57"/>
      <c r="DW327" s="57"/>
      <c r="DX327" s="57"/>
      <c r="DY327" s="57"/>
      <c r="DZ327" s="57"/>
      <c r="EA327" s="57"/>
      <c r="EB327" s="57"/>
      <c r="EC327" s="57"/>
      <c r="ED327" s="57"/>
      <c r="EE327" s="57"/>
      <c r="EF327" s="57"/>
      <c r="EG327" s="57"/>
      <c r="EH327" s="57"/>
      <c r="EI327" s="57"/>
      <c r="EJ327" s="57"/>
      <c r="EK327" s="57"/>
      <c r="EL327" s="57"/>
      <c r="EM327" s="57"/>
      <c r="EN327" s="57"/>
      <c r="EO327" s="57"/>
      <c r="EP327" s="57"/>
      <c r="EQ327" s="57"/>
      <c r="ER327" s="57"/>
      <c r="ES327" s="57"/>
      <c r="ET327" s="57"/>
      <c r="EU327" s="57"/>
      <c r="EV327" s="57"/>
      <c r="EW327" s="57"/>
      <c r="EX327" s="57"/>
      <c r="EY327" s="57"/>
      <c r="EZ327" s="57"/>
      <c r="FA327" s="57"/>
      <c r="FB327" s="57"/>
      <c r="FC327" s="57"/>
      <c r="FD327" s="57"/>
      <c r="FE327" s="57"/>
      <c r="FF327" s="57"/>
      <c r="FG327" s="57"/>
      <c r="FH327" s="57"/>
      <c r="FI327" s="57"/>
      <c r="FJ327" s="57"/>
      <c r="FK327" s="57"/>
      <c r="FL327" s="61"/>
    </row>
    <row r="328" spans="52:168" x14ac:dyDescent="0.25">
      <c r="AZ328" s="54"/>
      <c r="BA328" s="57"/>
      <c r="BB328" s="57"/>
      <c r="BC328" s="57"/>
      <c r="BD328" s="57"/>
      <c r="BE328" s="57"/>
      <c r="BF328" s="57"/>
      <c r="BG328" s="57"/>
      <c r="BH328" s="57"/>
      <c r="BI328" s="57"/>
      <c r="BJ328" s="57"/>
      <c r="BK328" s="57"/>
      <c r="BL328" s="57"/>
      <c r="BM328" s="57"/>
      <c r="BN328" s="57"/>
      <c r="BO328" s="57"/>
      <c r="BP328" s="57"/>
      <c r="BQ328" s="57"/>
      <c r="BR328" s="57"/>
      <c r="BS328" s="57"/>
      <c r="BT328" s="57"/>
      <c r="BU328" s="57"/>
      <c r="BV328" s="57"/>
      <c r="BW328" s="57"/>
      <c r="BX328" s="57"/>
      <c r="BY328" s="57"/>
      <c r="BZ328" s="57"/>
      <c r="CA328" s="57"/>
      <c r="CB328" s="57"/>
      <c r="CC328" s="57"/>
      <c r="CD328" s="57"/>
      <c r="CE328" s="57"/>
      <c r="CF328" s="57"/>
      <c r="CG328" s="57"/>
      <c r="CH328" s="57"/>
      <c r="CI328" s="57"/>
      <c r="CJ328" s="57"/>
      <c r="CK328" s="57"/>
      <c r="CL328" s="57"/>
      <c r="CM328" s="57"/>
      <c r="CN328" s="57"/>
      <c r="CO328" s="57"/>
      <c r="CP328" s="57"/>
      <c r="CQ328" s="57"/>
      <c r="CR328" s="57"/>
      <c r="CS328" s="57"/>
      <c r="CT328" s="57"/>
      <c r="CU328" s="57"/>
      <c r="CV328" s="31"/>
      <c r="CW328" s="57"/>
      <c r="CX328" s="57"/>
      <c r="CY328" s="57"/>
      <c r="CZ328" s="57"/>
      <c r="DA328" s="57"/>
      <c r="DB328" s="57"/>
      <c r="DC328" s="57"/>
      <c r="DD328" s="57"/>
      <c r="DE328" s="57"/>
      <c r="DF328" s="57"/>
      <c r="DG328" s="57"/>
      <c r="DH328" s="57"/>
      <c r="DI328" s="57"/>
      <c r="DJ328" s="57"/>
      <c r="DK328" s="57"/>
      <c r="DL328" s="57"/>
      <c r="DM328" s="57"/>
      <c r="DN328" s="57"/>
      <c r="DO328" s="57"/>
      <c r="DP328" s="57"/>
      <c r="DQ328" s="57"/>
      <c r="DR328" s="57"/>
      <c r="DS328" s="57"/>
      <c r="DT328" s="57"/>
      <c r="DU328" s="57"/>
      <c r="DV328" s="57"/>
      <c r="DW328" s="57"/>
      <c r="DX328" s="57"/>
      <c r="DY328" s="57"/>
      <c r="DZ328" s="57"/>
      <c r="EA328" s="57"/>
      <c r="EB328" s="57"/>
      <c r="EC328" s="57"/>
      <c r="ED328" s="57"/>
      <c r="EE328" s="57"/>
      <c r="EF328" s="57"/>
      <c r="EG328" s="57"/>
      <c r="EH328" s="57"/>
      <c r="EI328" s="57"/>
      <c r="EJ328" s="57"/>
      <c r="EK328" s="57"/>
      <c r="EL328" s="57"/>
      <c r="EM328" s="57"/>
      <c r="EN328" s="57"/>
      <c r="EO328" s="57"/>
      <c r="EP328" s="57"/>
      <c r="EQ328" s="57"/>
      <c r="ER328" s="57"/>
      <c r="ES328" s="57"/>
      <c r="ET328" s="57"/>
      <c r="EU328" s="57"/>
      <c r="EV328" s="57"/>
      <c r="EW328" s="57"/>
      <c r="EX328" s="57"/>
      <c r="EY328" s="57"/>
      <c r="EZ328" s="57"/>
      <c r="FA328" s="57"/>
      <c r="FB328" s="57"/>
      <c r="FC328" s="57"/>
      <c r="FD328" s="57"/>
      <c r="FE328" s="57"/>
      <c r="FF328" s="57"/>
      <c r="FG328" s="57"/>
      <c r="FH328" s="57"/>
      <c r="FI328" s="57"/>
      <c r="FJ328" s="57"/>
      <c r="FK328" s="57"/>
      <c r="FL328" s="61"/>
    </row>
    <row r="329" spans="52:168" x14ac:dyDescent="0.25">
      <c r="AZ329" s="54"/>
      <c r="BA329" s="57"/>
      <c r="BB329" s="57"/>
      <c r="BC329" s="57"/>
      <c r="BD329" s="57"/>
      <c r="BE329" s="57"/>
      <c r="BF329" s="57"/>
      <c r="BG329" s="57"/>
      <c r="BH329" s="57"/>
      <c r="BI329" s="57"/>
      <c r="BJ329" s="57"/>
      <c r="BK329" s="57"/>
      <c r="BL329" s="57"/>
      <c r="BM329" s="57"/>
      <c r="BN329" s="57"/>
      <c r="BO329" s="57"/>
      <c r="BP329" s="57"/>
      <c r="BQ329" s="57"/>
      <c r="BR329" s="57"/>
      <c r="BS329" s="57"/>
      <c r="BT329" s="57"/>
      <c r="BU329" s="57"/>
      <c r="BV329" s="57"/>
      <c r="BW329" s="57"/>
      <c r="BX329" s="57"/>
      <c r="BY329" s="57"/>
      <c r="BZ329" s="57"/>
      <c r="CA329" s="57"/>
      <c r="CB329" s="57"/>
      <c r="CC329" s="57"/>
      <c r="CD329" s="57"/>
      <c r="CE329" s="57"/>
      <c r="CF329" s="57"/>
      <c r="CG329" s="57"/>
      <c r="CH329" s="57"/>
      <c r="CI329" s="57"/>
      <c r="CJ329" s="57"/>
      <c r="CK329" s="57"/>
      <c r="CL329" s="57"/>
      <c r="CM329" s="57"/>
      <c r="CN329" s="57"/>
      <c r="CO329" s="57"/>
      <c r="CP329" s="57"/>
      <c r="CQ329" s="57"/>
      <c r="CR329" s="57"/>
      <c r="CS329" s="57"/>
      <c r="CT329" s="57"/>
      <c r="CU329" s="57"/>
      <c r="CV329" s="31"/>
      <c r="CW329" s="57"/>
      <c r="CX329" s="57"/>
      <c r="CY329" s="57"/>
      <c r="CZ329" s="57"/>
      <c r="DA329" s="57"/>
      <c r="DB329" s="57"/>
      <c r="DC329" s="57"/>
      <c r="DD329" s="57"/>
      <c r="DE329" s="57"/>
      <c r="DF329" s="57"/>
      <c r="DG329" s="57"/>
      <c r="DH329" s="57"/>
      <c r="DI329" s="57"/>
      <c r="DJ329" s="57"/>
      <c r="DK329" s="57"/>
      <c r="DL329" s="57"/>
      <c r="DM329" s="57"/>
      <c r="DN329" s="57"/>
      <c r="DO329" s="57"/>
      <c r="DP329" s="57"/>
      <c r="DQ329" s="57"/>
      <c r="DR329" s="57"/>
      <c r="DS329" s="57"/>
      <c r="DT329" s="57"/>
      <c r="DU329" s="57"/>
      <c r="DV329" s="57"/>
      <c r="DW329" s="57"/>
      <c r="DX329" s="57"/>
      <c r="DY329" s="57"/>
      <c r="DZ329" s="57"/>
      <c r="EA329" s="57"/>
      <c r="EB329" s="57"/>
      <c r="EC329" s="57"/>
      <c r="ED329" s="57"/>
      <c r="EE329" s="57"/>
      <c r="EF329" s="57"/>
      <c r="EG329" s="57"/>
      <c r="EH329" s="57"/>
      <c r="EI329" s="57"/>
      <c r="EJ329" s="57"/>
      <c r="EK329" s="57"/>
      <c r="EL329" s="57"/>
      <c r="EM329" s="57"/>
      <c r="EN329" s="57"/>
      <c r="EO329" s="57"/>
      <c r="EP329" s="57"/>
      <c r="EQ329" s="57"/>
      <c r="ER329" s="57"/>
      <c r="ES329" s="57"/>
      <c r="ET329" s="57"/>
      <c r="EU329" s="57"/>
      <c r="EV329" s="57"/>
      <c r="EW329" s="57"/>
      <c r="EX329" s="57"/>
      <c r="EY329" s="57"/>
      <c r="EZ329" s="57"/>
      <c r="FA329" s="57"/>
      <c r="FB329" s="57"/>
      <c r="FC329" s="57"/>
      <c r="FD329" s="57"/>
      <c r="FE329" s="57"/>
      <c r="FF329" s="57"/>
      <c r="FG329" s="57"/>
      <c r="FH329" s="57"/>
      <c r="FI329" s="57"/>
      <c r="FJ329" s="57"/>
      <c r="FK329" s="57"/>
      <c r="FL329" s="61"/>
    </row>
    <row r="330" spans="52:168" x14ac:dyDescent="0.25">
      <c r="AZ330" s="54"/>
      <c r="BA330" s="57"/>
      <c r="BB330" s="57"/>
      <c r="BC330" s="57"/>
      <c r="BD330" s="57"/>
      <c r="BE330" s="57"/>
      <c r="BF330" s="57"/>
      <c r="BG330" s="57"/>
      <c r="BH330" s="57"/>
      <c r="BI330" s="57"/>
      <c r="BJ330" s="57"/>
      <c r="BK330" s="57"/>
      <c r="BL330" s="57"/>
      <c r="BM330" s="57"/>
      <c r="BN330" s="57"/>
      <c r="BO330" s="57"/>
      <c r="BP330" s="57"/>
      <c r="BQ330" s="57"/>
      <c r="BR330" s="57"/>
      <c r="BS330" s="57"/>
      <c r="BT330" s="57"/>
      <c r="BU330" s="57"/>
      <c r="BV330" s="57"/>
      <c r="BW330" s="57"/>
      <c r="BX330" s="57"/>
      <c r="BY330" s="57"/>
      <c r="BZ330" s="57"/>
      <c r="CA330" s="57"/>
      <c r="CB330" s="57"/>
      <c r="CC330" s="57"/>
      <c r="CD330" s="57"/>
      <c r="CE330" s="57"/>
      <c r="CF330" s="57"/>
      <c r="CG330" s="57"/>
      <c r="CH330" s="57"/>
      <c r="CI330" s="57"/>
      <c r="CJ330" s="57"/>
      <c r="CK330" s="57"/>
      <c r="CL330" s="57"/>
      <c r="CM330" s="57"/>
      <c r="CN330" s="57"/>
      <c r="CO330" s="57"/>
      <c r="CP330" s="57"/>
      <c r="CQ330" s="57"/>
      <c r="CR330" s="57"/>
      <c r="CS330" s="57"/>
      <c r="CT330" s="57"/>
      <c r="CU330" s="57"/>
      <c r="CV330" s="31"/>
      <c r="CW330" s="57"/>
      <c r="CX330" s="57"/>
      <c r="CY330" s="57"/>
      <c r="CZ330" s="57"/>
      <c r="DA330" s="57"/>
      <c r="DB330" s="57"/>
      <c r="DC330" s="57"/>
      <c r="DD330" s="57"/>
      <c r="DE330" s="57"/>
      <c r="DF330" s="57"/>
      <c r="DG330" s="57"/>
      <c r="DH330" s="57"/>
      <c r="DI330" s="57"/>
      <c r="DJ330" s="57"/>
      <c r="DK330" s="57"/>
      <c r="DL330" s="57"/>
      <c r="DM330" s="57"/>
      <c r="DN330" s="57"/>
      <c r="DO330" s="57"/>
      <c r="DP330" s="57"/>
      <c r="DQ330" s="57"/>
      <c r="DR330" s="57"/>
      <c r="DS330" s="57"/>
      <c r="DT330" s="57"/>
      <c r="DU330" s="57"/>
      <c r="DV330" s="57"/>
      <c r="DW330" s="57"/>
      <c r="DX330" s="57"/>
      <c r="DY330" s="57"/>
      <c r="DZ330" s="57"/>
      <c r="EA330" s="57"/>
      <c r="EB330" s="57"/>
      <c r="EC330" s="57"/>
      <c r="ED330" s="57"/>
      <c r="EE330" s="57"/>
      <c r="EF330" s="57"/>
      <c r="EG330" s="57"/>
      <c r="EH330" s="57"/>
      <c r="EI330" s="57"/>
      <c r="EJ330" s="57"/>
      <c r="EK330" s="57"/>
      <c r="EL330" s="57"/>
      <c r="EM330" s="57"/>
      <c r="EN330" s="57"/>
      <c r="EO330" s="57"/>
      <c r="EP330" s="57"/>
      <c r="EQ330" s="57"/>
      <c r="ER330" s="57"/>
      <c r="ES330" s="57"/>
      <c r="ET330" s="57"/>
      <c r="EU330" s="57"/>
      <c r="EV330" s="57"/>
      <c r="EW330" s="57"/>
      <c r="EX330" s="57"/>
      <c r="EY330" s="57"/>
      <c r="EZ330" s="57"/>
      <c r="FA330" s="57"/>
      <c r="FB330" s="57"/>
      <c r="FC330" s="57"/>
      <c r="FD330" s="57"/>
      <c r="FE330" s="57"/>
      <c r="FF330" s="57"/>
      <c r="FG330" s="57"/>
      <c r="FH330" s="57"/>
      <c r="FI330" s="57"/>
      <c r="FJ330" s="57"/>
      <c r="FK330" s="57"/>
      <c r="FL330" s="61"/>
    </row>
    <row r="331" spans="52:168" x14ac:dyDescent="0.25">
      <c r="AZ331" s="54"/>
      <c r="BA331" s="57"/>
      <c r="BB331" s="57"/>
      <c r="BC331" s="57"/>
      <c r="BD331" s="57"/>
      <c r="BE331" s="57"/>
      <c r="BF331" s="57"/>
      <c r="BG331" s="57"/>
      <c r="BH331" s="57"/>
      <c r="BI331" s="57"/>
      <c r="BJ331" s="57"/>
      <c r="BK331" s="57"/>
      <c r="BL331" s="57"/>
      <c r="BM331" s="57"/>
      <c r="BN331" s="57"/>
      <c r="BO331" s="57"/>
      <c r="BP331" s="57"/>
      <c r="BQ331" s="57"/>
      <c r="BR331" s="57"/>
      <c r="BS331" s="57"/>
      <c r="BT331" s="57"/>
      <c r="BU331" s="57"/>
      <c r="BV331" s="57"/>
      <c r="BW331" s="57"/>
      <c r="BX331" s="57"/>
      <c r="BY331" s="57"/>
      <c r="BZ331" s="57"/>
      <c r="CA331" s="57"/>
      <c r="CB331" s="57"/>
      <c r="CC331" s="57"/>
      <c r="CD331" s="57"/>
      <c r="CE331" s="57"/>
      <c r="CF331" s="57"/>
      <c r="CG331" s="57"/>
      <c r="CH331" s="57"/>
      <c r="CI331" s="57"/>
      <c r="CJ331" s="57"/>
      <c r="CK331" s="57"/>
      <c r="CL331" s="57"/>
      <c r="CM331" s="57"/>
      <c r="CN331" s="57"/>
      <c r="CO331" s="57"/>
      <c r="CP331" s="57"/>
      <c r="CQ331" s="57"/>
      <c r="CR331" s="57"/>
      <c r="CS331" s="57"/>
      <c r="CT331" s="57"/>
      <c r="CU331" s="57"/>
      <c r="CV331" s="31"/>
      <c r="CW331" s="57"/>
      <c r="CX331" s="57"/>
      <c r="CY331" s="57"/>
      <c r="CZ331" s="57"/>
      <c r="DA331" s="57"/>
      <c r="DB331" s="57"/>
      <c r="DC331" s="57"/>
      <c r="DD331" s="57"/>
      <c r="DE331" s="57"/>
      <c r="DF331" s="57"/>
      <c r="DG331" s="57"/>
      <c r="DH331" s="57"/>
      <c r="DI331" s="57"/>
      <c r="DJ331" s="57"/>
      <c r="DK331" s="57"/>
      <c r="DL331" s="57"/>
      <c r="DM331" s="57"/>
      <c r="DN331" s="57"/>
      <c r="DO331" s="57"/>
      <c r="DP331" s="57"/>
      <c r="DQ331" s="57"/>
      <c r="DR331" s="57"/>
      <c r="DS331" s="57"/>
      <c r="DT331" s="57"/>
      <c r="DU331" s="57"/>
      <c r="DV331" s="57"/>
      <c r="DW331" s="57"/>
      <c r="DX331" s="57"/>
      <c r="DY331" s="57"/>
      <c r="DZ331" s="57"/>
      <c r="EA331" s="57"/>
      <c r="EB331" s="57"/>
      <c r="EC331" s="57"/>
      <c r="ED331" s="57"/>
      <c r="EE331" s="57"/>
      <c r="EF331" s="57"/>
      <c r="EG331" s="57"/>
      <c r="EH331" s="57"/>
      <c r="EI331" s="57"/>
      <c r="EJ331" s="57"/>
      <c r="EK331" s="57"/>
      <c r="EL331" s="57"/>
      <c r="EM331" s="57"/>
      <c r="EN331" s="57"/>
      <c r="EO331" s="57"/>
      <c r="EP331" s="57"/>
      <c r="EQ331" s="57"/>
      <c r="ER331" s="57"/>
      <c r="ES331" s="57"/>
      <c r="ET331" s="57"/>
      <c r="EU331" s="57"/>
      <c r="EV331" s="57"/>
      <c r="EW331" s="57"/>
      <c r="EX331" s="57"/>
      <c r="EY331" s="57"/>
      <c r="EZ331" s="57"/>
      <c r="FA331" s="57"/>
      <c r="FB331" s="57"/>
      <c r="FC331" s="57"/>
      <c r="FD331" s="57"/>
      <c r="FE331" s="57"/>
      <c r="FF331" s="57"/>
      <c r="FG331" s="57"/>
      <c r="FH331" s="57"/>
      <c r="FI331" s="57"/>
      <c r="FJ331" s="57"/>
      <c r="FK331" s="57"/>
      <c r="FL331" s="61"/>
    </row>
    <row r="332" spans="52:168" x14ac:dyDescent="0.25">
      <c r="AZ332" s="54"/>
      <c r="BA332" s="57"/>
      <c r="BB332" s="57"/>
      <c r="BC332" s="57"/>
      <c r="BD332" s="57"/>
      <c r="BE332" s="57"/>
      <c r="BF332" s="57"/>
      <c r="BG332" s="57"/>
      <c r="BH332" s="57"/>
      <c r="BI332" s="57"/>
      <c r="BJ332" s="57"/>
      <c r="BK332" s="57"/>
      <c r="BL332" s="57"/>
      <c r="BM332" s="57"/>
      <c r="BN332" s="57"/>
      <c r="BO332" s="57"/>
      <c r="BP332" s="57"/>
      <c r="BQ332" s="57"/>
      <c r="BR332" s="57"/>
      <c r="BS332" s="57"/>
      <c r="BT332" s="57"/>
      <c r="BU332" s="57"/>
      <c r="BV332" s="57"/>
      <c r="BW332" s="57"/>
      <c r="BX332" s="57"/>
      <c r="BY332" s="57"/>
      <c r="BZ332" s="57"/>
      <c r="CA332" s="57"/>
      <c r="CB332" s="57"/>
      <c r="CC332" s="57"/>
      <c r="CD332" s="57"/>
      <c r="CE332" s="57"/>
      <c r="CF332" s="57"/>
      <c r="CG332" s="57"/>
      <c r="CH332" s="57"/>
      <c r="CI332" s="57"/>
      <c r="CJ332" s="57"/>
      <c r="CK332" s="57"/>
      <c r="CL332" s="57"/>
      <c r="CM332" s="57"/>
      <c r="CN332" s="57"/>
      <c r="CO332" s="57"/>
      <c r="CP332" s="57"/>
      <c r="CQ332" s="57"/>
      <c r="CR332" s="57"/>
      <c r="CS332" s="57"/>
      <c r="CT332" s="57"/>
      <c r="CU332" s="57"/>
      <c r="CV332" s="31"/>
      <c r="CW332" s="57"/>
      <c r="CX332" s="57"/>
      <c r="CY332" s="57"/>
      <c r="CZ332" s="57"/>
      <c r="DA332" s="57"/>
      <c r="DB332" s="57"/>
      <c r="DC332" s="57"/>
      <c r="DD332" s="57"/>
      <c r="DE332" s="57"/>
      <c r="DF332" s="57"/>
      <c r="DG332" s="57"/>
      <c r="DH332" s="57"/>
      <c r="DI332" s="57"/>
      <c r="DJ332" s="57"/>
      <c r="DK332" s="57"/>
      <c r="DL332" s="57"/>
      <c r="DM332" s="57"/>
      <c r="DN332" s="57"/>
      <c r="DO332" s="57"/>
      <c r="DP332" s="57"/>
      <c r="DQ332" s="57"/>
      <c r="DR332" s="57"/>
      <c r="DS332" s="57"/>
      <c r="DT332" s="57"/>
      <c r="DU332" s="57"/>
      <c r="DV332" s="57"/>
      <c r="DW332" s="57"/>
      <c r="DX332" s="57"/>
      <c r="DY332" s="57"/>
      <c r="DZ332" s="57"/>
      <c r="EA332" s="57"/>
      <c r="EB332" s="57"/>
      <c r="EC332" s="57"/>
      <c r="ED332" s="57"/>
      <c r="EE332" s="57"/>
      <c r="EF332" s="57"/>
      <c r="EG332" s="57"/>
      <c r="EH332" s="57"/>
      <c r="EI332" s="57"/>
      <c r="EJ332" s="57"/>
      <c r="EK332" s="57"/>
      <c r="EL332" s="57"/>
      <c r="EM332" s="57"/>
      <c r="EN332" s="57"/>
      <c r="EO332" s="57"/>
      <c r="EP332" s="57"/>
      <c r="EQ332" s="57"/>
      <c r="ER332" s="57"/>
      <c r="ES332" s="57"/>
      <c r="ET332" s="57"/>
      <c r="EU332" s="57"/>
      <c r="EV332" s="57"/>
      <c r="EW332" s="57"/>
      <c r="EX332" s="57"/>
      <c r="EY332" s="57"/>
      <c r="EZ332" s="57"/>
      <c r="FA332" s="57"/>
      <c r="FB332" s="57"/>
      <c r="FC332" s="57"/>
      <c r="FD332" s="57"/>
      <c r="FE332" s="57"/>
      <c r="FF332" s="57"/>
      <c r="FG332" s="57"/>
      <c r="FH332" s="57"/>
      <c r="FI332" s="57"/>
      <c r="FJ332" s="57"/>
      <c r="FK332" s="57"/>
      <c r="FL332" s="61"/>
    </row>
    <row r="333" spans="52:168" ht="15.75" thickBot="1" x14ac:dyDescent="0.3">
      <c r="AZ333" s="83"/>
      <c r="BA333" s="87"/>
      <c r="BB333" s="87"/>
      <c r="BC333" s="87"/>
      <c r="BD333" s="87"/>
      <c r="BE333" s="87"/>
      <c r="BF333" s="87"/>
      <c r="BG333" s="87"/>
      <c r="BH333" s="87"/>
      <c r="BI333" s="87"/>
      <c r="BJ333" s="87"/>
      <c r="BK333" s="87"/>
      <c r="BL333" s="87"/>
      <c r="BM333" s="87"/>
      <c r="BN333" s="87"/>
      <c r="BO333" s="87"/>
      <c r="BP333" s="87"/>
      <c r="BQ333" s="87"/>
      <c r="BR333" s="87"/>
      <c r="BS333" s="87"/>
      <c r="BT333" s="87"/>
      <c r="BU333" s="87"/>
      <c r="BV333" s="87"/>
      <c r="BW333" s="87"/>
      <c r="BX333" s="87"/>
      <c r="BY333" s="87"/>
      <c r="BZ333" s="87"/>
      <c r="CA333" s="87"/>
      <c r="CB333" s="87"/>
      <c r="CC333" s="87"/>
      <c r="CD333" s="87"/>
      <c r="CE333" s="87"/>
      <c r="CF333" s="87"/>
      <c r="CG333" s="87"/>
      <c r="CH333" s="87"/>
      <c r="CI333" s="87"/>
      <c r="CJ333" s="87"/>
      <c r="CK333" s="87"/>
      <c r="CL333" s="87"/>
      <c r="CM333" s="87"/>
      <c r="CN333" s="87"/>
      <c r="CO333" s="87"/>
      <c r="CP333" s="87"/>
      <c r="CQ333" s="87"/>
      <c r="CR333" s="87"/>
      <c r="CS333" s="87"/>
      <c r="CT333" s="87"/>
      <c r="CU333" s="87"/>
      <c r="CV333" s="181"/>
      <c r="CW333" s="87"/>
      <c r="CX333" s="87"/>
      <c r="CY333" s="87"/>
      <c r="CZ333" s="87"/>
      <c r="DA333" s="87"/>
      <c r="DB333" s="87"/>
      <c r="DC333" s="87"/>
      <c r="DD333" s="87"/>
      <c r="DE333" s="87"/>
      <c r="DF333" s="87"/>
      <c r="DG333" s="87"/>
      <c r="DH333" s="87"/>
      <c r="DI333" s="87"/>
      <c r="DJ333" s="87"/>
      <c r="DK333" s="87"/>
      <c r="DL333" s="87"/>
      <c r="DM333" s="87"/>
      <c r="DN333" s="87"/>
      <c r="DO333" s="87"/>
      <c r="DP333" s="87"/>
      <c r="DQ333" s="87"/>
      <c r="DR333" s="87"/>
      <c r="DS333" s="87"/>
      <c r="DT333" s="87"/>
      <c r="DU333" s="87"/>
      <c r="DV333" s="87"/>
      <c r="DW333" s="87"/>
      <c r="DX333" s="87"/>
      <c r="DY333" s="87"/>
      <c r="DZ333" s="87"/>
      <c r="EA333" s="87"/>
      <c r="EB333" s="87"/>
      <c r="EC333" s="87"/>
      <c r="ED333" s="87"/>
      <c r="EE333" s="87"/>
      <c r="EF333" s="87"/>
      <c r="EG333" s="87"/>
      <c r="EH333" s="87"/>
      <c r="EI333" s="87"/>
      <c r="EJ333" s="87"/>
      <c r="EK333" s="87"/>
      <c r="EL333" s="87"/>
      <c r="EM333" s="87"/>
      <c r="EN333" s="87"/>
      <c r="EO333" s="87"/>
      <c r="EP333" s="87"/>
      <c r="EQ333" s="87"/>
      <c r="ER333" s="87"/>
      <c r="ES333" s="87"/>
      <c r="ET333" s="87"/>
      <c r="EU333" s="87"/>
      <c r="EV333" s="87"/>
      <c r="EW333" s="87"/>
      <c r="EX333" s="87"/>
      <c r="EY333" s="87"/>
      <c r="EZ333" s="87"/>
      <c r="FA333" s="87"/>
      <c r="FB333" s="87"/>
      <c r="FC333" s="87"/>
      <c r="FD333" s="87"/>
      <c r="FE333" s="87"/>
      <c r="FF333" s="87"/>
      <c r="FG333" s="87"/>
      <c r="FH333" s="87"/>
      <c r="FI333" s="87"/>
      <c r="FJ333" s="87"/>
      <c r="FK333" s="87"/>
      <c r="FL333" s="89"/>
    </row>
  </sheetData>
  <mergeCells count="337">
    <mergeCell ref="BA310:BB310"/>
    <mergeCell ref="BD310:BE310"/>
    <mergeCell ref="BA311:BB311"/>
    <mergeCell ref="BA312:BB312"/>
    <mergeCell ref="BA313:BB313"/>
    <mergeCell ref="BA314:BB314"/>
    <mergeCell ref="BA322:BE325"/>
    <mergeCell ref="BL201:BL220"/>
    <mergeCell ref="EV298:EX298"/>
    <mergeCell ref="EZ298:FB298"/>
    <mergeCell ref="FD298:FF298"/>
    <mergeCell ref="FH298:FJ298"/>
    <mergeCell ref="BY299:CA299"/>
    <mergeCell ref="CB299:CD299"/>
    <mergeCell ref="CE299:CG299"/>
    <mergeCell ref="CR299:CV299"/>
    <mergeCell ref="CW299:DA299"/>
    <mergeCell ref="DB299:DF299"/>
    <mergeCell ref="DG299:DK299"/>
    <mergeCell ref="CI298:CL298"/>
    <mergeCell ref="CR298:DK298"/>
    <mergeCell ref="DM298:DN298"/>
    <mergeCell ref="DQ298:DR298"/>
    <mergeCell ref="DU298:DW298"/>
    <mergeCell ref="DZ298:EA298"/>
    <mergeCell ref="ED298:EE298"/>
    <mergeCell ref="EH298:EO298"/>
    <mergeCell ref="EQ298:ES298"/>
    <mergeCell ref="BA262:BB262"/>
    <mergeCell ref="BD262:BE262"/>
    <mergeCell ref="BA263:BB263"/>
    <mergeCell ref="BA264:BB264"/>
    <mergeCell ref="BA265:BB265"/>
    <mergeCell ref="BA266:BB266"/>
    <mergeCell ref="BA282:BE285"/>
    <mergeCell ref="BH298:BP298"/>
    <mergeCell ref="BV298:CG298"/>
    <mergeCell ref="EV250:EX250"/>
    <mergeCell ref="EZ250:FB250"/>
    <mergeCell ref="FD250:FF250"/>
    <mergeCell ref="FH250:FJ250"/>
    <mergeCell ref="BY251:CA251"/>
    <mergeCell ref="CB251:CD251"/>
    <mergeCell ref="CE251:CG251"/>
    <mergeCell ref="CR251:CV251"/>
    <mergeCell ref="CW251:DA251"/>
    <mergeCell ref="DB251:DF251"/>
    <mergeCell ref="DG251:DK251"/>
    <mergeCell ref="CI250:CL250"/>
    <mergeCell ref="CR250:DK250"/>
    <mergeCell ref="DM250:DN250"/>
    <mergeCell ref="DQ250:DR250"/>
    <mergeCell ref="DU250:DW250"/>
    <mergeCell ref="DZ250:EA250"/>
    <mergeCell ref="ED250:EE250"/>
    <mergeCell ref="EH250:EO250"/>
    <mergeCell ref="EQ250:ES250"/>
    <mergeCell ref="BA212:BB212"/>
    <mergeCell ref="BD212:BE212"/>
    <mergeCell ref="BA213:BB213"/>
    <mergeCell ref="BA214:BB214"/>
    <mergeCell ref="BA215:BB215"/>
    <mergeCell ref="BA216:BB216"/>
    <mergeCell ref="BA222:BE225"/>
    <mergeCell ref="BH250:BP250"/>
    <mergeCell ref="BV250:CG250"/>
    <mergeCell ref="EQ200:ES200"/>
    <mergeCell ref="EV200:EX200"/>
    <mergeCell ref="EZ200:FB200"/>
    <mergeCell ref="FD200:FF200"/>
    <mergeCell ref="FH200:FJ200"/>
    <mergeCell ref="BY201:CA201"/>
    <mergeCell ref="CB201:CD201"/>
    <mergeCell ref="CE201:CG201"/>
    <mergeCell ref="CR201:CV201"/>
    <mergeCell ref="CW201:DA201"/>
    <mergeCell ref="DB201:DF201"/>
    <mergeCell ref="DG201:DK201"/>
    <mergeCell ref="BV200:CG200"/>
    <mergeCell ref="CI200:CL200"/>
    <mergeCell ref="CR200:DK200"/>
    <mergeCell ref="DM200:DN200"/>
    <mergeCell ref="DQ200:DR200"/>
    <mergeCell ref="DU200:DW200"/>
    <mergeCell ref="DZ200:EA200"/>
    <mergeCell ref="ED200:EE200"/>
    <mergeCell ref="EH200:EO200"/>
    <mergeCell ref="BD169:BE169"/>
    <mergeCell ref="BD173:BE173"/>
    <mergeCell ref="BA174:BB174"/>
    <mergeCell ref="BA175:BB175"/>
    <mergeCell ref="BA176:BB176"/>
    <mergeCell ref="BA177:BB177"/>
    <mergeCell ref="BD178:BE178"/>
    <mergeCell ref="BA187:BE190"/>
    <mergeCell ref="BH200:BT200"/>
    <mergeCell ref="DW162:DX162"/>
    <mergeCell ref="EA162:EB162"/>
    <mergeCell ref="EE162:EF162"/>
    <mergeCell ref="EI162:EM162"/>
    <mergeCell ref="EO162:EQ162"/>
    <mergeCell ref="ET162:EV162"/>
    <mergeCell ref="EX162:EZ162"/>
    <mergeCell ref="FB162:FD162"/>
    <mergeCell ref="BY163:CA163"/>
    <mergeCell ref="CB163:CD163"/>
    <mergeCell ref="CE163:CG163"/>
    <mergeCell ref="BH162:BT162"/>
    <mergeCell ref="BV162:CG162"/>
    <mergeCell ref="CI162:CK162"/>
    <mergeCell ref="CO162:CQ162"/>
    <mergeCell ref="CS162:CU162"/>
    <mergeCell ref="CX162:CY162"/>
    <mergeCell ref="DB162:DC162"/>
    <mergeCell ref="DF162:DH162"/>
    <mergeCell ref="DK162:DL162"/>
    <mergeCell ref="EP45:EQ45"/>
    <mergeCell ref="ET45:EX45"/>
    <mergeCell ref="EZ45:FB45"/>
    <mergeCell ref="FE45:FG45"/>
    <mergeCell ref="FI45:FK45"/>
    <mergeCell ref="FM45:FO45"/>
    <mergeCell ref="CG46:CI46"/>
    <mergeCell ref="CJ46:CL46"/>
    <mergeCell ref="CM46:CO46"/>
    <mergeCell ref="CQ45:CS45"/>
    <mergeCell ref="CW45:CY45"/>
    <mergeCell ref="DA45:DF45"/>
    <mergeCell ref="DI45:DJ45"/>
    <mergeCell ref="DM45:DN45"/>
    <mergeCell ref="DQ45:DS45"/>
    <mergeCell ref="DV45:DW45"/>
    <mergeCell ref="EH45:EI45"/>
    <mergeCell ref="EL45:EM45"/>
    <mergeCell ref="DY2:EA2"/>
    <mergeCell ref="EC2:EE2"/>
    <mergeCell ref="EG2:EI2"/>
    <mergeCell ref="BT3:BW3"/>
    <mergeCell ref="BX3:CA3"/>
    <mergeCell ref="CD3:CF3"/>
    <mergeCell ref="CG3:CI3"/>
    <mergeCell ref="BD9:BE9"/>
    <mergeCell ref="BA12:BB12"/>
    <mergeCell ref="BD12:BE12"/>
    <mergeCell ref="BH2:BO2"/>
    <mergeCell ref="BQ2:CA2"/>
    <mergeCell ref="CB2:CI2"/>
    <mergeCell ref="CK2:CP2"/>
    <mergeCell ref="CY2:CZ2"/>
    <mergeCell ref="DC2:DD2"/>
    <mergeCell ref="DK2:DL2"/>
    <mergeCell ref="DO2:DP2"/>
    <mergeCell ref="DR2:DW2"/>
    <mergeCell ref="AX11:AY11"/>
    <mergeCell ref="AX12:AY12"/>
    <mergeCell ref="BA13:BB13"/>
    <mergeCell ref="BD16:BE16"/>
    <mergeCell ref="BA28:BE31"/>
    <mergeCell ref="BH45:CB45"/>
    <mergeCell ref="CD45:CO45"/>
    <mergeCell ref="BD52:BE52"/>
    <mergeCell ref="BD67:BE67"/>
    <mergeCell ref="BA72:BE75"/>
    <mergeCell ref="A51:B57"/>
    <mergeCell ref="C51:AE57"/>
    <mergeCell ref="BA57:BB57"/>
    <mergeCell ref="BA58:BB58"/>
    <mergeCell ref="BA59:BB59"/>
    <mergeCell ref="BA60:BB60"/>
    <mergeCell ref="BD62:BE62"/>
    <mergeCell ref="A47:B48"/>
    <mergeCell ref="C47:H47"/>
    <mergeCell ref="I47:N47"/>
    <mergeCell ref="O47:T47"/>
    <mergeCell ref="U47:Z47"/>
    <mergeCell ref="AA47:AE47"/>
    <mergeCell ref="C48:H48"/>
    <mergeCell ref="I48:N48"/>
    <mergeCell ref="O48:T48"/>
    <mergeCell ref="U48:Z48"/>
    <mergeCell ref="AA48:AE48"/>
    <mergeCell ref="A43:B44"/>
    <mergeCell ref="C43:H43"/>
    <mergeCell ref="I43:N43"/>
    <mergeCell ref="O43:T43"/>
    <mergeCell ref="U43:Z43"/>
    <mergeCell ref="AA43:AE43"/>
    <mergeCell ref="C44:H44"/>
    <mergeCell ref="I44:N44"/>
    <mergeCell ref="O44:T44"/>
    <mergeCell ref="U44:Z44"/>
    <mergeCell ref="AA44:AE44"/>
    <mergeCell ref="A39:B40"/>
    <mergeCell ref="C39:H39"/>
    <mergeCell ref="I39:N39"/>
    <mergeCell ref="O39:T39"/>
    <mergeCell ref="U39:Z39"/>
    <mergeCell ref="AA39:AE39"/>
    <mergeCell ref="C40:H40"/>
    <mergeCell ref="I40:N40"/>
    <mergeCell ref="O40:T40"/>
    <mergeCell ref="U40:Z40"/>
    <mergeCell ref="AA40:AE40"/>
    <mergeCell ref="A35:B36"/>
    <mergeCell ref="C35:H35"/>
    <mergeCell ref="I35:N35"/>
    <mergeCell ref="O35:T35"/>
    <mergeCell ref="U35:Z35"/>
    <mergeCell ref="AA35:AE35"/>
    <mergeCell ref="C36:H36"/>
    <mergeCell ref="I36:N36"/>
    <mergeCell ref="O36:T36"/>
    <mergeCell ref="U36:Z36"/>
    <mergeCell ref="AA36:AE36"/>
    <mergeCell ref="A31:B32"/>
    <mergeCell ref="C31:H31"/>
    <mergeCell ref="I31:N31"/>
    <mergeCell ref="O31:T31"/>
    <mergeCell ref="U31:Z31"/>
    <mergeCell ref="AA31:AE31"/>
    <mergeCell ref="C32:H32"/>
    <mergeCell ref="I32:N32"/>
    <mergeCell ref="O32:T32"/>
    <mergeCell ref="U32:Z32"/>
    <mergeCell ref="AA32:AE32"/>
    <mergeCell ref="A27:B28"/>
    <mergeCell ref="C27:H27"/>
    <mergeCell ref="I27:N27"/>
    <mergeCell ref="O27:T27"/>
    <mergeCell ref="U27:Z27"/>
    <mergeCell ref="AA27:AE27"/>
    <mergeCell ref="C28:H28"/>
    <mergeCell ref="I28:N28"/>
    <mergeCell ref="O28:T28"/>
    <mergeCell ref="U28:Z28"/>
    <mergeCell ref="AA28:AE28"/>
    <mergeCell ref="A23:B24"/>
    <mergeCell ref="C23:H23"/>
    <mergeCell ref="I23:N23"/>
    <mergeCell ref="O23:T23"/>
    <mergeCell ref="U23:Z23"/>
    <mergeCell ref="AA23:AE23"/>
    <mergeCell ref="C24:H24"/>
    <mergeCell ref="I24:N24"/>
    <mergeCell ref="O24:T24"/>
    <mergeCell ref="U24:Z24"/>
    <mergeCell ref="AA24:AE24"/>
    <mergeCell ref="A19:B20"/>
    <mergeCell ref="C19:H19"/>
    <mergeCell ref="I19:N19"/>
    <mergeCell ref="O19:V19"/>
    <mergeCell ref="W19:AE19"/>
    <mergeCell ref="C20:H20"/>
    <mergeCell ref="I20:N20"/>
    <mergeCell ref="O20:Q20"/>
    <mergeCell ref="R20:V20"/>
    <mergeCell ref="W20:Y20"/>
    <mergeCell ref="Z20:AE20"/>
    <mergeCell ref="AC16:AE16"/>
    <mergeCell ref="A17:B17"/>
    <mergeCell ref="C17:G17"/>
    <mergeCell ref="H17:K17"/>
    <mergeCell ref="L17:M17"/>
    <mergeCell ref="N17:O17"/>
    <mergeCell ref="P17:Q17"/>
    <mergeCell ref="R17:S17"/>
    <mergeCell ref="T17:Y17"/>
    <mergeCell ref="Z17:AB17"/>
    <mergeCell ref="AC17:AE17"/>
    <mergeCell ref="A16:B16"/>
    <mergeCell ref="C16:G16"/>
    <mergeCell ref="H16:K16"/>
    <mergeCell ref="L16:M16"/>
    <mergeCell ref="N16:O16"/>
    <mergeCell ref="P16:Q16"/>
    <mergeCell ref="R16:S16"/>
    <mergeCell ref="T16:Y16"/>
    <mergeCell ref="Z16:AB16"/>
    <mergeCell ref="AC14:AE14"/>
    <mergeCell ref="A15:B15"/>
    <mergeCell ref="C15:G15"/>
    <mergeCell ref="H15:K15"/>
    <mergeCell ref="L15:M15"/>
    <mergeCell ref="N15:O15"/>
    <mergeCell ref="P15:Q15"/>
    <mergeCell ref="R15:S15"/>
    <mergeCell ref="T15:Y15"/>
    <mergeCell ref="Z15:AB15"/>
    <mergeCell ref="AC15:AE15"/>
    <mergeCell ref="A14:B14"/>
    <mergeCell ref="C14:G14"/>
    <mergeCell ref="H14:K14"/>
    <mergeCell ref="L14:M14"/>
    <mergeCell ref="N14:O14"/>
    <mergeCell ref="P14:Q14"/>
    <mergeCell ref="R14:S14"/>
    <mergeCell ref="T14:Y14"/>
    <mergeCell ref="Z14:AB14"/>
    <mergeCell ref="A12:B12"/>
    <mergeCell ref="C12:K12"/>
    <mergeCell ref="L12:S12"/>
    <mergeCell ref="T12:AE12"/>
    <mergeCell ref="A13:B13"/>
    <mergeCell ref="C13:G13"/>
    <mergeCell ref="H13:K13"/>
    <mergeCell ref="L13:M13"/>
    <mergeCell ref="N13:O13"/>
    <mergeCell ref="P13:Q13"/>
    <mergeCell ref="R13:S13"/>
    <mergeCell ref="T13:V13"/>
    <mergeCell ref="W13:Y13"/>
    <mergeCell ref="Z13:AB13"/>
    <mergeCell ref="AC13:AE13"/>
    <mergeCell ref="A7:B9"/>
    <mergeCell ref="C7:AE9"/>
    <mergeCell ref="A10:B11"/>
    <mergeCell ref="C10:G10"/>
    <mergeCell ref="H10:L10"/>
    <mergeCell ref="M10:Q10"/>
    <mergeCell ref="R10:X11"/>
    <mergeCell ref="Y10:AE10"/>
    <mergeCell ref="C11:G11"/>
    <mergeCell ref="H11:L11"/>
    <mergeCell ref="M11:Q11"/>
    <mergeCell ref="Y11:AE11"/>
    <mergeCell ref="A1:B2"/>
    <mergeCell ref="C1:O2"/>
    <mergeCell ref="P1:S2"/>
    <mergeCell ref="T1:AE2"/>
    <mergeCell ref="A3:B4"/>
    <mergeCell ref="C3:O4"/>
    <mergeCell ref="P3:S4"/>
    <mergeCell ref="T3:AE4"/>
    <mergeCell ref="A5:B6"/>
    <mergeCell ref="C5:O6"/>
    <mergeCell ref="P5:S6"/>
    <mergeCell ref="T5:AE6"/>
  </mergeCells>
  <conditionalFormatting sqref="N25">
    <cfRule type="expression" dxfId="7" priority="2">
      <formula>$Z$14&gt;5</formula>
    </cfRule>
  </conditionalFormatting>
  <conditionalFormatting sqref="N29">
    <cfRule type="expression" dxfId="6" priority="3">
      <formula>$Z$15&gt;5</formula>
    </cfRule>
  </conditionalFormatting>
  <conditionalFormatting sqref="N33">
    <cfRule type="expression" dxfId="5" priority="4">
      <formula>$Z$15&gt;5</formula>
    </cfRule>
  </conditionalFormatting>
  <conditionalFormatting sqref="A17:B17">
    <cfRule type="expression" dxfId="4" priority="5">
      <formula>$AR$36="Х1"</formula>
    </cfRule>
  </conditionalFormatting>
  <conditionalFormatting sqref="A14:B17 L13:M13 P13:Q13">
    <cfRule type="expression" dxfId="3" priority="6">
      <formula>OR($AS$36="Х1",$AT$36="Х1")</formula>
    </cfRule>
  </conditionalFormatting>
  <conditionalFormatting sqref="C17:G17">
    <cfRule type="expression" dxfId="2" priority="7">
      <formula>$C$17&gt;=1.001</formula>
    </cfRule>
  </conditionalFormatting>
  <conditionalFormatting sqref="A14:B17 L13:M13 P13:Q13 T13:V13 Z13:AB13">
    <cfRule type="expression" dxfId="1" priority="8">
      <formula>OR($AR$20="X1",$AS$20="X1",$AT$20="X1")</formula>
    </cfRule>
  </conditionalFormatting>
  <conditionalFormatting sqref="A14:B17 L13:M13 P13:Q13 T13:V13 Z13:AB13 C23:H23 C27:H27 C31:H31">
    <cfRule type="expression" dxfId="0" priority="9">
      <formula>$AT$20="X1"</formula>
    </cfRule>
  </conditionalFormatting>
  <dataValidations disablePrompts="1" count="19">
    <dataValidation type="list" allowBlank="1" showInputMessage="1" showErrorMessage="1" sqref="C20:H20 O20 W20" xr:uid="{00000000-0002-0000-0C00-000000000000}">
      <formula1>$AJ$19:$AJ$20</formula1>
      <formula2>0</formula2>
    </dataValidation>
    <dataValidation type="list" allowBlank="1" showInputMessage="1" showErrorMessage="1" sqref="Z20:AE20" xr:uid="{00000000-0002-0000-0C00-000001000000}">
      <formula1>$AM$19:$AM$21</formula1>
      <formula2>0</formula2>
    </dataValidation>
    <dataValidation type="list" allowBlank="1" showInputMessage="1" showErrorMessage="1" sqref="R20:V20" xr:uid="{00000000-0002-0000-0C00-000002000000}">
      <formula1>$AL$19:$AL$21</formula1>
      <formula2>0</formula2>
    </dataValidation>
    <dataValidation type="list" allowBlank="1" showInputMessage="1" showErrorMessage="1" sqref="C24:H24 C28:H28 C32:H32" xr:uid="{00000000-0002-0000-0C00-000003000000}">
      <formula1>$AJ$23:$AJ$24</formula1>
      <formula2>0</formula2>
    </dataValidation>
    <dataValidation type="list" allowBlank="1" showInputMessage="1" showErrorMessage="1" sqref="I24:N24 I28:N28 I32:N32" xr:uid="{00000000-0002-0000-0C00-000004000000}">
      <formula1>$AK$23:$AK$25</formula1>
      <formula2>0</formula2>
    </dataValidation>
    <dataValidation type="list" allowBlank="1" showInputMessage="1" showErrorMessage="1" sqref="O24:T24 O28:T28 O32:T32" xr:uid="{00000000-0002-0000-0C00-000005000000}">
      <formula1>$AL$23:$AL$25</formula1>
      <formula2>0</formula2>
    </dataValidation>
    <dataValidation type="list" allowBlank="1" showInputMessage="1" showErrorMessage="1" sqref="U24:Z24 U28:Z28 U32:Z32 U36:Z36" xr:uid="{00000000-0002-0000-0C00-000006000000}">
      <formula1>$AM$23:$AM$25</formula1>
      <formula2>0</formula2>
    </dataValidation>
    <dataValidation type="list" allowBlank="1" showInputMessage="1" showErrorMessage="1" sqref="AA28:AE28 AA32:AE32 AA36:AE36" xr:uid="{00000000-0002-0000-0C00-000007000000}">
      <formula1>$AN$23:$AN$24</formula1>
      <formula2>0</formula2>
    </dataValidation>
    <dataValidation type="list" allowBlank="1" showInputMessage="1" showErrorMessage="1" sqref="C36:H36" xr:uid="{00000000-0002-0000-0C00-000008000000}">
      <formula1>$AJ$35:$AJ$37</formula1>
      <formula2>0</formula2>
    </dataValidation>
    <dataValidation type="list" allowBlank="1" showInputMessage="1" showErrorMessage="1" sqref="C40:N40 C44:N44 C48:N48" xr:uid="{00000000-0002-0000-0C00-000009000000}">
      <formula1>$AJ$39:$AJ$41</formula1>
      <formula2>0</formula2>
    </dataValidation>
    <dataValidation type="list" allowBlank="1" showInputMessage="1" showErrorMessage="1" sqref="O40:T40 O44:T44 O48:T48" xr:uid="{00000000-0002-0000-0C00-00000A000000}">
      <formula1>$AK$39:$AK$41</formula1>
      <formula2>0</formula2>
    </dataValidation>
    <dataValidation type="list" allowBlank="1" showInputMessage="1" showErrorMessage="1" sqref="U40:Z40 U44:Z44 U48:Z48" xr:uid="{00000000-0002-0000-0C00-00000B000000}">
      <formula1>$AL$39:$AL$40</formula1>
      <formula2>0</formula2>
    </dataValidation>
    <dataValidation type="list" allowBlank="1" showInputMessage="1" showErrorMessage="1" sqref="AA40:AE40 AA44:AE44 AA48:AE48" xr:uid="{00000000-0002-0000-0C00-00000C000000}">
      <formula1>$AM$39:$AM$41</formula1>
      <formula2>0</formula2>
    </dataValidation>
    <dataValidation type="list" allowBlank="1" showInputMessage="1" showErrorMessage="1" sqref="O36:T36" xr:uid="{00000000-0002-0000-0C00-00000D000000}">
      <formula1>$AL$35:$AL$38</formula1>
      <formula2>0</formula2>
    </dataValidation>
    <dataValidation type="list" allowBlank="1" showInputMessage="1" showErrorMessage="1" sqref="AA24:AE24" xr:uid="{00000000-0002-0000-0C00-00000E000000}">
      <formula1>$AN$22:$AN$23</formula1>
      <formula2>0</formula2>
    </dataValidation>
    <dataValidation type="list" allowBlank="1" showInputMessage="1" showErrorMessage="1" sqref="A14:B16" xr:uid="{00000000-0002-0000-0C00-00000F000000}">
      <formula1>$AJ$14:$AJ$16</formula1>
      <formula2>0</formula2>
    </dataValidation>
    <dataValidation type="list" allowBlank="1" showInputMessage="1" showErrorMessage="1" sqref="I36:N36" xr:uid="{00000000-0002-0000-0C00-000010000000}">
      <formula1>$AK$35:$AK$36</formula1>
      <formula2>0</formula2>
    </dataValidation>
    <dataValidation type="list" allowBlank="1" showInputMessage="1" showErrorMessage="1" sqref="I20:N20" xr:uid="{00000000-0002-0000-0C00-000011000000}">
      <formula1>$AJ$19:$AJ$21</formula1>
      <formula2>0</formula2>
    </dataValidation>
    <dataValidation type="list" allowBlank="1" showInputMessage="1" showErrorMessage="1" sqref="N13:O13" xr:uid="{00000000-0002-0000-0C00-000012000000}">
      <formula1>$AQ$13:$AU$13</formula1>
      <formula2>0</formula2>
    </dataValidation>
  </dataValidations>
  <printOptions horizontalCentered="1"/>
  <pageMargins left="0.23611111111111099" right="0.23611111111111099" top="0.74791666666666701" bottom="0.74791666666666701" header="0.51180555555555496" footer="0.51180555555555496"/>
  <pageSetup paperSize="9" firstPageNumber="0" fitToHeight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10</vt:i4>
      </vt:variant>
      <vt:variant>
        <vt:lpstr>Именованные диапазоны</vt:lpstr>
      </vt:variant>
      <vt:variant>
        <vt:i4>1</vt:i4>
      </vt:variant>
    </vt:vector>
  </HeadingPairs>
  <TitlesOfParts>
    <vt:vector size="11" baseType="lpstr">
      <vt:lpstr>Лист1</vt:lpstr>
      <vt:lpstr>Лист2</vt:lpstr>
      <vt:lpstr>Лист3</vt:lpstr>
      <vt:lpstr>БОВ (3)</vt:lpstr>
      <vt:lpstr>БГ</vt:lpstr>
      <vt:lpstr>БГ-С</vt:lpstr>
      <vt:lpstr>БОВ (2)</vt:lpstr>
      <vt:lpstr>БОВ (1)</vt:lpstr>
      <vt:lpstr>БВ</vt:lpstr>
      <vt:lpstr>ol4</vt:lpstr>
      <vt:lpstr>'ol4'!Область_печати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ATRIENERGO</cp:lastModifiedBy>
  <cp:revision>1</cp:revision>
  <dcterms:created xsi:type="dcterms:W3CDTF">2006-09-16T00:00:00Z</dcterms:created>
  <dcterms:modified xsi:type="dcterms:W3CDTF">2018-03-23T05:55:23Z</dcterms:modified>
  <dc:language>ru-RU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